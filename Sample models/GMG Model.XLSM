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ysAdmin\Log\Research2\prime8_temp_downloads\model_checkouts\"/>
    </mc:Choice>
  </mc:AlternateContent>
  <xr:revisionPtr revIDLastSave="0" documentId="13_ncr:1_{3D21F730-6A60-4686-AA8C-26154A6E3ED3}" xr6:coauthVersionLast="47" xr6:coauthVersionMax="47" xr10:uidLastSave="{00000000-0000-0000-0000-000000000000}"/>
  <bookViews>
    <workbookView xWindow="-100" yWindow="-100" windowWidth="28557" windowHeight="15430" tabRatio="842" activeTab="2" xr2:uid="{00000000-000D-0000-FFFF-FFFF00000000}"/>
  </bookViews>
  <sheets>
    <sheet name="CircularReferenceAlert" sheetId="34" r:id="rId1"/>
    <sheet name="ImportantDisclosures" sheetId="31" r:id="rId2"/>
    <sheet name="Group" sheetId="5" r:id="rId3"/>
    <sheet name="Debt" sheetId="9" r:id="rId4"/>
    <sheet name="Funds fee streams" sheetId="10" r:id="rId5"/>
    <sheet name="IndexInformation" sheetId="32" r:id="rId6"/>
    <sheet name="ModPubIndex" sheetId="33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</externalReferences>
  <definedNames>
    <definedName name="\D">#REF!</definedName>
    <definedName name="\E">#REF!</definedName>
    <definedName name="\I">#REF!</definedName>
    <definedName name="\P">#REF!</definedName>
    <definedName name="__123Graph_A" hidden="1">[1]Sheet1!#REF!</definedName>
    <definedName name="__123Graph_AGRAPH1" hidden="1">[1]Sheet1!#REF!</definedName>
    <definedName name="__123Graph_AGRAPH2" hidden="1">[1]Sheet1!#REF!</definedName>
    <definedName name="__123Graph_AGRAPH3" hidden="1">[1]Sheet1!#REF!</definedName>
    <definedName name="__123Graph_AGRAPH4" hidden="1">[1]Sheet1!#REF!</definedName>
    <definedName name="__123Graph_AGRAPH5" hidden="1">[1]Sheet1!#REF!</definedName>
    <definedName name="__123Graph_AGRAPH6" hidden="1">[1]Sheet1!#REF!</definedName>
    <definedName name="__123Graph_AGRAPH7" hidden="1">[1]Sheet1!#REF!</definedName>
    <definedName name="__123Graph_BGRAPH1" hidden="1">[1]Sheet1!#REF!</definedName>
    <definedName name="__123Graph_BGRAPH2" hidden="1">[1]Sheet1!#REF!</definedName>
    <definedName name="__123Graph_BGRAPH3" hidden="1">[1]Sheet1!#REF!</definedName>
    <definedName name="__123Graph_BGRAPH4" hidden="1">[1]Sheet1!#REF!</definedName>
    <definedName name="__123Graph_BGRAPH7" hidden="1">[1]Sheet1!#REF!</definedName>
    <definedName name="__123Graph_CGRAPH1" hidden="1">[1]Sheet1!#REF!</definedName>
    <definedName name="__123Graph_CGRAPH2" hidden="1">[1]Sheet1!#REF!</definedName>
    <definedName name="__123Graph_CGRAPH3" hidden="1">[1]Sheet1!#REF!</definedName>
    <definedName name="__123Graph_CGRAPH4" hidden="1">[1]Sheet1!#REF!</definedName>
    <definedName name="__123Graph_CGRAPH7" hidden="1">[1]Sheet1!#REF!</definedName>
    <definedName name="__123Graph_D" hidden="1">[1]Sheet1!#REF!</definedName>
    <definedName name="__123Graph_DGRAPH1" hidden="1">[1]Sheet1!#REF!</definedName>
    <definedName name="__123Graph_DGRAPH2" hidden="1">[1]Sheet1!#REF!</definedName>
    <definedName name="__123Graph_DGRAPH3" hidden="1">[1]Sheet1!#REF!</definedName>
    <definedName name="__123Graph_DGRAPH4" hidden="1">[1]Sheet1!#REF!</definedName>
    <definedName name="__123Graph_DGRAPH5" hidden="1">[1]Sheet1!#REF!</definedName>
    <definedName name="__123Graph_DGRAPH6" hidden="1">[1]Sheet1!#REF!</definedName>
    <definedName name="__123Graph_DGRAPH7" hidden="1">[1]Sheet1!#REF!</definedName>
    <definedName name="__123Graph_EGRAPH1" hidden="1">[1]Sheet1!#REF!</definedName>
    <definedName name="__123Graph_EGRAPH2" hidden="1">[1]Sheet1!#REF!</definedName>
    <definedName name="__123Graph_EGRAPH3" hidden="1">[1]Sheet1!#REF!</definedName>
    <definedName name="__123Graph_EGRAPH4" hidden="1">[1]Sheet1!#REF!</definedName>
    <definedName name="__123Graph_EGRAPH7" hidden="1">[1]Sheet1!#REF!</definedName>
    <definedName name="__123Graph_X" hidden="1">[1]Sheet1!#REF!</definedName>
    <definedName name="__123Graph_XGRAPH1" hidden="1">[1]Sheet1!#REF!</definedName>
    <definedName name="__123Graph_XGRAPH2" hidden="1">[1]Sheet1!#REF!</definedName>
    <definedName name="__123Graph_XGRAPH3" hidden="1">[1]Sheet1!#REF!</definedName>
    <definedName name="__123Graph_XGRAPH4" hidden="1">[1]Sheet1!#REF!</definedName>
    <definedName name="__123Graph_XGRAPH5" hidden="1">[1]Sheet1!#REF!</definedName>
    <definedName name="__123Graph_XGRAPH6" hidden="1">[1]Sheet1!#REF!</definedName>
    <definedName name="__123Graph_XGRAPH7" hidden="1">[1]Sheet1!#REF!</definedName>
    <definedName name="__FDS_HYPERLINK_TOGGLE_STATE__" hidden="1">"ON"</definedName>
    <definedName name="_1">#REF!</definedName>
    <definedName name="_1_07_2002">'[2]Input Sheet'!#REF!</definedName>
    <definedName name="_1994">#REF!</definedName>
    <definedName name="_1995">#REF!</definedName>
    <definedName name="_1996">#REF!</definedName>
    <definedName name="_1997">#REF!</definedName>
    <definedName name="_1998">#REF!</definedName>
    <definedName name="_1999">#REF!</definedName>
    <definedName name="_1Q94">#REF!</definedName>
    <definedName name="_1Q95">#REF!</definedName>
    <definedName name="_2">[3]LS701395!#REF!</definedName>
    <definedName name="_2Q94">#REF!</definedName>
    <definedName name="_2Q95">#REF!</definedName>
    <definedName name="_3">[3]LS701395!#REF!</definedName>
    <definedName name="_31_12_1998">#REF!</definedName>
    <definedName name="_3Q94">#REF!</definedName>
    <definedName name="_3Q95">#REF!</definedName>
    <definedName name="_4">[3]LS701395!#REF!</definedName>
    <definedName name="_4Q94">#REF!</definedName>
    <definedName name="_4Q95">#REF!</definedName>
    <definedName name="_5">[3]LS701395!#REF!</definedName>
    <definedName name="_5_07_2004">#REF!</definedName>
    <definedName name="_6">[3]LS701395!#REF!</definedName>
    <definedName name="_7">[3]LS701395!#REF!</definedName>
    <definedName name="_bdm.05014202F2F74FEBA82C7ECB9BD89D08.edm" hidden="1">'[4]Ace-Out'!$1:$1048576</definedName>
    <definedName name="_bdm.07B5818A383F4DC2A6BFA30C130CBB78.edm" hidden="1">'[4]AFFILIATES (2)'!$1:$1048576</definedName>
    <definedName name="_bdm.14D1A22932234486A69AAF8B879B86C4.edm" hidden="1">'[5]Ace-Out'!$1:$1048576</definedName>
    <definedName name="_bdm.45C88C4126C04FC1A356BEA892554FAB.edm" hidden="1">#REF!</definedName>
    <definedName name="_bdm.6288C2271B3A4589A2BBF17A864E45B3.edm" hidden="1">#REF!</definedName>
    <definedName name="_bdm.6DD15C8021DD41E7B33858957126E414.edm" hidden="1">#REF!</definedName>
    <definedName name="_bdm.737135B66E7B4A1896157F93CBB5F4FA.edm" hidden="1">#REF!</definedName>
    <definedName name="_bdm.879B950EBBAB4597B88189350706EC93.edm" hidden="1">'[6]Ace-Out'!$1:$1048576</definedName>
    <definedName name="_bdm.A02D80F893DD4C7DA6D997E701C867FB.edm" hidden="1">[5]Results!$1:$1048576</definedName>
    <definedName name="_bdm.B7CC83D9B1D34661812434787CF5F95D.edm" hidden="1">'[7]Ace-Out'!$1:$1048576</definedName>
    <definedName name="_bdm.BB07DDACC0434320947584FCD403930E.edm" hidden="1">#REF!</definedName>
    <definedName name="_bdm.CFC3CEDB55CA4DC2873A4084E990A0B0.edm" hidden="1">#REF!</definedName>
    <definedName name="_bdm.D8226746037A4B218F06698B6B570FD4.edm" hidden="1">'[8]Risk-Reward_View_Chart'!$1:$1048576</definedName>
    <definedName name="_dec5">38717</definedName>
    <definedName name="_dec6">39082</definedName>
    <definedName name="_Fill" hidden="1">[9]LIST!#REF!</definedName>
    <definedName name="_GLB22011">#REF!</definedName>
    <definedName name="_jan6">38748</definedName>
    <definedName name="_Jun6">38898</definedName>
    <definedName name="_Key1" hidden="1">#REF!</definedName>
    <definedName name="_Key2" hidden="1">#REF!</definedName>
    <definedName name="_MatInverse_Out" hidden="1">[10]Sheet3!#REF!</definedName>
    <definedName name="_MatMult_B" hidden="1">[10]Sheet3!#REF!</definedName>
    <definedName name="_NG_61953">#REF!</definedName>
    <definedName name="_NG_756ed">#REF!</definedName>
    <definedName name="_NG_9833e">#REF!</definedName>
    <definedName name="_NG_d6e7a">#REF!</definedName>
    <definedName name="_Order1" hidden="1">255</definedName>
    <definedName name="_Order2" hidden="1">255</definedName>
    <definedName name="_Sort" hidden="1">#REF!</definedName>
    <definedName name="_urs2">#REF!</definedName>
    <definedName name="_usr2">#REF!</definedName>
    <definedName name="a" hidden="1">[11]!PRT6BD5BK32</definedName>
    <definedName name="aaa" localSheetId="2" hidden="1">{"AVSHAR","BSHAR"}</definedName>
    <definedName name="aaa" hidden="1">{"AVSHAR","BSHAR"}</definedName>
    <definedName name="Accrual">'[12]22101'!#REF!</definedName>
    <definedName name="acq_cap">#REF!</definedName>
    <definedName name="acq_cap1">#REF!</definedName>
    <definedName name="acq_cap2">#REF!</definedName>
    <definedName name="acq_cap95">#REF!</definedName>
    <definedName name="AdditionalContingent">#REF!</definedName>
    <definedName name="AdditionalConverting">#REF!</definedName>
    <definedName name="Additionaloptions">#REF!</definedName>
    <definedName name="AdditionalPartly">#REF!</definedName>
    <definedName name="Additionalpreferenceshares">#REF!</definedName>
    <definedName name="ADDITIONS">#REF!</definedName>
    <definedName name="AFFO">#REF!</definedName>
    <definedName name="africa">0</definedName>
    <definedName name="africaCountries">#REF!</definedName>
    <definedName name="allRegions">#REF!</definedName>
    <definedName name="AllSheets">#REF!</definedName>
    <definedName name="americaRegion">#REF!</definedName>
    <definedName name="americas">0.08</definedName>
    <definedName name="americasStates">#REF!</definedName>
    <definedName name="amount">[13]Sheet1!$C$1</definedName>
    <definedName name="amount_move">'[13]P&amp;L'!$B$1</definedName>
    <definedName name="AppVersion">"GEG-1.0"</definedName>
    <definedName name="AS2DocOpenMode" hidden="1">"AS2DocumentEdit"</definedName>
    <definedName name="ASD">[14]FEB!#REF!</definedName>
    <definedName name="asiaPacific">0.66</definedName>
    <definedName name="asiaPacificExJapan">0.51</definedName>
    <definedName name="asiaPacificExJapanCountries">#REF!</definedName>
    <definedName name="asiaPacificRegion">#REF!</definedName>
    <definedName name="asiaPacificStates">#REF!</definedName>
    <definedName name="ASSDEV21110">'[15]21110'!#REF!</definedName>
    <definedName name="ASSDEV22011">#REF!</definedName>
    <definedName name="AssetRes_Mvt">'[16]Unrealised Earnings'!#REF!</definedName>
    <definedName name="australasia">0.37</definedName>
    <definedName name="AUSTSQ">#REF!</definedName>
    <definedName name="AvailForDistribution">'[17]Forecast trust exps 699'!#REF!</definedName>
    <definedName name="Beta">#REF!</definedName>
    <definedName name="BeyondFiveYrs">#REF!</definedName>
    <definedName name="BRICS">0.09</definedName>
    <definedName name="BS추정" localSheetId="2" hidden="1">{"'보고양식'!$A$58:$K$111"}</definedName>
    <definedName name="BS추정" hidden="1">{"'보고양식'!$A$58:$K$111"}</definedName>
    <definedName name="CAIRNS22011">#REF!</definedName>
    <definedName name="CANELA22011">#REF!</definedName>
    <definedName name="cap_dev">#REF!</definedName>
    <definedName name="cap_rate_prem">[18]NAV!$B$108</definedName>
    <definedName name="capex">#REF!</definedName>
    <definedName name="CASLEASE22011">#REF!</definedName>
    <definedName name="CASUAR22011">#REF!</definedName>
    <definedName name="Categories">'[2]EPS - more than one category'!#REF!</definedName>
    <definedName name="CategoriesA">'[2]EPS - more than one category'!#REF!</definedName>
    <definedName name="cdccf" localSheetId="2">SUM(Consol P&amp;L &amp; [19]BS!$L$31:$L$33)</definedName>
    <definedName name="cdccf">SUM(Consol P&amp;L &amp; [19]BS!$L$31:$L$33)</definedName>
    <definedName name="centralEasternEurope">0</definedName>
    <definedName name="centralEasternEuropeCountries">#REF!</definedName>
    <definedName name="CentsperUnit_Distributon">#REF!</definedName>
    <definedName name="CFPS_Curr_Yr">#REF!</definedName>
    <definedName name="CFPS_Lst_Yr">#REF!</definedName>
    <definedName name="CFPS_Next_Yr">#REF!</definedName>
    <definedName name="CHARLS22011">#REF!</definedName>
    <definedName name="charts_tnx_and_spread">#REF!</definedName>
    <definedName name="china">0.09</definedName>
    <definedName name="classYinsertPoint">'[2]Input Sheet'!#REF!</definedName>
    <definedName name="CLOSING">#REF!</definedName>
    <definedName name="ClosingdateFPX">'[20]Input Sheet'!$H$55</definedName>
    <definedName name="closingdatePPX">'[2]Input Sheet'!#REF!</definedName>
    <definedName name="Code_prevdat" function="1" xlm="1">COLUMN()-1</definedName>
    <definedName name="Comparative_Bal_Sheet">[16]Input!$B$5</definedName>
    <definedName name="Comparative_date">[21]Input!$B$4</definedName>
    <definedName name="Con_ARR_LY">[16]Notes!#REF!</definedName>
    <definedName name="Con_ARR_TY">[16]Notes!#REF!</definedName>
    <definedName name="Con_Comm_invt">#REF!</definedName>
    <definedName name="Con_Hotel_invt">#REF!</definedName>
    <definedName name="Con_Indust_Invt">#REF!</definedName>
    <definedName name="Con_Mixed_Invt">#REF!</definedName>
    <definedName name="Con_Pay_LY">[22]Notes!$O$262</definedName>
    <definedName name="Con_Pay_TY">[22]Notes!$M$262</definedName>
    <definedName name="Con_Rec_LY">[22]Notes!$O$72</definedName>
    <definedName name="Con_Rec_TY">[22]Notes!$M$72</definedName>
    <definedName name="Con_Retail_Invt">#REF!</definedName>
    <definedName name="consumerDemandExposure">#REF!</definedName>
    <definedName name="consumersExposure">0</definedName>
    <definedName name="Contingentissue">'[2]Diluted WANOS'!#REF!</definedName>
    <definedName name="CONV_RATE">#REF!</definedName>
    <definedName name="conv_raterise">#REF!</definedName>
    <definedName name="CONV_RISE">#REF!</definedName>
    <definedName name="ConvertingdilutedWANOS">'[2]Diluted WANOS'!#REF!</definedName>
    <definedName name="countryList">"Country Mapping"</definedName>
    <definedName name="CPI_LY">'[16]Borrowings LHN Dec'!#REF!</definedName>
    <definedName name="cpii">[23]Ratios!$A$36</definedName>
    <definedName name="cpiindex">#REF!</definedName>
    <definedName name="_xlnm.Criteria">#REF!</definedName>
    <definedName name="CROWNC22011">#REF!</definedName>
    <definedName name="cu119.CopyLastPeriodRows" localSheetId="2" hidden="1">{"AVSHAR","BSHAR"}</definedName>
    <definedName name="cu119.CopyLastPeriodRows" hidden="1">{"AVSHAR","BSHAR"}</definedName>
    <definedName name="Curr_Borrow_LY">'[16]Borrowings LHN Dec'!#REF!</definedName>
    <definedName name="Current">#REF!</definedName>
    <definedName name="Current_period">[16]Input!$B$2</definedName>
    <definedName name="Data">[18]Boomerang!$B$54:$AL$103</definedName>
    <definedName name="data_par">#REF!</definedName>
    <definedName name="DATAADMIN22011">#REF!</definedName>
    <definedName name="_xlnm.Database">#REF!</definedName>
    <definedName name="Date">#REF!</definedName>
    <definedName name="dateFPX">'[20]Input Sheet'!$H$54</definedName>
    <definedName name="datePPX">'[2]Input Sheet'!#REF!</definedName>
    <definedName name="DatePPY">'[2]Input Sheet'!#REF!</definedName>
    <definedName name="DCF">#REF!</definedName>
    <definedName name="dddd" localSheetId="2">SUM(Consol P&amp;L &amp; [19]BS!$L$31:$L$33)</definedName>
    <definedName name="dddd">SUM(Consol P&amp;L &amp; [19]BS!$L$31:$L$33)</definedName>
    <definedName name="debt">#REF!</definedName>
    <definedName name="debt_98">#REF!</definedName>
    <definedName name="debt_rate">#REF!</definedName>
    <definedName name="debt98">#REF!</definedName>
    <definedName name="dev_cap">#REF!</definedName>
    <definedName name="developedEuropeExUK">0.23</definedName>
    <definedName name="developedEuropeExUKCountries">#REF!</definedName>
    <definedName name="dilwanosformula1">'[2]Diluted WANOS'!$I$59:$J$69,'[2]Diluted WANOS'!$M$59:$M$69</definedName>
    <definedName name="dilwanosformula2">'[2]Diluted WANOS'!$J$79:$K$88,'[2]Diluted WANOS'!$N$79:$N$88</definedName>
    <definedName name="dilwanosformula3">'[2]Diluted WANOS'!$I$98:$J$107,'[2]Diluted WANOS'!$M$98:$M$107</definedName>
    <definedName name="dilwanosformula4">'[2]Diluted WANOS'!#REF!,'[2]Diluted WANOS'!#REF!</definedName>
    <definedName name="dilwanosformula5">'[2]Diluted WANOS'!#REF!,'[2]Diluted WANOS'!#REF!</definedName>
    <definedName name="dilwanosinsertpoint4">'[2]Diluted WANOS'!#REF!</definedName>
    <definedName name="dilwanosinsertpoint5">'[2]Diluted WANOS'!#REF!</definedName>
    <definedName name="Disclosurechecklist">#REF!</definedName>
    <definedName name="Distribution">'[17]Forecast trust exps 699'!#REF!</definedName>
    <definedName name="domesticAndForeignExposure">#REF!</definedName>
    <definedName name="domesticCostExposure">#REF!</definedName>
    <definedName name="DPS_Curr_Yr">#REF!</definedName>
    <definedName name="DPS_Lst_Yr">#REF!</definedName>
    <definedName name="DPS_Next_Yr">#REF!</definedName>
    <definedName name="dud">#REF!</definedName>
    <definedName name="ed" localSheetId="2" hidden="1">{"'보고양식'!$A$58:$K$111"}</definedName>
    <definedName name="ed" hidden="1">{"'보고양식'!$A$58:$K$111"}</definedName>
    <definedName name="EDIT">#REF!</definedName>
    <definedName name="EEMEA">0</definedName>
    <definedName name="End_Date">'[13]Dialog Info'!$C$16</definedName>
    <definedName name="endDemandExposure">#REF!</definedName>
    <definedName name="Entitlementdiv">'[2]Input Sheet'!#REF!</definedName>
    <definedName name="EPS_Curr_Qtr">#REF!</definedName>
    <definedName name="EPS_Curr_Yr">#REF!</definedName>
    <definedName name="EPS_Growth_Rate">#REF!</definedName>
    <definedName name="EPS_Lst_Yr">#REF!</definedName>
    <definedName name="EPS_Next_Yr">#REF!</definedName>
    <definedName name="EPS_Qtr_Date">#REF!</definedName>
    <definedName name="Equity">#REF!</definedName>
    <definedName name="Equity_Ticker">#REF!</definedName>
    <definedName name="ERINA22011">#REF!</definedName>
    <definedName name="escl_fac">#REF!</definedName>
    <definedName name="europe">0.26</definedName>
    <definedName name="europeRegion">#REF!</definedName>
    <definedName name="europeStates">#REF!</definedName>
    <definedName name="_xlnm.Extract">#REF!</definedName>
    <definedName name="f" localSheetId="2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f" localSheetId="2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FO">#REF!</definedName>
    <definedName name="FiveYears">#REF!</definedName>
    <definedName name="FLOREA22011">#REF!</definedName>
    <definedName name="forecast" localSheetId="2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wardDCF">#REF!</definedName>
    <definedName name="FY05_CorpPOR">[24]Summary!$G$92</definedName>
    <definedName name="FY06_CorpPOR">[24]Summary!$H$92</definedName>
    <definedName name="FY07_CorpPOR">[24]Summary!$I$92</definedName>
    <definedName name="FY09_CorpPOR">[24]Summary!$K$92</definedName>
    <definedName name="FY11_CorpPOR">[24]Summary!$M$92</definedName>
    <definedName name="FY13_CorpPOR">[24]Summary!$O$92</definedName>
    <definedName name="FY4_">#REF!</definedName>
    <definedName name="Gamma">[25]WACC!$B$13</definedName>
    <definedName name="gan_ddm">'[26]Valuation Group'!#REF!</definedName>
    <definedName name="GAN_DPU">[27]Summary!$B$52:$H$52</definedName>
    <definedName name="gan_lb">[28]inputs!$I$10</definedName>
    <definedName name="gan_ty">[28]inputs!$K$10</definedName>
    <definedName name="geo_act">'[29]Geographical Diversity'!$A$9:$IV$9</definedName>
    <definedName name="geo_NOI_table">[29]NOISum!$F$8:$V$71</definedName>
    <definedName name="geo_nsw">'[29]Geographical Diversity'!$A$11:$IV$11</definedName>
    <definedName name="geo_qld">'[29]Geographical Diversity'!$A$12:$IV$12</definedName>
    <definedName name="geo_sa">'[29]Geographical Diversity'!$A$10:$IV$10</definedName>
    <definedName name="geo_total">'[29]Geographical Diversity'!$A$13:$IV$13</definedName>
    <definedName name="geo_vic">'[29]Geographical Diversity'!$A$8:$IV$8</definedName>
    <definedName name="geo_wa">'[29]Geographical Diversity'!$A$7:$IV$7</definedName>
    <definedName name="ggearing_val">#REF!</definedName>
    <definedName name="Goodwill">'[30]Balance Sheet'!$A$20:$IV$20</definedName>
    <definedName name="GPT_ARR_LY">[16]Notes!#REF!</definedName>
    <definedName name="GPT_ARR_TY">[16]Notes!#REF!</definedName>
    <definedName name="GPT_Data">[31]Database!$B$177:$GN$196</definedName>
    <definedName name="GPTPTYLTD">'[17]Forecast trust exps 699'!#REF!</definedName>
    <definedName name="grd_dpu">[24]FY_Model!$A$294:$IV$294</definedName>
    <definedName name="Gross_EBITDA">[30]ValadDist!$A$16:$IV$16</definedName>
    <definedName name="gross_Interest_expense">#REF!</definedName>
    <definedName name="gross_Interest_income">#REF!</definedName>
    <definedName name="GrossIncome">'[17]Forecast trust exps 699'!#REF!</definedName>
    <definedName name="Group_Amort">[32]IPGdist!$A$75:$IV$75</definedName>
    <definedName name="Group_Depn">[32]IPGdist!$A$74:$IV$74</definedName>
    <definedName name="Group_DevelopmentInc">[32]IPGdist!$A$61:$IV$61</definedName>
    <definedName name="Group_EBITDA">[32]IPGdist!$A$72:$IV$72</definedName>
    <definedName name="Group_GrossInc">[32]IPGdist!$A$68:$IV$68</definedName>
    <definedName name="Group_InterestInc">[32]IPGdist!$A$67:$IV$67</definedName>
    <definedName name="Group_Intexp">[32]IPGdist!$A$73:$IV$73</definedName>
    <definedName name="Group_InvestmentInc">[32]IPGdist!$A$63:$IV$63</definedName>
    <definedName name="Group_NPAT">[32]IPGdist!$A$78:$IV$78</definedName>
    <definedName name="Group_NPATpreamort">[32]IPGdist!$A$83:$IV$83</definedName>
    <definedName name="Group_Opex">[32]IPGdist!$A$71:$IV$71</definedName>
    <definedName name="Group_PBT">[32]IPGdist!$A$76:$IV$76</definedName>
    <definedName name="Group_RentInc">[32]IPGdist!$A$60:$IV$60</definedName>
    <definedName name="Group_SevicesInc">[32]IPGdist!$A$62:$IV$62</definedName>
    <definedName name="Growth">#REF!</definedName>
    <definedName name="Growth_rates">#REF!</definedName>
    <definedName name="h2b">#REF!</definedName>
    <definedName name="Header_Screen">[3]LS701395!#REF!</definedName>
    <definedName name="hedge_fy00">[33]MCWDIST!$G$584</definedName>
    <definedName name="Hedgerate_percentage_June04">#REF!</definedName>
    <definedName name="Hidearea">'[2]EPS Disclosure Note'!$A$8:$IV$10,'[2]EPS Disclosure Note'!$A$14:$IV$18,'[2]EPS Disclosure Note'!$A$43:$IV$57</definedName>
    <definedName name="HMargin">#REF!</definedName>
    <definedName name="Home_Central___Bankstown">[30]TrustInc!$A$16:$IV$16</definedName>
    <definedName name="Home_Central___Kawana">[30]TrustInc!$A$17:$IV$17</definedName>
    <definedName name="Home_Central___Manns_Rd__Gosford__Bulky_goods">[30]TrustInc!$A$15:$IV$15</definedName>
    <definedName name="Home_Central_McGraths_Hill__264_Windsor_Rd">[30]TrustInc!$A$12:$IV$12</definedName>
    <definedName name="HOMEMK21110">'[15]21110'!#REF!</definedName>
    <definedName name="HOMEMK22011">#REF!</definedName>
    <definedName name="Hotel_occupancyR">#REF!</definedName>
    <definedName name="Hotel_RRg">#REF!</definedName>
    <definedName name="hotels_Avg.RR">[34]Hotels!$A$31:$IV$31</definedName>
    <definedName name="hotels_Avg.RY">[34]Hotels!$A$34:$IV$34</definedName>
    <definedName name="Hotels_ebit_margins">#REF!</definedName>
    <definedName name="hotels_npat">[24]Hotels!$A$14:$IV$14</definedName>
    <definedName name="hotels_occupancyrate">[34]Hotels!$A$29:$IV$29</definedName>
    <definedName name="hotels_tax">[24]Hotels!$A$12:$IV$12</definedName>
    <definedName name="HTML_CodePage" hidden="1">949</definedName>
    <definedName name="HTML_Control" localSheetId="2" hidden="1">{"'보고양식'!$A$58:$K$111"}</definedName>
    <definedName name="HTML_Control" hidden="1">{"'보고양식'!$A$58:$K$111"}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"C:\My Documents\98년\영업현황\2월 수주현황(2월 마감분).htm"</definedName>
    <definedName name="HTML_Title" hidden="1">""</definedName>
    <definedName name="HTML1_1" hidden="1">"[수주관리98.xls]회선현황!$A$5:$O$53"</definedName>
    <definedName name="HTML1_10" hidden="1">""</definedName>
    <definedName name="HTML1_11" hidden="1">1</definedName>
    <definedName name="HTML1_12" hidden="1">"C:\My Documents\98년\1월\영업현황\시험.htm"</definedName>
    <definedName name="HTML1_2" hidden="1">1</definedName>
    <definedName name="HTML1_3" hidden="1">"수주관리98"</definedName>
    <definedName name="HTML1_4" hidden="1">"회선현황"</definedName>
    <definedName name="HTML1_5" hidden="1">""</definedName>
    <definedName name="HTML1_6" hidden="1">-4146</definedName>
    <definedName name="HTML1_7" hidden="1">-4146</definedName>
    <definedName name="HTML1_8" hidden="1">"98-01-21"</definedName>
    <definedName name="HTML1_9" hidden="1">"김은광"</definedName>
    <definedName name="HTML10_1" hidden="1">"'[수주관리98.xls]2월1주차'!$A$1:$P$31"</definedName>
    <definedName name="HTML10_10" hidden="1">""</definedName>
    <definedName name="HTML10_11" hidden="1">1</definedName>
    <definedName name="HTML10_12" hidden="1">"C:\My Documents\98년\영업현황\일일현황-98.2.6.htm"</definedName>
    <definedName name="HTML10_2" hidden="1">1</definedName>
    <definedName name="HTML10_3" hidden="1">""</definedName>
    <definedName name="HTML10_4" hidden="1">""</definedName>
    <definedName name="HTML10_5" hidden="1">""</definedName>
    <definedName name="HTML10_6" hidden="1">-4146</definedName>
    <definedName name="HTML10_7" hidden="1">-4146</definedName>
    <definedName name="HTML10_8" hidden="1">""</definedName>
    <definedName name="HTML10_9" hidden="1">""</definedName>
    <definedName name="HTML11_1" hidden="1">"'[수주관리98.xls]2월2주차'!$A$1:$P$21"</definedName>
    <definedName name="HTML11_10" hidden="1">""</definedName>
    <definedName name="HTML11_11" hidden="1">1</definedName>
    <definedName name="HTML11_12" hidden="1">"C:\My Documents\98년\영업현황\일일현황-98.2.12.htm"</definedName>
    <definedName name="HTML11_2" hidden="1">1</definedName>
    <definedName name="HTML11_3" hidden="1">""</definedName>
    <definedName name="HTML11_4" hidden="1">""</definedName>
    <definedName name="HTML11_5" hidden="1">""</definedName>
    <definedName name="HTML11_6" hidden="1">-4146</definedName>
    <definedName name="HTML11_7" hidden="1">-4146</definedName>
    <definedName name="HTML11_8" hidden="1">""</definedName>
    <definedName name="HTML11_9" hidden="1">""</definedName>
    <definedName name="HTML12_1" hidden="1">"'[수주관리98.xls]2월2주차'!$A$1:$P$34"</definedName>
    <definedName name="HTML12_10" hidden="1">""</definedName>
    <definedName name="HTML12_11" hidden="1">1</definedName>
    <definedName name="HTML12_12" hidden="1">"C:\My Documents\98년\영업현황\일일현황-98.2.13.htm"</definedName>
    <definedName name="HTML12_2" hidden="1">1</definedName>
    <definedName name="HTML12_3" hidden="1">""</definedName>
    <definedName name="HTML12_4" hidden="1">""</definedName>
    <definedName name="HTML12_5" hidden="1">""</definedName>
    <definedName name="HTML12_6" hidden="1">-4146</definedName>
    <definedName name="HTML12_7" hidden="1">-4146</definedName>
    <definedName name="HTML12_8" hidden="1">""</definedName>
    <definedName name="HTML12_9" hidden="1">""</definedName>
    <definedName name="HTML13_1" hidden="1">"'[수주관리98.xls]2월2주차'!$A$1:$P$19"</definedName>
    <definedName name="HTML13_10" hidden="1">""</definedName>
    <definedName name="HTML13_11" hidden="1">1</definedName>
    <definedName name="HTML13_12" hidden="1">"C:\My Documents\98년\영업현황\일일현황-98.2.12.htm"</definedName>
    <definedName name="HTML13_2" hidden="1">1</definedName>
    <definedName name="HTML13_3" hidden="1">""</definedName>
    <definedName name="HTML13_4" hidden="1">""</definedName>
    <definedName name="HTML13_5" hidden="1">""</definedName>
    <definedName name="HTML13_6" hidden="1">-4146</definedName>
    <definedName name="HTML13_7" hidden="1">-4146</definedName>
    <definedName name="HTML13_8" hidden="1">""</definedName>
    <definedName name="HTML13_9" hidden="1">""</definedName>
    <definedName name="HTML14_1" hidden="1">"'[수주관리98.xls]2월2주차'!$A$1:$P$17"</definedName>
    <definedName name="HTML14_10" hidden="1">""</definedName>
    <definedName name="HTML14_11" hidden="1">1</definedName>
    <definedName name="HTML14_12" hidden="1">"C:\My Documents\98년\영업현황\일일현황-98.2.9.htm"</definedName>
    <definedName name="HTML14_2" hidden="1">1</definedName>
    <definedName name="HTML14_3" hidden="1">""</definedName>
    <definedName name="HTML14_4" hidden="1">""</definedName>
    <definedName name="HTML14_5" hidden="1">""</definedName>
    <definedName name="HTML14_6" hidden="1">-4146</definedName>
    <definedName name="HTML14_7" hidden="1">-4146</definedName>
    <definedName name="HTML14_8" hidden="1">""</definedName>
    <definedName name="HTML14_9" hidden="1">""</definedName>
    <definedName name="HTML15_1" hidden="1">"'[수주관리98.xls]2월3주차'!$A$1:$P$20"</definedName>
    <definedName name="HTML15_10" hidden="1">""</definedName>
    <definedName name="HTML15_11" hidden="1">1</definedName>
    <definedName name="HTML15_12" hidden="1">"C:\My Documents\98년\영업현황\일일현황-98.2.16.htm"</definedName>
    <definedName name="HTML15_2" hidden="1">1</definedName>
    <definedName name="HTML15_3" hidden="1">""</definedName>
    <definedName name="HTML15_4" hidden="1">""</definedName>
    <definedName name="HTML15_5" hidden="1">""</definedName>
    <definedName name="HTML15_6" hidden="1">-4146</definedName>
    <definedName name="HTML15_7" hidden="1">-4146</definedName>
    <definedName name="HTML15_8" hidden="1">""</definedName>
    <definedName name="HTML15_9" hidden="1">""</definedName>
    <definedName name="HTML16_1" hidden="1">"'[수주통합관리98_2_21.xls]2월3주차'!$A$1:$I$89"</definedName>
    <definedName name="HTML16_10" hidden="1">""</definedName>
    <definedName name="HTML16_11" hidden="1">1</definedName>
    <definedName name="HTML16_12" hidden="1">"C:\My Documents\98년\영업현황\일일현황-98.2.25.htm"</definedName>
    <definedName name="HTML16_2" hidden="1">1</definedName>
    <definedName name="HTML16_3" hidden="1">""</definedName>
    <definedName name="HTML16_4" hidden="1">""</definedName>
    <definedName name="HTML16_5" hidden="1">""</definedName>
    <definedName name="HTML16_6" hidden="1">-4146</definedName>
    <definedName name="HTML16_7" hidden="1">-4146</definedName>
    <definedName name="HTML16_8" hidden="1">""</definedName>
    <definedName name="HTML16_9" hidden="1">""</definedName>
    <definedName name="HTML17_1" hidden="1">"'[수주통합관리98_2_21.xls]2월3주차'!$A$4:$H$30"</definedName>
    <definedName name="HTML17_10" hidden="1">""</definedName>
    <definedName name="HTML17_11" hidden="1">1</definedName>
    <definedName name="HTML17_12" hidden="1">"C:\My Documents\98년\영업현황\1월 수주현황.htm"</definedName>
    <definedName name="HTML17_2" hidden="1">1</definedName>
    <definedName name="HTML17_3" hidden="1">""</definedName>
    <definedName name="HTML17_4" hidden="1">""</definedName>
    <definedName name="HTML17_5" hidden="1">""</definedName>
    <definedName name="HTML17_6" hidden="1">-4146</definedName>
    <definedName name="HTML17_7" hidden="1">-4146</definedName>
    <definedName name="HTML17_8" hidden="1">""</definedName>
    <definedName name="HTML17_9" hidden="1">""</definedName>
    <definedName name="HTML18_1" hidden="1">"'[수주통합관리98_2_21.xls]2월3주차'!$A$32:$I$58"</definedName>
    <definedName name="HTML18_10" hidden="1">""</definedName>
    <definedName name="HTML18_11" hidden="1">1</definedName>
    <definedName name="HTML18_12" hidden="1">"C:\My Documents\98년\영업현황\2월 수주현황(2월25일 현재).htm"</definedName>
    <definedName name="HTML18_2" hidden="1">1</definedName>
    <definedName name="HTML18_3" hidden="1">""</definedName>
    <definedName name="HTML18_4" hidden="1">""</definedName>
    <definedName name="HTML18_5" hidden="1">""</definedName>
    <definedName name="HTML18_6" hidden="1">-4146</definedName>
    <definedName name="HTML18_7" hidden="1">-4146</definedName>
    <definedName name="HTML18_8" hidden="1">""</definedName>
    <definedName name="HTML18_9" hidden="1">""</definedName>
    <definedName name="HTML19_1" hidden="1">"'[수주통합관리98_2_21.xls]2월3주차'!$A$63:$F$89"</definedName>
    <definedName name="HTML19_10" hidden="1">""</definedName>
    <definedName name="HTML19_11" hidden="1">1</definedName>
    <definedName name="HTML19_12" hidden="1">"C:\My Documents\98년\영업현황\월별현황(2월25일 현재).htm"</definedName>
    <definedName name="HTML19_2" hidden="1">1</definedName>
    <definedName name="HTML19_3" hidden="1">""</definedName>
    <definedName name="HTML19_4" hidden="1">""</definedName>
    <definedName name="HTML19_5" hidden="1">""</definedName>
    <definedName name="HTML19_6" hidden="1">-4146</definedName>
    <definedName name="HTML19_7" hidden="1">-4146</definedName>
    <definedName name="HTML19_8" hidden="1">""</definedName>
    <definedName name="HTML19_9" hidden="1">""</definedName>
    <definedName name="HTML2_1" hidden="1">"[수주관리98.xls]일일현황!$A$1:$L$10"</definedName>
    <definedName name="HTML2_10" hidden="1">""</definedName>
    <definedName name="HTML2_11" hidden="1">1</definedName>
    <definedName name="HTML2_12" hidden="1">"C:\My Documents\98년\1월\영업현황\일일현황-98.1.22.htm"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1</definedName>
    <definedName name="HTML2_8" hidden="1">"98-01-22"</definedName>
    <definedName name="HTML2_9" hidden="1">""</definedName>
    <definedName name="HTML20_1" hidden="1">"'[수주통합관리98_2_25.xls]2월4주차'!$A$71:$F$97"</definedName>
    <definedName name="HTML20_10" hidden="1">""</definedName>
    <definedName name="HTML20_11" hidden="1">1</definedName>
    <definedName name="HTML20_12" hidden="1">"C:\My Documents\98년\영업현황\월별현황(2월 마감분).htm"</definedName>
    <definedName name="HTML20_2" hidden="1">1</definedName>
    <definedName name="HTML20_3" hidden="1">""</definedName>
    <definedName name="HTML20_4" hidden="1">""</definedName>
    <definedName name="HTML20_5" hidden="1">""</definedName>
    <definedName name="HTML20_6" hidden="1">-4146</definedName>
    <definedName name="HTML20_7" hidden="1">-4146</definedName>
    <definedName name="HTML20_8" hidden="1">""</definedName>
    <definedName name="HTML20_9" hidden="1">""</definedName>
    <definedName name="HTML21_1" hidden="1">"'[수주통합관리98_2_25.xls]2월4주차'!$A$4:$H$29"</definedName>
    <definedName name="HTML21_10" hidden="1">""</definedName>
    <definedName name="HTML21_11" hidden="1">1</definedName>
    <definedName name="HTML21_12" hidden="1">"C:\My Documents\98년\영업현황\1월 수주현황(1월 마감분).htm"</definedName>
    <definedName name="HTML21_2" hidden="1">1</definedName>
    <definedName name="HTML21_3" hidden="1">""</definedName>
    <definedName name="HTML21_4" hidden="1">""</definedName>
    <definedName name="HTML21_5" hidden="1">""</definedName>
    <definedName name="HTML21_6" hidden="1">-4146</definedName>
    <definedName name="HTML21_7" hidden="1">-4146</definedName>
    <definedName name="HTML21_8" hidden="1">""</definedName>
    <definedName name="HTML21_9" hidden="1">""</definedName>
    <definedName name="HTML22_1" hidden="1">"'[수주통합관리98_2_25.xls]2월4주차'!$A$31:$I$66"</definedName>
    <definedName name="HTML22_10" hidden="1">""</definedName>
    <definedName name="HTML22_11" hidden="1">1</definedName>
    <definedName name="HTML22_12" hidden="1">"C:\My Documents\98년\영업현황\1월 수주현황(2월 마감분).htm"</definedName>
    <definedName name="HTML22_2" hidden="1">1</definedName>
    <definedName name="HTML22_3" hidden="1">""</definedName>
    <definedName name="HTML22_4" hidden="1">""</definedName>
    <definedName name="HTML22_5" hidden="1">""</definedName>
    <definedName name="HTML22_6" hidden="1">-4146</definedName>
    <definedName name="HTML22_7" hidden="1">-4146</definedName>
    <definedName name="HTML22_8" hidden="1">""</definedName>
    <definedName name="HTML22_9" hidden="1">""</definedName>
    <definedName name="HTML23_1" hidden="1">"[수주통합관리98_2_25.xls]보고양식!$A$32:$I$68"</definedName>
    <definedName name="HTML23_10" hidden="1">""</definedName>
    <definedName name="HTML23_11" hidden="1">1</definedName>
    <definedName name="HTML23_12" hidden="1">"C:\My Documents\98년\영업현황\2월 수주현황(2월 마감분).htm"</definedName>
    <definedName name="HTML23_2" hidden="1">1</definedName>
    <definedName name="HTML23_3" hidden="1">""</definedName>
    <definedName name="HTML23_4" hidden="1">""</definedName>
    <definedName name="HTML23_5" hidden="1">""</definedName>
    <definedName name="HTML23_6" hidden="1">-4146</definedName>
    <definedName name="HTML23_7" hidden="1">-4146</definedName>
    <definedName name="HTML23_8" hidden="1">""</definedName>
    <definedName name="HTML23_9" hidden="1">""</definedName>
    <definedName name="HTML24_1" hidden="1">"[수주통합관리98_2_25.xls]보고양식!$A$73:$F$98"</definedName>
    <definedName name="HTML24_10" hidden="1">""</definedName>
    <definedName name="HTML24_11" hidden="1">1</definedName>
    <definedName name="HTML24_12" hidden="1">"C:\My Documents\98년\영업현황\월별현황(2월 마감분).htm"</definedName>
    <definedName name="HTML24_2" hidden="1">1</definedName>
    <definedName name="HTML24_3" hidden="1">""</definedName>
    <definedName name="HTML24_4" hidden="1">""</definedName>
    <definedName name="HTML24_5" hidden="1">""</definedName>
    <definedName name="HTML24_6" hidden="1">-4146</definedName>
    <definedName name="HTML24_7" hidden="1">-4146</definedName>
    <definedName name="HTML24_8" hidden="1">""</definedName>
    <definedName name="HTML24_9" hidden="1">""</definedName>
    <definedName name="HTML25_1" hidden="1">"[수주통합관리98_2_25.xls]보고양식!$A$4:$I$29"</definedName>
    <definedName name="HTML25_10" hidden="1">""</definedName>
    <definedName name="HTML25_11" hidden="1">1</definedName>
    <definedName name="HTML25_12" hidden="1">"C:\My Documents\98년\영업현황\1월 수주현황(1월 마감분).htm"</definedName>
    <definedName name="HTML25_2" hidden="1">1</definedName>
    <definedName name="HTML25_3" hidden="1">""</definedName>
    <definedName name="HTML25_4" hidden="1">""</definedName>
    <definedName name="HTML25_5" hidden="1">""</definedName>
    <definedName name="HTML25_6" hidden="1">-4146</definedName>
    <definedName name="HTML25_7" hidden="1">-4146</definedName>
    <definedName name="HTML25_8" hidden="1">""</definedName>
    <definedName name="HTML25_9" hidden="1">""</definedName>
    <definedName name="HTML26_1" hidden="1">"[수주통합관리98_2_25.xls]보고양식!$A$31:$K$80"</definedName>
    <definedName name="HTML26_10" hidden="1">""</definedName>
    <definedName name="HTML26_11" hidden="1">1</definedName>
    <definedName name="HTML26_12" hidden="1">"C:\My Documents\98년\영업현황\2월 수주현황(2월 마감분).htm"</definedName>
    <definedName name="HTML26_2" hidden="1">1</definedName>
    <definedName name="HTML26_3" hidden="1">""</definedName>
    <definedName name="HTML26_4" hidden="1">""</definedName>
    <definedName name="HTML26_5" hidden="1">""</definedName>
    <definedName name="HTML26_6" hidden="1">-4146</definedName>
    <definedName name="HTML26_7" hidden="1">-4146</definedName>
    <definedName name="HTML26_8" hidden="1">""</definedName>
    <definedName name="HTML26_9" hidden="1">""</definedName>
    <definedName name="HTML27_1" hidden="1">"[수주통합관리98_2_25.xls]보고양식!$B$84:$G$109"</definedName>
    <definedName name="HTML27_10" hidden="1">""</definedName>
    <definedName name="HTML27_11" hidden="1">1</definedName>
    <definedName name="HTML27_12" hidden="1">"C:\My Documents\98년\영업현황\월별현황(2월 마감분).htm"</definedName>
    <definedName name="HTML27_2" hidden="1">1</definedName>
    <definedName name="HTML27_3" hidden="1">""</definedName>
    <definedName name="HTML27_4" hidden="1">""</definedName>
    <definedName name="HTML27_5" hidden="1">""</definedName>
    <definedName name="HTML27_6" hidden="1">-4146</definedName>
    <definedName name="HTML27_7" hidden="1">-4146</definedName>
    <definedName name="HTML27_8" hidden="1">""</definedName>
    <definedName name="HTML27_9" hidden="1">""</definedName>
    <definedName name="HTML28_1" hidden="1">"[수주통합관리98_3_2.xls]보고양식!$B$92:$G$117"</definedName>
    <definedName name="HTML28_10" hidden="1">""</definedName>
    <definedName name="HTML28_11" hidden="1">1</definedName>
    <definedName name="HTML28_12" hidden="1">"C:\My Documents\98년\영업현황\월별현황(2월 마감분).htm"</definedName>
    <definedName name="HTML28_2" hidden="1">1</definedName>
    <definedName name="HTML28_3" hidden="1">""</definedName>
    <definedName name="HTML28_4" hidden="1">""</definedName>
    <definedName name="HTML28_5" hidden="1">""</definedName>
    <definedName name="HTML28_6" hidden="1">-4146</definedName>
    <definedName name="HTML28_7" hidden="1">-4146</definedName>
    <definedName name="HTML28_8" hidden="1">""</definedName>
    <definedName name="HTML28_9" hidden="1">""</definedName>
    <definedName name="HTML29_1" hidden="1">"[수주통합관리98_3_2.xls]보고양식!$A$31:$K$88"</definedName>
    <definedName name="HTML29_10" hidden="1">""</definedName>
    <definedName name="HTML29_11" hidden="1">1</definedName>
    <definedName name="HTML29_12" hidden="1">"C:\My Documents\98년\영업현황\2월 수주현황(2월 마감분).htm"</definedName>
    <definedName name="HTML29_2" hidden="1">1</definedName>
    <definedName name="HTML29_3" hidden="1">""</definedName>
    <definedName name="HTML29_4" hidden="1">""</definedName>
    <definedName name="HTML29_5" hidden="1">""</definedName>
    <definedName name="HTML29_6" hidden="1">-4146</definedName>
    <definedName name="HTML29_7" hidden="1">-4146</definedName>
    <definedName name="HTML29_8" hidden="1">""</definedName>
    <definedName name="HTML29_9" hidden="1">""</definedName>
    <definedName name="HTML3_1" hidden="1">"[수주관리98.xls]일일현황!$A$1:$N$9"</definedName>
    <definedName name="HTML3_10" hidden="1">""</definedName>
    <definedName name="HTML3_11" hidden="1">1</definedName>
    <definedName name="HTML3_12" hidden="1">"C:\My Documents\98년\영업현황\일일현황-98.1.23.htm"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1</definedName>
    <definedName name="HTML3_7" hidden="1">1</definedName>
    <definedName name="HTML3_8" hidden="1">""</definedName>
    <definedName name="HTML3_9" hidden="1">""</definedName>
    <definedName name="HTML30_1" hidden="1">"'[사본 - 영업통합관리(수주.매출).xls]보고양식'!$A$114:$K$131"</definedName>
    <definedName name="HTML30_10" hidden="1">""</definedName>
    <definedName name="HTML30_11" hidden="1">1</definedName>
    <definedName name="HTML30_12" hidden="1">"C:\My Documents\98년\영업현황\일일현황-98.3.12.htm"</definedName>
    <definedName name="HTML30_2" hidden="1">1</definedName>
    <definedName name="HTML30_3" hidden="1">""</definedName>
    <definedName name="HTML30_4" hidden="1">""</definedName>
    <definedName name="HTML30_5" hidden="1">""</definedName>
    <definedName name="HTML30_6" hidden="1">-4146</definedName>
    <definedName name="HTML30_7" hidden="1">-4146</definedName>
    <definedName name="HTML30_8" hidden="1">""</definedName>
    <definedName name="HTML30_9" hidden="1">""</definedName>
    <definedName name="HTML4_1" hidden="1">"[수주관리98.xls]영업!$A$1:$N$15"</definedName>
    <definedName name="HTML4_10" hidden="1">""</definedName>
    <definedName name="HTML4_11" hidden="1">1</definedName>
    <definedName name="HTML4_12" hidden="1">"C:\My Documents\98년\영업현황\일일현황-98.1.31.htm"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1</definedName>
    <definedName name="HTML4_7" hidden="1">1</definedName>
    <definedName name="HTML4_8" hidden="1">"98-01-31"</definedName>
    <definedName name="HTML4_9" hidden="1">""</definedName>
    <definedName name="HTML5_1" hidden="1">"[수주관리98.xls]영업!$A$1:$N$29"</definedName>
    <definedName name="HTML5_10" hidden="1">""</definedName>
    <definedName name="HTML5_11" hidden="1">1</definedName>
    <definedName name="HTML5_12" hidden="1">"C:\My Documents\98년\영업현황\일일현황-98.1.31.v.htm"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1</definedName>
    <definedName name="HTML5_7" hidden="1">1</definedName>
    <definedName name="HTML5_8" hidden="1">""</definedName>
    <definedName name="HTML5_9" hidden="1">""</definedName>
    <definedName name="HTML6_1" hidden="1">"'[수주관리98.xls]2월'!$A$1:$P$48"</definedName>
    <definedName name="HTML6_10" hidden="1">""</definedName>
    <definedName name="HTML6_11" hidden="1">1</definedName>
    <definedName name="HTML6_12" hidden="1">"C:\My Documents\98년\영업현황\일일현황-98.1.31.htm"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""</definedName>
    <definedName name="HTML6_9" hidden="1">""</definedName>
    <definedName name="HTML7_1" hidden="1">"'[수주관리98.xls]2월'!$A$3:$P$30"</definedName>
    <definedName name="HTML7_10" hidden="1">""</definedName>
    <definedName name="HTML7_11" hidden="1">1</definedName>
    <definedName name="HTML7_12" hidden="1">"C:\My Documents\98년\영업현황\일일현황-98.1.31.htm"</definedName>
    <definedName name="HTML7_2" hidden="1">1</definedName>
    <definedName name="HTML7_3" hidden="1">""</definedName>
    <definedName name="HTML7_4" hidden="1">""</definedName>
    <definedName name="HTML7_5" hidden="1">""</definedName>
    <definedName name="HTML7_6" hidden="1">-4146</definedName>
    <definedName name="HTML7_7" hidden="1">-4146</definedName>
    <definedName name="HTML7_8" hidden="1">""</definedName>
    <definedName name="HTML7_9" hidden="1">""</definedName>
    <definedName name="HTML8_1" hidden="1">"'[수주관리98.xls]2월'!$A$1:$P$30"</definedName>
    <definedName name="HTML8_10" hidden="1">""</definedName>
    <definedName name="HTML8_11" hidden="1">1</definedName>
    <definedName name="HTML8_12" hidden="1">"C:\My Documents\98년\영업현황\일일현황-98.1.31.htm"</definedName>
    <definedName name="HTML8_2" hidden="1">1</definedName>
    <definedName name="HTML8_3" hidden="1">""</definedName>
    <definedName name="HTML8_4" hidden="1">""</definedName>
    <definedName name="HTML8_5" hidden="1">""</definedName>
    <definedName name="HTML8_6" hidden="1">-4146</definedName>
    <definedName name="HTML8_7" hidden="1">-4146</definedName>
    <definedName name="HTML8_8" hidden="1">""</definedName>
    <definedName name="HTML8_9" hidden="1">""</definedName>
    <definedName name="HTML9_1" hidden="1">"'[수주관리98.xls]2월'!$A$1:$P$19"</definedName>
    <definedName name="HTML9_10" hidden="1">""</definedName>
    <definedName name="HTML9_11" hidden="1">1</definedName>
    <definedName name="HTML9_12" hidden="1">"C:\My Documents\98년\영업현황\일일현황-98.2.10.htm"</definedName>
    <definedName name="HTML9_2" hidden="1">1</definedName>
    <definedName name="HTML9_3" hidden="1">""</definedName>
    <definedName name="HTML9_4" hidden="1">""</definedName>
    <definedName name="HTML9_5" hidden="1">""</definedName>
    <definedName name="HTML9_6" hidden="1">-4146</definedName>
    <definedName name="HTML9_7" hidden="1">-4146</definedName>
    <definedName name="HTML9_8" hidden="1">""</definedName>
    <definedName name="HTML9_9" hidden="1">""</definedName>
    <definedName name="HTMLCount" hidden="1">30</definedName>
    <definedName name="Hunter1A_Bottom">#REF!</definedName>
    <definedName name="Hunter1A_Top">#REF!</definedName>
    <definedName name="Hunter1B_Bottom">#REF!</definedName>
    <definedName name="Hunter1B_Top">#REF!</definedName>
    <definedName name="i" hidden="1">#REF!</definedName>
    <definedName name="ICF_other">[35]FY_Model!$A$258:$IV$258</definedName>
    <definedName name="ICF_paymentsInvtProp">[35]FY_Model!$A$252:$IV$252</definedName>
    <definedName name="ICF_paymentsPPE">[35]FY_Model!$A$254:$IV$254</definedName>
    <definedName name="ICF_saleproceedsInvtProp">[35]FY_Model!$A$251:$IV$251</definedName>
    <definedName name="ICF_saleproceedsPPE">[35]FY_Model!$A$253:$IV$253</definedName>
    <definedName name="iif_lb">[36]inputs!#REF!</definedName>
    <definedName name="Img_Chart1" hidden="1">"IMG_10"</definedName>
    <definedName name="Img_Chart2" hidden="1">"IMG_10"</definedName>
    <definedName name="Img_Data" hidden="1">"IMG_11"</definedName>
    <definedName name="Img_ML_1a9i6f1a" hidden="1">"IMG_18"</definedName>
    <definedName name="Img_ML_1c3d1n6n" hidden="1">"IMG_11"</definedName>
    <definedName name="Img_ML_1d9v5u7q" hidden="1">"IMG_12"</definedName>
    <definedName name="Img_ML_1g5w4m4q" hidden="1">"IMG_12"</definedName>
    <definedName name="Img_ML_1t5s6u1f" hidden="1">"IMG_10"</definedName>
    <definedName name="Img_ML_1y7a6c1t" hidden="1">"IMG_11"</definedName>
    <definedName name="Img_ML_2b1a1a6f" hidden="1">"IMG_18"</definedName>
    <definedName name="Img_ML_2b2b8h8h" hidden="1">"IMG_18"</definedName>
    <definedName name="Img_ML_2b4d2b3c" hidden="1">"IMG_18"</definedName>
    <definedName name="Img_ML_2b5e9i4d" hidden="1">"IMG_18"</definedName>
    <definedName name="Img_ML_2b9i6f3c" hidden="1">"IMG_18"</definedName>
    <definedName name="Img_ML_2e1r5p2m" hidden="1">"IMG_18"</definedName>
    <definedName name="Img_ML_2g2y2j4a" hidden="1">"IMG_12"</definedName>
    <definedName name="Img_ML_2k4w4z9a" hidden="1">"IMG_12"</definedName>
    <definedName name="Img_ML_2s1u6i2a" hidden="1">"IMG_18"</definedName>
    <definedName name="Img_ML_2x8r4a2e" hidden="1">"IMG_11"</definedName>
    <definedName name="Img_ML_3b3j3x9k" hidden="1">"IMG_11"</definedName>
    <definedName name="Img_ML_3c4d1a4d" hidden="1">"IMG_18"</definedName>
    <definedName name="Img_ML_3c4d2b5e" hidden="1">"IMG_18"</definedName>
    <definedName name="Img_ML_3c6e9c4g" hidden="1">"IMG_11"</definedName>
    <definedName name="Img_ML_3c7g1a7g" hidden="1">"IMG_18"</definedName>
    <definedName name="Img_ML_3c9i9i4d" hidden="1">"IMG_18"</definedName>
    <definedName name="Img_ML_3d6v5l7p" hidden="1">"IMG_11"</definedName>
    <definedName name="Img_ML_3e2q4k7i" hidden="1">"IMG_11"</definedName>
    <definedName name="Img_ML_3k5w4m9p" hidden="1">"IMG_12"</definedName>
    <definedName name="Img_ML_3p5d9q5j" hidden="1">"IMG_11"</definedName>
    <definedName name="Img_ML_3u7w4o5p" hidden="1">"IMG_6"</definedName>
    <definedName name="Img_ML_3y1j4m2m" hidden="1">"IMG_10"</definedName>
    <definedName name="Img_ML_4d2b6f6f" hidden="1">"IMG_18"</definedName>
    <definedName name="Img_ML_4d4d7g3c" hidden="1">"IMG_18"</definedName>
    <definedName name="Img_ML_4k2z1j3l" hidden="1">"IMG_35"</definedName>
    <definedName name="Img_ML_4k4z1z9l" hidden="1">"IMG_11"</definedName>
    <definedName name="Img_ML_4s7t7o6l" hidden="1">"IMG_12"</definedName>
    <definedName name="Img_ML_4u7z1o5l" hidden="1">"IMG_12"</definedName>
    <definedName name="Img_ML_4u9x3u5l" hidden="1">"IMG_11"</definedName>
    <definedName name="Img_ML_5e1a1a7g" hidden="1">"IMG_18"</definedName>
    <definedName name="Img_ML_5e6f9i8h" hidden="1">"IMG_18"</definedName>
    <definedName name="Img_ML_5e7g5e5e" hidden="1">"IMG_18"</definedName>
    <definedName name="Img_ML_5e7s6t2u" hidden="1">"IMG_18"</definedName>
    <definedName name="Img_ML_5e9i9i2b" hidden="1">"IMG_18"</definedName>
    <definedName name="Img_ML_5h6q3g8u" hidden="1">"IMG_10"</definedName>
    <definedName name="Img_ML_5k1g6v5e" hidden="1">"IMG_10"</definedName>
    <definedName name="Img_ML_5k5u6m3m" hidden="1">"IMG_11"</definedName>
    <definedName name="Img_ML_5k7e4n8n" hidden="1">"IMG_5"</definedName>
    <definedName name="Img_ML_6f2b1a5e" hidden="1">"IMG_18"</definedName>
    <definedName name="Img_ML_6f2p1m9g" hidden="1">"IMG_11"</definedName>
    <definedName name="Img_ML_6f5e5e4d" hidden="1">"IMG_18"</definedName>
    <definedName name="Img_ML_6f6f4d9i" hidden="1">"IMG_18"</definedName>
    <definedName name="Img_ML_6f9i2b5e" hidden="1">"IMG_18"</definedName>
    <definedName name="Img_ML_6g3x3k4z" hidden="1">"IMG_12"</definedName>
    <definedName name="Img_ML_6g9x3u4z" hidden="1">"IMG_12"</definedName>
    <definedName name="Img_ML_6j4v6x5i" hidden="1">"IMG_4"</definedName>
    <definedName name="Img_ML_6j7u6o8z" hidden="1">"IMG_12"</definedName>
    <definedName name="Img_ML_6r9u1n9k" hidden="1">"IMG_10"</definedName>
    <definedName name="Img_ML_6w6m7b7r" hidden="1">"IMG_5"</definedName>
    <definedName name="Img_ML_6y9f7y3n" hidden="1">"IMG_10"</definedName>
    <definedName name="Img_ML_7g3c2b9i" hidden="1">"IMG_18"</definedName>
    <definedName name="Img_ML_7g5e5e2b" hidden="1">"IMG_11"</definedName>
    <definedName name="Img_ML_7j6t7l8i" hidden="1">"IMG_18"</definedName>
    <definedName name="Img_ML_7j7w4o8i" hidden="1">"IMG_11"</definedName>
    <definedName name="Img_ML_7k5z1m3i" hidden="1">"IMG_11"</definedName>
    <definedName name="Img_ML_7m5m4k3b" hidden="1">"IMG_10"</definedName>
    <definedName name="Img_ML_7n6h3t1t" hidden="1">"IMG_11"</definedName>
    <definedName name="Img_ML_7s1x3i6i" hidden="1">"IMG_18"</definedName>
    <definedName name="Img_ML_7s4w7c6r" hidden="1">"IMG_10"</definedName>
    <definedName name="Img_ML_8b9j5t1p" hidden="1">"IMG_11"</definedName>
    <definedName name="Img_ML_8c2q5i2r" hidden="1">"IMG_11"</definedName>
    <definedName name="Img_ML_8g3e4a7v" hidden="1">"IMG_4"</definedName>
    <definedName name="Img_ML_8g3u6k4j" hidden="1">"IMG_12"</definedName>
    <definedName name="Img_ML_8h3m3i1m" hidden="1">"IMG_11"</definedName>
    <definedName name="Img_ML_8h4d9i2b" hidden="1">"IMG_18"</definedName>
    <definedName name="Img_ML_8h5e9i3c" hidden="1">"IMG_18"</definedName>
    <definedName name="Img_ML_8h7g3c9i" hidden="1">"IMG_18"</definedName>
    <definedName name="Img_ML_8h7g4d4d" hidden="1">"IMG_18"</definedName>
    <definedName name="Img_ML_8j3w6p4c" hidden="1">"IMG_20"</definedName>
    <definedName name="Img_ML_8j5r9m1j" hidden="1">"IMG_11"</definedName>
    <definedName name="Img_ML_8k2u6j9j" hidden="1">"IMG_12"</definedName>
    <definedName name="Img_ML_8k8v5t9j" hidden="1">"IMG_9"</definedName>
    <definedName name="Img_ML_8r1k8t4y" hidden="1">"IMG_11"</definedName>
    <definedName name="Img_ML_8s3q3c1i" hidden="1">"IMG_11"</definedName>
    <definedName name="Img_ML_8s7y2o6j" hidden="1">"IMG_18"</definedName>
    <definedName name="Img_ML_8s8y2t6j" hidden="1">"IMG_12"</definedName>
    <definedName name="Img_ML_8t3m5u6f" hidden="1">"IMG_12"</definedName>
    <definedName name="Img_ML_8u6s8l5j" hidden="1">"IMG_11"</definedName>
    <definedName name="Img_ML_9d8x3t7w" hidden="1">"IMG_12"</definedName>
    <definedName name="Img_ML_9g2u6j4w" hidden="1">"IMG_11"</definedName>
    <definedName name="Img_ML_9k7u6o9w" hidden="1">"IMG_11"</definedName>
    <definedName name="Img_ML_9u4u6z5w" hidden="1">"IMG_12"</definedName>
    <definedName name="Inc_tx">#REF!</definedName>
    <definedName name="india">0</definedName>
    <definedName name="industrial_capex">#REF!</definedName>
    <definedName name="Industrial_NOI">[37]NOISum!$A$151:$IV$151</definedName>
    <definedName name="Industrial_Total_NOI">#REF!</definedName>
    <definedName name="Inflation">[25]WACC!$B$12</definedName>
    <definedName name="Input1">#REF!</definedName>
    <definedName name="Input2">#REF!</definedName>
    <definedName name="instructions">#REF!</definedName>
    <definedName name="int_capitalised">#REF!</definedName>
    <definedName name="Int_Inc">[30]ValadDist!$A$8:$IV$8</definedName>
    <definedName name="Interest_Expense">[30]ValadDist!$A$21:$IV$21</definedName>
    <definedName name="InterestIncome" localSheetId="2">SUM(Consol P&amp;L &amp; [19]BS!$L$31:$L$33)</definedName>
    <definedName name="InterestIncome">SUM(Consol P&amp;L &amp; [19]BS!$L$31:$L$33)</definedName>
    <definedName name="Inv_Fin_Inst">#REF!</definedName>
    <definedName name="inventories">#REF!</definedName>
    <definedName name="Inventory_Apts">#REF!</definedName>
    <definedName name="Inventory_Apts_ca">#REF!</definedName>
    <definedName name="Inventory_Apts_nca">#REF!</definedName>
    <definedName name="Inventory_Land">[38]DevDivision!$A$70:$IV$70</definedName>
    <definedName name="Inventory_Land_ca_rs">#REF!</definedName>
    <definedName name="Inventory_Land_ca_ud">#REF!</definedName>
    <definedName name="Inventory_Land_nca_ud">#REF!</definedName>
    <definedName name="Inventory_RP">#REF!</definedName>
    <definedName name="Inventory_RP_ca">#REF!</definedName>
    <definedName name="Inventory_RP_nca">#REF!</definedName>
    <definedName name="Invest_Goodwill">#REF!</definedName>
    <definedName name="Investment_Income">'[32]Corp Investments'!$A$45:$IV$45</definedName>
    <definedName name="InvestmentAssets">'[32]Corp Investments'!$A$15:$IV$15</definedName>
    <definedName name="Investments_in_managed_funds">'[30]Balance Sheet'!$A$23:$IV$23</definedName>
    <definedName name="Investments_Made">#REF!</definedName>
    <definedName name="Invt_Land_share">#REF!</definedName>
    <definedName name="Invt_RP_share">#REF!</definedName>
    <definedName name="Invtory_Apts_share">#REF!</definedName>
    <definedName name="IPG_DPU">'[32]Trust Model'!$A$190:$IV$190</definedName>
    <definedName name="IPG_EPUpreamort">'[32]Trust Model'!$A$188:$IV$188</definedName>
    <definedName name="IPG_GrossEBIT">[32]IPGdist!$A$243:$IV$243</definedName>
    <definedName name="IPG_liveprice">[32]Summary!$AA$9</definedName>
    <definedName name="IPG_Total_NPI">'[32]Trust Model'!$A$71:$IV$71</definedName>
    <definedName name="ipg_ty">[28]inputs!$K$7</definedName>
    <definedName name="IPG_Volume">[32]IPGdist!$A$240:$IV$240</definedName>
    <definedName name="IPGAvgPriceperLot">[32]IPGdist!$A$239:$IV$239</definedName>
    <definedName name="IPGCorp_EPUpreamort">'[32]Trust Model'!$A$182:$IV$182</definedName>
    <definedName name="IPGTrust_Capex">'[32]NPI&amp;Capex'!$A$155</definedName>
    <definedName name="IPGTrust_EPUpreamort">'[32]Trust Model'!$A$184:$IV$184</definedName>
    <definedName name="iQShowHideColumns" hidden="1">"iQShowAnnual"</definedName>
    <definedName name="IssueTypeDesc">[2]Guidance!#REF!</definedName>
    <definedName name="italy">0</definedName>
    <definedName name="japan">0.06</definedName>
    <definedName name="JFG_NPAT">#REF!</definedName>
    <definedName name="JLL_retailGratesTable">#REF!</definedName>
    <definedName name="JLLretailGrates_table">#REF!</definedName>
    <definedName name="Journal_Type">[3]LS701395!#REF!</definedName>
    <definedName name="jsjs" localSheetId="2">SUM(Consol P&amp;L &amp; [19]BS!$L$31:$L$33)</definedName>
    <definedName name="jsjs">SUM(Consol P&amp;L &amp; [19]BS!$L$31:$L$33)</definedName>
    <definedName name="June04_hedgedrate">[29]Macro!#REF!</definedName>
    <definedName name="JV_NOI">[37]NOISum!$A$192:$IV$192</definedName>
    <definedName name="jv_retail_capex">[37]IDCapex!$A$104:$IV$104</definedName>
    <definedName name="jv_retail_reval_res">[37]IDCapex!$A$111:$IV$111</definedName>
    <definedName name="Kd">[24]Summary!$S$30</definedName>
    <definedName name="Ke">#REF!</definedName>
    <definedName name="KebpDOWN">[29]DDM!$H$29</definedName>
    <definedName name="KebpUP">[29]DDM!$D$29</definedName>
    <definedName name="KHN" localSheetId="2" hidden="1">{"'보고양식'!$A$58:$K$111"}</definedName>
    <definedName name="KHN" hidden="1">{"'보고양식'!$A$58:$K$111"}</definedName>
    <definedName name="last_expl_year">#REF!</definedName>
    <definedName name="LastListUpdate">0</definedName>
    <definedName name="LastRep_NTA">#REF!</definedName>
    <definedName name="latinAmerica">0</definedName>
    <definedName name="latinAmericaCountries">#REF!</definedName>
    <definedName name="LeagueTrVal">#REF!</definedName>
    <definedName name="Lease_Exp">'[39]Chart Data'!$A$785:$J$799</definedName>
    <definedName name="Lease_Sum">'[40]Chart Data'!$A$842:$J$856</definedName>
    <definedName name="LFooter">#REF!</definedName>
    <definedName name="lh">#REF!</definedName>
    <definedName name="LHeader">#REF!</definedName>
    <definedName name="Liabilities">'[30]Balance Sheet'!$A$34:$IV$34</definedName>
    <definedName name="LIBOR">#REF!</definedName>
    <definedName name="libor180d">#REF!</definedName>
    <definedName name="libor360d">#REF!</definedName>
    <definedName name="Link">[41]Data!$F$69:$X$69</definedName>
    <definedName name="Linking_1">#REF!</definedName>
    <definedName name="Linking_10">#REF!</definedName>
    <definedName name="Linking_11">#REF!</definedName>
    <definedName name="Linking_12">#REF!</definedName>
    <definedName name="Linking_13">#REF!</definedName>
    <definedName name="Linking_14">#REF!</definedName>
    <definedName name="Linking_15">#REF!</definedName>
    <definedName name="Linking_16">#REF!</definedName>
    <definedName name="Linking_17">#REF!</definedName>
    <definedName name="Linking_18">#REF!</definedName>
    <definedName name="Linking_19">#REF!</definedName>
    <definedName name="Linking_2">#REF!</definedName>
    <definedName name="Linking_20">#REF!</definedName>
    <definedName name="Linking_21">#REF!</definedName>
    <definedName name="Linking_22">#REF!</definedName>
    <definedName name="Linking_23">#REF!</definedName>
    <definedName name="Linking_24">#REF!</definedName>
    <definedName name="Linking_25">#REF!</definedName>
    <definedName name="Linking_26">#REF!</definedName>
    <definedName name="Linking_27">#REF!</definedName>
    <definedName name="Linking_28">#REF!</definedName>
    <definedName name="Linking_29">#REF!</definedName>
    <definedName name="Linking_3">#REF!</definedName>
    <definedName name="Linking_30">#REF!</definedName>
    <definedName name="Linking_31">#REF!</definedName>
    <definedName name="Linking_32">#REF!</definedName>
    <definedName name="Linking_33">#REF!</definedName>
    <definedName name="Linking_4">#REF!</definedName>
    <definedName name="Linking_5">#REF!</definedName>
    <definedName name="Linking_6">#REF!</definedName>
    <definedName name="Linking_7">#REF!</definedName>
    <definedName name="Linking_8">#REF!</definedName>
    <definedName name="Linking_9">#REF!</definedName>
    <definedName name="LIST">#REF!</definedName>
    <definedName name="LLADM101">'[12]22101'!#REF!</definedName>
    <definedName name="LLADM21110">'[15]21110'!#REF!</definedName>
    <definedName name="LLADM22011">#REF!</definedName>
    <definedName name="LLADM22102">'[12]22101'!#REF!</definedName>
    <definedName name="LLADM22103">'[12]22101'!#REF!</definedName>
    <definedName name="LLADM22104">'[12]22101'!#REF!</definedName>
    <definedName name="LLADM22105">'[12]22101'!#REF!</definedName>
    <definedName name="LLADM22106">'[12]22101'!#REF!</definedName>
    <definedName name="LLADM22108">'[12]22101'!#REF!</definedName>
    <definedName name="LLADM22202">'[12]22101'!#REF!</definedName>
    <definedName name="LLHO21110">'[15]21110'!#REF!</definedName>
    <definedName name="LLHO22011">#REF!</definedName>
    <definedName name="LLLSE22011">#REF!</definedName>
    <definedName name="LLRMKT21110">'[15]21110'!#REF!</definedName>
    <definedName name="LLRMKT22011">#REF!</definedName>
    <definedName name="LLRNATPRO22011">#REF!</definedName>
    <definedName name="LLRPNSW21110">'[15]21110'!#REF!</definedName>
    <definedName name="LMargin">#REF!</definedName>
    <definedName name="LongTerm">#REF!</definedName>
    <definedName name="LRaud_usd">#REF!</definedName>
    <definedName name="LTBeta">#REF!</definedName>
    <definedName name="LVal">#REF!</definedName>
    <definedName name="MACART22011">#REF!</definedName>
    <definedName name="Mall_Table">#REF!</definedName>
    <definedName name="Management_Fee_Inc">[30]ValadDist!$A$12:$IV$12</definedName>
    <definedName name="managersFeeFromreserves">'[17]Forecast trust exps 699'!#REF!</definedName>
    <definedName name="marketcap">#REF!</definedName>
    <definedName name="Maturity">#REF!</definedName>
    <definedName name="MCW_Data">[31]Database!$B$43:$GN$113</definedName>
    <definedName name="MCW_Template">'[35]ML Data'!$A$26:$BI$178</definedName>
    <definedName name="mgmt_incr">'[42]INCOME STATEMENT'!#REF!</definedName>
    <definedName name="MGR_Data">[31]Database!$B$212:$GN$221</definedName>
    <definedName name="mgr_ddm">[43]MGR_DDM!$B$31</definedName>
    <definedName name="MGR_DDMValn">#REF!</definedName>
    <definedName name="mgr_next_ex_date">[24]Summary!$U$11</definedName>
    <definedName name="MGR_Term_Yield">[24]Summary!$AT$37</definedName>
    <definedName name="MGR_Valn">[24]Summary!$F$13</definedName>
    <definedName name="Mgtfee_EBIT">[30]MgtFees!$A$49:$IV$49</definedName>
    <definedName name="mgtperffee_exp">#REF!</definedName>
    <definedName name="middleEast">0</definedName>
    <definedName name="middleEastAfrica">0</definedName>
    <definedName name="middleEastAfricaRegion">#REF!</definedName>
    <definedName name="middleEastAfricaStates">#REF!</definedName>
    <definedName name="Millers_Portfolio">[30]TrustInc!$A$13:$IV$13</definedName>
    <definedName name="Million">#REF!</definedName>
    <definedName name="minorities">#REF!</definedName>
    <definedName name="mkt_cpi">[29]PtyAssetTwo!$A$43:$IV$43</definedName>
    <definedName name="mkt_NOI_growth">#REF!</definedName>
    <definedName name="mkt_npi_grate">#REF!</definedName>
    <definedName name="MktPm">[25]WACC!$G$12</definedName>
    <definedName name="ML_1c3d1n6n">[18]NAV!$A$8:$AE$71</definedName>
    <definedName name="ML_1e1k9n5y">'[44]Charts and Tables'!$B$59:$E$66</definedName>
    <definedName name="ML_1k4g9u7k">'[44]Charts and Tables'!$B$49:$D$55</definedName>
    <definedName name="ML_1t5s6u1f">'[45]Cap Raising'!$A$206:$D$285</definedName>
    <definedName name="ML_1y7a6c1t">'[45]Cap Raising'!$A$153:$D$185</definedName>
    <definedName name="ML_2e1r5p2m">[18]Group!$A$18:$AN$61</definedName>
    <definedName name="ML_2j4h5d5y">#REF!</definedName>
    <definedName name="ML_2v6s9i5c">[18]NAV!$A$8:$AH$71</definedName>
    <definedName name="ML_2x1b8j5c">[18]Variance!$A$6:$H$32</definedName>
    <definedName name="ML_3b3j3x9k">'[45]Long Term Stats'!$W$487:$AA$498</definedName>
    <definedName name="ML_3c6e9c4g">[18]Properties!$B$173:$L$179</definedName>
    <definedName name="ML_3e2q4k7i">'[45]Long Term Stats'!$W$500:$AA$503</definedName>
    <definedName name="ML_3h2n3p4v">'[44]Charts and Tables'!$U$9:$W$13</definedName>
    <definedName name="ML_3p2b9c6w">[18]Group!$BF$3:$BI$11</definedName>
    <definedName name="ML_3p5d9q5j">'[45]Cap Raising'!$A$206:$D$280</definedName>
    <definedName name="ML_3y1j4m2m">'[45]Cap Raising'!$A$206:$D$279</definedName>
    <definedName name="ML_4m3p5r8j">'[44]Charts and Tables'!$B$6:$N$22</definedName>
    <definedName name="ML_5d3i8b5s">'[44]Charts and Tables'!#REF!</definedName>
    <definedName name="ML_5e7s6t2u">'[44]Charts and Tables'!$B$35:$M$43</definedName>
    <definedName name="ML_5f9d1i5x">[18]Group!$BF$3:$BJ$11</definedName>
    <definedName name="ML_5h6q3g8u">[18]NAV!$A$8:$U$71</definedName>
    <definedName name="ML_5k8u7s9i">[18]NAV!$AH$140:$AV$149</definedName>
    <definedName name="ML_6f2p1m9g">'[44]SSNOI Occupancy'!$A$148:$AZ$163</definedName>
    <definedName name="ML_6k9c9p4d">[18]DCF!$A$34:$S$44</definedName>
    <definedName name="ML_6m3p7m9h">[18]Variance!$A$6:$H$55</definedName>
    <definedName name="ML_6r9u1n9k">'[45]Cap Raising'!$A$217:$D$271</definedName>
    <definedName name="ML_6w6m7b7r">[46]Group!#REF!</definedName>
    <definedName name="ML_6y9f7y3n">[18]DCF!$A$34:$S$46</definedName>
    <definedName name="ML_7g4k9d6i">'[44]Charts and Tables'!$B$49:$E$56</definedName>
    <definedName name="ML_7m5m4k3b">[18]NAV!$A$8:$AB$71</definedName>
    <definedName name="ML_7n6h3t1t">'[45]Cap Raising'!$A$143:$D$185</definedName>
    <definedName name="ML_7s4w7c6r">[18]Developments!$B$221:$D$238</definedName>
    <definedName name="ML_8b9j5t1p">[45]Yields!$HS$1:$HS$140</definedName>
    <definedName name="ML_8c2q5i2r">'[44]Cap rates Peak Trough Weighted'!$B$3:$AA$26</definedName>
    <definedName name="ML_8g3e4a7v">[18]Hotels!$Y$57</definedName>
    <definedName name="ML_8h3m3i1m">[18]JV!$AK$215:$AQ$220</definedName>
    <definedName name="ML_8i9u7w8k">'[44]Charts and Tables'!#REF!</definedName>
    <definedName name="ML_8j3w6p4c">'[45]NTA Stated'!$HM$10:$HM$298</definedName>
    <definedName name="ML_8r1k8t4y">'[45]Cap Raising'!$A$168:$D$204</definedName>
    <definedName name="ML_8s3q3c1i">[18]Group!$A$18:$AK$61</definedName>
    <definedName name="ML_9n1s4m5f">[18]NAV!$AH$139:$AV$149</definedName>
    <definedName name="months_per_year">12</definedName>
    <definedName name="morethan1insertpoint">'[2]EPS - more than one category'!#REF!</definedName>
    <definedName name="NC_Borrow_LY">'[16]Borrowings LHN Dec'!#REF!</definedName>
    <definedName name="NCA_fitbs">#REF!</definedName>
    <definedName name="NCA_Fixed_assets">#REF!</definedName>
    <definedName name="NCA_goodwill">#REF!</definedName>
    <definedName name="NCA_Investments">[47]FY_Model!$A$234:$IV$234</definedName>
    <definedName name="NCA_Investments_Assoc">#REF!</definedName>
    <definedName name="NCA_Investments_finServ">#REF!</definedName>
    <definedName name="NCA_Investments_Other">#REF!</definedName>
    <definedName name="NCA_Management_Agreements">#REF!</definedName>
    <definedName name="NCA_Other_assets">#REF!</definedName>
    <definedName name="NCA_Receivables">#REF!</definedName>
    <definedName name="NCL_Borrowings">#REF!</definedName>
    <definedName name="NCL_Other">#REF!</definedName>
    <definedName name="NCL_Provisions">#REF!</definedName>
    <definedName name="NCL_Trade_creditors">#REF!</definedName>
    <definedName name="NEPS_00">[48]HY_Model!$AL$16</definedName>
    <definedName name="NEPS_01">[48]HY_Model!$AO$16</definedName>
    <definedName name="NEPS_02">[48]HY_Model!$AR$16</definedName>
    <definedName name="NEPS_05">[48]HY_Model!$BA$16</definedName>
    <definedName name="NEPS_06">[48]HY_Model!$BD$16</definedName>
    <definedName name="NEPS_07">[48]HY_Model!$BG$16</definedName>
    <definedName name="NEPS_08">[48]HY_Model!$BJ$16</definedName>
    <definedName name="NEPS_09">[48]HY_Model!$BM$16</definedName>
    <definedName name="NEPS_10">[48]HY_Model!$BP$16</definedName>
    <definedName name="NEPS_98">[48]HY_Model!$AF$16</definedName>
    <definedName name="NEPS_99">[48]HY_Model!$AI$16</definedName>
    <definedName name="Net_Assets">#REF!</definedName>
    <definedName name="Net_Property_Income">[30]TrustInc!$A$25:$IV$25</definedName>
    <definedName name="netwage">#REF!</definedName>
    <definedName name="NGsc2_pct">#REF!</definedName>
    <definedName name="NMP_Data">[31]Database!$B$162:$GN$171</definedName>
    <definedName name="NOI">[30]ValadDist!$A$6:$IV$6</definedName>
    <definedName name="noi_incr">#REF!</definedName>
    <definedName name="noi_incr2">'[42]INCOME STATEMENT'!#REF!</definedName>
    <definedName name="noi_incr3">'[42]INCOME STATEMENT'!#REF!</definedName>
    <definedName name="Nominal_growth">[25]WACC!$B$16</definedName>
    <definedName name="Nominal_growth_LT">[25]WACC!$B$15</definedName>
    <definedName name="northAmerica">0.08</definedName>
    <definedName name="northAmericaCountries">#REF!</definedName>
    <definedName name="NP_00">[48]HY_Model!$AL$15</definedName>
    <definedName name="NP_01">[48]HY_Model!$AO$15</definedName>
    <definedName name="NP_02">[48]HY_Model!$AR$15</definedName>
    <definedName name="NP_03">[48]HY_Model!$AU$15</definedName>
    <definedName name="NP_04">[48]HY_Model!$AX$15</definedName>
    <definedName name="NP_05">[48]HY_Model!$BA$15</definedName>
    <definedName name="NP_06">[48]HY_Model!$BD$15</definedName>
    <definedName name="NP_07">[48]HY_Model!$BG$15</definedName>
    <definedName name="NP_08">[48]HY_Model!$BJ$15</definedName>
    <definedName name="NP_09">[48]HY_Model!$BM$15</definedName>
    <definedName name="NP_10">[48]HY_Model!$BP$15</definedName>
    <definedName name="NP_98">[48]HY_Model!$AF$15</definedName>
    <definedName name="NP_99">[48]HY_Model!$AI$15</definedName>
    <definedName name="NPAT">[30]ValadDist!$A$34:$IV$34</definedName>
    <definedName name="npat_preamort">[30]ValadDist!$A$33:$IV$33</definedName>
    <definedName name="npat_reported">[30]ValadDist!$A$34:$IV$34</definedName>
    <definedName name="NPI_Table">'[32]NPI&amp;Capex'!$B$6:$M$53</definedName>
    <definedName name="NPV">[27]Summary!$B$71</definedName>
    <definedName name="NSW_AvgLPg_DevDiv">[24]Summary!$A$52:$IV$52</definedName>
    <definedName name="NTAps_00">#REF!</definedName>
    <definedName name="NTAps_01">#REF!</definedName>
    <definedName name="NTAps_02">#REF!</definedName>
    <definedName name="NTAps_03">#REF!</definedName>
    <definedName name="NTAps_04">#REF!</definedName>
    <definedName name="NTAps_05">#REF!</definedName>
    <definedName name="NTAps03">#REF!</definedName>
    <definedName name="number_diluted_yrend_shares">#REF!</definedName>
    <definedName name="Number_equivalent_shares_wtd">#REF!</definedName>
    <definedName name="number_ordinary_shares" function="1" xlm="1">#REF!</definedName>
    <definedName name="NvsASD">"V2004-12-31"</definedName>
    <definedName name="NvsAutoDrillOk">"VN"</definedName>
    <definedName name="NvsElapsedTime">0.000229629629757255</definedName>
    <definedName name="NvsEndTime">38357.7290043981</definedName>
    <definedName name="NvsInstSpec">"%,FBUSINESS_UNIT,TLEGAL_ENTITY,NSPHC_PTY_LTD"</definedName>
    <definedName name="NvsLayoutType">"M3"</definedName>
    <definedName name="NvsNplSpec">"%,X,RZF..,CNF.."</definedName>
    <definedName name="NvsPanelEffdt">"V2001-07-31"</definedName>
    <definedName name="NvsPanelSetid">"VASIA"</definedName>
    <definedName name="NvsParentRef">[49]tb800!$G$6</definedName>
    <definedName name="NvsReqBU">"VASIA"</definedName>
    <definedName name="NvsReqBUOnly">"VN"</definedName>
    <definedName name="NvsTransLed">"VN"</definedName>
    <definedName name="NvsTreeASD">"V2002-01-01"</definedName>
    <definedName name="NvsValTbl.ACCOUNT">"GL_ACCOUNT_TBL"</definedName>
    <definedName name="NvsValTbl.AFFILIATE">"AFFILIATE_VW"</definedName>
    <definedName name="NvsValTbl.BUSINESS_UNIT">"BUS_UNIT_TBL_GL"</definedName>
    <definedName name="NvsValTbl.CURRENCY_CD">"CURRENCY_CD_TBL"</definedName>
    <definedName name="NvsValTbl.DEPTID">"DEPARTMENT_TBL"</definedName>
    <definedName name="OCF_ChgWC">[35]FY_Model!$A$230:$IV$230</definedName>
    <definedName name="OCF_IntPaid">[35]FY_Model!$A$245:$IV$245</definedName>
    <definedName name="OCF_IntRec">[35]FY_Model!$A$244:$IV$244</definedName>
    <definedName name="OCF_other">#REF!</definedName>
    <definedName name="OCF_TaxPaid">[35]FY_Model!$A$246:$IV$246</definedName>
    <definedName name="offering">'[50]INCOME statement'!#REF!</definedName>
    <definedName name="office_capex">#REF!</definedName>
    <definedName name="OfficePark_NOI">[37]NOISum!$A$167:$IV$167</definedName>
    <definedName name="OfficePk_Total_NOI">#REF!</definedName>
    <definedName name="OH_revenue">#REF!</definedName>
    <definedName name="ONE">#REF!</definedName>
    <definedName name="OneYear">#REF!</definedName>
    <definedName name="OP">#REF!</definedName>
    <definedName name="Op_margin">#REF!</definedName>
    <definedName name="openbalFPY">'[20]Input Sheet'!$H$58</definedName>
    <definedName name="openbalPPX">'[2]Input Sheet'!#REF!</definedName>
    <definedName name="openBalPPY">'[2]Input Sheet'!#REF!</definedName>
    <definedName name="OpeningUndistributedIncome">'[17]Forecast trust exps 699'!#REF!</definedName>
    <definedName name="Operating_Costs" function="1" xlm="1">#REF!</definedName>
    <definedName name="Opex">[30]ValadDist!$A$20:$IV$20</definedName>
    <definedName name="Order">#REF!</definedName>
    <definedName name="Orient">#REF!</definedName>
    <definedName name="Other">#REF!</definedName>
    <definedName name="Other_MFInc">[30]MgtFees!$A$26:$IV$26</definedName>
    <definedName name="Other_Revenue">#REF!</definedName>
    <definedName name="otherAfrica">0</definedName>
    <definedName name="otherAsiaPacific">0</definedName>
    <definedName name="otherCentralEasternEurope">0</definedName>
    <definedName name="otherDevelopedEurope">0.23</definedName>
    <definedName name="otherLATAM">0</definedName>
    <definedName name="OtherRank">#REF!</definedName>
    <definedName name="OtherTferFromReserves">'[17]Forecast trust exps 699'!#REF!</definedName>
    <definedName name="overalldifference">[12]Summary!#REF!</definedName>
    <definedName name="P">2</definedName>
    <definedName name="P_AG_05">[48]HY_Model!$BA$60</definedName>
    <definedName name="P_AI_04">[48]HY_Model!$AX$61</definedName>
    <definedName name="P_L">#REF!</definedName>
    <definedName name="P_LIntExp">[30]Debt!$A$90:$IV$90</definedName>
    <definedName name="P_OEBIT_H1_00">[48]HY_Model!#REF!</definedName>
    <definedName name="P_OEBIT_H1_01">[48]HY_Model!#REF!</definedName>
    <definedName name="P_OEBIT_H1_02">[48]HY_Model!#REF!</definedName>
    <definedName name="P_OEBIT_H1_03">[48]HY_Model!#REF!</definedName>
    <definedName name="P_OEBIT_H1_04">[48]HY_Model!#REF!</definedName>
    <definedName name="P_OEBIT_H1_05">[48]HY_Model!#REF!</definedName>
    <definedName name="P_OEBIT_H1_06">[48]HY_Model!#REF!</definedName>
    <definedName name="P_OEBIT_H1_07">[48]HY_Model!#REF!</definedName>
    <definedName name="P_OEBIT_H1_08">[48]HY_Model!#REF!</definedName>
    <definedName name="P_OEBIT_H1_09">[48]HY_Model!#REF!</definedName>
    <definedName name="P_OEBIT_H1_10">[48]HY_Model!#REF!</definedName>
    <definedName name="P_OEBIT_H1_91">[48]HY_Model!#REF!</definedName>
    <definedName name="P_OEBIT_H1_92">[48]HY_Model!#REF!</definedName>
    <definedName name="P_OEBIT_H1_93">[48]HY_Model!#REF!</definedName>
    <definedName name="P_OEBIT_H1_94">[48]HY_Model!#REF!</definedName>
    <definedName name="P_OEBIT_H1_95">[48]HY_Model!#REF!</definedName>
    <definedName name="P_OEBIT_H1_96">[48]HY_Model!#REF!</definedName>
    <definedName name="P_OEBIT_H1_97">[48]HY_Model!#REF!</definedName>
    <definedName name="P_OEBIT_H1_98">[48]HY_Model!#REF!</definedName>
    <definedName name="P_OEBIT_H1_99">[48]HY_Model!#REF!</definedName>
    <definedName name="P_RNOIpsqm">#REF!</definedName>
    <definedName name="page_o_charts">#REF!</definedName>
    <definedName name="PaperSize">#REF!</definedName>
    <definedName name="PBT">[30]ValadDist!$A$24:$IV$24</definedName>
    <definedName name="PED">#REF!</definedName>
    <definedName name="PENRIT22011">#REF!</definedName>
    <definedName name="PER">#REF!</definedName>
    <definedName name="Performance_fees">[30]MgtFees!$A$25:$IV$25</definedName>
    <definedName name="Period">'[13]Dialog Info'!$C$6</definedName>
    <definedName name="Perp_D_DDE">[25]WACC!$G$5</definedName>
    <definedName name="perp_ref">[25]WACC!$V$103</definedName>
    <definedName name="PISTSG21110">'[15]21110'!#REF!</definedName>
    <definedName name="pivot">[13]Sheet1!$A:$IV</definedName>
    <definedName name="pivot_par">[51]Pivot_Par!$A:$IV</definedName>
    <definedName name="pof_dcf">#REF!</definedName>
    <definedName name="PreAcquisitionIncome">'[17]Forecast trust exps 699'!#REF!</definedName>
    <definedName name="pref_rate">#REF!</definedName>
    <definedName name="PreferencesharesWANOS">'[2]Diluted WANOS'!#REF!</definedName>
    <definedName name="Premium">[25]WACC!$B$3</definedName>
    <definedName name="prepaymentperiod">#REF!</definedName>
    <definedName name="Prev_Comparative_Date">'[13]Dialog Info'!$C$33</definedName>
    <definedName name="prime">#REF!</definedName>
    <definedName name="_xlnm.Print_Area">#REF!</definedName>
    <definedName name="Print_Area_MI">#REF!</definedName>
    <definedName name="Print_Electricity">[52]Electricity!$B$1:$X$317</definedName>
    <definedName name="_xlnm.Print_Titles">#REF!</definedName>
    <definedName name="printall" xlm="1" shortcutKey="a">#REF!</definedName>
    <definedName name="PrintDisclosure">[2]CoverSheet!#REF!</definedName>
    <definedName name="PrintDisclosureNote">[2]CoverSheet!#REF!</definedName>
    <definedName name="Property_revenue">#REF!</definedName>
    <definedName name="ProrDistributions">#REF!</definedName>
    <definedName name="PtRGFE_DevDiv">[24]Summary!$A$64:$IV$64</definedName>
    <definedName name="pv_Termval">[53]Valuation!$I$16</definedName>
    <definedName name="q" localSheetId="2" hidden="1">{"Qtr Op Mgd Q2",#N/A,FALSE,"Qtr-Op (Mng)";"Qtr Op Rpt Q2",#N/A,FALSE,"Qtr-Op (Rpt)";"Operating Vs Reported",#N/A,FALSE,"Rpt-Op Inc"}</definedName>
    <definedName name="q" hidden="1">{"Qtr Op Mgd Q2",#N/A,FALSE,"Qtr-Op (Mng)";"Qtr Op Rpt Q2",#N/A,FALSE,"Qtr-Op (Rpt)";"Operating Vs Reported",#N/A,FALSE,"Rpt-Op Inc"}</definedName>
    <definedName name="Q6ClassY">'[2]Input Sheet'!#REF!</definedName>
    <definedName name="Q6ClassYWANOS">#REF!</definedName>
    <definedName name="Q7ClassX">'[2]Input Sheet'!#REF!</definedName>
    <definedName name="Q7ClassXWanos">#REF!</definedName>
    <definedName name="Q7ClassY">'[2]Input Sheet'!#REF!</definedName>
    <definedName name="Q7ClassYWanos">#REF!</definedName>
    <definedName name="Q7Xinsertpoint">'[2]Input Sheet'!#REF!</definedName>
    <definedName name="Q7YinsertPoint">'[2]Input Sheet'!#REF!</definedName>
    <definedName name="Q8Firstdate">'[20]Input Sheet'!$C$67</definedName>
    <definedName name="QCategory">'[2]Input Sheet'!#REF!</definedName>
    <definedName name="QLD_AvgLPg_DevDiv">[24]Summary!$A$51:$IV$51</definedName>
    <definedName name="qtrly_dpu_table">[29]FY_Trust!$C$146:$BM$149</definedName>
    <definedName name="Range_Names">#REF!</definedName>
    <definedName name="RBN">[14]FEB!#REF!</definedName>
    <definedName name="RBU">#REF!</definedName>
    <definedName name="Re_valuation_Reserve">'[30]Balance Sheet'!$A$10:$IV$10</definedName>
    <definedName name="real_growth">[25]WACC!$G$4</definedName>
    <definedName name="Rec">#REF!</definedName>
    <definedName name="Record1" help="_x0000_!0" xlm="1" shortcutKey="a">#REF!</definedName>
    <definedName name="regionalCostExposure">#REF!</definedName>
    <definedName name="REI_revenue">#REF!</definedName>
    <definedName name="reis_val">[48]REIS!#REF!</definedName>
    <definedName name="renincr.">'[54]Income Statement'!$F$99</definedName>
    <definedName name="rent">'[42]INCOME STATEMENT'!#REF!</definedName>
    <definedName name="rent_inc">'[55]Inc Stmt'!#REF!</definedName>
    <definedName name="Rent_Incr">#REF!</definedName>
    <definedName name="rent_incr2">#REF!</definedName>
    <definedName name="rent_incr3">#REF!</definedName>
    <definedName name="rent_incr4">#REF!</definedName>
    <definedName name="rent_incr5">#REF!</definedName>
    <definedName name="rent1">#REF!</definedName>
    <definedName name="rent2">#REF!</definedName>
    <definedName name="rent3">#REF!</definedName>
    <definedName name="rent4">#REF!</definedName>
    <definedName name="Rents">#REF!</definedName>
    <definedName name="rep" localSheetId="2" hidden="1">{#N/A,#N/A,FALSE,"COVER";#N/A,#N/A,FALSE,"VALUATION";#N/A,#N/A,FALSE,"FORECAST";#N/A,#N/A,FALSE,"FY ANALYSIS ";#N/A,#N/A,FALSE," HY ANALYSIS"}</definedName>
    <definedName name="rep" hidden="1">{#N/A,#N/A,FALSE,"COVER";#N/A,#N/A,FALSE,"VALUATION";#N/A,#N/A,FALSE,"FORECAST";#N/A,#N/A,FALSE,"FY ANALYSIS ";#N/A,#N/A,FALSE," HY ANALYSIS"}</definedName>
    <definedName name="REPS_00">[48]HY_Model!$AL$8</definedName>
    <definedName name="REPS_01">[48]HY_Model!$AO$8</definedName>
    <definedName name="REPS_02">[48]HY_Model!$AR$8</definedName>
    <definedName name="REPS_06">[48]HY_Model!$BD$8</definedName>
    <definedName name="REPS_07">[48]HY_Model!$BG$8</definedName>
    <definedName name="REPS_08">[48]HY_Model!$BJ$8</definedName>
    <definedName name="REPS_09">[48]HY_Model!$BM$8</definedName>
    <definedName name="REPS_10">[48]HY_Model!$BP$8</definedName>
    <definedName name="REPS_98">[48]HY_Model!$AF$8</definedName>
    <definedName name="REPS_99">[48]HY_Model!$AI$8</definedName>
    <definedName name="REPSIA_03">[48]HY_Model!$AU$9</definedName>
    <definedName name="REPSIA_04">[48]HY_Model!$AX$9</definedName>
    <definedName name="REPSIA_05">[48]HY_Model!$BA$9</definedName>
    <definedName name="res_val">#REF!</definedName>
    <definedName name="resid_estate_pbt">#REF!</definedName>
    <definedName name="resid_estate_rev">#REF!</definedName>
    <definedName name="retail_capex">[37]IDCapex!$A$47:$IV$47</definedName>
    <definedName name="Retail_NOI">[37]NOISum!$A$81:$IV$81</definedName>
    <definedName name="Retail_NOI98">#REF!</definedName>
    <definedName name="retail_reval_res">[37]IDCapex!$A$94:$IV$94</definedName>
    <definedName name="retailgrates">#REF!</definedName>
    <definedName name="retailgrdata">#REF!</definedName>
    <definedName name="Rf">[25]WACC!$G$11</definedName>
    <definedName name="RFooter">#REF!</definedName>
    <definedName name="RHeader">#REF!</definedName>
    <definedName name="RID">[14]FEB!#REF!</definedName>
    <definedName name="Risk_Premium">[25]WACC!$G$12</definedName>
    <definedName name="RMargin">#REF!</definedName>
    <definedName name="rngBRICS">#REF!,#REF!,#REF!,#REF!</definedName>
    <definedName name="rngContinentWiseValue">#REF!</definedName>
    <definedName name="rngCountryWiseValue">#REF!</definedName>
    <definedName name="rngEEMEA">#REF!,#REF!,#REF!,#REF!</definedName>
    <definedName name="rngStateWiseValue">#REF!</definedName>
    <definedName name="rngTotalRegionExposure">1</definedName>
    <definedName name="roe">'[45]Trans to Daysheet'!$I$10</definedName>
    <definedName name="ROE_todaysheet">'[45]Trans to Daysheet'!$I$6:$R$69</definedName>
    <definedName name="Roll_over_year">[25]WACC!$D$131</definedName>
    <definedName name="RONIC_1">#REF!</definedName>
    <definedName name="RONIC_2">#REF!</definedName>
    <definedName name="Ross_OfficeGrates">#REF!</definedName>
    <definedName name="Rounding">#REF!</definedName>
    <definedName name="RPEA_00">[48]HY_Model!$AL$7</definedName>
    <definedName name="RPEA_01">[48]HY_Model!$AO$7</definedName>
    <definedName name="RPEA_02">[48]HY_Model!$AR$7</definedName>
    <definedName name="RPEA_04">[48]HY_Model!$AX$7</definedName>
    <definedName name="RPEA_06">[48]HY_Model!$BD$7</definedName>
    <definedName name="RPEA_07">[48]HY_Model!$BG$7</definedName>
    <definedName name="RPEA_08">[48]HY_Model!$BJ$7</definedName>
    <definedName name="RPEA_09">[48]HY_Model!$BM$7</definedName>
    <definedName name="RPEA_10">[48]HY_Model!$BP$7</definedName>
    <definedName name="RPEA_98">[48]HY_Model!$AF$7</definedName>
    <definedName name="RPEA_99">[48]HY_Model!$AI$7</definedName>
    <definedName name="RPIA_03">[48]HY_Model!$AU$6</definedName>
    <definedName name="RPIA_05">[48]HY_Model!$BA$6</definedName>
    <definedName name="RTT">[14]FEB!#REF!</definedName>
    <definedName name="s">[56]Summary!$A$90:$IV$90</definedName>
    <definedName name="sales">#REF!</definedName>
    <definedName name="Sales_pipelines">'[57]FY Model'!$A$98:$IV$98</definedName>
    <definedName name="Sales_pipelines_h">'[58]HY Model'!$A$36:$IV$36</definedName>
    <definedName name="sb">#REF!</definedName>
    <definedName name="Sc1_Graphs">[59]Scenario1!#REF!</definedName>
    <definedName name="Sc2_SemiAn">#REF!</definedName>
    <definedName name="sds" localSheetId="2" hidden="1">{"'보고양식'!$A$58:$K$111"}</definedName>
    <definedName name="sds" hidden="1">{"'보고양식'!$A$58:$K$111"}</definedName>
    <definedName name="season">#REF!</definedName>
    <definedName name="sen_actual_issue_date">[60]Parameters!$H$75</definedName>
    <definedName name="sen_pmt_date">[60]Parameters!$H$78</definedName>
    <definedName name="Sensitivity">[25]WACC!$G$16</definedName>
    <definedName name="Serv_FM">[32]IPGdist!$A$366:$IV$366</definedName>
    <definedName name="Serv_GEBITDA">[32]IPGdist!$A$334:$IV$334</definedName>
    <definedName name="Serv_GEBITDA_AssetMgt">[32]IPGdist!$A$335:$IV$335</definedName>
    <definedName name="Serv_GEBITDA_CPS">[32]IPGdist!$A$337:$IV$337</definedName>
    <definedName name="Serv_GEBITDA_Other">[32]IPGdist!$A$338:$IV$338</definedName>
    <definedName name="Serv_GEBITDA_Unlisted">[32]IPGdist!$A$336:$IV$336</definedName>
    <definedName name="Services_revenue">#REF!</definedName>
    <definedName name="SFCOSTS21110">'[15]21110'!#REF!</definedName>
    <definedName name="SFD">[14]FEB!#REF!</definedName>
    <definedName name="SFV">[14]FEB!#REF!</definedName>
    <definedName name="SGP_Data">[31]Database!$B$192:$GN$206</definedName>
    <definedName name="sgp_ddm">#REF!</definedName>
    <definedName name="sgp_dpu">#REF!</definedName>
    <definedName name="sgp_epu">#REF!</definedName>
    <definedName name="Shareprice">[25]WACC!$B$2</definedName>
    <definedName name="shares">#REF!</definedName>
    <definedName name="shares_wacc">[25]WACC!$D$127</definedName>
    <definedName name="showVersionCheckMessage">1</definedName>
    <definedName name="shrs" localSheetId="2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hr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ilverton_GrossEBIT">[32]IPGdist!$A$212:$IV$212</definedName>
    <definedName name="Silverton_Volume">[32]IPGdist!$A$209:$IV$209</definedName>
    <definedName name="SilvertonAvgPriceperLot">[32]IPGdist!$A$208:$IV$208</definedName>
    <definedName name="socioEconomicRegion">#REF!</definedName>
    <definedName name="socioEconomicRegions">#REF!</definedName>
    <definedName name="soi">'[30]Balance Sheet'!$A$42:$IV$42</definedName>
    <definedName name="solver_lin" hidden="1">0</definedName>
    <definedName name="solver_num" hidden="1">0</definedName>
    <definedName name="solver_typ" hidden="1">3</definedName>
    <definedName name="solver_val" hidden="1">5.05</definedName>
    <definedName name="spain">0</definedName>
    <definedName name="START">#REF!</definedName>
    <definedName name="StartDate">#REF!</definedName>
    <definedName name="Statement_of_Cash_Flows">[39]SHOPS!$I$4:$L$52</definedName>
    <definedName name="Stats1">#REF!</definedName>
    <definedName name="Stats2">#REF!</definedName>
    <definedName name="STL_Distributed_Profits">'[61]St Lukes'!#REF!</definedName>
    <definedName name="suin">[27]Summary!$B$80:$I$90</definedName>
    <definedName name="Summary">[62]Summary!$A$3:$F$97</definedName>
    <definedName name="Summary_Date">#REF!</definedName>
    <definedName name="sun">[40]Summary!$B$92:$O$102</definedName>
    <definedName name="SUNSHI22011">#REF!</definedName>
    <definedName name="SVD">[14]FEB!#REF!</definedName>
    <definedName name="Swap_A">#REF!</definedName>
    <definedName name="Swap_B">#REF!</definedName>
    <definedName name="Swap_C">#REF!</definedName>
    <definedName name="Swap_D">#REF!</definedName>
    <definedName name="Swap_E">#REF!</definedName>
    <definedName name="Swap_F">#REF!</definedName>
    <definedName name="Swap_G">#REF!</definedName>
    <definedName name="Swap_H">#REF!</definedName>
    <definedName name="Swap_I">#REF!</definedName>
    <definedName name="Swap_J">#REF!</definedName>
    <definedName name="Swap_K">#REF!</definedName>
    <definedName name="Swap_L">#REF!</definedName>
    <definedName name="Swap_M">#REF!</definedName>
    <definedName name="Swap_N">#REF!</definedName>
    <definedName name="Swap_O">#REF!</definedName>
    <definedName name="T_Y">[27]Summary!$B$73</definedName>
    <definedName name="TabelReeks">#REF!</definedName>
    <definedName name="target_corpNPAT_share">[24]Summary!$S$25</definedName>
    <definedName name="target_trustNPAT_share">[24]Summary!$S$24</definedName>
    <definedName name="TargetP">#REF!</definedName>
    <definedName name="tax">[30]ValadDist!$A$29:$IV$29</definedName>
    <definedName name="tax_paid">#REF!</definedName>
    <definedName name="tax_wacc">[25]WACC!$B$11</definedName>
    <definedName name="TB72005110">[63]Summary!$E$22</definedName>
    <definedName name="TB72005112">[63]Summary!$E$23</definedName>
    <definedName name="TB72005130">[64]Summary!$E$23</definedName>
    <definedName name="TB72005997">[64]Summary!$E$24</definedName>
    <definedName name="TB72710110">[64]Summary!$E$25</definedName>
    <definedName name="TB72710112">[64]Summary!$E$26</definedName>
    <definedName name="TB72710130">[64]Summary!$E$27</definedName>
    <definedName name="TB72710979">[64]Summary!$E$28</definedName>
    <definedName name="TB72710997">[64]Summary!$E$29</definedName>
    <definedName name="TB74320110">[64]Summary!$E$30</definedName>
    <definedName name="TB74320130">[64]Summary!$E$31</definedName>
    <definedName name="TB74900977">[63]Summary!$E$36</definedName>
    <definedName name="te">#REF!</definedName>
    <definedName name="TE_RATE">#REF!</definedName>
    <definedName name="TE_RISE">#REF!</definedName>
    <definedName name="TemplateVersion">2</definedName>
    <definedName name="TemplateVersionCSR">2.01</definedName>
    <definedName name="tempname">[65]Consensus!$E$14</definedName>
    <definedName name="tenr">#REF!</definedName>
    <definedName name="term_ROIC">#REF!</definedName>
    <definedName name="TermEquity">#REF!</definedName>
    <definedName name="Terminal_growth">[53]Valuation!$B$17</definedName>
    <definedName name="terminal_yield">#REF!</definedName>
    <definedName name="ti">#REF!</definedName>
    <definedName name="Ticker">#REF!</definedName>
    <definedName name="TMargin">#REF!</definedName>
    <definedName name="Toggle">[25]WACC!$B$6</definedName>
    <definedName name="Tot_Management_Fees">[30]MgtFees!$A$27:$IV$27</definedName>
    <definedName name="tot_return">#REF!</definedName>
    <definedName name="Total_NOI">[37]NOISum!$A$13:$IV$13</definedName>
    <definedName name="Total_NPI">'[32]Trust Model'!$A$71:$IV$71</definedName>
    <definedName name="totalConsumerDemandExposure">0</definedName>
    <definedName name="totaldaysFPY">'[20]Input Sheet'!$H$53</definedName>
    <definedName name="totaldaysPPX">'[2]Input Sheet'!#REF!</definedName>
    <definedName name="totaldaysPPY">'[2]Input Sheet'!#REF!</definedName>
    <definedName name="totalDomesticCostExposure">#REF!</definedName>
    <definedName name="totalDomesticRevenueExposure">#REF!</definedName>
    <definedName name="totalEndDemandRevenueExposure">#REF!</definedName>
    <definedName name="TotalR">'[66]Day Sheet'!$I$45</definedName>
    <definedName name="totalRegionCostExposure">#REF!</definedName>
    <definedName name="totalRegionRevenueExposure">#REF!</definedName>
    <definedName name="TotReturn">[24]Summary!$Q$11</definedName>
    <definedName name="TPrice">#REF!</definedName>
    <definedName name="TR001A_1809001A00_BA">[67]TR001A!#REF!</definedName>
    <definedName name="TR001A_1809001A00_BB">[67]TR001A!#REF!</definedName>
    <definedName name="TR001A_1809001A00_BF">[67]TR001A!#REF!</definedName>
    <definedName name="TR001A_1809001A00_CA">[67]TR001A!#REF!</definedName>
    <definedName name="TR001A_1809001A00_CB">[67]TR001A!#REF!</definedName>
    <definedName name="TR001A_1809001A00_CF">[67]TR001A!#REF!</definedName>
    <definedName name="TR001A_1809001A00_Y1">[67]TR001A!#REF!</definedName>
    <definedName name="TR001A_1809001A00_Y2">[67]TR001A!#REF!</definedName>
    <definedName name="TR001A_1809001A00_Y3">[67]TR001A!#REF!</definedName>
    <definedName name="TR001A_1809001A00_Y4">[67]TR001A!#REF!</definedName>
    <definedName name="TR001A_1809001A00_Y5">[67]TR001A!#REF!</definedName>
    <definedName name="TR001A_1809001A00_YA">[67]TR001A!#REF!</definedName>
    <definedName name="TR001A_1809001A00_YB">[67]TR001A!#REF!</definedName>
    <definedName name="TR001A_1809001A00_YF">[67]TR001A!#REF!</definedName>
    <definedName name="TR001A_1809001A00_YF0">[67]TR001A!#REF!</definedName>
    <definedName name="TR001A_1810001A00_BA">[67]TR001A!#REF!</definedName>
    <definedName name="TR001A_1810001A00_BB">[67]TR001A!#REF!</definedName>
    <definedName name="TR001A_1810001A00_BF">[67]TR001A!#REF!</definedName>
    <definedName name="TR001A_1810001A00_CA">[67]TR001A!#REF!</definedName>
    <definedName name="TR001A_1810001A00_CB">[67]TR001A!#REF!</definedName>
    <definedName name="TR001A_1810001A00_CF">[67]TR001A!#REF!</definedName>
    <definedName name="TR001A_1810001A00_Y1">[67]TR001A!#REF!</definedName>
    <definedName name="TR001A_1810001A00_Y2">[67]TR001A!#REF!</definedName>
    <definedName name="TR001A_1810001A00_Y3">[67]TR001A!#REF!</definedName>
    <definedName name="TR001A_1810001A00_Y4">[67]TR001A!#REF!</definedName>
    <definedName name="TR001A_1810001A00_Y5">[67]TR001A!#REF!</definedName>
    <definedName name="TR001A_1810001A00_YA">[67]TR001A!#REF!</definedName>
    <definedName name="TR001A_1810001A00_YB">[67]TR001A!#REF!</definedName>
    <definedName name="TR001A_1810001A00_YF">[67]TR001A!#REF!</definedName>
    <definedName name="TR001A_1810001A00_YF0">[67]TR001A!#REF!</definedName>
    <definedName name="TR001A_1813001A00_BA">[67]TR001A!#REF!</definedName>
    <definedName name="TR001A_1813001A00_BB">[67]TR001A!#REF!</definedName>
    <definedName name="TR001A_1813001A00_BF">[67]TR001A!#REF!</definedName>
    <definedName name="TR001A_1813001A00_CA">[67]TR001A!#REF!</definedName>
    <definedName name="TR001A_1813001A00_CB">[67]TR001A!#REF!</definedName>
    <definedName name="TR001A_1813001A00_CF">[67]TR001A!#REF!</definedName>
    <definedName name="TR001A_1813001A00_Y1">[67]TR001A!#REF!</definedName>
    <definedName name="TR001A_1813001A00_Y2">[67]TR001A!#REF!</definedName>
    <definedName name="TR001A_1813001A00_Y3">[67]TR001A!#REF!</definedName>
    <definedName name="TR001A_1813001A00_Y4">[67]TR001A!#REF!</definedName>
    <definedName name="TR001A_1813001A00_Y5">[67]TR001A!#REF!</definedName>
    <definedName name="TR001A_1813001A00_YA">[67]TR001A!#REF!</definedName>
    <definedName name="TR001A_1813001A00_YB">[67]TR001A!#REF!</definedName>
    <definedName name="TR001A_1813001A00_YF">[67]TR001A!#REF!</definedName>
    <definedName name="TR001A_1813001A00_YF0">[67]TR001A!#REF!</definedName>
    <definedName name="TR001A_2512001A00_BA">[67]TR001A!#REF!</definedName>
    <definedName name="TR001A_2512001A00_BB">[67]TR001A!#REF!</definedName>
    <definedName name="TR001A_2512001A00_BF">[67]TR001A!#REF!</definedName>
    <definedName name="TR001A_2512001A00_CA">[67]TR001A!#REF!</definedName>
    <definedName name="TR001A_2512001A00_CB">[67]TR001A!#REF!</definedName>
    <definedName name="TR001A_2512001A00_CF">[67]TR001A!#REF!</definedName>
    <definedName name="TR001A_2512001A00_Y1">[67]TR001A!#REF!</definedName>
    <definedName name="TR001A_2512001A00_Y2">[67]TR001A!#REF!</definedName>
    <definedName name="TR001A_2512001A00_Y3">[67]TR001A!#REF!</definedName>
    <definedName name="TR001A_2512001A00_Y4">[67]TR001A!#REF!</definedName>
    <definedName name="TR001A_2512001A00_Y5">[67]TR001A!#REF!</definedName>
    <definedName name="TR001A_2512001A00_YA">[67]TR001A!#REF!</definedName>
    <definedName name="TR001A_2512001A00_YB">[67]TR001A!#REF!</definedName>
    <definedName name="TR001A_2512001A00_YF">[67]TR001A!#REF!</definedName>
    <definedName name="TR001A_2512001A00_YF0">[67]TR001A!#REF!</definedName>
    <definedName name="TR001A_Asset_Reval_BA">[67]TR001A!$N$232</definedName>
    <definedName name="TR001A_Borr_BA">[67]TR001A!$N$205</definedName>
    <definedName name="TR001A_Cash_BA">[67]TR001A!$N$135</definedName>
    <definedName name="TR001A_Expenses_BA">[67]TR001A!$N$420</definedName>
    <definedName name="TR001A_Income_BA">[67]TR001A!$N$260</definedName>
    <definedName name="TR001A_Other_Expenses_BA">[67]TR001A!$N$581</definedName>
    <definedName name="TR001A_Other_Income_BA">[67]TR001A!$N$563</definedName>
    <definedName name="TR001A_Part_Contr_BA">[67]TR001A!$N$230</definedName>
    <definedName name="TR001A_Ret_Earn_BA">[67]TR001A!$N$235</definedName>
    <definedName name="TR001A_SGP_BA">[67]TR001A!$N$566</definedName>
    <definedName name="TR001A_TAssets_BA">[67]TR001A!$N$131</definedName>
    <definedName name="TR001A_Total_Equity_BA">[67]TR001A!$N$228</definedName>
    <definedName name="TR001A_Total_Liabilities_BA">[67]TR001A!$N$198</definedName>
    <definedName name="TR002A_1000002A00">[67]TR002A!#REF!</definedName>
    <definedName name="TR002A_1000002A00_Report.Range">[67]TR002A!#REF!</definedName>
    <definedName name="TR002A_1003002A00">[67]TR002A!#REF!</definedName>
    <definedName name="TR002A_1003002A00_Report.Range">[67]TR002A!#REF!</definedName>
    <definedName name="TR002A_1050002A00">[67]TR002A!#REF!</definedName>
    <definedName name="TR002A_1050002A00_Report.Range">[67]TR002A!#REF!</definedName>
    <definedName name="TR002A_1051002A00">[67]TR002A!#REF!</definedName>
    <definedName name="TR002A_1051002A00_Report.Range">[67]TR002A!#REF!</definedName>
    <definedName name="TR002A_1052002A00">[67]TR002A!#REF!</definedName>
    <definedName name="TR002A_1052002A00_Report.Range">[67]TR002A!#REF!</definedName>
    <definedName name="TR002A_1055002A00">[67]TR002A!#REF!</definedName>
    <definedName name="TR002A_1055002A00_Report.Range">[67]TR002A!#REF!</definedName>
    <definedName name="TR002A_1217002A00">[67]TR002A!#REF!</definedName>
    <definedName name="TR002A_1217002A00_BA">[67]TR002A!#REF!</definedName>
    <definedName name="TR002A_1217002A00_BB">[67]TR002A!#REF!</definedName>
    <definedName name="TR002A_1217002A00_BF">[67]TR002A!#REF!</definedName>
    <definedName name="TR002A_1217002A00_CA">[67]TR002A!#REF!</definedName>
    <definedName name="TR002A_1217002A00_CB">[67]TR002A!#REF!</definedName>
    <definedName name="TR002A_1217002A00_CF">[67]TR002A!#REF!</definedName>
    <definedName name="TR002A_1217002A00_Report.Range">[67]TR002A!#REF!</definedName>
    <definedName name="TR002A_1217002A00_Y1">[67]TR002A!#REF!</definedName>
    <definedName name="TR002A_1217002A00_Y2">[67]TR002A!#REF!</definedName>
    <definedName name="TR002A_1217002A00_Y3">[67]TR002A!#REF!</definedName>
    <definedName name="TR002A_1217002A00_Y4">[67]TR002A!#REF!</definedName>
    <definedName name="TR002A_1217002A00_Y5">[67]TR002A!#REF!</definedName>
    <definedName name="TR002A_1217002A00_YA">[67]TR002A!#REF!</definedName>
    <definedName name="TR002A_1217002A00_YB">[67]TR002A!#REF!</definedName>
    <definedName name="TR002A_1217002A00_YF">[67]TR002A!#REF!</definedName>
    <definedName name="TR002A_1217002A00_YF0">[67]TR002A!#REF!</definedName>
    <definedName name="TR002A_1604002A00">[67]TR002A!#REF!</definedName>
    <definedName name="TR002A_1604002A00_Report.Range">[67]TR002A!#REF!</definedName>
    <definedName name="TR002A_1810002A00">[67]TR002A!#REF!</definedName>
    <definedName name="TR002A_1810002A00_Report.Range">[67]TR002A!#REF!</definedName>
    <definedName name="TR002A_1813002A00">[67]TR002A!#REF!</definedName>
    <definedName name="TR002A_1813002A00_Report.Range">[67]TR002A!#REF!</definedName>
    <definedName name="TR002A_1815002A00">[67]TR002A!#REF!</definedName>
    <definedName name="TR002A_1815002A00_Report.Range">[67]TR002A!#REF!</definedName>
    <definedName name="TR002A_1816002A00">[67]TR002A!#REF!</definedName>
    <definedName name="TR002A_1816002A00_Report.Range">[67]TR002A!#REF!</definedName>
    <definedName name="TR002A_1827002A00">[67]TR002A!#REF!</definedName>
    <definedName name="TR002A_1827002A00_BA">[67]TR002A!#REF!</definedName>
    <definedName name="TR002A_1827002A00_BB">[67]TR002A!#REF!</definedName>
    <definedName name="TR002A_1827002A00_BF">[67]TR002A!#REF!</definedName>
    <definedName name="TR002A_1827002A00_CA">[67]TR002A!#REF!</definedName>
    <definedName name="TR002A_1827002A00_CB">[67]TR002A!#REF!</definedName>
    <definedName name="TR002A_1827002A00_CF">[67]TR002A!#REF!</definedName>
    <definedName name="TR002A_1827002A00_Report.Range">[67]TR002A!#REF!</definedName>
    <definedName name="TR002A_1827002A00_Y1">[67]TR002A!#REF!</definedName>
    <definedName name="TR002A_1827002A00_Y2">[67]TR002A!#REF!</definedName>
    <definedName name="TR002A_1827002A00_Y3">[67]TR002A!#REF!</definedName>
    <definedName name="TR002A_1827002A00_Y4">[67]TR002A!#REF!</definedName>
    <definedName name="TR002A_1827002A00_Y5">[67]TR002A!#REF!</definedName>
    <definedName name="TR002A_1827002A00_YA">[67]TR002A!#REF!</definedName>
    <definedName name="TR002A_1827002A00_YB">[67]TR002A!#REF!</definedName>
    <definedName name="TR002A_1827002A00_YF">[67]TR002A!#REF!</definedName>
    <definedName name="TR002A_1827002A00_YF0">[67]TR002A!#REF!</definedName>
    <definedName name="TR002A_1828002A00">[67]TR002A!#REF!</definedName>
    <definedName name="TR002A_1828002A00_BA">[67]TR002A!#REF!</definedName>
    <definedName name="TR002A_1828002A00_BB">[67]TR002A!#REF!</definedName>
    <definedName name="TR002A_1828002A00_BF">[67]TR002A!#REF!</definedName>
    <definedName name="TR002A_1828002A00_CA">[67]TR002A!#REF!</definedName>
    <definedName name="TR002A_1828002A00_CB">[67]TR002A!#REF!</definedName>
    <definedName name="TR002A_1828002A00_CF">[67]TR002A!#REF!</definedName>
    <definedName name="TR002A_1828002A00_Report.Range">[67]TR002A!#REF!</definedName>
    <definedName name="TR002A_1828002A00_Y1">[67]TR002A!#REF!</definedName>
    <definedName name="TR002A_1828002A00_Y2">[67]TR002A!#REF!</definedName>
    <definedName name="TR002A_1828002A00_Y3">[67]TR002A!#REF!</definedName>
    <definedName name="TR002A_1828002A00_Y4">[67]TR002A!#REF!</definedName>
    <definedName name="TR002A_1828002A00_Y5">[67]TR002A!#REF!</definedName>
    <definedName name="TR002A_1828002A00_YA">[67]TR002A!#REF!</definedName>
    <definedName name="TR002A_1828002A00_YB">[67]TR002A!#REF!</definedName>
    <definedName name="TR002A_1828002A00_YF">[67]TR002A!#REF!</definedName>
    <definedName name="TR002A_1828002A00_YF0">[67]TR002A!#REF!</definedName>
    <definedName name="TR002A_1829002A00">[67]TR002A!#REF!</definedName>
    <definedName name="TR002A_1829002A00_BA">[67]TR002A!#REF!</definedName>
    <definedName name="TR002A_1829002A00_BB">[67]TR002A!#REF!</definedName>
    <definedName name="TR002A_1829002A00_BF">[67]TR002A!#REF!</definedName>
    <definedName name="TR002A_1829002A00_CA">[67]TR002A!#REF!</definedName>
    <definedName name="TR002A_1829002A00_CB">[67]TR002A!#REF!</definedName>
    <definedName name="TR002A_1829002A00_CF">[67]TR002A!#REF!</definedName>
    <definedName name="TR002A_1829002A00_Report.Range">[67]TR002A!#REF!</definedName>
    <definedName name="TR002A_1829002A00_Y1">[67]TR002A!#REF!</definedName>
    <definedName name="TR002A_1829002A00_Y2">[67]TR002A!#REF!</definedName>
    <definedName name="TR002A_1829002A00_Y3">[67]TR002A!#REF!</definedName>
    <definedName name="TR002A_1829002A00_Y4">[67]TR002A!#REF!</definedName>
    <definedName name="TR002A_1829002A00_Y5">[67]TR002A!#REF!</definedName>
    <definedName name="TR002A_1829002A00_YA">[67]TR002A!#REF!</definedName>
    <definedName name="TR002A_1829002A00_YB">[67]TR002A!#REF!</definedName>
    <definedName name="TR002A_1829002A00_YF">[67]TR002A!#REF!</definedName>
    <definedName name="TR002A_1829002A00_YF0">[67]TR002A!#REF!</definedName>
    <definedName name="TR002A_1830002A00">[67]TR002A!#REF!</definedName>
    <definedName name="TR002A_1830002A00_BA">[67]TR002A!#REF!</definedName>
    <definedName name="TR002A_1830002A00_BB">[67]TR002A!#REF!</definedName>
    <definedName name="TR002A_1830002A00_BF">[67]TR002A!#REF!</definedName>
    <definedName name="TR002A_1830002A00_CA">[67]TR002A!#REF!</definedName>
    <definedName name="TR002A_1830002A00_CB">[67]TR002A!#REF!</definedName>
    <definedName name="TR002A_1830002A00_CF">[67]TR002A!#REF!</definedName>
    <definedName name="TR002A_1830002A00_Report.Range">[67]TR002A!#REF!</definedName>
    <definedName name="TR002A_1830002A00_Y1">[67]TR002A!#REF!</definedName>
    <definedName name="TR002A_1830002A00_Y2">[67]TR002A!#REF!</definedName>
    <definedName name="TR002A_1830002A00_Y3">[67]TR002A!#REF!</definedName>
    <definedName name="TR002A_1830002A00_Y4">[67]TR002A!#REF!</definedName>
    <definedName name="TR002A_1830002A00_Y5">[67]TR002A!#REF!</definedName>
    <definedName name="TR002A_1830002A00_YA">[67]TR002A!#REF!</definedName>
    <definedName name="TR002A_1830002A00_YB">[67]TR002A!#REF!</definedName>
    <definedName name="TR002A_1830002A00_YF">[67]TR002A!#REF!</definedName>
    <definedName name="TR002A_1830002A00_YF0">[67]TR002A!#REF!</definedName>
    <definedName name="TR002A_2000002A00">[67]TR002A!#REF!</definedName>
    <definedName name="TR002A_2000002A00_Report.Range">[67]TR002A!#REF!</definedName>
    <definedName name="TR002A_2002002A00">[67]TR002A!#REF!</definedName>
    <definedName name="TR002A_2002002A00_Report.Range">[67]TR002A!#REF!</definedName>
    <definedName name="TR002A_2005002A00">[67]TR002A!#REF!</definedName>
    <definedName name="TR002A_2005002A00_Report.Range">[67]TR002A!#REF!</definedName>
    <definedName name="TR002A_2019002A00">[67]TR002A!#REF!</definedName>
    <definedName name="TR002A_2019002A00_Report.Range">[67]TR002A!#REF!</definedName>
    <definedName name="TR002A_2032002A00">[67]TR002A!#REF!</definedName>
    <definedName name="TR002A_2032002A00_Report.Range">[67]TR002A!#REF!</definedName>
    <definedName name="TR002A_2516002A00">[67]TR002A!#REF!</definedName>
    <definedName name="TR002A_2516002A00_Report.Range">[67]TR002A!#REF!</definedName>
    <definedName name="TR002A_2517002A00">[67]TR002A!#REF!</definedName>
    <definedName name="TR002A_2517002A00_Report.Range">[67]TR002A!#REF!</definedName>
    <definedName name="TR002A_2518002A00">[67]TR002A!#REF!</definedName>
    <definedName name="TR002A_2518002A00_Report.Range">[67]TR002A!#REF!</definedName>
    <definedName name="TR002A_2519002A00">[67]TR002A!#REF!</definedName>
    <definedName name="TR002A_2519002A00_Report.Range">[67]TR002A!#REF!</definedName>
    <definedName name="TR002A_3000002A00">[67]TR002A!#REF!</definedName>
    <definedName name="TR002A_3000002A00_Report.Range">[67]TR002A!#REF!</definedName>
    <definedName name="TR002A_3008002A00">[67]TR002A!#REF!</definedName>
    <definedName name="TR002A_3008002A00_Report.Range">[67]TR002A!#REF!</definedName>
    <definedName name="TR002A_4009002A00">[67]TR002A!#REF!</definedName>
    <definedName name="TR002A_4009002A00_Report.Range">[67]TR002A!#REF!</definedName>
    <definedName name="TR002A_4023002A01">[67]TR002A!#REF!</definedName>
    <definedName name="TR002A_4023002A01_BA">[67]TR002A!#REF!</definedName>
    <definedName name="TR002A_4023002A01_BB">[67]TR002A!#REF!</definedName>
    <definedName name="TR002A_4023002A01_BF">[67]TR002A!#REF!</definedName>
    <definedName name="TR002A_4023002A01_CA">[67]TR002A!#REF!</definedName>
    <definedName name="TR002A_4023002A01_CB">[67]TR002A!#REF!</definedName>
    <definedName name="TR002A_4023002A01_CF">[67]TR002A!#REF!</definedName>
    <definedName name="TR002A_4023002A01_Report.Range">[67]TR002A!#REF!</definedName>
    <definedName name="TR002A_4023002A01_Y1">[67]TR002A!#REF!</definedName>
    <definedName name="TR002A_4023002A01_Y2">[67]TR002A!#REF!</definedName>
    <definedName name="TR002A_4023002A01_Y3">[67]TR002A!#REF!</definedName>
    <definedName name="TR002A_4023002A01_Y4">[67]TR002A!#REF!</definedName>
    <definedName name="TR002A_4023002A01_Y5">[67]TR002A!#REF!</definedName>
    <definedName name="TR002A_4023002A01_YA">[67]TR002A!#REF!</definedName>
    <definedName name="TR002A_4023002A01_YB">[67]TR002A!#REF!</definedName>
    <definedName name="TR002A_4023002A01_YF">[67]TR002A!#REF!</definedName>
    <definedName name="TR002A_4023002A01_YF0">[67]TR002A!#REF!</definedName>
    <definedName name="TR002A_4024002A02">[67]TR002A!#REF!</definedName>
    <definedName name="TR002A_4024002A02_BA">[67]TR002A!#REF!</definedName>
    <definedName name="TR002A_4024002A02_BB">[67]TR002A!#REF!</definedName>
    <definedName name="TR002A_4024002A02_BF">[67]TR002A!#REF!</definedName>
    <definedName name="TR002A_4024002A02_CA">[67]TR002A!#REF!</definedName>
    <definedName name="TR002A_4024002A02_CB">[67]TR002A!#REF!</definedName>
    <definedName name="TR002A_4024002A02_CF">[67]TR002A!#REF!</definedName>
    <definedName name="TR002A_4024002A02_Report.Range">[67]TR002A!#REF!</definedName>
    <definedName name="TR002A_4024002A02_Y1">[67]TR002A!#REF!</definedName>
    <definedName name="TR002A_4024002A02_Y2">[67]TR002A!#REF!</definedName>
    <definedName name="TR002A_4024002A02_Y3">[67]TR002A!#REF!</definedName>
    <definedName name="TR002A_4024002A02_Y4">[67]TR002A!#REF!</definedName>
    <definedName name="TR002A_4024002A02_Y5">[67]TR002A!#REF!</definedName>
    <definedName name="TR002A_4024002A02_YA">[67]TR002A!#REF!</definedName>
    <definedName name="TR002A_4024002A02_YB">[67]TR002A!#REF!</definedName>
    <definedName name="TR002A_4024002A02_YF">[67]TR002A!#REF!</definedName>
    <definedName name="TR002A_4024002A02_YF0">[67]TR002A!#REF!</definedName>
    <definedName name="TR002A_4025002A03">[67]TR002A!#REF!</definedName>
    <definedName name="TR002A_4025002A03_BA">[67]TR002A!#REF!</definedName>
    <definedName name="TR002A_4025002A03_BB">[67]TR002A!#REF!</definedName>
    <definedName name="TR002A_4025002A03_BF">[67]TR002A!#REF!</definedName>
    <definedName name="TR002A_4025002A03_CA">[67]TR002A!#REF!</definedName>
    <definedName name="TR002A_4025002A03_CB">[67]TR002A!#REF!</definedName>
    <definedName name="TR002A_4025002A03_CF">[67]TR002A!#REF!</definedName>
    <definedName name="TR002A_4025002A03_Report.Range">[67]TR002A!#REF!</definedName>
    <definedName name="TR002A_4025002A03_Y1">[67]TR002A!#REF!</definedName>
    <definedName name="TR002A_4025002A03_Y2">[67]TR002A!#REF!</definedName>
    <definedName name="TR002A_4025002A03_Y3">[67]TR002A!#REF!</definedName>
    <definedName name="TR002A_4025002A03_Y4">[67]TR002A!#REF!</definedName>
    <definedName name="TR002A_4025002A03_Y5">[67]TR002A!#REF!</definedName>
    <definedName name="TR002A_4025002A03_YA">[67]TR002A!#REF!</definedName>
    <definedName name="TR002A_4025002A03_YB">[67]TR002A!#REF!</definedName>
    <definedName name="TR002A_4025002A03_YF">[67]TR002A!#REF!</definedName>
    <definedName name="TR002A_4025002A03_YF0">[67]TR002A!#REF!</definedName>
    <definedName name="TR002A_4026002A04">[67]TR002A!#REF!</definedName>
    <definedName name="TR002A_4026002A04_BA">[67]TR002A!#REF!</definedName>
    <definedName name="TR002A_4026002A04_BB">[67]TR002A!#REF!</definedName>
    <definedName name="TR002A_4026002A04_BF">[67]TR002A!#REF!</definedName>
    <definedName name="TR002A_4026002A04_CA">[67]TR002A!#REF!</definedName>
    <definedName name="TR002A_4026002A04_CB">[67]TR002A!#REF!</definedName>
    <definedName name="TR002A_4026002A04_CF">[67]TR002A!#REF!</definedName>
    <definedName name="TR002A_4026002A04_Report.Range">[67]TR002A!#REF!</definedName>
    <definedName name="TR002A_4026002A04_Y1">[67]TR002A!#REF!</definedName>
    <definedName name="TR002A_4026002A04_Y2">[67]TR002A!#REF!</definedName>
    <definedName name="TR002A_4026002A04_Y3">[67]TR002A!#REF!</definedName>
    <definedName name="TR002A_4026002A04_Y4">[67]TR002A!#REF!</definedName>
    <definedName name="TR002A_4026002A04_Y5">[67]TR002A!#REF!</definedName>
    <definedName name="TR002A_4026002A04_YA">[67]TR002A!#REF!</definedName>
    <definedName name="TR002A_4026002A04_YB">[67]TR002A!#REF!</definedName>
    <definedName name="TR002A_4026002A04_YF">[67]TR002A!#REF!</definedName>
    <definedName name="TR002A_4026002A04_YF0">[67]TR002A!#REF!</definedName>
    <definedName name="TR002A_4027002A05">[67]TR002A!#REF!</definedName>
    <definedName name="TR002A_4027002A05_BA">[67]TR002A!#REF!</definedName>
    <definedName name="TR002A_4027002A05_BB">[67]TR002A!#REF!</definedName>
    <definedName name="TR002A_4027002A05_BF">[67]TR002A!#REF!</definedName>
    <definedName name="TR002A_4027002A05_CA">[67]TR002A!#REF!</definedName>
    <definedName name="TR002A_4027002A05_CB">[67]TR002A!#REF!</definedName>
    <definedName name="TR002A_4027002A05_CF">[67]TR002A!#REF!</definedName>
    <definedName name="TR002A_4027002A05_Report.Range">[67]TR002A!#REF!</definedName>
    <definedName name="TR002A_4027002A05_Y1">[67]TR002A!#REF!</definedName>
    <definedName name="TR002A_4027002A05_Y2">[67]TR002A!#REF!</definedName>
    <definedName name="TR002A_4027002A05_Y3">[67]TR002A!#REF!</definedName>
    <definedName name="TR002A_4027002A05_Y4">[67]TR002A!#REF!</definedName>
    <definedName name="TR002A_4027002A05_Y5">[67]TR002A!#REF!</definedName>
    <definedName name="TR002A_4027002A05_YA">[67]TR002A!#REF!</definedName>
    <definedName name="TR002A_4027002A05_YB">[67]TR002A!#REF!</definedName>
    <definedName name="TR002A_4027002A05_YF">[67]TR002A!#REF!</definedName>
    <definedName name="TR002A_4027002A05_YF0">[67]TR002A!#REF!</definedName>
    <definedName name="TR002A_6000002A00">[67]TR002A!#REF!</definedName>
    <definedName name="TR002A_6000002A00_Report.Range">[67]TR002A!#REF!</definedName>
    <definedName name="TR002A_6000002A02">[67]TR002A!#REF!</definedName>
    <definedName name="TR002A_6000002A02_Report.Range">[67]TR002A!#REF!</definedName>
    <definedName name="TR002A_6000002A03">[67]TR002A!#REF!</definedName>
    <definedName name="TR002A_6000002A03_Report.Range">[67]TR002A!#REF!</definedName>
    <definedName name="TR002A_6002002A00">[67]TR002A!#REF!</definedName>
    <definedName name="TR002A_6002002A00_Report.Range">[67]TR002A!#REF!</definedName>
    <definedName name="TR002A_6002002A02">[67]TR002A!#REF!</definedName>
    <definedName name="TR002A_6002002A02_Report.Range">[67]TR002A!#REF!</definedName>
    <definedName name="TR002A_6002002A03">[67]TR002A!#REF!</definedName>
    <definedName name="TR002A_6002002A03_Report.Range">[67]TR002A!#REF!</definedName>
    <definedName name="TR002A_6003002A00">[67]TR002A!#REF!</definedName>
    <definedName name="TR002A_6003002A00_Report.Range">[67]TR002A!#REF!</definedName>
    <definedName name="TR002A_6006002A00">[67]TR002A!#REF!</definedName>
    <definedName name="TR002A_6006002A00_Report.Range">[67]TR002A!#REF!</definedName>
    <definedName name="TR002A_6008002A00">[67]TR002A!#REF!</definedName>
    <definedName name="TR002A_6008002A00_Report.Range">[67]TR002A!#REF!</definedName>
    <definedName name="TR002A_6010002A00">[67]TR002A!#REF!</definedName>
    <definedName name="TR002A_6010002A00_Report.Range">[67]TR002A!#REF!</definedName>
    <definedName name="TR002A_6010002A03">[67]TR002A!#REF!</definedName>
    <definedName name="TR002A_6010002A03_Report.Range">[67]TR002A!#REF!</definedName>
    <definedName name="TR002A_6016002A00">[67]TR002A!#REF!</definedName>
    <definedName name="TR002A_6016002A00_Report.Range">[67]TR002A!#REF!</definedName>
    <definedName name="TR002A_6018002A00">[67]TR002A!#REF!</definedName>
    <definedName name="TR002A_6018002A00_Report.Range">[67]TR002A!#REF!</definedName>
    <definedName name="TR002A_6022002A00">[67]TR002A!#REF!</definedName>
    <definedName name="TR002A_6022002A00_Report.Range">[67]TR002A!#REF!</definedName>
    <definedName name="TR002A_6024002A00">[67]TR002A!#REF!</definedName>
    <definedName name="TR002A_6024002A00_Report.Range">[67]TR002A!#REF!</definedName>
    <definedName name="TR002A_6025002A00">[67]TR002A!#REF!</definedName>
    <definedName name="TR002A_6025002A00_Report.Range">[67]TR002A!#REF!</definedName>
    <definedName name="TR002A_6026002A00">[67]TR002A!#REF!</definedName>
    <definedName name="TR002A_6026002A00_Report.Range">[67]TR002A!#REF!</definedName>
    <definedName name="TR002A_6027002A00">[67]TR002A!#REF!</definedName>
    <definedName name="TR002A_6027002A00_Report.Range">[67]TR002A!#REF!</definedName>
    <definedName name="TR002A_6030002A00">[67]TR002A!#REF!</definedName>
    <definedName name="TR002A_6030002A00_BA">[67]TR002A!#REF!</definedName>
    <definedName name="TR002A_6030002A00_BB">[67]TR002A!#REF!</definedName>
    <definedName name="TR002A_6030002A00_BF">[67]TR002A!#REF!</definedName>
    <definedName name="TR002A_6030002A00_CA">[67]TR002A!#REF!</definedName>
    <definedName name="TR002A_6030002A00_CB">[67]TR002A!#REF!</definedName>
    <definedName name="TR002A_6030002A00_CF">[67]TR002A!#REF!</definedName>
    <definedName name="TR002A_6030002A00_Report.Range">[67]TR002A!#REF!</definedName>
    <definedName name="TR002A_6030002A00_Y1">[67]TR002A!#REF!</definedName>
    <definedName name="TR002A_6030002A00_Y2">[67]TR002A!#REF!</definedName>
    <definedName name="TR002A_6030002A00_Y3">[67]TR002A!#REF!</definedName>
    <definedName name="TR002A_6030002A00_Y4">[67]TR002A!#REF!</definedName>
    <definedName name="TR002A_6030002A00_Y5">[67]TR002A!#REF!</definedName>
    <definedName name="TR002A_6030002A00_YA">[67]TR002A!#REF!</definedName>
    <definedName name="TR002A_6030002A00_YB">[67]TR002A!#REF!</definedName>
    <definedName name="TR002A_6030002A00_YF">[67]TR002A!#REF!</definedName>
    <definedName name="TR002A_6030002A00_YF0">[67]TR002A!#REF!</definedName>
    <definedName name="TR002A_6060002A02">[67]TR002A!#REF!</definedName>
    <definedName name="TR002A_6060002A02_Report.Range">[67]TR002A!#REF!</definedName>
    <definedName name="TR002A_6060002A03">[67]TR002A!#REF!</definedName>
    <definedName name="TR002A_6060002A03_Report.Range">[67]TR002A!#REF!</definedName>
    <definedName name="TR002A_6063002A03">[67]TR002A!#REF!</definedName>
    <definedName name="TR002A_6063002A03_BA">[67]TR002A!#REF!</definedName>
    <definedName name="TR002A_6063002A03_BB">[67]TR002A!#REF!</definedName>
    <definedName name="TR002A_6063002A03_BF">[67]TR002A!#REF!</definedName>
    <definedName name="TR002A_6063002A03_CA">[67]TR002A!#REF!</definedName>
    <definedName name="TR002A_6063002A03_CB">[67]TR002A!#REF!</definedName>
    <definedName name="TR002A_6063002A03_CF">[67]TR002A!#REF!</definedName>
    <definedName name="TR002A_6063002A03_Report.Range">[67]TR002A!#REF!</definedName>
    <definedName name="TR002A_6063002A03_Y1">[67]TR002A!#REF!</definedName>
    <definedName name="TR002A_6063002A03_Y2">[67]TR002A!#REF!</definedName>
    <definedName name="TR002A_6063002A03_Y3">[67]TR002A!#REF!</definedName>
    <definedName name="TR002A_6063002A03_Y4">[67]TR002A!#REF!</definedName>
    <definedName name="TR002A_6063002A03_Y5">[67]TR002A!#REF!</definedName>
    <definedName name="TR002A_6063002A03_YA">[67]TR002A!#REF!</definedName>
    <definedName name="TR002A_6063002A03_YB">[67]TR002A!#REF!</definedName>
    <definedName name="TR002A_6063002A03_YF">[67]TR002A!#REF!</definedName>
    <definedName name="TR002A_6063002A03_YF0">[67]TR002A!#REF!</definedName>
    <definedName name="TR002A_6068002A00">[67]TR002A!#REF!</definedName>
    <definedName name="TR002A_6068002A00_Report.Range">[67]TR002A!#REF!</definedName>
    <definedName name="TR002A_6071002A00">[67]TR002A!#REF!</definedName>
    <definedName name="TR002A_6071002A00_Report.Range">[67]TR002A!#REF!</definedName>
    <definedName name="TR002A_6072002A03">[67]TR002A!#REF!</definedName>
    <definedName name="TR002A_6072002A03_Report.Range">[67]TR002A!#REF!</definedName>
    <definedName name="TR002A_6073002A01">[67]TR002A!#REF!</definedName>
    <definedName name="TR002A_6073002A01_Report.Range">[67]TR002A!#REF!</definedName>
    <definedName name="TR002A_6075002A00">[67]TR002A!#REF!</definedName>
    <definedName name="TR002A_6075002A00_Report.Range">[67]TR002A!#REF!</definedName>
    <definedName name="TR002A_8000002A00">[67]TR002A!#REF!</definedName>
    <definedName name="TR002A_8000002A00_Report.Range">[67]TR002A!#REF!</definedName>
    <definedName name="TR002A_9006002A00">[67]TR002A!#REF!</definedName>
    <definedName name="TR002A_9006002A00_Report.Range">[67]TR002A!#REF!</definedName>
    <definedName name="TR002A_Asset_Reval_BA">[67]TR002A!$N$131</definedName>
    <definedName name="TR002A_Borr_BA">[67]TR002A!$N$117</definedName>
    <definedName name="TR002A_Cash_BA">[67]TR002A!$N$91</definedName>
    <definedName name="TR002A_Expenses_BA">[67]TR002A!$N$238</definedName>
    <definedName name="TR002A_Income_BA">[67]TR002A!$N$146</definedName>
    <definedName name="TR002A_Other_Expenses_BA">[67]TR002A!$N$323</definedName>
    <definedName name="TR002A_Other_Income_BA">[67]TR002A!$N$320</definedName>
    <definedName name="TR002A_Part_Contr_BA">[67]TR002A!$N$129</definedName>
    <definedName name="TR002A_Ret_Earn_BA">[67]TR002A!$N$134</definedName>
    <definedName name="TR002A_TAssets_BA">[67]TR002A!$N$87</definedName>
    <definedName name="TR002A_Total_Equity_BA">[67]TR002A!$N$127</definedName>
    <definedName name="TR002A_Total_Liabilities_BA">[67]TR002A!$N$115</definedName>
    <definedName name="TR003A_1823003A00_BA">[67]TR003A!#REF!</definedName>
    <definedName name="TR003A_1823003A00_BB">[67]TR003A!#REF!</definedName>
    <definedName name="TR003A_1823003A00_BF">[67]TR003A!#REF!</definedName>
    <definedName name="TR003A_1823003A00_CA">[67]TR003A!#REF!</definedName>
    <definedName name="TR003A_1823003A00_CB">[67]TR003A!#REF!</definedName>
    <definedName name="TR003A_1823003A00_CF">[67]TR003A!#REF!</definedName>
    <definedName name="TR003A_1823003A00_Y1">[67]TR003A!#REF!</definedName>
    <definedName name="TR003A_1823003A00_Y2">[67]TR003A!#REF!</definedName>
    <definedName name="TR003A_1823003A00_Y3">[67]TR003A!#REF!</definedName>
    <definedName name="TR003A_1823003A00_Y4">[67]TR003A!#REF!</definedName>
    <definedName name="TR003A_1823003A00_Y5">[67]TR003A!#REF!</definedName>
    <definedName name="TR003A_1823003A00_YA">[67]TR003A!#REF!</definedName>
    <definedName name="TR003A_1823003A00_YB">[67]TR003A!#REF!</definedName>
    <definedName name="TR003A_1823003A00_YF">[67]TR003A!#REF!</definedName>
    <definedName name="TR003A_1823003A00_YF0">[67]TR003A!#REF!</definedName>
    <definedName name="TR003A_Asset_Reval_BA">[67]TR003A!$N$100</definedName>
    <definedName name="TR003A_Borr_BA">[67]TR003A!$N$90</definedName>
    <definedName name="TR003A_Cash_BA">[67]TR003A!$N$78</definedName>
    <definedName name="TR003A_Expenses_BA">[67]TR003A!$N$118</definedName>
    <definedName name="TR003A_Income_BA">[67]TR003A!$N$106</definedName>
    <definedName name="TR003A_Other_Expenses_BA">[67]TR003A!$N$132</definedName>
    <definedName name="TR003A_Other_Income_BA">[67]TR003A!$N$129</definedName>
    <definedName name="TR003A_Part_Contr_BA">[67]TR003A!$N$98</definedName>
    <definedName name="TR003A_Ret_Earn_BA">[67]TR003A!$N$103</definedName>
    <definedName name="TR003A_TAssets_BA">[67]TR003A!$N$76</definedName>
    <definedName name="TR003A_Total_Equity_BA">[67]TR003A!$N$96</definedName>
    <definedName name="TR003A_Total_Liabilities_BA">[67]TR003A!$N$88</definedName>
    <definedName name="TR004A_Asset_Reval_BA">[67]TR004A!$N$110</definedName>
    <definedName name="TR004A_Borr_BA">[67]TR004A!$N$100</definedName>
    <definedName name="TR004A_Cash_BA">[67]TR004A!$N$84</definedName>
    <definedName name="TR004A_Expenses_BA">[67]TR004A!$N$137</definedName>
    <definedName name="TR004A_Income_BA">[67]TR004A!$N$116</definedName>
    <definedName name="TR004A_Other_Expenses_BA">[67]TR004A!$N$160</definedName>
    <definedName name="TR004A_Other_Income_BA">[67]TR004A!$N$157</definedName>
    <definedName name="TR004A_Part_Contr_BA">[67]TR004A!$N$108</definedName>
    <definedName name="TR004A_Ret_Earn_BA">[67]TR004A!$N$113</definedName>
    <definedName name="TR004A_TAssets_BA">[67]TR004A!$N$80</definedName>
    <definedName name="TR004A_Total_Equity_BA">[67]TR004A!$N$106</definedName>
    <definedName name="TR004A_Total_Liabilities_BA">[67]TR004A!$N$97</definedName>
    <definedName name="TR005A_Asset_Reval_BA">[67]TR005A!$N$94</definedName>
    <definedName name="TR005A_Borr_BA">[67]TR005A!$N$84</definedName>
    <definedName name="TR005A_Cash_BA">[67]TR005A!$N$75</definedName>
    <definedName name="TR005A_Expenses_BA">[67]TR005A!$N$111</definedName>
    <definedName name="TR005A_Income_BA">[67]TR005A!$N$99</definedName>
    <definedName name="TR005A_Other_Expenses_BA">[67]TR005A!$N$124</definedName>
    <definedName name="TR005A_Other_Income_BA">[67]TR005A!$N$121</definedName>
    <definedName name="TR005A_Part_Contr_BA">[67]TR005A!$N$92</definedName>
    <definedName name="TR005A_Ret_Earn_BA">[67]TR005A!$N$97</definedName>
    <definedName name="TR005A_TAssets_BA">[67]TR005A!$N$73</definedName>
    <definedName name="TR005A_Total_Equity_BA">[67]TR005A!$N$90</definedName>
    <definedName name="TR005A_Total_Liabilities_BA">[67]TR005A!$N$82</definedName>
    <definedName name="TR006A_1821006A00_BA">[67]TR006A!#REF!</definedName>
    <definedName name="TR006A_1821006A00_BB">[67]TR006A!#REF!</definedName>
    <definedName name="TR006A_1821006A00_BF">[67]TR006A!#REF!</definedName>
    <definedName name="TR006A_1821006A00_CA">[67]TR006A!#REF!</definedName>
    <definedName name="TR006A_1821006A00_CB">[67]TR006A!#REF!</definedName>
    <definedName name="TR006A_1821006A00_CF">[67]TR006A!#REF!</definedName>
    <definedName name="TR006A_1821006A00_Y1">[67]TR006A!#REF!</definedName>
    <definedName name="TR006A_1821006A00_Y2">[67]TR006A!#REF!</definedName>
    <definedName name="TR006A_1821006A00_Y3">[67]TR006A!#REF!</definedName>
    <definedName name="TR006A_1821006A00_Y4">[67]TR006A!#REF!</definedName>
    <definedName name="TR006A_1821006A00_Y5">[67]TR006A!#REF!</definedName>
    <definedName name="TR006A_1821006A00_YA">[67]TR006A!#REF!</definedName>
    <definedName name="TR006A_1821006A00_YB">[67]TR006A!#REF!</definedName>
    <definedName name="TR006A_1821006A00_YF">[67]TR006A!#REF!</definedName>
    <definedName name="TR006A_1821006A00_YF0">[67]TR006A!#REF!</definedName>
    <definedName name="TR006A_Asset_Reval_BA">[67]TR006A!$N$100</definedName>
    <definedName name="TR006A_Borr_BA">[67]TR006A!$N$89</definedName>
    <definedName name="TR006A_Cash_BA">[67]TR006A!$N$77</definedName>
    <definedName name="TR006A_Expenses_BA">[67]TR006A!$N$117</definedName>
    <definedName name="TR006A_Income_BA">[67]TR006A!$N$105</definedName>
    <definedName name="TR006A_Other_Expenses_BA">[67]TR006A!$N$133</definedName>
    <definedName name="TR006A_Other_Income_BA">[67]TR006A!$N$128</definedName>
    <definedName name="TR006A_Part_Contr_BA">[67]TR006A!$N$98</definedName>
    <definedName name="TR006A_Ret_Earn_BA">[67]TR006A!$N$103</definedName>
    <definedName name="TR006A_TAssets_BA">[67]TR006A!$N$75</definedName>
    <definedName name="TR006A_Total_Equity_BA">[67]TR006A!$N$96</definedName>
    <definedName name="TR006A_Total_Liabilities_BA">[67]TR006A!$N$87</definedName>
    <definedName name="TR007A_Asset_Reval_BA">[67]TR007A!$N$94</definedName>
    <definedName name="TR007A_Borr_BA">[67]TR007A!$N$84</definedName>
    <definedName name="TR007A_Cash_BA">[67]TR007A!$N$75</definedName>
    <definedName name="TR007A_Expenses_BA">[67]TR007A!$N$111</definedName>
    <definedName name="TR007A_Income_BA">[67]TR007A!$N$99</definedName>
    <definedName name="TR007A_Other_Expenses_BA">[67]TR007A!$N$123</definedName>
    <definedName name="TR007A_Other_Income_BA">[67]TR007A!$N$121</definedName>
    <definedName name="TR007A_Part_Contr_BA">[67]TR007A!$N$92</definedName>
    <definedName name="TR007A_Ret_Earn_BA">[67]TR007A!$N$97</definedName>
    <definedName name="TR007A_TAssets_BA">[67]TR007A!$N$73</definedName>
    <definedName name="TR007A_Total_Equity_BA">[67]TR007A!$N$90</definedName>
    <definedName name="TR007A_Total_Liabilities_BA">[67]TR007A!$N$82</definedName>
    <definedName name="TR008A_1824008A00_BA">[67]TR008A!#REF!</definedName>
    <definedName name="TR008A_1824008A00_BB">[67]TR008A!#REF!</definedName>
    <definedName name="TR008A_1824008A00_BF">[67]TR008A!#REF!</definedName>
    <definedName name="TR008A_1824008A00_CA">[67]TR008A!#REF!</definedName>
    <definedName name="TR008A_1824008A00_CB">[67]TR008A!#REF!</definedName>
    <definedName name="TR008A_1824008A00_CF">[67]TR008A!#REF!</definedName>
    <definedName name="TR008A_1824008A00_Y1">[67]TR008A!#REF!</definedName>
    <definedName name="TR008A_1824008A00_Y2">[67]TR008A!#REF!</definedName>
    <definedName name="TR008A_1824008A00_Y3">[67]TR008A!#REF!</definedName>
    <definedName name="TR008A_1824008A00_Y4">[67]TR008A!#REF!</definedName>
    <definedName name="TR008A_1824008A00_Y5">[67]TR008A!#REF!</definedName>
    <definedName name="TR008A_1824008A00_YA">[67]TR008A!#REF!</definedName>
    <definedName name="TR008A_1824008A00_YB">[67]TR008A!#REF!</definedName>
    <definedName name="TR008A_1824008A00_YF">[67]TR008A!#REF!</definedName>
    <definedName name="TR008A_1824008A00_YF0">[67]TR008A!#REF!</definedName>
    <definedName name="TR008A_Asset_Reval_BA">[67]TR008A!$N$97</definedName>
    <definedName name="TR008A_Borr_BA">[67]TR008A!$N$86</definedName>
    <definedName name="TR008A_Cash_BA">[67]TR008A!$N$76</definedName>
    <definedName name="TR008A_Expenses_BA">[67]TR008A!$N$114</definedName>
    <definedName name="TR008A_Income_BA">[67]TR008A!$N$102</definedName>
    <definedName name="TR008A_Other_Expenses_BA">[67]TR008A!$N$127</definedName>
    <definedName name="TR008A_Other_Income_BA">[67]TR008A!$N$125</definedName>
    <definedName name="TR008A_Part_Contr_BA">[67]TR008A!$N$95</definedName>
    <definedName name="TR008A_Ret_Earn_BA">[67]TR008A!$N$100</definedName>
    <definedName name="TR008A_TAssets_BA">[67]TR008A!$N$74</definedName>
    <definedName name="TR008A_Total_Equity_BA">[67]TR008A!$N$93</definedName>
    <definedName name="TR008A_Total_Liabilities_BA">[67]TR008A!$N$84</definedName>
    <definedName name="TR009A_Asset_Reval_BA">[67]TR009A!$N$94</definedName>
    <definedName name="TR009A_Borr_BA">[67]TR009A!$N$84</definedName>
    <definedName name="TR009A_Cash_BA">[67]TR009A!$N$75</definedName>
    <definedName name="TR009A_Expenses_BA">[67]TR009A!$N$111</definedName>
    <definedName name="TR009A_Income_BA">[67]TR009A!$N$99</definedName>
    <definedName name="TR009A_Other_Expenses_BA">[67]TR009A!$N$123</definedName>
    <definedName name="TR009A_Other_Income_BA">[67]TR009A!$N$121</definedName>
    <definedName name="TR009A_Part_Contr_BA">[67]TR009A!$N$92</definedName>
    <definedName name="TR009A_Ret_Earn_BA">[67]TR009A!$N$97</definedName>
    <definedName name="TR009A_TAssets_BA">[67]TR009A!$N$73</definedName>
    <definedName name="TR009A_Total_Equity_BA">[67]TR009A!$N$90</definedName>
    <definedName name="TR009A_Total_Liabilities_BA">[67]TR009A!$N$82</definedName>
    <definedName name="TR010A_Asset_Reval_BA">[67]TR010A!$N$118</definedName>
    <definedName name="TR010A_Borr_BA">[67]TR010A!$N$107</definedName>
    <definedName name="TR010A_Cash_BA">[67]TR010A!$N$87</definedName>
    <definedName name="TR010A_Expenses_BA">[67]TR010A!$N$140</definedName>
    <definedName name="TR010A_Income_BA">[67]TR010A!$N$125</definedName>
    <definedName name="TR010A_Other_Expenses_BA">[67]TR010A!$N$160</definedName>
    <definedName name="TR010A_Other_Income_BA">[67]TR010A!$N$156</definedName>
    <definedName name="TR010A_Part_Contr_BA">[67]TR010A!$N$116</definedName>
    <definedName name="TR010A_Ret_Earn_BA">[67]TR010A!$N$121</definedName>
    <definedName name="TR010A_TAssets_BA">[67]TR010A!$N$84</definedName>
    <definedName name="TR010A_Total_Equity_BA">[67]TR010A!$N$114</definedName>
    <definedName name="TR010A_Total_Liabilities_BA">[67]TR010A!$N$105</definedName>
    <definedName name="TR011A_Asset_Reval_BA">[67]TR011A!$N$98</definedName>
    <definedName name="TR011A_Borr_BA">[67]TR011A!$N$88</definedName>
    <definedName name="TR011A_Cash_BA">[67]TR011A!$N$78</definedName>
    <definedName name="TR011A_Expenses_BA">[67]TR011A!$N$118</definedName>
    <definedName name="TR011A_Income_BA">[67]TR011A!$N$104</definedName>
    <definedName name="TR011A_Other_Expenses_BA">[67]TR011A!$N$132</definedName>
    <definedName name="TR011A_Other_Income_BA">[67]TR011A!$N$130</definedName>
    <definedName name="TR011A_Part_Contr_BA">[67]TR011A!$N$96</definedName>
    <definedName name="TR011A_Ret_Earn_BA">[67]TR011A!$N$101</definedName>
    <definedName name="TR011A_TAssets_BA">[67]TR011A!$N$76</definedName>
    <definedName name="TR011A_Total_Equity_BA">[67]TR011A!$N$94</definedName>
    <definedName name="TR011A_Total_Liabilities_BA">[67]TR011A!$N$86</definedName>
    <definedName name="TR012A_Asset_Reval_BA">[67]TR012A!$N$144</definedName>
    <definedName name="TR012A_Borr_BA">[67]TR012A!$N$132</definedName>
    <definedName name="TR012A_Cash_BA">[67]TR012A!$N$111</definedName>
    <definedName name="TR012A_Expenses_BA">[67]TR012A!$N$197</definedName>
    <definedName name="TR012A_Income_BA">[67]TR012A!$N$155</definedName>
    <definedName name="TR012A_Other_Expenses_BA">[67]TR012A!$N$244</definedName>
    <definedName name="TR012A_Other_Income_BA">[67]TR012A!$N$238</definedName>
    <definedName name="TR012A_Part_Contr_BA">[67]TR012A!$N$141</definedName>
    <definedName name="TR012A_Ret_Earn_BA">[67]TR012A!$N$147</definedName>
    <definedName name="TR012A_TAssets_BA">[67]TR012A!$N$106</definedName>
    <definedName name="TR012A_Total_Equity_BA">[67]TR012A!$N$139</definedName>
    <definedName name="TR012A_Total_Liabilities_BA">[67]TR012A!$N$129</definedName>
    <definedName name="TR015A_3002015A00_BA">[67]TR015A!$N$207</definedName>
    <definedName name="TR015A_3003015A00_BA">[67]TR015A!$N$208</definedName>
    <definedName name="TR015A_3004015A00_BA">[67]TR015A!$N$209</definedName>
    <definedName name="TR015A_3005015A00_BA">[67]TR015A!$N$210</definedName>
    <definedName name="TR015A_3006015A00_BA">[67]TR015A!$N$211</definedName>
    <definedName name="TR015A_3007015A00_BA">[67]TR015A!$N$212</definedName>
    <definedName name="TR015A_3008015A00_BA">[67]TR015A!$N$219</definedName>
    <definedName name="TR015A_4005015A00_BA">[67]TR015A!#REF!</definedName>
    <definedName name="TR015A_4005015A00_BB">[67]TR015A!#REF!</definedName>
    <definedName name="TR015A_4005015A00_BF">[67]TR015A!#REF!</definedName>
    <definedName name="TR015A_4005015A00_CA">[67]TR015A!#REF!</definedName>
    <definedName name="TR015A_4005015A00_CB">[67]TR015A!#REF!</definedName>
    <definedName name="TR015A_4005015A00_CF">[67]TR015A!#REF!</definedName>
    <definedName name="TR015A_4005015A00_Y1">[67]TR015A!#REF!</definedName>
    <definedName name="TR015A_4005015A00_Y2">[67]TR015A!#REF!</definedName>
    <definedName name="TR015A_4005015A00_Y3">[67]TR015A!#REF!</definedName>
    <definedName name="TR015A_4005015A00_Y4">[67]TR015A!#REF!</definedName>
    <definedName name="TR015A_4005015A00_Y5">[67]TR015A!#REF!</definedName>
    <definedName name="TR015A_4005015A00_YA">[67]TR015A!#REF!</definedName>
    <definedName name="TR015A_4005015A00_YB">[67]TR015A!#REF!</definedName>
    <definedName name="TR015A_4005015A00_YF">[67]TR015A!#REF!</definedName>
    <definedName name="TR015A_4005015A00_YF0">[67]TR015A!#REF!</definedName>
    <definedName name="TR015A_4006015A01_BA">[67]TR015A!#REF!</definedName>
    <definedName name="TR015A_4006015A01_BB">[67]TR015A!#REF!</definedName>
    <definedName name="TR015A_4006015A01_BF">[67]TR015A!#REF!</definedName>
    <definedName name="TR015A_4006015A01_CA">[67]TR015A!#REF!</definedName>
    <definedName name="TR015A_4006015A01_CB">[67]TR015A!#REF!</definedName>
    <definedName name="TR015A_4006015A01_CF">[67]TR015A!#REF!</definedName>
    <definedName name="TR015A_4006015A01_Y1">[67]TR015A!#REF!</definedName>
    <definedName name="TR015A_4006015A01_Y2">[67]TR015A!#REF!</definedName>
    <definedName name="TR015A_4006015A01_Y3">[67]TR015A!#REF!</definedName>
    <definedName name="TR015A_4006015A01_Y4">[67]TR015A!#REF!</definedName>
    <definedName name="TR015A_4006015A01_Y5">[67]TR015A!#REF!</definedName>
    <definedName name="TR015A_4006015A01_YA">[67]TR015A!#REF!</definedName>
    <definedName name="TR015A_4006015A01_YB">[67]TR015A!#REF!</definedName>
    <definedName name="TR015A_4006015A01_YF">[67]TR015A!#REF!</definedName>
    <definedName name="TR015A_4006015A01_YF0">[67]TR015A!#REF!</definedName>
    <definedName name="TR015A_4007015A01_BA">[67]TR015A!#REF!</definedName>
    <definedName name="TR015A_4007015A01_BB">[67]TR015A!#REF!</definedName>
    <definedName name="TR015A_4007015A01_BF">[67]TR015A!#REF!</definedName>
    <definedName name="TR015A_4007015A01_CA">[67]TR015A!#REF!</definedName>
    <definedName name="TR015A_4007015A01_CB">[67]TR015A!#REF!</definedName>
    <definedName name="TR015A_4007015A01_CF">[67]TR015A!#REF!</definedName>
    <definedName name="TR015A_4007015A01_Y1">[67]TR015A!#REF!</definedName>
    <definedName name="TR015A_4007015A01_Y2">[67]TR015A!#REF!</definedName>
    <definedName name="TR015A_4007015A01_Y3">[67]TR015A!#REF!</definedName>
    <definedName name="TR015A_4007015A01_Y4">[67]TR015A!#REF!</definedName>
    <definedName name="TR015A_4007015A01_Y5">[67]TR015A!#REF!</definedName>
    <definedName name="TR015A_4007015A01_YA">[67]TR015A!#REF!</definedName>
    <definedName name="TR015A_4007015A01_YB">[67]TR015A!#REF!</definedName>
    <definedName name="TR015A_4007015A01_YF">[67]TR015A!#REF!</definedName>
    <definedName name="TR015A_4007015A01_YF0">[67]TR015A!#REF!</definedName>
    <definedName name="TR015A_4008015A01_BA">[67]TR015A!#REF!</definedName>
    <definedName name="TR015A_4008015A01_BB">[67]TR015A!#REF!</definedName>
    <definedName name="TR015A_4008015A01_BF">[67]TR015A!#REF!</definedName>
    <definedName name="TR015A_4008015A01_CA">[67]TR015A!#REF!</definedName>
    <definedName name="TR015A_4008015A01_CB">[67]TR015A!#REF!</definedName>
    <definedName name="TR015A_4008015A01_CF">[67]TR015A!#REF!</definedName>
    <definedName name="TR015A_4008015A01_Y1">[67]TR015A!#REF!</definedName>
    <definedName name="TR015A_4008015A01_Y2">[67]TR015A!#REF!</definedName>
    <definedName name="TR015A_4008015A01_Y3">[67]TR015A!#REF!</definedName>
    <definedName name="TR015A_4008015A01_Y4">[67]TR015A!#REF!</definedName>
    <definedName name="TR015A_4008015A01_Y5">[67]TR015A!#REF!</definedName>
    <definedName name="TR015A_4008015A01_YA">[67]TR015A!#REF!</definedName>
    <definedName name="TR015A_4008015A01_YB">[67]TR015A!#REF!</definedName>
    <definedName name="TR015A_4008015A01_YF">[67]TR015A!#REF!</definedName>
    <definedName name="TR015A_4008015A01_YF0">[67]TR015A!#REF!</definedName>
    <definedName name="TR015A_9000015A00_BA">[67]TR015A!#REF!</definedName>
    <definedName name="TR015A_9000015A00_BB">[67]TR015A!#REF!</definedName>
    <definedName name="TR015A_9000015A00_BF">[67]TR015A!#REF!</definedName>
    <definedName name="TR015A_9000015A00_CA">[67]TR015A!#REF!</definedName>
    <definedName name="TR015A_9000015A00_CB">[67]TR015A!#REF!</definedName>
    <definedName name="TR015A_9000015A00_CF">[67]TR015A!#REF!</definedName>
    <definedName name="TR015A_9000015A00_Y1">[67]TR015A!#REF!</definedName>
    <definedName name="TR015A_9000015A00_Y2">[67]TR015A!#REF!</definedName>
    <definedName name="TR015A_9000015A00_Y3">[67]TR015A!#REF!</definedName>
    <definedName name="TR015A_9000015A00_Y4">[67]TR015A!#REF!</definedName>
    <definedName name="TR015A_9000015A00_Y5">[67]TR015A!#REF!</definedName>
    <definedName name="TR015A_9000015A00_YA">[67]TR015A!#REF!</definedName>
    <definedName name="TR015A_9000015A00_YB">[67]TR015A!#REF!</definedName>
    <definedName name="TR015A_9000015A00_YF">[67]TR015A!#REF!</definedName>
    <definedName name="TR015A_9000015A00_YF0">[67]TR015A!#REF!</definedName>
    <definedName name="TR015A_Asset_Reval_BA">[67]TR015A!$N$217</definedName>
    <definedName name="TR015A_Borr_BA">[67]TR015A!$N$192</definedName>
    <definedName name="TR015A_Cash_BA">[67]TR015A!$N$164</definedName>
    <definedName name="TR015A_Expenses_BA">[67]TR015A!$N$283</definedName>
    <definedName name="TR015A_Income_BA">[67]TR015A!$N$227</definedName>
    <definedName name="TR015A_Other_Expenses_BA">[67]TR015A!$N$353</definedName>
    <definedName name="TR015A_Other_Income_BA">[67]TR015A!$N$338</definedName>
    <definedName name="TR015A_TAssets_BA">[67]TR015A!$N$159</definedName>
    <definedName name="TR015A_Total_Liabilities_BA">[67]TR015A!$N$184</definedName>
    <definedName name="TR016A_1834016A00_BA">[67]TR016A!#REF!</definedName>
    <definedName name="TR016A_1834016A00_BB">[67]TR016A!#REF!</definedName>
    <definedName name="TR016A_1834016A00_BF">[67]TR016A!#REF!</definedName>
    <definedName name="TR016A_1834016A00_CA">[67]TR016A!#REF!</definedName>
    <definedName name="TR016A_1834016A00_CB">[67]TR016A!#REF!</definedName>
    <definedName name="TR016A_1834016A00_CF">[67]TR016A!#REF!</definedName>
    <definedName name="TR016A_1834016A00_Y1">[67]TR016A!#REF!</definedName>
    <definedName name="TR016A_1834016A00_Y2">[67]TR016A!#REF!</definedName>
    <definedName name="TR016A_1834016A00_Y3">[67]TR016A!#REF!</definedName>
    <definedName name="TR016A_1834016A00_Y4">[67]TR016A!#REF!</definedName>
    <definedName name="TR016A_1834016A00_Y5">[67]TR016A!#REF!</definedName>
    <definedName name="TR016A_1834016A00_YA">[67]TR016A!#REF!</definedName>
    <definedName name="TR016A_1834016A00_YB">[67]TR016A!#REF!</definedName>
    <definedName name="TR016A_1834016A00_YF">[67]TR016A!#REF!</definedName>
    <definedName name="TR016A_1834016A00_YF0">[67]TR016A!#REF!</definedName>
    <definedName name="TR016A_Asset_Reval_BA">[67]TR016A!$N$98</definedName>
    <definedName name="TR016A_Borr_BA">[67]TR016A!$N$87</definedName>
    <definedName name="TR016A_Cash_BA">[67]TR016A!$N$76</definedName>
    <definedName name="TR016A_Expenses_BA">[67]TR016A!$N$115</definedName>
    <definedName name="TR016A_Income_BA">[67]TR016A!$N$103</definedName>
    <definedName name="TR016A_Other_Expenses_BA">[67]TR016A!$N$127</definedName>
    <definedName name="TR016A_Other_Income_BA">[67]TR016A!$N$125</definedName>
    <definedName name="TR016A_Part_Contr_BA">[67]TR016A!$N$96</definedName>
    <definedName name="TR016A_Ret_Earn_BA">[67]TR016A!$N$101</definedName>
    <definedName name="TR016A_TAssets_BA">[67]TR016A!$N$74</definedName>
    <definedName name="TR016A_Total_Equity_BA">[67]TR016A!$N$94</definedName>
    <definedName name="TR016A_Total_Liabilities_BA">[67]TR016A!$N$85</definedName>
    <definedName name="TR017A_1833017A00_BA">[67]TR017A!#REF!</definedName>
    <definedName name="TR017A_1833017A00_BB">[67]TR017A!#REF!</definedName>
    <definedName name="TR017A_1833017A00_BF">[67]TR017A!#REF!</definedName>
    <definedName name="TR017A_1833017A00_CA">[67]TR017A!#REF!</definedName>
    <definedName name="TR017A_1833017A00_CB">[67]TR017A!#REF!</definedName>
    <definedName name="TR017A_1833017A00_CF">[67]TR017A!#REF!</definedName>
    <definedName name="TR017A_1833017A00_Y1">[67]TR017A!#REF!</definedName>
    <definedName name="TR017A_1833017A00_Y2">[67]TR017A!#REF!</definedName>
    <definedName name="TR017A_1833017A00_Y3">[67]TR017A!#REF!</definedName>
    <definedName name="TR017A_1833017A00_Y4">[67]TR017A!#REF!</definedName>
    <definedName name="TR017A_1833017A00_Y5">[67]TR017A!#REF!</definedName>
    <definedName name="TR017A_1833017A00_YA">[67]TR017A!#REF!</definedName>
    <definedName name="TR017A_1833017A00_YB">[67]TR017A!#REF!</definedName>
    <definedName name="TR017A_1833017A00_YF">[67]TR017A!#REF!</definedName>
    <definedName name="TR017A_1833017A00_YF0">[67]TR017A!#REF!</definedName>
    <definedName name="TR017A_2521017A00_BA">[67]TR017A!#REF!</definedName>
    <definedName name="TR017A_2521017A00_BB">[67]TR017A!#REF!</definedName>
    <definedName name="TR017A_2521017A00_BF">[67]TR017A!#REF!</definedName>
    <definedName name="TR017A_2521017A00_CA">[67]TR017A!#REF!</definedName>
    <definedName name="TR017A_2521017A00_CB">[67]TR017A!#REF!</definedName>
    <definedName name="TR017A_2521017A00_CF">[67]TR017A!#REF!</definedName>
    <definedName name="TR017A_2521017A00_Y1">[67]TR017A!#REF!</definedName>
    <definedName name="TR017A_2521017A00_Y2">[67]TR017A!#REF!</definedName>
    <definedName name="TR017A_2521017A00_Y3">[67]TR017A!#REF!</definedName>
    <definedName name="TR017A_2521017A00_Y4">[67]TR017A!#REF!</definedName>
    <definedName name="TR017A_2521017A00_Y5">[67]TR017A!#REF!</definedName>
    <definedName name="TR017A_2521017A00_YA">[67]TR017A!#REF!</definedName>
    <definedName name="TR017A_2521017A00_YB">[67]TR017A!#REF!</definedName>
    <definedName name="TR017A_2521017A00_YF">[67]TR017A!#REF!</definedName>
    <definedName name="TR017A_2521017A00_YF0">[67]TR017A!#REF!</definedName>
    <definedName name="TR017A_Asset_Reval_BA">[67]TR017A!$N$96</definedName>
    <definedName name="TR017A_Borr_BA">[67]TR017A!$N$86</definedName>
    <definedName name="TR017A_Cash_BA">[67]TR017A!$N$76</definedName>
    <definedName name="TR017A_Expenses_BA">[67]TR017A!$N$113</definedName>
    <definedName name="TR017A_Income_BA">[67]TR017A!$N$101</definedName>
    <definedName name="TR017A_Other_Expenses_BA">[67]TR017A!$N$125</definedName>
    <definedName name="TR017A_Other_Income_BA">[67]TR017A!$N$123</definedName>
    <definedName name="TR017A_Part_Contr_BA">[67]TR017A!$N$94</definedName>
    <definedName name="TR017A_Ret_Earn_BA">[67]TR017A!$N$99</definedName>
    <definedName name="TR017A_TAssets_BA">[67]TR017A!$N$74</definedName>
    <definedName name="TR017A_Total_Equity_BA">[67]TR017A!$N$92</definedName>
    <definedName name="TR017A_Total_Liabilities_BA">[67]TR017A!$N$84</definedName>
    <definedName name="TR019A_Asset_Reval_BA">[67]TR019A!$N$94</definedName>
    <definedName name="TR019A_Borr_BA">[67]TR019A!$N$84</definedName>
    <definedName name="TR019A_Cash_BA">[67]TR019A!$N$75</definedName>
    <definedName name="TR019A_Expenses_BA">[67]TR019A!$N$113</definedName>
    <definedName name="TR019A_Income_BA">[67]TR019A!$N$100</definedName>
    <definedName name="TR019A_Other_Expenses_BA">[67]TR019A!$N$127</definedName>
    <definedName name="TR019A_Other_Income_BA">[67]TR019A!$N$124</definedName>
    <definedName name="TR019A_Part_Contr_BA">[67]TR019A!$N$92</definedName>
    <definedName name="TR019A_Ret_Earn_BA">[67]TR019A!$N$97</definedName>
    <definedName name="TR019A_TAssets_BA">[67]TR019A!$N$73</definedName>
    <definedName name="TR019A_Total_Equity_BA">[67]TR019A!$N$90</definedName>
    <definedName name="TR019A_Total_Liabilities_BA">[67]TR019A!$N$82</definedName>
    <definedName name="TR020A_Asset_Reval_BA">[67]TR020A!$N$94</definedName>
    <definedName name="TR020A_Borr_BA">[67]TR020A!$N$84</definedName>
    <definedName name="TR020A_Cash_BA">[67]TR020A!$N$75</definedName>
    <definedName name="TR020A_Expenses_BA">[67]TR020A!$N$111</definedName>
    <definedName name="TR020A_Income_BA">[67]TR020A!$N$99</definedName>
    <definedName name="TR020A_Other_Expenses_BA">[67]TR020A!$N$123</definedName>
    <definedName name="TR020A_Other_Income_BA">[67]TR020A!$N$121</definedName>
    <definedName name="TR020A_Part_Contr_BA">[67]TR020A!$N$92</definedName>
    <definedName name="TR020A_Ret_Earn_BA">[67]TR020A!$N$97</definedName>
    <definedName name="TR020A_TAssets_BA">[67]TR020A!$N$73</definedName>
    <definedName name="TR020A_Total_Equity_BA">[67]TR020A!$N$90</definedName>
    <definedName name="TR020A_Total_Liabilities_BA">[67]TR020A!$N$82</definedName>
    <definedName name="TR021A_Asset_Reval_BA">[67]TR021A!$N$95</definedName>
    <definedName name="TR021A_Borr_BA">[67]TR021A!$N$84</definedName>
    <definedName name="TR021A_Cash_BA">[67]TR021A!$N$75</definedName>
    <definedName name="TR021A_Expenses_BA">[67]TR021A!$N$113</definedName>
    <definedName name="TR021A_Income_BA">[67]TR021A!$N$101</definedName>
    <definedName name="TR021A_Other_Expenses_BA">[67]TR021A!$N$125</definedName>
    <definedName name="TR021A_Other_Income_BA">[67]TR021A!$N$123</definedName>
    <definedName name="TR021A_Part_Contr_BA">[67]TR021A!$N$93</definedName>
    <definedName name="TR021A_Ret_Earn_BA">[67]TR021A!$N$99</definedName>
    <definedName name="TR021A_TAssets_BA">[67]TR021A!$N$73</definedName>
    <definedName name="TR021A_Total_Equity_BA">[67]TR021A!$N$91</definedName>
    <definedName name="TR021A_Total_Liabilities_BA">[67]TR021A!$N$82</definedName>
    <definedName name="TR022A_Asset_Reval_BA">[67]TR022A!$N$94</definedName>
    <definedName name="TR022A_Borr_BA">[67]TR022A!$N$84</definedName>
    <definedName name="TR027A_1817027A00_Y5">[67]TR027A!#REF!</definedName>
    <definedName name="TR027A_Expenses_BA">[67]TR027A!$N$152</definedName>
    <definedName name="TR027A_Income_BA">[67]TR027A!$N$135</definedName>
    <definedName name="TR027A_Other_Expenses_BA">[67]TR027A!$N$174</definedName>
    <definedName name="TR027A_Other_Income_BA">[67]TR027A!$N$169</definedName>
    <definedName name="TR035A_Total_Equity_BA">[67]TR035A!$N$90</definedName>
    <definedName name="trigtestconvformula">'[2]Trigger Test'!#REF!</definedName>
    <definedName name="Two">#REF!</definedName>
    <definedName name="uk">0.03</definedName>
    <definedName name="UndistributedIncome">'[17]Forecast trust exps 699'!#REF!</definedName>
    <definedName name="UnitsOnIssue">#REF!</definedName>
    <definedName name="usr">#REF!</definedName>
    <definedName name="ValDiscOp">'[2]Input Sheet'!#REF!</definedName>
    <definedName name="ValidDateTable">#REF!</definedName>
    <definedName name="VALLEY_CENTRAL_SHOPPING_CENTRE">#REF!</definedName>
    <definedName name="VALLEY21110">'[15]21110'!#REF!</definedName>
    <definedName name="valuers">#REF!</definedName>
    <definedName name="vvv" localSheetId="2" hidden="1">{#N/A,#N/A,FALSE,"Cashflows";#N/A,#N/A,FALSE,"Income";#N/A,#N/A,FALSE,"Cash";#N/A,#N/A,FALSE,"BAB's";#N/A,#N/A,FALSE,"Debtors";#N/A,#N/A,FALSE,"Makeup Rent";#N/A,#N/A,FALSE,"Intangibles";#N/A,#N/A,FALSE,"Investments";#N/A,#N/A,FALSE,"Creditors";#N/A,#N/A,FALSE,"Facility";#N/A,#N/A,FALSE,"Capital"}</definedName>
    <definedName name="vvv" hidden="1">{#N/A,#N/A,FALSE,"Cashflows";#N/A,#N/A,FALSE,"Income";#N/A,#N/A,FALSE,"Cash";#N/A,#N/A,FALSE,"BAB's";#N/A,#N/A,FALSE,"Debtors";#N/A,#N/A,FALSE,"Makeup Rent";#N/A,#N/A,FALSE,"Intangibles";#N/A,#N/A,FALSE,"Investments";#N/A,#N/A,FALSE,"Creditors";#N/A,#N/A,FALSE,"Facility";#N/A,#N/A,FALSE,"Capital"}</definedName>
    <definedName name="WANOSClassYFormula">#REF!</definedName>
    <definedName name="WANOSQ7ClassXFormula">#REF!</definedName>
    <definedName name="WANOSQ7ClassYFormula">#REF!</definedName>
    <definedName name="WClassXQ7insertpoint">#REF!</definedName>
    <definedName name="WclassYinsertpoint">#REF!</definedName>
    <definedName name="WClassYQ7insertpoint">#REF!</definedName>
    <definedName name="WFT">[45]Yields!$IH$7:$IL$18</definedName>
    <definedName name="WorkBookIndex">35</definedName>
    <definedName name="wrn.Aging._.and._.Trend._.Analysis." localSheetId="2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Complete._.Report." localSheetId="2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._.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localSheetId="2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detail." localSheetId="2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detail." hidden="1">{"detail1",#N/A,FALSE,"Sheet1";"detail2",#N/A,FALSE,"Sheet1";"detail3",#N/A,FALSE,"Sheet1";"detail4",#N/A,FALSE,"Sheet1";"detail5",#N/A,FALSE,"Sheet1";"detail6",#N/A,FALSE,"Sheet1";"detail7",#N/A,FALSE,"Sheet1";"detail8",#N/A,FALSE,"Sheet1";"detail9",#N/A,FALSE,"Sheet1"}</definedName>
    <definedName name="wrn.Forecast._.Q4a" localSheetId="2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schedules." localSheetId="2" hidden="1">{"FOschedule1",#N/A,FALSE,"Sheet1";"FOschedule2",#N/A,FALSE,"Sheet1";"FOschedule3",#N/A,FALSE,"Sheet1"}</definedName>
    <definedName name="wrn.FOschedules." hidden="1">{"FOschedule1",#N/A,FALSE,"Sheet1";"FOschedule2",#N/A,FALSE,"Sheet1";"FOschedule3",#N/A,FALSE,"Sheet1"}</definedName>
    <definedName name="wrn.Quarter._.End." localSheetId="2" hidden="1">{#N/A,#N/A,FALSE,"Cashflows";#N/A,#N/A,FALSE,"Income";#N/A,#N/A,FALSE,"Cash";#N/A,#N/A,FALSE,"BAB's";#N/A,#N/A,FALSE,"Debtors";#N/A,#N/A,FALSE,"Makeup Rent";#N/A,#N/A,FALSE,"Intangibles";#N/A,#N/A,FALSE,"Investments";#N/A,#N/A,FALSE,"Creditors";#N/A,#N/A,FALSE,"Facility";#N/A,#N/A,FALSE,"Capital"}</definedName>
    <definedName name="wrn.Quarter._.End." hidden="1">{#N/A,#N/A,FALSE,"Cashflows";#N/A,#N/A,FALSE,"Income";#N/A,#N/A,FALSE,"Cash";#N/A,#N/A,FALSE,"BAB's";#N/A,#N/A,FALSE,"Debtors";#N/A,#N/A,FALSE,"Makeup Rent";#N/A,#N/A,FALSE,"Intangibles";#N/A,#N/A,FALSE,"Investments";#N/A,#N/A,FALSE,"Creditors";#N/A,#N/A,FALSE,"Facility";#N/A,#N/A,FALSE,"Capital"}</definedName>
    <definedName name="wrn.schedules." localSheetId="2" hidden="1">{"schedule1",#N/A,FALSE,"Sheet1";"schedule2",#N/A,FALSE,"Sheet1";"schedule3",#N/A,FALSE,"Sheet1";"schedule4",#N/A,FALSE,"Sheet1";"schedule5",#N/A,FALSE,"Sheet1";"schedule6",#N/A,FALSE,"Sheet1"}</definedName>
    <definedName name="wrn.schedules." hidden="1">{"schedule1",#N/A,FALSE,"Sheet1";"schedule2",#N/A,FALSE,"Sheet1";"schedule3",#N/A,FALSE,"Sheet1";"schedule4",#N/A,FALSE,"Sheet1";"schedule5",#N/A,FALSE,"Sheet1";"schedule6",#N/A,FALSE,"Sheet1"}</definedName>
    <definedName name="wrn.Variance._.Q4" localSheetId="2" hidden="1">{"Variance Q4",#N/A,FALSE,"Var"}</definedName>
    <definedName name="wrn.Variance._.Q4" hidden="1">{"Variance Q4",#N/A,FALSE,"Var"}</definedName>
    <definedName name="ws" localSheetId="2" hidden="1">{"'보고양식'!$A$58:$K$111"}</definedName>
    <definedName name="ws" hidden="1">{"'보고양식'!$A$58:$K$111"}</definedName>
    <definedName name="x" localSheetId="2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x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z" localSheetId="2" hidden="1">{#N/A,#N/A,FALSE,"Aging Summary";#N/A,#N/A,FALSE,"Ratio Analysis";#N/A,#N/A,FALSE,"Test 120 Day Accts";#N/A,#N/A,FALSE,"Tickmarks"}</definedName>
    <definedName name="z" hidden="1">{#N/A,#N/A,FALSE,"Aging Summary";#N/A,#N/A,FALSE,"Ratio Analysis";#N/A,#N/A,FALSE,"Test 120 Day Accts";#N/A,#N/A,FALSE,"Tickmarks"}</definedName>
    <definedName name="ㄴㄴ" localSheetId="2" hidden="1">{#N/A,#N/A,FALSE,"Aging Summary";#N/A,#N/A,FALSE,"Ratio Analysis";#N/A,#N/A,FALSE,"Test 120 Day Accts";#N/A,#N/A,FALSE,"Tickmarks"}</definedName>
    <definedName name="ㄴㄴ" hidden="1">{#N/A,#N/A,FALSE,"Aging Summary";#N/A,#N/A,FALSE,"Ratio Analysis";#N/A,#N/A,FALSE,"Test 120 Day Accts";#N/A,#N/A,FALSE,"Tickmarks"}</definedName>
    <definedName name="매출원가" localSheetId="2" hidden="1">{#N/A,#N/A,FALSE,"Aging Summary";#N/A,#N/A,FALSE,"Ratio Analysis";#N/A,#N/A,FALSE,"Test 120 Day Accts";#N/A,#N/A,FALSE,"Tickmarks"}</definedName>
    <definedName name="매출원가" hidden="1">{#N/A,#N/A,FALSE,"Aging Summary";#N/A,#N/A,FALSE,"Ratio Analysis";#N/A,#N/A,FALSE,"Test 120 Day Accts";#N/A,#N/A,FALSE,"Tickmarks"}</definedName>
    <definedName name="매출원가1" localSheetId="2" hidden="1">{#N/A,#N/A,FALSE,"Aging Summary";#N/A,#N/A,FALSE,"Ratio Analysis";#N/A,#N/A,FALSE,"Test 120 Day Accts";#N/A,#N/A,FALSE,"Tickmarks"}</definedName>
    <definedName name="매출원가1" hidden="1">{#N/A,#N/A,FALSE,"Aging Summary";#N/A,#N/A,FALSE,"Ratio Analysis";#N/A,#N/A,FALSE,"Test 120 Day Accts";#N/A,#N/A,FALSE,"Tickmarks"}</definedName>
    <definedName name="제조" hidden="1">#REF!</definedName>
    <definedName name="ㅏㅏ" localSheetId="2" hidden="1">{#N/A,#N/A,FALSE,"Aging Summary";#N/A,#N/A,FALSE,"Ratio Analysis";#N/A,#N/A,FALSE,"Test 120 Day Accts";#N/A,#N/A,FALSE,"Tickmarks"}</definedName>
    <definedName name="ㅏㅏ" hidden="1">{#N/A,#N/A,FALSE,"Aging Summary";#N/A,#N/A,FALSE,"Ratio Analysis";#N/A,#N/A,FALSE,"Test 120 Day Accts";#N/A,#N/A,FALSE,"Tickmarks"}</definedName>
  </definedNames>
  <calcPr calcId="191029" calcMode="manual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70" i="9" l="1"/>
  <c r="AS31" i="9"/>
  <c r="AS26" i="9"/>
  <c r="AX37" i="10"/>
  <c r="AX14" i="10"/>
  <c r="BN173" i="5"/>
  <c r="BL143" i="5"/>
  <c r="BL122" i="5"/>
  <c r="BL117" i="5"/>
  <c r="BL107" i="5"/>
  <c r="BL108" i="5"/>
  <c r="BL102" i="5"/>
  <c r="BL99" i="5"/>
  <c r="BL98" i="5" s="1"/>
  <c r="DE224" i="5"/>
  <c r="DE220" i="5"/>
  <c r="DE206" i="5"/>
  <c r="DE205" i="5"/>
  <c r="DE201" i="5"/>
  <c r="DE200" i="5"/>
  <c r="DE141" i="5"/>
  <c r="DE88" i="5"/>
  <c r="DE65" i="5"/>
  <c r="DE25" i="5"/>
  <c r="BI46" i="9"/>
  <c r="BJ39" i="9"/>
  <c r="BJ46" i="9" s="1"/>
  <c r="BI31" i="9"/>
  <c r="CB160" i="5"/>
  <c r="CA160" i="5"/>
  <c r="BJ8" i="9"/>
  <c r="BO5" i="10" s="1"/>
  <c r="CC272" i="5"/>
  <c r="DE272" i="5" s="1"/>
  <c r="CC271" i="5"/>
  <c r="DE271" i="5" s="1"/>
  <c r="CC270" i="5"/>
  <c r="DE270" i="5" s="1"/>
  <c r="CC269" i="5"/>
  <c r="DE269" i="5" s="1"/>
  <c r="CC268" i="5"/>
  <c r="DE268" i="5" s="1"/>
  <c r="CC267" i="5"/>
  <c r="DE267" i="5" s="1"/>
  <c r="CC265" i="5"/>
  <c r="DE265" i="5" s="1"/>
  <c r="CC264" i="5"/>
  <c r="DE264" i="5" s="1"/>
  <c r="CC263" i="5"/>
  <c r="DE263" i="5" s="1"/>
  <c r="CC262" i="5"/>
  <c r="DE262" i="5" s="1"/>
  <c r="CC261" i="5"/>
  <c r="DE261" i="5" s="1"/>
  <c r="CC260" i="5"/>
  <c r="DE260" i="5" s="1"/>
  <c r="CC258" i="5"/>
  <c r="DE258" i="5" s="1"/>
  <c r="CC257" i="5"/>
  <c r="DE257" i="5" s="1"/>
  <c r="CC256" i="5"/>
  <c r="DE256" i="5" s="1"/>
  <c r="CC255" i="5"/>
  <c r="DE255" i="5" s="1"/>
  <c r="CC254" i="5"/>
  <c r="DE254" i="5" s="1"/>
  <c r="CC253" i="5"/>
  <c r="DE253" i="5" s="1"/>
  <c r="CC251" i="5"/>
  <c r="DE251" i="5" s="1"/>
  <c r="CC250" i="5"/>
  <c r="DE250" i="5" s="1"/>
  <c r="CC249" i="5"/>
  <c r="DE249" i="5" s="1"/>
  <c r="CC248" i="5"/>
  <c r="DE248" i="5" s="1"/>
  <c r="CC247" i="5"/>
  <c r="DE247" i="5" s="1"/>
  <c r="CC246" i="5"/>
  <c r="DE246" i="5" s="1"/>
  <c r="CC245" i="5"/>
  <c r="DE245" i="5" s="1"/>
  <c r="CC243" i="5"/>
  <c r="DE243" i="5" s="1"/>
  <c r="CC242" i="5"/>
  <c r="DE242" i="5" s="1"/>
  <c r="CC241" i="5"/>
  <c r="DE241" i="5" s="1"/>
  <c r="CC240" i="5"/>
  <c r="DE240" i="5" s="1"/>
  <c r="CC239" i="5"/>
  <c r="DE239" i="5" s="1"/>
  <c r="CC238" i="5"/>
  <c r="DE238" i="5" s="1"/>
  <c r="CC236" i="5"/>
  <c r="DE236" i="5" s="1"/>
  <c r="CC235" i="5"/>
  <c r="DE235" i="5" s="1"/>
  <c r="CC234" i="5"/>
  <c r="DE234" i="5" s="1"/>
  <c r="CC233" i="5"/>
  <c r="DE233" i="5" s="1"/>
  <c r="CC232" i="5"/>
  <c r="DE232" i="5" s="1"/>
  <c r="CC231" i="5"/>
  <c r="DE231" i="5" s="1"/>
  <c r="CC229" i="5"/>
  <c r="DE229" i="5" s="1"/>
  <c r="CC228" i="5"/>
  <c r="DE228" i="5" s="1"/>
  <c r="CC227" i="5"/>
  <c r="DE227" i="5" s="1"/>
  <c r="CC226" i="5"/>
  <c r="DE226" i="5" s="1"/>
  <c r="CC225" i="5"/>
  <c r="DE225" i="5" s="1"/>
  <c r="CC222" i="5"/>
  <c r="DE222" i="5" s="1"/>
  <c r="CC208" i="5"/>
  <c r="DE208" i="5" s="1"/>
  <c r="CC203" i="5"/>
  <c r="DE203" i="5" s="1"/>
  <c r="CB198" i="5"/>
  <c r="CA198" i="5"/>
  <c r="CC160" i="5"/>
  <c r="DE160" i="5" s="1"/>
  <c r="CB159" i="5"/>
  <c r="CA159" i="5"/>
  <c r="CB155" i="5"/>
  <c r="CA155" i="5"/>
  <c r="CB57" i="5"/>
  <c r="CA57" i="5"/>
  <c r="CB56" i="5"/>
  <c r="CA56" i="5"/>
  <c r="CC50" i="5"/>
  <c r="DE50" i="5" s="1"/>
  <c r="CC49" i="5"/>
  <c r="CC56" i="5" s="1"/>
  <c r="BN40" i="10"/>
  <c r="BM40" i="10"/>
  <c r="BO24" i="10"/>
  <c r="BO40" i="10" s="1"/>
  <c r="BN13" i="10"/>
  <c r="BN5" i="10"/>
  <c r="BM5" i="10"/>
  <c r="BE26" i="10"/>
  <c r="AX6" i="10"/>
  <c r="AQ66" i="9"/>
  <c r="AQ76" i="9"/>
  <c r="BJ34" i="5"/>
  <c r="AV33" i="10"/>
  <c r="AV26" i="10"/>
  <c r="AV24" i="10"/>
  <c r="BJ14" i="5"/>
  <c r="BK14" i="5" s="1"/>
  <c r="BN14" i="5" s="1"/>
  <c r="AV8" i="10"/>
  <c r="AV12" i="10"/>
  <c r="BK210" i="5"/>
  <c r="BK211" i="5"/>
  <c r="AP26" i="9"/>
  <c r="AQ26" i="9"/>
  <c r="BJ173" i="5"/>
  <c r="BJ171" i="5"/>
  <c r="BJ164" i="5"/>
  <c r="BJ156" i="5"/>
  <c r="BJ143" i="5"/>
  <c r="BK143" i="5" s="1"/>
  <c r="BJ122" i="5"/>
  <c r="BK122" i="5" s="1"/>
  <c r="BI117" i="5"/>
  <c r="BJ117" i="5"/>
  <c r="BK117" i="5" s="1"/>
  <c r="BJ108" i="5"/>
  <c r="BJ102" i="5"/>
  <c r="BK102" i="5" s="1"/>
  <c r="BK130" i="5"/>
  <c r="BK116" i="5"/>
  <c r="BK115" i="5"/>
  <c r="BK114" i="5"/>
  <c r="BK113" i="5"/>
  <c r="BK106" i="5"/>
  <c r="BK104" i="5"/>
  <c r="BK103" i="5"/>
  <c r="BK96" i="5"/>
  <c r="BK97" i="5"/>
  <c r="BK95" i="5"/>
  <c r="BJ99" i="5"/>
  <c r="BJ98" i="5" s="1"/>
  <c r="BK98" i="5" s="1"/>
  <c r="BN41" i="10" l="1"/>
  <c r="BN42" i="10" s="1"/>
  <c r="BN43" i="10" s="1"/>
  <c r="CC57" i="5"/>
  <c r="DE57" i="5" s="1"/>
  <c r="CC155" i="5"/>
  <c r="DE155" i="5" s="1"/>
  <c r="CC198" i="5"/>
  <c r="DE198" i="5" s="1"/>
  <c r="DE49" i="5"/>
  <c r="BJ31" i="9"/>
  <c r="AV37" i="10"/>
  <c r="BJ107" i="5"/>
  <c r="BK107" i="5" s="1"/>
  <c r="BH26" i="10"/>
  <c r="BI30" i="5"/>
  <c r="AP56" i="9"/>
  <c r="BK173" i="5"/>
  <c r="BI159" i="5"/>
  <c r="BI143" i="5"/>
  <c r="BI122" i="5"/>
  <c r="BI108" i="5"/>
  <c r="BI102" i="5"/>
  <c r="BI99" i="5"/>
  <c r="BI98" i="5" s="1"/>
  <c r="BI107" i="5" l="1"/>
  <c r="BJ232" i="5"/>
  <c r="AU37" i="10"/>
  <c r="BJ208" i="5" l="1"/>
  <c r="BJ236" i="5"/>
  <c r="BJ235" i="5"/>
  <c r="BJ198" i="5" s="1"/>
  <c r="AS8" i="10"/>
  <c r="BI208" i="5" l="1"/>
  <c r="BK208" i="5" s="1"/>
  <c r="BY198" i="5"/>
  <c r="BX198" i="5"/>
  <c r="BV198" i="5"/>
  <c r="BU198" i="5"/>
  <c r="BS198" i="5"/>
  <c r="BR198" i="5"/>
  <c r="BT198" i="5" s="1"/>
  <c r="BP198" i="5"/>
  <c r="BO198" i="5"/>
  <c r="BM198" i="5"/>
  <c r="BK197" i="5"/>
  <c r="BJ197" i="5"/>
  <c r="BJ199" i="5" s="1"/>
  <c r="BI197" i="5"/>
  <c r="AN80" i="9"/>
  <c r="AN76" i="9"/>
  <c r="AN81" i="9" s="1"/>
  <c r="AN66" i="9"/>
  <c r="BG34" i="5"/>
  <c r="AS33" i="10"/>
  <c r="AS26" i="10"/>
  <c r="AS24" i="10"/>
  <c r="AS12" i="10"/>
  <c r="BH173" i="5"/>
  <c r="BG171" i="5"/>
  <c r="BG164" i="5"/>
  <c r="BG156" i="5"/>
  <c r="BG143" i="5"/>
  <c r="BG122" i="5"/>
  <c r="BH114" i="5"/>
  <c r="BH115" i="5"/>
  <c r="BH116" i="5"/>
  <c r="BH113" i="5"/>
  <c r="BG117" i="5"/>
  <c r="BH117" i="5" s="1"/>
  <c r="BH103" i="5"/>
  <c r="BH104" i="5"/>
  <c r="BH105" i="5"/>
  <c r="BH106" i="5"/>
  <c r="BH102" i="5"/>
  <c r="BG107" i="5"/>
  <c r="BH107" i="5" s="1"/>
  <c r="BH96" i="5"/>
  <c r="BH97" i="5"/>
  <c r="BH95" i="5"/>
  <c r="BG98" i="5"/>
  <c r="BH98" i="5" s="1"/>
  <c r="BZ198" i="5" l="1"/>
  <c r="DD198" i="5" s="1"/>
  <c r="BW198" i="5"/>
  <c r="DC198" i="5" s="1"/>
  <c r="AS37" i="10"/>
  <c r="BQ198" i="5"/>
  <c r="AN82" i="9"/>
  <c r="AN83" i="9" s="1"/>
  <c r="BF46" i="9"/>
  <c r="BG39" i="9"/>
  <c r="BF31" i="9"/>
  <c r="BF21" i="9"/>
  <c r="BE21" i="9"/>
  <c r="BZ160" i="5"/>
  <c r="DD160" i="5" s="1"/>
  <c r="BY160" i="5"/>
  <c r="BX160" i="5"/>
  <c r="BF14" i="9"/>
  <c r="BY154" i="5" s="1"/>
  <c r="BE14" i="9"/>
  <c r="BX154" i="5" s="1"/>
  <c r="BF12" i="9"/>
  <c r="BY152" i="5" s="1"/>
  <c r="BE12" i="9"/>
  <c r="BX152" i="5" s="1"/>
  <c r="BG8" i="9"/>
  <c r="BL5" i="10" s="1"/>
  <c r="BC46" i="9"/>
  <c r="BD39" i="9"/>
  <c r="BD46" i="9" s="1"/>
  <c r="BC21" i="9"/>
  <c r="BB21" i="9"/>
  <c r="BW160" i="5"/>
  <c r="DC160" i="5" s="1"/>
  <c r="BV160" i="5"/>
  <c r="BU160" i="5"/>
  <c r="BD14" i="9"/>
  <c r="BC14" i="9"/>
  <c r="BV154" i="5" s="1"/>
  <c r="BB14" i="9"/>
  <c r="BU154" i="5" s="1"/>
  <c r="BD12" i="9"/>
  <c r="BC12" i="9"/>
  <c r="BB12" i="9"/>
  <c r="BU152" i="5" s="1"/>
  <c r="BD8" i="9"/>
  <c r="BI5" i="10" s="1"/>
  <c r="DD224" i="5"/>
  <c r="DD220" i="5"/>
  <c r="DD206" i="5"/>
  <c r="DD205" i="5"/>
  <c r="DD201" i="5"/>
  <c r="DD200" i="5"/>
  <c r="DD141" i="5"/>
  <c r="DD88" i="5"/>
  <c r="DD65" i="5"/>
  <c r="DD25" i="5"/>
  <c r="DC224" i="5"/>
  <c r="DC220" i="5"/>
  <c r="DC206" i="5"/>
  <c r="DC205" i="5"/>
  <c r="DC201" i="5"/>
  <c r="DC200" i="5"/>
  <c r="DC141" i="5"/>
  <c r="DC88" i="5"/>
  <c r="DC65" i="5"/>
  <c r="DC25" i="5"/>
  <c r="BZ272" i="5"/>
  <c r="DD272" i="5" s="1"/>
  <c r="BZ271" i="5"/>
  <c r="DD271" i="5" s="1"/>
  <c r="BZ270" i="5"/>
  <c r="DD270" i="5" s="1"/>
  <c r="BZ269" i="5"/>
  <c r="DD269" i="5" s="1"/>
  <c r="BZ268" i="5"/>
  <c r="DD268" i="5" s="1"/>
  <c r="BZ267" i="5"/>
  <c r="DD267" i="5" s="1"/>
  <c r="BZ265" i="5"/>
  <c r="DD265" i="5" s="1"/>
  <c r="BZ264" i="5"/>
  <c r="DD264" i="5" s="1"/>
  <c r="BZ263" i="5"/>
  <c r="DD263" i="5" s="1"/>
  <c r="BZ262" i="5"/>
  <c r="DD262" i="5" s="1"/>
  <c r="BZ261" i="5"/>
  <c r="DD261" i="5" s="1"/>
  <c r="BZ260" i="5"/>
  <c r="DD260" i="5" s="1"/>
  <c r="BZ258" i="5"/>
  <c r="DD258" i="5" s="1"/>
  <c r="BZ257" i="5"/>
  <c r="DD257" i="5" s="1"/>
  <c r="BZ256" i="5"/>
  <c r="DD256" i="5" s="1"/>
  <c r="BZ255" i="5"/>
  <c r="DD255" i="5" s="1"/>
  <c r="BZ254" i="5"/>
  <c r="DD254" i="5" s="1"/>
  <c r="BZ253" i="5"/>
  <c r="DD253" i="5" s="1"/>
  <c r="BZ251" i="5"/>
  <c r="DD251" i="5" s="1"/>
  <c r="BZ250" i="5"/>
  <c r="DD250" i="5" s="1"/>
  <c r="BZ249" i="5"/>
  <c r="DD249" i="5" s="1"/>
  <c r="BZ248" i="5"/>
  <c r="DD248" i="5" s="1"/>
  <c r="BZ247" i="5"/>
  <c r="DD247" i="5" s="1"/>
  <c r="BZ246" i="5"/>
  <c r="DD246" i="5" s="1"/>
  <c r="BZ245" i="5"/>
  <c r="DD245" i="5" s="1"/>
  <c r="BZ243" i="5"/>
  <c r="DD243" i="5" s="1"/>
  <c r="BZ242" i="5"/>
  <c r="DD242" i="5" s="1"/>
  <c r="BZ241" i="5"/>
  <c r="DD241" i="5" s="1"/>
  <c r="BZ240" i="5"/>
  <c r="DD240" i="5" s="1"/>
  <c r="BZ239" i="5"/>
  <c r="DD239" i="5" s="1"/>
  <c r="BZ238" i="5"/>
  <c r="DD238" i="5" s="1"/>
  <c r="BZ236" i="5"/>
  <c r="DD236" i="5" s="1"/>
  <c r="BZ235" i="5"/>
  <c r="DD235" i="5" s="1"/>
  <c r="BZ234" i="5"/>
  <c r="DD234" i="5" s="1"/>
  <c r="BZ233" i="5"/>
  <c r="DD233" i="5" s="1"/>
  <c r="BZ232" i="5"/>
  <c r="DD232" i="5" s="1"/>
  <c r="BZ231" i="5"/>
  <c r="DD231" i="5" s="1"/>
  <c r="BZ229" i="5"/>
  <c r="DD229" i="5" s="1"/>
  <c r="BZ228" i="5"/>
  <c r="DD228" i="5" s="1"/>
  <c r="BZ227" i="5"/>
  <c r="DD227" i="5" s="1"/>
  <c r="BZ226" i="5"/>
  <c r="DD226" i="5" s="1"/>
  <c r="BZ225" i="5"/>
  <c r="DD225" i="5" s="1"/>
  <c r="BZ222" i="5"/>
  <c r="DD222" i="5" s="1"/>
  <c r="BZ208" i="5"/>
  <c r="DD208" i="5" s="1"/>
  <c r="BZ203" i="5"/>
  <c r="DD203" i="5" s="1"/>
  <c r="BY159" i="5"/>
  <c r="BX159" i="5"/>
  <c r="BY155" i="5"/>
  <c r="BX155" i="5"/>
  <c r="BY57" i="5"/>
  <c r="BX57" i="5"/>
  <c r="BY56" i="5"/>
  <c r="BX56" i="5"/>
  <c r="BZ50" i="5"/>
  <c r="BZ57" i="5" s="1"/>
  <c r="DD57" i="5" s="1"/>
  <c r="BZ49" i="5"/>
  <c r="DD49" i="5" s="1"/>
  <c r="BW272" i="5"/>
  <c r="DC272" i="5" s="1"/>
  <c r="BW271" i="5"/>
  <c r="DC271" i="5" s="1"/>
  <c r="BW270" i="5"/>
  <c r="DC270" i="5" s="1"/>
  <c r="BW269" i="5"/>
  <c r="DC269" i="5" s="1"/>
  <c r="BW268" i="5"/>
  <c r="DC268" i="5" s="1"/>
  <c r="BW267" i="5"/>
  <c r="DC267" i="5" s="1"/>
  <c r="BW265" i="5"/>
  <c r="DC265" i="5" s="1"/>
  <c r="BW264" i="5"/>
  <c r="DC264" i="5" s="1"/>
  <c r="BW263" i="5"/>
  <c r="DC263" i="5" s="1"/>
  <c r="BW262" i="5"/>
  <c r="DC262" i="5" s="1"/>
  <c r="BW261" i="5"/>
  <c r="DC261" i="5" s="1"/>
  <c r="BW260" i="5"/>
  <c r="DC260" i="5" s="1"/>
  <c r="BW258" i="5"/>
  <c r="DC258" i="5" s="1"/>
  <c r="BW257" i="5"/>
  <c r="DC257" i="5" s="1"/>
  <c r="BW256" i="5"/>
  <c r="DC256" i="5" s="1"/>
  <c r="BW255" i="5"/>
  <c r="DC255" i="5" s="1"/>
  <c r="BW254" i="5"/>
  <c r="DC254" i="5" s="1"/>
  <c r="BW253" i="5"/>
  <c r="DC253" i="5" s="1"/>
  <c r="BW251" i="5"/>
  <c r="DC251" i="5" s="1"/>
  <c r="BW250" i="5"/>
  <c r="DC250" i="5" s="1"/>
  <c r="BW249" i="5"/>
  <c r="DC249" i="5" s="1"/>
  <c r="BW248" i="5"/>
  <c r="DC248" i="5" s="1"/>
  <c r="BW247" i="5"/>
  <c r="DC247" i="5" s="1"/>
  <c r="BW246" i="5"/>
  <c r="DC246" i="5" s="1"/>
  <c r="BW245" i="5"/>
  <c r="DC245" i="5" s="1"/>
  <c r="BW243" i="5"/>
  <c r="DC243" i="5" s="1"/>
  <c r="BW242" i="5"/>
  <c r="DC242" i="5" s="1"/>
  <c r="BW241" i="5"/>
  <c r="DC241" i="5" s="1"/>
  <c r="BW240" i="5"/>
  <c r="DC240" i="5" s="1"/>
  <c r="BW239" i="5"/>
  <c r="DC239" i="5" s="1"/>
  <c r="BW238" i="5"/>
  <c r="DC238" i="5" s="1"/>
  <c r="BW236" i="5"/>
  <c r="DC236" i="5" s="1"/>
  <c r="BW235" i="5"/>
  <c r="DC235" i="5" s="1"/>
  <c r="BW234" i="5"/>
  <c r="DC234" i="5" s="1"/>
  <c r="BW233" i="5"/>
  <c r="DC233" i="5" s="1"/>
  <c r="BW232" i="5"/>
  <c r="DC232" i="5" s="1"/>
  <c r="BW231" i="5"/>
  <c r="DC231" i="5" s="1"/>
  <c r="BW229" i="5"/>
  <c r="DC229" i="5" s="1"/>
  <c r="BW228" i="5"/>
  <c r="DC228" i="5" s="1"/>
  <c r="BW227" i="5"/>
  <c r="DC227" i="5" s="1"/>
  <c r="BW226" i="5"/>
  <c r="DC226" i="5" s="1"/>
  <c r="BW225" i="5"/>
  <c r="DC225" i="5" s="1"/>
  <c r="BW222" i="5"/>
  <c r="DC222" i="5" s="1"/>
  <c r="BW208" i="5"/>
  <c r="DC208" i="5" s="1"/>
  <c r="BW203" i="5"/>
  <c r="DC203" i="5" s="1"/>
  <c r="BV159" i="5"/>
  <c r="BU159" i="5"/>
  <c r="BV155" i="5"/>
  <c r="BU155" i="5"/>
  <c r="BV57" i="5"/>
  <c r="BU57" i="5"/>
  <c r="BV56" i="5"/>
  <c r="BU56" i="5"/>
  <c r="BW50" i="5"/>
  <c r="DC50" i="5" s="1"/>
  <c r="BW49" i="5"/>
  <c r="BW56" i="5" s="1"/>
  <c r="BK40" i="10"/>
  <c r="BM41" i="10" s="1"/>
  <c r="BM42" i="10" s="1"/>
  <c r="BM43" i="10" s="1"/>
  <c r="BJ40" i="10"/>
  <c r="BL24" i="10"/>
  <c r="BL40" i="10" s="1"/>
  <c r="BK13" i="10"/>
  <c r="BK5" i="10"/>
  <c r="BJ5" i="10"/>
  <c r="BH40" i="10"/>
  <c r="BG40" i="10"/>
  <c r="BI24" i="10"/>
  <c r="BI40" i="10" s="1"/>
  <c r="BH13" i="10"/>
  <c r="BH5" i="10"/>
  <c r="BG5" i="10"/>
  <c r="BG46" i="9" l="1"/>
  <c r="BH39" i="9"/>
  <c r="BK41" i="10"/>
  <c r="BK42" i="10" s="1"/>
  <c r="BK43" i="10" s="1"/>
  <c r="BW155" i="5"/>
  <c r="DC155" i="5" s="1"/>
  <c r="BG21" i="9"/>
  <c r="BJ41" i="10"/>
  <c r="BJ42" i="10" s="1"/>
  <c r="BJ43" i="10" s="1"/>
  <c r="BD21" i="9"/>
  <c r="BW57" i="5"/>
  <c r="DC57" i="5" s="1"/>
  <c r="BW154" i="5"/>
  <c r="DC154" i="5" s="1"/>
  <c r="BE39" i="9"/>
  <c r="BE46" i="9" s="1"/>
  <c r="BZ154" i="5"/>
  <c r="DD154" i="5" s="1"/>
  <c r="BZ56" i="5"/>
  <c r="DC49" i="5"/>
  <c r="DD50" i="5"/>
  <c r="BH41" i="10"/>
  <c r="BH42" i="10" s="1"/>
  <c r="BH43" i="10" s="1"/>
  <c r="BZ155" i="5"/>
  <c r="DD155" i="5" s="1"/>
  <c r="BG31" i="9"/>
  <c r="BV152" i="5"/>
  <c r="BW152" i="5" s="1"/>
  <c r="DC152" i="5" s="1"/>
  <c r="BZ152" i="5"/>
  <c r="DD152" i="5" s="1"/>
  <c r="BH46" i="9" l="1"/>
  <c r="AM26" i="9" l="1"/>
  <c r="AM82" i="9"/>
  <c r="AM81" i="9"/>
  <c r="AR37" i="10"/>
  <c r="BG197" i="5"/>
  <c r="BF143" i="5"/>
  <c r="BF122" i="5"/>
  <c r="BF117" i="5"/>
  <c r="BF107" i="5"/>
  <c r="BF98" i="5"/>
  <c r="AM83" i="9" l="1"/>
  <c r="BB26" i="10" l="1"/>
  <c r="BK26" i="10" s="1"/>
  <c r="BN26" i="10" s="1"/>
  <c r="BO26" i="10" s="1"/>
  <c r="BQ14" i="5" l="1"/>
  <c r="BI26" i="10"/>
  <c r="BL26" i="10"/>
  <c r="AW26" i="10"/>
  <c r="BG199" i="5"/>
  <c r="AK26" i="9"/>
  <c r="BK16" i="5"/>
  <c r="BN16" i="5" s="1"/>
  <c r="BQ16" i="5" s="1"/>
  <c r="BT16" i="5" s="1"/>
  <c r="BW16" i="5" s="1"/>
  <c r="BZ16" i="5" s="1"/>
  <c r="CC16" i="5" s="1"/>
  <c r="AK80" i="9"/>
  <c r="AK66" i="9"/>
  <c r="AK76" i="9"/>
  <c r="BD14" i="5"/>
  <c r="BE14" i="5" s="1"/>
  <c r="BD34" i="5"/>
  <c r="AP12" i="10"/>
  <c r="AP33" i="10"/>
  <c r="AP26" i="10"/>
  <c r="AP24" i="10"/>
  <c r="BF198" i="5"/>
  <c r="BF207" i="5"/>
  <c r="BF197" i="5" s="1"/>
  <c r="CG208" i="5"/>
  <c r="BE199" i="5"/>
  <c r="BT14" i="5" l="1"/>
  <c r="BW14" i="5" s="1"/>
  <c r="AK81" i="9"/>
  <c r="AP37" i="10"/>
  <c r="BD164" i="5"/>
  <c r="BD173" i="5"/>
  <c r="BE173" i="5" s="1"/>
  <c r="BD171" i="5"/>
  <c r="BD156" i="5"/>
  <c r="BD143" i="5"/>
  <c r="BD122" i="5"/>
  <c r="BE122" i="5" s="1"/>
  <c r="BD117" i="5"/>
  <c r="BE117" i="5" s="1"/>
  <c r="BD107" i="5"/>
  <c r="BE107" i="5" s="1"/>
  <c r="BE116" i="5"/>
  <c r="BE115" i="5"/>
  <c r="BE114" i="5"/>
  <c r="BE113" i="5"/>
  <c r="BE106" i="5"/>
  <c r="BE104" i="5"/>
  <c r="BE103" i="5"/>
  <c r="BE102" i="5"/>
  <c r="BE96" i="5"/>
  <c r="BE97" i="5"/>
  <c r="BE95" i="5"/>
  <c r="BD98" i="5"/>
  <c r="BE98" i="5" s="1"/>
  <c r="DC14" i="5" l="1"/>
  <c r="BZ14" i="5"/>
  <c r="DB224" i="5"/>
  <c r="DB220" i="5"/>
  <c r="DB206" i="5"/>
  <c r="DB205" i="5"/>
  <c r="DB201" i="5"/>
  <c r="DB200" i="5"/>
  <c r="DB141" i="5"/>
  <c r="DB88" i="5"/>
  <c r="DB65" i="5"/>
  <c r="DB25" i="5"/>
  <c r="DA224" i="5"/>
  <c r="DA220" i="5"/>
  <c r="DA206" i="5"/>
  <c r="DA205" i="5"/>
  <c r="DA201" i="5"/>
  <c r="DA200" i="5"/>
  <c r="DA141" i="5"/>
  <c r="DA88" i="5"/>
  <c r="DA65" i="5"/>
  <c r="DA25" i="5"/>
  <c r="DD14" i="5" l="1"/>
  <c r="CC14" i="5"/>
  <c r="DE14" i="5" s="1"/>
  <c r="BT272" i="5"/>
  <c r="DB272" i="5" s="1"/>
  <c r="BT271" i="5"/>
  <c r="DB271" i="5" s="1"/>
  <c r="BT270" i="5"/>
  <c r="DB270" i="5" s="1"/>
  <c r="BT269" i="5"/>
  <c r="DB269" i="5" s="1"/>
  <c r="BT268" i="5"/>
  <c r="DB268" i="5" s="1"/>
  <c r="BT267" i="5"/>
  <c r="DB267" i="5" s="1"/>
  <c r="BT265" i="5"/>
  <c r="DB265" i="5" s="1"/>
  <c r="BT264" i="5"/>
  <c r="DB264" i="5" s="1"/>
  <c r="BT263" i="5"/>
  <c r="DB263" i="5" s="1"/>
  <c r="BT262" i="5"/>
  <c r="DB262" i="5" s="1"/>
  <c r="BT261" i="5"/>
  <c r="DB261" i="5" s="1"/>
  <c r="BT260" i="5"/>
  <c r="DB260" i="5" s="1"/>
  <c r="BT258" i="5"/>
  <c r="DB258" i="5" s="1"/>
  <c r="BT257" i="5"/>
  <c r="DB257" i="5" s="1"/>
  <c r="BT256" i="5"/>
  <c r="DB256" i="5" s="1"/>
  <c r="BT255" i="5"/>
  <c r="DB255" i="5" s="1"/>
  <c r="BT254" i="5"/>
  <c r="DB254" i="5" s="1"/>
  <c r="BT253" i="5"/>
  <c r="DB253" i="5" s="1"/>
  <c r="BT251" i="5"/>
  <c r="DB251" i="5" s="1"/>
  <c r="BT250" i="5"/>
  <c r="DB250" i="5" s="1"/>
  <c r="BT249" i="5"/>
  <c r="DB249" i="5" s="1"/>
  <c r="BT248" i="5"/>
  <c r="DB248" i="5" s="1"/>
  <c r="BT247" i="5"/>
  <c r="DB247" i="5" s="1"/>
  <c r="BT246" i="5"/>
  <c r="DB246" i="5" s="1"/>
  <c r="BT245" i="5"/>
  <c r="DB245" i="5" s="1"/>
  <c r="BT243" i="5"/>
  <c r="DB243" i="5" s="1"/>
  <c r="BT242" i="5"/>
  <c r="DB242" i="5" s="1"/>
  <c r="BT241" i="5"/>
  <c r="DB241" i="5" s="1"/>
  <c r="BT240" i="5"/>
  <c r="DB240" i="5" s="1"/>
  <c r="BT239" i="5"/>
  <c r="DB239" i="5" s="1"/>
  <c r="BT238" i="5"/>
  <c r="DB238" i="5" s="1"/>
  <c r="BT236" i="5"/>
  <c r="DB236" i="5" s="1"/>
  <c r="BT235" i="5"/>
  <c r="DB235" i="5" s="1"/>
  <c r="BT234" i="5"/>
  <c r="DB234" i="5" s="1"/>
  <c r="BT233" i="5"/>
  <c r="DB233" i="5" s="1"/>
  <c r="BT232" i="5"/>
  <c r="DB232" i="5" s="1"/>
  <c r="BT231" i="5"/>
  <c r="DB231" i="5" s="1"/>
  <c r="BT229" i="5"/>
  <c r="DB229" i="5" s="1"/>
  <c r="BT228" i="5"/>
  <c r="DB228" i="5" s="1"/>
  <c r="BT227" i="5"/>
  <c r="DB227" i="5" s="1"/>
  <c r="BT226" i="5"/>
  <c r="DB226" i="5" s="1"/>
  <c r="BT225" i="5"/>
  <c r="DB225" i="5" s="1"/>
  <c r="BT222" i="5"/>
  <c r="DB222" i="5" s="1"/>
  <c r="BT208" i="5"/>
  <c r="DB208" i="5" s="1"/>
  <c r="BT203" i="5"/>
  <c r="DB203" i="5" s="1"/>
  <c r="BS159" i="5"/>
  <c r="BR159" i="5"/>
  <c r="BS155" i="5"/>
  <c r="BR155" i="5"/>
  <c r="BS57" i="5"/>
  <c r="BR57" i="5"/>
  <c r="BS56" i="5"/>
  <c r="BR56" i="5"/>
  <c r="BT50" i="5"/>
  <c r="BT49" i="5"/>
  <c r="AZ46" i="9"/>
  <c r="BA39" i="9"/>
  <c r="AZ21" i="9"/>
  <c r="AY21" i="9"/>
  <c r="BT160" i="5"/>
  <c r="DB160" i="5" s="1"/>
  <c r="BS160" i="5"/>
  <c r="BR160" i="5"/>
  <c r="BA14" i="9"/>
  <c r="AZ14" i="9"/>
  <c r="BS154" i="5" s="1"/>
  <c r="AY14" i="9"/>
  <c r="BR154" i="5" s="1"/>
  <c r="BA12" i="9"/>
  <c r="AZ12" i="9"/>
  <c r="AY12" i="9"/>
  <c r="BR152" i="5" s="1"/>
  <c r="BA8" i="9"/>
  <c r="BF5" i="10" s="1"/>
  <c r="BD40" i="10"/>
  <c r="BE40" i="10"/>
  <c r="BG41" i="10" s="1"/>
  <c r="BG42" i="10" s="1"/>
  <c r="BG43" i="10" s="1"/>
  <c r="BE13" i="10"/>
  <c r="BE5" i="10"/>
  <c r="BD5" i="10"/>
  <c r="BA46" i="9" l="1"/>
  <c r="BB39" i="9"/>
  <c r="BT155" i="5"/>
  <c r="DB155" i="5" s="1"/>
  <c r="DB198" i="5"/>
  <c r="BT56" i="5"/>
  <c r="DB49" i="5"/>
  <c r="BT57" i="5"/>
  <c r="DB57" i="5" s="1"/>
  <c r="DB50" i="5"/>
  <c r="BF24" i="10"/>
  <c r="BF40" i="10" s="1"/>
  <c r="BE41" i="10"/>
  <c r="BE42" i="10" s="1"/>
  <c r="BE43" i="10" s="1"/>
  <c r="BT154" i="5"/>
  <c r="DB154" i="5" s="1"/>
  <c r="BS152" i="5"/>
  <c r="BT152" i="5" s="1"/>
  <c r="DB152" i="5" s="1"/>
  <c r="BA21" i="9"/>
  <c r="AJ26" i="9"/>
  <c r="AJ81" i="9"/>
  <c r="AJ63" i="9"/>
  <c r="AJ64" i="9" s="1"/>
  <c r="AO37" i="10"/>
  <c r="BC143" i="5"/>
  <c r="BC122" i="5"/>
  <c r="BC117" i="5"/>
  <c r="BC107" i="5"/>
  <c r="BC98" i="5"/>
  <c r="BB46" i="9" l="1"/>
  <c r="BC13" i="5" l="1"/>
  <c r="AH26" i="9" l="1"/>
  <c r="AI26" i="9" s="1"/>
  <c r="AH76" i="9"/>
  <c r="AH82" i="9" s="1"/>
  <c r="AH66" i="9"/>
  <c r="AH83" i="9" s="1"/>
  <c r="BA34" i="5"/>
  <c r="BA14" i="5"/>
  <c r="BB14" i="5" s="1"/>
  <c r="AM33" i="10"/>
  <c r="AM26" i="10"/>
  <c r="AM24" i="10"/>
  <c r="AM8" i="10"/>
  <c r="AM12" i="10"/>
  <c r="AM13" i="10" s="1"/>
  <c r="BC197" i="5"/>
  <c r="BE197" i="5"/>
  <c r="BA211" i="5"/>
  <c r="BA210" i="5" s="1"/>
  <c r="BA199" i="5"/>
  <c r="BA173" i="5"/>
  <c r="BA171" i="5"/>
  <c r="BA164" i="5"/>
  <c r="BA156" i="5"/>
  <c r="BA143" i="5"/>
  <c r="BA122" i="5"/>
  <c r="BB95" i="5"/>
  <c r="BA117" i="5"/>
  <c r="BA107" i="5"/>
  <c r="BA98" i="5"/>
  <c r="AM37" i="10" l="1"/>
  <c r="BD197" i="5"/>
  <c r="AX39" i="9" l="1"/>
  <c r="AY39" i="9" s="1"/>
  <c r="AO39" i="9"/>
  <c r="AP39" i="9" s="1"/>
  <c r="AL39" i="9"/>
  <c r="BQ160" i="5"/>
  <c r="DA160" i="5" s="1"/>
  <c r="BP160" i="5"/>
  <c r="BO160" i="5"/>
  <c r="AX8" i="9"/>
  <c r="BC5" i="10" s="1"/>
  <c r="BQ272" i="5"/>
  <c r="DA272" i="5" s="1"/>
  <c r="BQ271" i="5"/>
  <c r="DA271" i="5" s="1"/>
  <c r="BQ270" i="5"/>
  <c r="DA270" i="5" s="1"/>
  <c r="BQ269" i="5"/>
  <c r="DA269" i="5" s="1"/>
  <c r="BQ268" i="5"/>
  <c r="DA268" i="5" s="1"/>
  <c r="BQ267" i="5"/>
  <c r="DA267" i="5" s="1"/>
  <c r="BQ265" i="5"/>
  <c r="DA265" i="5" s="1"/>
  <c r="BQ264" i="5"/>
  <c r="DA264" i="5" s="1"/>
  <c r="BQ263" i="5"/>
  <c r="DA263" i="5" s="1"/>
  <c r="BQ262" i="5"/>
  <c r="DA262" i="5" s="1"/>
  <c r="BQ261" i="5"/>
  <c r="DA261" i="5" s="1"/>
  <c r="BQ260" i="5"/>
  <c r="DA260" i="5" s="1"/>
  <c r="BQ258" i="5"/>
  <c r="DA258" i="5" s="1"/>
  <c r="BQ257" i="5"/>
  <c r="DA257" i="5" s="1"/>
  <c r="BQ256" i="5"/>
  <c r="DA256" i="5" s="1"/>
  <c r="BQ255" i="5"/>
  <c r="DA255" i="5" s="1"/>
  <c r="BQ254" i="5"/>
  <c r="DA254" i="5" s="1"/>
  <c r="BQ253" i="5"/>
  <c r="DA253" i="5" s="1"/>
  <c r="BQ251" i="5"/>
  <c r="DA251" i="5" s="1"/>
  <c r="BQ250" i="5"/>
  <c r="DA250" i="5" s="1"/>
  <c r="BQ249" i="5"/>
  <c r="DA249" i="5" s="1"/>
  <c r="BQ248" i="5"/>
  <c r="DA248" i="5" s="1"/>
  <c r="BQ247" i="5"/>
  <c r="DA247" i="5" s="1"/>
  <c r="BQ246" i="5"/>
  <c r="DA246" i="5" s="1"/>
  <c r="BQ245" i="5"/>
  <c r="DA245" i="5" s="1"/>
  <c r="BQ243" i="5"/>
  <c r="DA243" i="5" s="1"/>
  <c r="BQ242" i="5"/>
  <c r="DA242" i="5" s="1"/>
  <c r="BQ241" i="5"/>
  <c r="DA241" i="5" s="1"/>
  <c r="BQ240" i="5"/>
  <c r="DA240" i="5" s="1"/>
  <c r="BQ239" i="5"/>
  <c r="DA239" i="5" s="1"/>
  <c r="BQ238" i="5"/>
  <c r="DA238" i="5" s="1"/>
  <c r="BQ236" i="5"/>
  <c r="DA236" i="5" s="1"/>
  <c r="BQ235" i="5"/>
  <c r="DA235" i="5" s="1"/>
  <c r="BQ234" i="5"/>
  <c r="DA234" i="5" s="1"/>
  <c r="BQ233" i="5"/>
  <c r="DA233" i="5" s="1"/>
  <c r="BQ232" i="5"/>
  <c r="DA232" i="5" s="1"/>
  <c r="BQ231" i="5"/>
  <c r="DA231" i="5" s="1"/>
  <c r="BQ229" i="5"/>
  <c r="DA229" i="5" s="1"/>
  <c r="BQ228" i="5"/>
  <c r="DA228" i="5" s="1"/>
  <c r="BQ227" i="5"/>
  <c r="DA227" i="5" s="1"/>
  <c r="BQ226" i="5"/>
  <c r="DA226" i="5" s="1"/>
  <c r="BQ225" i="5"/>
  <c r="DA225" i="5" s="1"/>
  <c r="BQ222" i="5"/>
  <c r="DA222" i="5" s="1"/>
  <c r="BQ208" i="5"/>
  <c r="DA208" i="5" s="1"/>
  <c r="BQ203" i="5"/>
  <c r="DA203" i="5" s="1"/>
  <c r="BP159" i="5"/>
  <c r="BO159" i="5"/>
  <c r="BP155" i="5"/>
  <c r="BO155" i="5"/>
  <c r="BP57" i="5"/>
  <c r="BO57" i="5"/>
  <c r="BP56" i="5"/>
  <c r="BO56" i="5"/>
  <c r="BQ50" i="5"/>
  <c r="BQ49" i="5"/>
  <c r="BB5" i="10"/>
  <c r="BA5" i="10"/>
  <c r="DA198" i="5" l="1"/>
  <c r="AP46" i="9"/>
  <c r="AQ39" i="9"/>
  <c r="AR39" i="9" s="1"/>
  <c r="AS39" i="9" s="1"/>
  <c r="AT39" i="9" s="1"/>
  <c r="AU39" i="9" s="1"/>
  <c r="AV39" i="9" s="1"/>
  <c r="AV46" i="9" s="1"/>
  <c r="BQ57" i="5"/>
  <c r="DA57" i="5" s="1"/>
  <c r="DA50" i="5"/>
  <c r="BQ56" i="5"/>
  <c r="DA49" i="5"/>
  <c r="AY46" i="9"/>
  <c r="BQ155" i="5"/>
  <c r="DA155" i="5" s="1"/>
  <c r="AX46" i="9" l="1"/>
  <c r="AW46" i="9"/>
  <c r="BB173" i="5" l="1"/>
  <c r="AG80" i="9"/>
  <c r="AL13" i="10"/>
  <c r="AL37" i="10"/>
  <c r="AZ210" i="5"/>
  <c r="AZ143" i="5"/>
  <c r="AZ122" i="5"/>
  <c r="AZ107" i="5"/>
  <c r="AZ98" i="5"/>
  <c r="BB197" i="5" l="1"/>
  <c r="AZ197" i="5"/>
  <c r="AZ198" i="5" s="1"/>
  <c r="AZ208" i="5" s="1"/>
  <c r="AX199" i="5"/>
  <c r="AX34" i="5"/>
  <c r="AJ33" i="10"/>
  <c r="AJ26" i="10"/>
  <c r="AJ24" i="10"/>
  <c r="AJ12" i="10"/>
  <c r="AJ8" i="10"/>
  <c r="AX171" i="5"/>
  <c r="AX164" i="5"/>
  <c r="AX156" i="5"/>
  <c r="AX143" i="5"/>
  <c r="AY132" i="5"/>
  <c r="AY131" i="5"/>
  <c r="AY130" i="5"/>
  <c r="AX122" i="5"/>
  <c r="AX107" i="5"/>
  <c r="AJ37" i="10" l="1"/>
  <c r="AX173" i="5"/>
  <c r="CZ224" i="5"/>
  <c r="CZ220" i="5"/>
  <c r="CZ206" i="5"/>
  <c r="CZ205" i="5"/>
  <c r="CZ201" i="5"/>
  <c r="CZ200" i="5"/>
  <c r="CZ141" i="5"/>
  <c r="CZ88" i="5"/>
  <c r="CZ65" i="5"/>
  <c r="CZ25" i="5"/>
  <c r="AN7" i="9"/>
  <c r="AQ7" i="9" s="1"/>
  <c r="AT7" i="9" s="1"/>
  <c r="AW7" i="9" s="1"/>
  <c r="AZ7" i="9" s="1"/>
  <c r="BC7" i="9" s="1"/>
  <c r="BF7" i="9" s="1"/>
  <c r="BI7" i="9" s="1"/>
  <c r="AM7" i="9"/>
  <c r="AP7" i="9" s="1"/>
  <c r="AS7" i="9" s="1"/>
  <c r="AV7" i="9" s="1"/>
  <c r="AY7" i="9" s="1"/>
  <c r="BB7" i="9" s="1"/>
  <c r="BE7" i="9" s="1"/>
  <c r="BH7" i="9" s="1"/>
  <c r="AY5" i="10"/>
  <c r="AX5" i="10"/>
  <c r="BN272" i="5"/>
  <c r="CZ272" i="5" s="1"/>
  <c r="BN271" i="5"/>
  <c r="CZ271" i="5" s="1"/>
  <c r="BN270" i="5"/>
  <c r="CZ270" i="5" s="1"/>
  <c r="BN269" i="5"/>
  <c r="CZ269" i="5" s="1"/>
  <c r="BN268" i="5"/>
  <c r="CZ268" i="5" s="1"/>
  <c r="BN267" i="5"/>
  <c r="CZ267" i="5" s="1"/>
  <c r="BN265" i="5"/>
  <c r="CZ265" i="5" s="1"/>
  <c r="BN264" i="5"/>
  <c r="CZ264" i="5" s="1"/>
  <c r="BN263" i="5"/>
  <c r="CZ263" i="5" s="1"/>
  <c r="BN262" i="5"/>
  <c r="CZ262" i="5" s="1"/>
  <c r="BN261" i="5"/>
  <c r="CZ261" i="5" s="1"/>
  <c r="BN260" i="5"/>
  <c r="CZ260" i="5" s="1"/>
  <c r="BN258" i="5"/>
  <c r="CZ258" i="5" s="1"/>
  <c r="BN257" i="5"/>
  <c r="CZ257" i="5" s="1"/>
  <c r="BN256" i="5"/>
  <c r="CZ256" i="5" s="1"/>
  <c r="BN255" i="5"/>
  <c r="CZ255" i="5" s="1"/>
  <c r="BN254" i="5"/>
  <c r="CZ254" i="5" s="1"/>
  <c r="BN253" i="5"/>
  <c r="CZ253" i="5" s="1"/>
  <c r="BN251" i="5"/>
  <c r="CZ251" i="5" s="1"/>
  <c r="BN250" i="5"/>
  <c r="CZ250" i="5" s="1"/>
  <c r="BN249" i="5"/>
  <c r="CZ249" i="5" s="1"/>
  <c r="BN248" i="5"/>
  <c r="CZ248" i="5" s="1"/>
  <c r="BN247" i="5"/>
  <c r="CZ247" i="5" s="1"/>
  <c r="BN246" i="5"/>
  <c r="CZ246" i="5" s="1"/>
  <c r="BN245" i="5"/>
  <c r="CZ245" i="5" s="1"/>
  <c r="BN243" i="5"/>
  <c r="CZ243" i="5" s="1"/>
  <c r="BN242" i="5"/>
  <c r="CZ242" i="5" s="1"/>
  <c r="BN241" i="5"/>
  <c r="CZ241" i="5" s="1"/>
  <c r="BN240" i="5"/>
  <c r="CZ240" i="5" s="1"/>
  <c r="BN239" i="5"/>
  <c r="CZ239" i="5" s="1"/>
  <c r="BN238" i="5"/>
  <c r="CZ238" i="5" s="1"/>
  <c r="BN236" i="5"/>
  <c r="CZ236" i="5" s="1"/>
  <c r="BN235" i="5"/>
  <c r="CZ235" i="5" s="1"/>
  <c r="BN234" i="5"/>
  <c r="CZ234" i="5" s="1"/>
  <c r="BN233" i="5"/>
  <c r="CZ233" i="5" s="1"/>
  <c r="BN232" i="5"/>
  <c r="CZ232" i="5" s="1"/>
  <c r="BN231" i="5"/>
  <c r="CZ231" i="5" s="1"/>
  <c r="BN229" i="5"/>
  <c r="CZ229" i="5" s="1"/>
  <c r="BN228" i="5"/>
  <c r="CZ228" i="5" s="1"/>
  <c r="BN227" i="5"/>
  <c r="CZ227" i="5" s="1"/>
  <c r="BN226" i="5"/>
  <c r="CZ226" i="5" s="1"/>
  <c r="BN225" i="5"/>
  <c r="CZ225" i="5" s="1"/>
  <c r="BN222" i="5"/>
  <c r="CZ222" i="5" s="1"/>
  <c r="BN203" i="5"/>
  <c r="CZ203" i="5" s="1"/>
  <c r="BM159" i="5"/>
  <c r="BL159" i="5"/>
  <c r="BN159" i="5" s="1"/>
  <c r="BM155" i="5"/>
  <c r="BM57" i="5"/>
  <c r="BL57" i="5"/>
  <c r="BM56" i="5"/>
  <c r="BL56" i="5"/>
  <c r="BN50" i="5"/>
  <c r="BN57" i="5" s="1"/>
  <c r="CZ57" i="5" s="1"/>
  <c r="BN49" i="5"/>
  <c r="BN56" i="5" s="1"/>
  <c r="AT31" i="9"/>
  <c r="BM160" i="5"/>
  <c r="BL160" i="5"/>
  <c r="BN160" i="5" s="1"/>
  <c r="AU8" i="9"/>
  <c r="AZ5" i="10" s="1"/>
  <c r="CZ160" i="5" l="1"/>
  <c r="CZ49" i="5"/>
  <c r="CZ50" i="5"/>
  <c r="AU31" i="9"/>
  <c r="BS86" i="5" l="1"/>
  <c r="BV86" i="5" s="1"/>
  <c r="BR86" i="5"/>
  <c r="BU86" i="5" s="1"/>
  <c r="BU297" i="5" l="1"/>
  <c r="BU87" i="5"/>
  <c r="BW86" i="5"/>
  <c r="DC86" i="5" s="1"/>
  <c r="BX86" i="5"/>
  <c r="CA86" i="5" s="1"/>
  <c r="BV87" i="5"/>
  <c r="BY86" i="5"/>
  <c r="CB86" i="5" s="1"/>
  <c r="BV297" i="5"/>
  <c r="BR87" i="5"/>
  <c r="BR297" i="5"/>
  <c r="BT86" i="5"/>
  <c r="DB86" i="5" s="1"/>
  <c r="BS87" i="5"/>
  <c r="BS297" i="5"/>
  <c r="BO87" i="5"/>
  <c r="BQ86" i="5"/>
  <c r="DA86" i="5" s="1"/>
  <c r="BO297" i="5"/>
  <c r="BP87" i="5"/>
  <c r="BP297" i="5"/>
  <c r="BM87" i="5"/>
  <c r="BM297" i="5"/>
  <c r="BL87" i="5"/>
  <c r="BL297" i="5"/>
  <c r="BN86" i="5"/>
  <c r="AW17" i="5"/>
  <c r="AX17" i="5" s="1"/>
  <c r="AT17" i="5"/>
  <c r="AU17" i="5" s="1"/>
  <c r="AW50" i="5"/>
  <c r="AD56" i="9"/>
  <c r="AI37" i="10"/>
  <c r="AI14" i="10"/>
  <c r="AD26" i="9"/>
  <c r="AW143" i="5"/>
  <c r="AW122" i="5"/>
  <c r="AW117" i="5"/>
  <c r="AW107" i="5"/>
  <c r="AW98" i="5"/>
  <c r="CC86" i="5" l="1"/>
  <c r="DE86" i="5" s="1"/>
  <c r="DE297" i="5" s="1"/>
  <c r="CA87" i="5"/>
  <c r="CA297" i="5"/>
  <c r="CB87" i="5"/>
  <c r="CB297" i="5"/>
  <c r="DC297" i="5"/>
  <c r="DB297" i="5"/>
  <c r="BY87" i="5"/>
  <c r="BY297" i="5"/>
  <c r="BX297" i="5"/>
  <c r="BX87" i="5"/>
  <c r="BZ86" i="5"/>
  <c r="DD86" i="5" s="1"/>
  <c r="DD297" i="5" s="1"/>
  <c r="BW297" i="5"/>
  <c r="BW87" i="5"/>
  <c r="DC87" i="5" s="1"/>
  <c r="DA297" i="5"/>
  <c r="BT87" i="5"/>
  <c r="DB87" i="5" s="1"/>
  <c r="BT297" i="5"/>
  <c r="BQ297" i="5"/>
  <c r="BQ87" i="5"/>
  <c r="DA87" i="5" s="1"/>
  <c r="CZ86" i="5"/>
  <c r="BN297" i="5"/>
  <c r="CC297" i="5" l="1"/>
  <c r="CC87" i="5"/>
  <c r="DE87" i="5" s="1"/>
  <c r="BZ297" i="5"/>
  <c r="BZ87" i="5"/>
  <c r="DD87" i="5" s="1"/>
  <c r="CZ297" i="5"/>
  <c r="AU171" i="5" l="1"/>
  <c r="AV199" i="5" l="1"/>
  <c r="AU211" i="5"/>
  <c r="AU50" i="5"/>
  <c r="AU49" i="5"/>
  <c r="AU47" i="5"/>
  <c r="AB26" i="9"/>
  <c r="AC26" i="9" s="1"/>
  <c r="AB76" i="9"/>
  <c r="AB66" i="9"/>
  <c r="AU34" i="5"/>
  <c r="AU14" i="5"/>
  <c r="AG12" i="10"/>
  <c r="AG33" i="10" l="1"/>
  <c r="AG26" i="10"/>
  <c r="AG24" i="10"/>
  <c r="AG14" i="10"/>
  <c r="AU198" i="5"/>
  <c r="AU164" i="5"/>
  <c r="AU156" i="5"/>
  <c r="AU143" i="5"/>
  <c r="AV143" i="5" s="1"/>
  <c r="AV132" i="5"/>
  <c r="AU122" i="5"/>
  <c r="AU117" i="5"/>
  <c r="AU107" i="5"/>
  <c r="AU98" i="5"/>
  <c r="AV95" i="5"/>
  <c r="AG37" i="10" l="1"/>
  <c r="AX40" i="10" l="1"/>
  <c r="BC26" i="10"/>
  <c r="AZ24" i="10" l="1"/>
  <c r="AZ40" i="10" s="1"/>
  <c r="BB24" i="10"/>
  <c r="BB40" i="10" s="1"/>
  <c r="BD41" i="10" s="1"/>
  <c r="BD42" i="10" s="1"/>
  <c r="BD43" i="10" s="1"/>
  <c r="BA40" i="10"/>
  <c r="AY40" i="10"/>
  <c r="BC24" i="10" l="1"/>
  <c r="BC40" i="10" s="1"/>
  <c r="BB41" i="10"/>
  <c r="BB42" i="10" s="1"/>
  <c r="BB43" i="10" s="1"/>
  <c r="BA41" i="10"/>
  <c r="BA42" i="10" s="1"/>
  <c r="BA43" i="10" s="1"/>
  <c r="BF26" i="10"/>
  <c r="AY41" i="10"/>
  <c r="AY42" i="10" s="1"/>
  <c r="AY43" i="10" s="1"/>
  <c r="AM25" i="10"/>
  <c r="AA56" i="9"/>
  <c r="AB56" i="9" s="1"/>
  <c r="AC34" i="9"/>
  <c r="AF34" i="9" s="1"/>
  <c r="AG34" i="9" s="1"/>
  <c r="AF14" i="10"/>
  <c r="AH14" i="10" s="1"/>
  <c r="AF37" i="10"/>
  <c r="AA26" i="9"/>
  <c r="AU197" i="5"/>
  <c r="AT143" i="5"/>
  <c r="AT122" i="5"/>
  <c r="AT117" i="5"/>
  <c r="AN159" i="5" l="1"/>
  <c r="AL159" i="5"/>
  <c r="AK159" i="5"/>
  <c r="AI159" i="5"/>
  <c r="AH159" i="5"/>
  <c r="AF159" i="5"/>
  <c r="AE159" i="5"/>
  <c r="BJ159" i="5"/>
  <c r="BG159" i="5"/>
  <c r="BF159" i="5"/>
  <c r="BD159" i="5"/>
  <c r="BC159" i="5"/>
  <c r="BA159" i="5"/>
  <c r="AZ159" i="5"/>
  <c r="AX159" i="5"/>
  <c r="AW159" i="5"/>
  <c r="AU159" i="5"/>
  <c r="AT159" i="5"/>
  <c r="AR159" i="5"/>
  <c r="AQ159" i="5"/>
  <c r="AO159" i="5"/>
  <c r="AE150" i="5"/>
  <c r="AC150" i="5"/>
  <c r="AR121" i="5"/>
  <c r="AQ71" i="5"/>
  <c r="AN71" i="5"/>
  <c r="AK71" i="5"/>
  <c r="AJ71" i="5"/>
  <c r="AH71" i="5"/>
  <c r="AE71" i="5"/>
  <c r="AC71" i="5"/>
  <c r="AE31" i="5"/>
  <c r="AC31" i="5"/>
  <c r="AQ30" i="5"/>
  <c r="AQ149" i="5" s="1"/>
  <c r="AN30" i="5"/>
  <c r="AN149" i="5" s="1"/>
  <c r="AK30" i="5"/>
  <c r="AK149" i="5" s="1"/>
  <c r="AJ30" i="5"/>
  <c r="CP30" i="5" s="1"/>
  <c r="AP141" i="5"/>
  <c r="CR141" i="5" s="1"/>
  <c r="CQ141" i="5"/>
  <c r="CO9" i="5"/>
  <c r="AQ13" i="5"/>
  <c r="AN13" i="5"/>
  <c r="AK13" i="5"/>
  <c r="AH13" i="5"/>
  <c r="AE13" i="5"/>
  <c r="AB13" i="5"/>
  <c r="AA13" i="5"/>
  <c r="Z13" i="5"/>
  <c r="Y13" i="5"/>
  <c r="X13" i="5"/>
  <c r="W13" i="5"/>
  <c r="V13" i="5"/>
  <c r="U13" i="5"/>
  <c r="T13" i="5"/>
  <c r="S13" i="5"/>
  <c r="R13" i="5"/>
  <c r="P13" i="5"/>
  <c r="AQ12" i="5"/>
  <c r="AN12" i="5"/>
  <c r="AK12" i="5"/>
  <c r="AH12" i="5"/>
  <c r="AE12" i="5"/>
  <c r="AC12" i="5"/>
  <c r="AB12" i="5"/>
  <c r="AA12" i="5"/>
  <c r="Z12" i="5"/>
  <c r="Y12" i="5"/>
  <c r="X12" i="5"/>
  <c r="W12" i="5"/>
  <c r="V12" i="5"/>
  <c r="U12" i="5"/>
  <c r="T12" i="5"/>
  <c r="S12" i="5"/>
  <c r="R12" i="5"/>
  <c r="P12" i="5"/>
  <c r="P74" i="9"/>
  <c r="O74" i="9"/>
  <c r="M74" i="9"/>
  <c r="Y63" i="9"/>
  <c r="X63" i="9"/>
  <c r="X64" i="9" s="1"/>
  <c r="Y64" i="9" s="1"/>
  <c r="Z64" i="9" s="1"/>
  <c r="V63" i="9"/>
  <c r="S63" i="9"/>
  <c r="R63" i="9"/>
  <c r="R64" i="9" s="1"/>
  <c r="P63" i="9"/>
  <c r="V26" i="9"/>
  <c r="X11" i="9" s="1"/>
  <c r="X38" i="9" s="1"/>
  <c r="U26" i="9"/>
  <c r="V11" i="9" s="1"/>
  <c r="S26" i="9"/>
  <c r="U11" i="9" s="1"/>
  <c r="U38" i="9" s="1"/>
  <c r="R26" i="9"/>
  <c r="S11" i="9" s="1"/>
  <c r="I26" i="9"/>
  <c r="J11" i="9" s="1"/>
  <c r="AV160" i="5"/>
  <c r="CT160" i="5" s="1"/>
  <c r="G13" i="10"/>
  <c r="Z82" i="10"/>
  <c r="X82" i="10"/>
  <c r="V82" i="10"/>
  <c r="T82" i="10"/>
  <c r="T81" i="10"/>
  <c r="O66" i="10"/>
  <c r="N66" i="10"/>
  <c r="M66" i="10"/>
  <c r="K66" i="10"/>
  <c r="J66" i="10"/>
  <c r="H66" i="10"/>
  <c r="G66" i="10"/>
  <c r="E66" i="10"/>
  <c r="D66" i="10"/>
  <c r="O65" i="10"/>
  <c r="N65" i="10"/>
  <c r="M65" i="10"/>
  <c r="K65" i="10"/>
  <c r="J65" i="10"/>
  <c r="H65" i="10"/>
  <c r="G65" i="10"/>
  <c r="E65" i="10"/>
  <c r="D65" i="10"/>
  <c r="O64" i="10"/>
  <c r="N64" i="10"/>
  <c r="M64" i="10"/>
  <c r="K64" i="10"/>
  <c r="J64" i="10"/>
  <c r="H64" i="10"/>
  <c r="G64" i="10"/>
  <c r="E64" i="10"/>
  <c r="D64" i="10"/>
  <c r="O63" i="10"/>
  <c r="N63" i="10"/>
  <c r="M63" i="10"/>
  <c r="K63" i="10"/>
  <c r="J63" i="10"/>
  <c r="H63" i="10"/>
  <c r="G63" i="10"/>
  <c r="E63" i="10"/>
  <c r="D63" i="10"/>
  <c r="O62" i="10"/>
  <c r="N62" i="10"/>
  <c r="M62" i="10"/>
  <c r="K62" i="10"/>
  <c r="J62" i="10"/>
  <c r="D62" i="10"/>
  <c r="O61" i="10"/>
  <c r="N61" i="10"/>
  <c r="M61" i="10"/>
  <c r="K61" i="10"/>
  <c r="J61" i="10"/>
  <c r="H61" i="10"/>
  <c r="G61" i="10"/>
  <c r="E61" i="10"/>
  <c r="D61" i="10"/>
  <c r="O60" i="10"/>
  <c r="N60" i="10"/>
  <c r="M60" i="10"/>
  <c r="K60" i="10"/>
  <c r="J60" i="10"/>
  <c r="H60" i="10"/>
  <c r="G60" i="10"/>
  <c r="E60" i="10"/>
  <c r="D60" i="10"/>
  <c r="O59" i="10"/>
  <c r="N59" i="10"/>
  <c r="M59" i="10"/>
  <c r="K59" i="10"/>
  <c r="J59" i="10"/>
  <c r="H59" i="10"/>
  <c r="G59" i="10"/>
  <c r="E59" i="10"/>
  <c r="D59" i="10"/>
  <c r="L56" i="10"/>
  <c r="I56" i="10"/>
  <c r="F56" i="10"/>
  <c r="C56" i="10"/>
  <c r="L55" i="10"/>
  <c r="I55" i="10"/>
  <c r="F55" i="10"/>
  <c r="C55" i="10"/>
  <c r="L54" i="10"/>
  <c r="I54" i="10"/>
  <c r="F54" i="10"/>
  <c r="C54" i="10"/>
  <c r="L53" i="10"/>
  <c r="I53" i="10"/>
  <c r="F53" i="10"/>
  <c r="C53" i="10"/>
  <c r="L52" i="10"/>
  <c r="I52" i="10"/>
  <c r="H52" i="10"/>
  <c r="H62" i="10" s="1"/>
  <c r="G52" i="10"/>
  <c r="G62" i="10" s="1"/>
  <c r="E52" i="10"/>
  <c r="E62" i="10" s="1"/>
  <c r="C52" i="10"/>
  <c r="L51" i="10"/>
  <c r="I51" i="10"/>
  <c r="F51" i="10"/>
  <c r="C51" i="10"/>
  <c r="L50" i="10"/>
  <c r="I50" i="10"/>
  <c r="F50" i="10"/>
  <c r="C50" i="10"/>
  <c r="L49" i="10"/>
  <c r="I49" i="10"/>
  <c r="F49" i="10"/>
  <c r="C49" i="10"/>
  <c r="X44" i="10"/>
  <c r="Z44" i="10" s="1"/>
  <c r="AA44" i="10" s="1"/>
  <c r="AC44" i="10" s="1"/>
  <c r="AO40" i="10"/>
  <c r="AI40" i="10"/>
  <c r="AF40" i="10"/>
  <c r="AC40" i="10"/>
  <c r="Z40" i="10"/>
  <c r="W40" i="10"/>
  <c r="T40" i="10"/>
  <c r="Q40" i="10"/>
  <c r="P40" i="10"/>
  <c r="N40" i="10"/>
  <c r="M40" i="10"/>
  <c r="K40" i="10"/>
  <c r="J40" i="10"/>
  <c r="H40" i="10"/>
  <c r="G40" i="10"/>
  <c r="E40" i="10"/>
  <c r="E41" i="10" s="1"/>
  <c r="E42" i="10" s="1"/>
  <c r="E45" i="10" s="1"/>
  <c r="D40" i="10"/>
  <c r="A40" i="10"/>
  <c r="AU13" i="5"/>
  <c r="AC37" i="10"/>
  <c r="Z37" i="10"/>
  <c r="W37" i="10"/>
  <c r="T37" i="10"/>
  <c r="Q37" i="10"/>
  <c r="N37" i="10"/>
  <c r="M37" i="10"/>
  <c r="K37" i="10"/>
  <c r="J37" i="10"/>
  <c r="H37" i="10"/>
  <c r="G37" i="10"/>
  <c r="E37" i="10"/>
  <c r="D37" i="10"/>
  <c r="C37" i="10" s="1"/>
  <c r="U36" i="10"/>
  <c r="V36" i="10" s="1"/>
  <c r="R36" i="10"/>
  <c r="S36" i="10" s="1"/>
  <c r="P36" i="10"/>
  <c r="M36" i="10"/>
  <c r="M35" i="10" s="1"/>
  <c r="L36" i="10"/>
  <c r="L35" i="10" s="1"/>
  <c r="K36" i="10"/>
  <c r="K35" i="10" s="1"/>
  <c r="J36" i="10"/>
  <c r="J35" i="10" s="1"/>
  <c r="I36" i="10"/>
  <c r="I35" i="10" s="1"/>
  <c r="H36" i="10"/>
  <c r="H35" i="10" s="1"/>
  <c r="G36" i="10"/>
  <c r="G35" i="10" s="1"/>
  <c r="F36" i="10"/>
  <c r="F35" i="10" s="1"/>
  <c r="E36" i="10"/>
  <c r="E35" i="10" s="1"/>
  <c r="D36" i="10"/>
  <c r="D35" i="10" s="1"/>
  <c r="C35" i="10" s="1"/>
  <c r="B35" i="10" s="1"/>
  <c r="W35" i="10"/>
  <c r="X35" i="10" s="1"/>
  <c r="Y35" i="10" s="1"/>
  <c r="AB35" i="10" s="1"/>
  <c r="AE35" i="10" s="1"/>
  <c r="AC35" i="10" s="1"/>
  <c r="AC34" i="10" s="1"/>
  <c r="AC36" i="10" s="1"/>
  <c r="Q35" i="10"/>
  <c r="N35" i="10"/>
  <c r="T34" i="10"/>
  <c r="Q34" i="10"/>
  <c r="N34" i="10"/>
  <c r="C34" i="10"/>
  <c r="AW13" i="5"/>
  <c r="AD33" i="10"/>
  <c r="AR13" i="5" s="1"/>
  <c r="AA33" i="10"/>
  <c r="X33" i="10"/>
  <c r="U33" i="10"/>
  <c r="R33" i="10"/>
  <c r="O33" i="10"/>
  <c r="C33" i="10"/>
  <c r="Q13" i="5" s="1"/>
  <c r="D29" i="10"/>
  <c r="AE28" i="10"/>
  <c r="AH23" i="10" s="1"/>
  <c r="AB28" i="10"/>
  <c r="AE23" i="10" s="1"/>
  <c r="V28" i="10"/>
  <c r="Y23" i="10" s="1"/>
  <c r="S28" i="10"/>
  <c r="P28" i="10"/>
  <c r="L28" i="10"/>
  <c r="I28" i="10"/>
  <c r="F28" i="10"/>
  <c r="C28" i="10"/>
  <c r="AC27" i="10"/>
  <c r="C27" i="10"/>
  <c r="AQ26" i="10"/>
  <c r="AN26" i="10"/>
  <c r="AX13" i="5"/>
  <c r="AH26" i="10"/>
  <c r="AT13" i="5"/>
  <c r="AD26" i="10"/>
  <c r="AE26" i="10" s="1"/>
  <c r="AA26" i="10"/>
  <c r="AB26" i="10" s="1"/>
  <c r="X26" i="10"/>
  <c r="U26" i="10"/>
  <c r="R26" i="10"/>
  <c r="S26" i="10" s="1"/>
  <c r="O26" i="10"/>
  <c r="L26" i="10"/>
  <c r="L37" i="10" s="1"/>
  <c r="I26" i="10"/>
  <c r="I37" i="10" s="1"/>
  <c r="F26" i="10"/>
  <c r="F37" i="10" s="1"/>
  <c r="C26" i="10"/>
  <c r="AN25" i="10"/>
  <c r="AO25" i="10" s="1"/>
  <c r="AH25" i="10"/>
  <c r="AE25" i="10"/>
  <c r="AB25" i="10"/>
  <c r="Y25" i="10"/>
  <c r="V25" i="10"/>
  <c r="C25" i="10"/>
  <c r="AH24" i="10"/>
  <c r="AH40" i="10" s="1"/>
  <c r="AG40" i="10"/>
  <c r="AD24" i="10"/>
  <c r="AD40" i="10" s="1"/>
  <c r="AA24" i="10"/>
  <c r="AA40" i="10" s="1"/>
  <c r="X24" i="10"/>
  <c r="X40" i="10" s="1"/>
  <c r="U24" i="10"/>
  <c r="U40" i="10" s="1"/>
  <c r="R24" i="10"/>
  <c r="R40" i="10" s="1"/>
  <c r="O24" i="10"/>
  <c r="O40" i="10" s="1"/>
  <c r="L24" i="10"/>
  <c r="L40" i="10" s="1"/>
  <c r="I24" i="10"/>
  <c r="I40" i="10" s="1"/>
  <c r="F24" i="10"/>
  <c r="F40" i="10" s="1"/>
  <c r="C24" i="10"/>
  <c r="R23" i="10"/>
  <c r="P23" i="10"/>
  <c r="P29" i="10" s="1"/>
  <c r="O23" i="10"/>
  <c r="N23" i="10"/>
  <c r="N29" i="10" s="1"/>
  <c r="N30" i="10" s="1"/>
  <c r="M23" i="10"/>
  <c r="M29" i="10" s="1"/>
  <c r="M30" i="10" s="1"/>
  <c r="L23" i="10"/>
  <c r="K23" i="10"/>
  <c r="K29" i="10" s="1"/>
  <c r="K30" i="10" s="1"/>
  <c r="J23" i="10"/>
  <c r="J29" i="10" s="1"/>
  <c r="J30" i="10" s="1"/>
  <c r="I23" i="10"/>
  <c r="H23" i="10"/>
  <c r="H29" i="10" s="1"/>
  <c r="H30" i="10" s="1"/>
  <c r="G23" i="10"/>
  <c r="G29" i="10" s="1"/>
  <c r="G30" i="10" s="1"/>
  <c r="F23" i="10"/>
  <c r="E23" i="10"/>
  <c r="E29" i="10" s="1"/>
  <c r="E30" i="10" s="1"/>
  <c r="C23" i="10"/>
  <c r="U18" i="10"/>
  <c r="V18" i="10" s="1"/>
  <c r="R18" i="10"/>
  <c r="S18" i="10" s="1"/>
  <c r="O18" i="10"/>
  <c r="O17" i="10" s="1"/>
  <c r="M18" i="10"/>
  <c r="M17" i="10" s="1"/>
  <c r="L18" i="10"/>
  <c r="L17" i="10" s="1"/>
  <c r="K18" i="10"/>
  <c r="K17" i="10" s="1"/>
  <c r="J18" i="10"/>
  <c r="J17" i="10" s="1"/>
  <c r="I18" i="10"/>
  <c r="I17" i="10" s="1"/>
  <c r="H18" i="10"/>
  <c r="H17" i="10" s="1"/>
  <c r="G18" i="10"/>
  <c r="G17" i="10" s="1"/>
  <c r="F18" i="10"/>
  <c r="F17" i="10" s="1"/>
  <c r="E18" i="10"/>
  <c r="E17" i="10" s="1"/>
  <c r="D18" i="10"/>
  <c r="D17" i="10" s="1"/>
  <c r="W17" i="10"/>
  <c r="X17" i="10" s="1"/>
  <c r="Y17" i="10" s="1"/>
  <c r="Z17" i="10" s="1"/>
  <c r="Q17" i="10"/>
  <c r="B17" i="10"/>
  <c r="T16" i="10"/>
  <c r="Q16" i="10"/>
  <c r="N16" i="10"/>
  <c r="AC14" i="10"/>
  <c r="Z14" i="10"/>
  <c r="T13" i="10"/>
  <c r="O13" i="10"/>
  <c r="AD12" i="10"/>
  <c r="AA12" i="10"/>
  <c r="X12" i="10"/>
  <c r="U12" i="10"/>
  <c r="R12" i="10"/>
  <c r="P12" i="10"/>
  <c r="C12" i="10"/>
  <c r="H13" i="10"/>
  <c r="F13" i="10"/>
  <c r="E13" i="10"/>
  <c r="D13" i="10"/>
  <c r="B13" i="10"/>
  <c r="AE10" i="10"/>
  <c r="AB10" i="10"/>
  <c r="Y10" i="10"/>
  <c r="V10" i="10"/>
  <c r="S10" i="10"/>
  <c r="P10" i="10"/>
  <c r="AV5" i="10"/>
  <c r="AU5" i="10"/>
  <c r="AS5" i="10"/>
  <c r="AR5" i="10"/>
  <c r="AP5" i="10"/>
  <c r="AO5" i="10"/>
  <c r="AM5" i="10"/>
  <c r="AL5" i="10"/>
  <c r="AJ5" i="10"/>
  <c r="AI5" i="10"/>
  <c r="AG5" i="10"/>
  <c r="AF5" i="10"/>
  <c r="AD5" i="10"/>
  <c r="AC5" i="10"/>
  <c r="AA5" i="10"/>
  <c r="Z5" i="10"/>
  <c r="D2" i="10"/>
  <c r="G2" i="10" s="1"/>
  <c r="C2" i="10"/>
  <c r="C3" i="10" s="1"/>
  <c r="B2" i="10"/>
  <c r="A1" i="10"/>
  <c r="I78" i="9"/>
  <c r="Y76" i="9"/>
  <c r="V76" i="9"/>
  <c r="S76" i="9"/>
  <c r="O76" i="9"/>
  <c r="L76" i="9"/>
  <c r="J76" i="9"/>
  <c r="M75" i="9"/>
  <c r="N75" i="9" s="1"/>
  <c r="O75" i="9" s="1"/>
  <c r="K70" i="9"/>
  <c r="J68" i="9"/>
  <c r="L68" i="9" s="1"/>
  <c r="M68" i="9" s="1"/>
  <c r="O68" i="9" s="1"/>
  <c r="P68" i="9" s="1"/>
  <c r="R68" i="9" s="1"/>
  <c r="Y66" i="9"/>
  <c r="V66" i="9"/>
  <c r="S66" i="9"/>
  <c r="P66" i="9"/>
  <c r="AI71" i="5" s="1"/>
  <c r="M66" i="9"/>
  <c r="AF71" i="5" s="1"/>
  <c r="K66" i="9"/>
  <c r="AD71" i="5" s="1"/>
  <c r="Z56" i="9"/>
  <c r="U56" i="9"/>
  <c r="S56" i="9"/>
  <c r="T56" i="9" s="1"/>
  <c r="Q56" i="9"/>
  <c r="O56" i="9"/>
  <c r="M56" i="9"/>
  <c r="N56" i="9" s="1"/>
  <c r="I56" i="9"/>
  <c r="U53" i="9"/>
  <c r="V53" i="9" s="1"/>
  <c r="X53" i="9" s="1"/>
  <c r="Y53" i="9" s="1"/>
  <c r="T53" i="9"/>
  <c r="J53" i="9"/>
  <c r="L53" i="9" s="1"/>
  <c r="M52" i="9"/>
  <c r="I52" i="9"/>
  <c r="I54" i="9" s="1"/>
  <c r="AA47" i="9"/>
  <c r="S47" i="9"/>
  <c r="L47" i="9"/>
  <c r="AA46" i="9"/>
  <c r="U46" i="9"/>
  <c r="S46" i="9"/>
  <c r="R46" i="9"/>
  <c r="Q46" i="9"/>
  <c r="P46" i="9"/>
  <c r="O46" i="9"/>
  <c r="L46" i="9"/>
  <c r="J46" i="9"/>
  <c r="K46" i="9" s="1"/>
  <c r="I46" i="9"/>
  <c r="AA41" i="9"/>
  <c r="AA48" i="9" s="1"/>
  <c r="S41" i="9"/>
  <c r="T41" i="9" s="1"/>
  <c r="L41" i="9"/>
  <c r="L48" i="9" s="1"/>
  <c r="AC40" i="9"/>
  <c r="U40" i="9"/>
  <c r="T40" i="9"/>
  <c r="T47" i="9" s="1"/>
  <c r="M40" i="9"/>
  <c r="O40" i="9" s="1"/>
  <c r="P40" i="9" s="1"/>
  <c r="I40" i="9"/>
  <c r="I41" i="9" s="1"/>
  <c r="I48" i="9" s="1"/>
  <c r="AB41" i="9"/>
  <c r="V39" i="9"/>
  <c r="T39" i="9"/>
  <c r="T46" i="9" s="1"/>
  <c r="M39" i="9"/>
  <c r="K39" i="9"/>
  <c r="L34" i="9"/>
  <c r="J34" i="9"/>
  <c r="K34" i="9" s="1"/>
  <c r="O33" i="9"/>
  <c r="O34" i="9" s="1"/>
  <c r="N33" i="9"/>
  <c r="K33" i="9"/>
  <c r="V32" i="9"/>
  <c r="T32" i="9"/>
  <c r="P32" i="9"/>
  <c r="M32" i="9"/>
  <c r="M34" i="9" s="1"/>
  <c r="K32" i="9"/>
  <c r="I32" i="9"/>
  <c r="I34" i="9" s="1"/>
  <c r="AQ31" i="9"/>
  <c r="AR31" i="9" s="1"/>
  <c r="AN31" i="9"/>
  <c r="AK31" i="9"/>
  <c r="AL31" i="9" s="1"/>
  <c r="AH31" i="9"/>
  <c r="AE31" i="9"/>
  <c r="AF31" i="9" s="1"/>
  <c r="AB31" i="9"/>
  <c r="Y31" i="9"/>
  <c r="Z31" i="9" s="1"/>
  <c r="V31" i="9"/>
  <c r="O31" i="9"/>
  <c r="P31" i="9" s="1"/>
  <c r="N31" i="9"/>
  <c r="L31" i="9"/>
  <c r="J31" i="9"/>
  <c r="K31" i="9" s="1"/>
  <c r="Z26" i="9"/>
  <c r="Q26" i="9"/>
  <c r="AC23" i="9"/>
  <c r="Z23" i="9"/>
  <c r="T23" i="9"/>
  <c r="Q23" i="9"/>
  <c r="BJ160" i="5"/>
  <c r="BK160" i="5" s="1"/>
  <c r="BH160" i="5"/>
  <c r="CX160" i="5" s="1"/>
  <c r="BG160" i="5"/>
  <c r="BF160" i="5"/>
  <c r="BD160" i="5"/>
  <c r="BC160" i="5"/>
  <c r="BA160" i="5"/>
  <c r="AZ160" i="5"/>
  <c r="AX160" i="5"/>
  <c r="AY160" i="5" s="1"/>
  <c r="CU160" i="5" s="1"/>
  <c r="AU160" i="5"/>
  <c r="AT160" i="5"/>
  <c r="AR160" i="5"/>
  <c r="AQ160" i="5"/>
  <c r="AO160" i="5"/>
  <c r="AH160" i="5"/>
  <c r="AF160" i="5"/>
  <c r="AE160" i="5"/>
  <c r="M17" i="9"/>
  <c r="O17" i="9" s="1"/>
  <c r="K17" i="9"/>
  <c r="AD162" i="5"/>
  <c r="AC162" i="5"/>
  <c r="AA11" i="9"/>
  <c r="AA38" i="9" s="1"/>
  <c r="R11" i="9"/>
  <c r="P11" i="9"/>
  <c r="O11" i="9"/>
  <c r="M11" i="9"/>
  <c r="M38" i="9" s="1"/>
  <c r="L11" i="9"/>
  <c r="L18" i="9" s="1"/>
  <c r="AE168" i="5" s="1"/>
  <c r="AR8" i="9"/>
  <c r="AW5" i="10" s="1"/>
  <c r="AO8" i="9"/>
  <c r="AT5" i="10" s="1"/>
  <c r="AL8" i="9"/>
  <c r="AQ5" i="10" s="1"/>
  <c r="AI8" i="9"/>
  <c r="AN5" i="10" s="1"/>
  <c r="AF8" i="9"/>
  <c r="AK5" i="10" s="1"/>
  <c r="AC8" i="9"/>
  <c r="AH5" i="10" s="1"/>
  <c r="Z8" i="9"/>
  <c r="AE5" i="10" s="1"/>
  <c r="W8" i="9"/>
  <c r="AB5" i="10" s="1"/>
  <c r="T8" i="9"/>
  <c r="Q8" i="9"/>
  <c r="N8" i="9"/>
  <c r="K8" i="9"/>
  <c r="AL7" i="9"/>
  <c r="AO7" i="9" s="1"/>
  <c r="AR7" i="9" s="1"/>
  <c r="AU7" i="9" s="1"/>
  <c r="AX7" i="9" s="1"/>
  <c r="BA7" i="9" s="1"/>
  <c r="BD7" i="9" s="1"/>
  <c r="BG7" i="9" s="1"/>
  <c r="BJ7" i="9" s="1"/>
  <c r="AI7" i="9"/>
  <c r="AF7" i="9"/>
  <c r="AC7" i="9"/>
  <c r="Z7" i="9"/>
  <c r="W7" i="9"/>
  <c r="T7" i="9"/>
  <c r="Q7" i="9"/>
  <c r="N7" i="9"/>
  <c r="K7" i="9"/>
  <c r="AU297" i="5"/>
  <c r="AT297" i="5"/>
  <c r="AR297" i="5"/>
  <c r="AH297" i="5"/>
  <c r="AE297" i="5"/>
  <c r="X297" i="5"/>
  <c r="AR292" i="5"/>
  <c r="AC292" i="5"/>
  <c r="AB292" i="5"/>
  <c r="AA292" i="5"/>
  <c r="Z292" i="5"/>
  <c r="Y292" i="5"/>
  <c r="AB291" i="5"/>
  <c r="AA291" i="5"/>
  <c r="Z291" i="5"/>
  <c r="Y291" i="5"/>
  <c r="AQ278" i="5"/>
  <c r="AI278" i="5"/>
  <c r="AF278" i="5"/>
  <c r="AC278" i="5"/>
  <c r="AB278" i="5"/>
  <c r="AA278" i="5"/>
  <c r="Z278" i="5"/>
  <c r="Y278" i="5"/>
  <c r="W278" i="5"/>
  <c r="V278" i="5"/>
  <c r="AQ277" i="5"/>
  <c r="AQ281" i="5" s="1"/>
  <c r="AP277" i="5"/>
  <c r="AP281" i="5" s="1"/>
  <c r="AN277" i="5"/>
  <c r="AN281" i="5" s="1"/>
  <c r="AM277" i="5"/>
  <c r="AM281" i="5" s="1"/>
  <c r="AK277" i="5"/>
  <c r="AK281" i="5" s="1"/>
  <c r="AJ277" i="5"/>
  <c r="AJ281" i="5" s="1"/>
  <c r="AH277" i="5"/>
  <c r="AH281" i="5" s="1"/>
  <c r="AG277" i="5"/>
  <c r="AG281" i="5" s="1"/>
  <c r="AC277" i="5"/>
  <c r="AC281" i="5" s="1"/>
  <c r="AB277" i="5"/>
  <c r="AB281" i="5" s="1"/>
  <c r="AA277" i="5"/>
  <c r="AA281" i="5" s="1"/>
  <c r="Z277" i="5"/>
  <c r="Z281" i="5" s="1"/>
  <c r="Y277" i="5"/>
  <c r="Y281" i="5" s="1"/>
  <c r="X277" i="5"/>
  <c r="X281" i="5" s="1"/>
  <c r="W277" i="5"/>
  <c r="V277" i="5"/>
  <c r="AQ276" i="5"/>
  <c r="AP276" i="5"/>
  <c r="AN276" i="5"/>
  <c r="AM276" i="5"/>
  <c r="AK276" i="5"/>
  <c r="AJ276" i="5"/>
  <c r="AH276" i="5"/>
  <c r="AG276" i="5"/>
  <c r="AC276" i="5"/>
  <c r="AB276" i="5"/>
  <c r="AA276" i="5"/>
  <c r="Z276" i="5"/>
  <c r="Y276" i="5"/>
  <c r="X276" i="5"/>
  <c r="W276" i="5"/>
  <c r="V276" i="5"/>
  <c r="BK272" i="5"/>
  <c r="CY272" i="5" s="1"/>
  <c r="BH272" i="5"/>
  <c r="CX272" i="5" s="1"/>
  <c r="BE272" i="5"/>
  <c r="CW272" i="5" s="1"/>
  <c r="BB272" i="5"/>
  <c r="CV272" i="5" s="1"/>
  <c r="AY272" i="5"/>
  <c r="CU272" i="5" s="1"/>
  <c r="AV272" i="5"/>
  <c r="CT272" i="5" s="1"/>
  <c r="AS272" i="5"/>
  <c r="CS272" i="5" s="1"/>
  <c r="AP272" i="5"/>
  <c r="CR272" i="5" s="1"/>
  <c r="AM272" i="5"/>
  <c r="CQ272" i="5" s="1"/>
  <c r="AJ272" i="5"/>
  <c r="CP272" i="5" s="1"/>
  <c r="AG272" i="5"/>
  <c r="CO272" i="5" s="1"/>
  <c r="AD272" i="5"/>
  <c r="CN272" i="5" s="1"/>
  <c r="AA272" i="5"/>
  <c r="CM272" i="5" s="1"/>
  <c r="X272" i="5"/>
  <c r="CL272" i="5" s="1"/>
  <c r="U272" i="5"/>
  <c r="R272" i="5"/>
  <c r="O272" i="5"/>
  <c r="L272" i="5"/>
  <c r="I272" i="5"/>
  <c r="F272" i="5"/>
  <c r="BK271" i="5"/>
  <c r="CY271" i="5" s="1"/>
  <c r="BH271" i="5"/>
  <c r="CX271" i="5" s="1"/>
  <c r="BE271" i="5"/>
  <c r="CW271" i="5" s="1"/>
  <c r="BB271" i="5"/>
  <c r="CV271" i="5" s="1"/>
  <c r="AY271" i="5"/>
  <c r="CU271" i="5" s="1"/>
  <c r="AV271" i="5"/>
  <c r="CT271" i="5" s="1"/>
  <c r="AS271" i="5"/>
  <c r="CS271" i="5" s="1"/>
  <c r="AP271" i="5"/>
  <c r="CR271" i="5" s="1"/>
  <c r="AM271" i="5"/>
  <c r="CQ271" i="5" s="1"/>
  <c r="AJ271" i="5"/>
  <c r="CP271" i="5" s="1"/>
  <c r="AG271" i="5"/>
  <c r="CO271" i="5" s="1"/>
  <c r="AD271" i="5"/>
  <c r="CN271" i="5" s="1"/>
  <c r="AA271" i="5"/>
  <c r="CM271" i="5" s="1"/>
  <c r="X271" i="5"/>
  <c r="CL271" i="5" s="1"/>
  <c r="U271" i="5"/>
  <c r="R271" i="5"/>
  <c r="O271" i="5"/>
  <c r="L271" i="5"/>
  <c r="I271" i="5"/>
  <c r="F271" i="5"/>
  <c r="BK270" i="5"/>
  <c r="CY270" i="5" s="1"/>
  <c r="BH270" i="5"/>
  <c r="CX270" i="5" s="1"/>
  <c r="BE270" i="5"/>
  <c r="CW270" i="5" s="1"/>
  <c r="BB270" i="5"/>
  <c r="CV270" i="5" s="1"/>
  <c r="AY270" i="5"/>
  <c r="CU270" i="5" s="1"/>
  <c r="AV270" i="5"/>
  <c r="CT270" i="5" s="1"/>
  <c r="AS270" i="5"/>
  <c r="CS270" i="5" s="1"/>
  <c r="AP270" i="5"/>
  <c r="CR270" i="5" s="1"/>
  <c r="AM270" i="5"/>
  <c r="CQ270" i="5" s="1"/>
  <c r="AJ270" i="5"/>
  <c r="CP270" i="5" s="1"/>
  <c r="AG270" i="5"/>
  <c r="CO270" i="5" s="1"/>
  <c r="AD270" i="5"/>
  <c r="CN270" i="5" s="1"/>
  <c r="AA270" i="5"/>
  <c r="CM270" i="5" s="1"/>
  <c r="X270" i="5"/>
  <c r="CL270" i="5" s="1"/>
  <c r="U270" i="5"/>
  <c r="R270" i="5"/>
  <c r="O270" i="5"/>
  <c r="L270" i="5"/>
  <c r="I270" i="5"/>
  <c r="F270" i="5"/>
  <c r="BK269" i="5"/>
  <c r="CY269" i="5" s="1"/>
  <c r="BH269" i="5"/>
  <c r="CX269" i="5" s="1"/>
  <c r="BE269" i="5"/>
  <c r="CW269" i="5" s="1"/>
  <c r="BB269" i="5"/>
  <c r="CV269" i="5" s="1"/>
  <c r="AY269" i="5"/>
  <c r="CU269" i="5" s="1"/>
  <c r="AV269" i="5"/>
  <c r="CT269" i="5" s="1"/>
  <c r="AS269" i="5"/>
  <c r="CS269" i="5" s="1"/>
  <c r="AP269" i="5"/>
  <c r="CR269" i="5" s="1"/>
  <c r="AM269" i="5"/>
  <c r="CQ269" i="5" s="1"/>
  <c r="AJ269" i="5"/>
  <c r="CP269" i="5" s="1"/>
  <c r="AG269" i="5"/>
  <c r="CO269" i="5" s="1"/>
  <c r="AD269" i="5"/>
  <c r="CN269" i="5" s="1"/>
  <c r="AA269" i="5"/>
  <c r="CM269" i="5" s="1"/>
  <c r="X269" i="5"/>
  <c r="CL269" i="5" s="1"/>
  <c r="U269" i="5"/>
  <c r="R269" i="5"/>
  <c r="O269" i="5"/>
  <c r="L269" i="5"/>
  <c r="I269" i="5"/>
  <c r="F269" i="5"/>
  <c r="BK268" i="5"/>
  <c r="CY268" i="5" s="1"/>
  <c r="BH268" i="5"/>
  <c r="CX268" i="5" s="1"/>
  <c r="BE268" i="5"/>
  <c r="CW268" i="5" s="1"/>
  <c r="BB268" i="5"/>
  <c r="CV268" i="5" s="1"/>
  <c r="AY268" i="5"/>
  <c r="CU268" i="5" s="1"/>
  <c r="AV268" i="5"/>
  <c r="CT268" i="5" s="1"/>
  <c r="AS268" i="5"/>
  <c r="CS268" i="5" s="1"/>
  <c r="AP268" i="5"/>
  <c r="CR268" i="5" s="1"/>
  <c r="AM268" i="5"/>
  <c r="CQ268" i="5" s="1"/>
  <c r="AJ268" i="5"/>
  <c r="CP268" i="5" s="1"/>
  <c r="AG268" i="5"/>
  <c r="CO268" i="5" s="1"/>
  <c r="AD268" i="5"/>
  <c r="CN268" i="5" s="1"/>
  <c r="AA268" i="5"/>
  <c r="CM268" i="5" s="1"/>
  <c r="X268" i="5"/>
  <c r="CL268" i="5" s="1"/>
  <c r="U268" i="5"/>
  <c r="R268" i="5"/>
  <c r="O268" i="5"/>
  <c r="L268" i="5"/>
  <c r="I268" i="5"/>
  <c r="F268" i="5"/>
  <c r="BK267" i="5"/>
  <c r="CY267" i="5" s="1"/>
  <c r="BH267" i="5"/>
  <c r="CX267" i="5" s="1"/>
  <c r="BE267" i="5"/>
  <c r="CW267" i="5" s="1"/>
  <c r="BB267" i="5"/>
  <c r="CV267" i="5" s="1"/>
  <c r="AY267" i="5"/>
  <c r="CU267" i="5" s="1"/>
  <c r="AV267" i="5"/>
  <c r="CT267" i="5" s="1"/>
  <c r="AS267" i="5"/>
  <c r="CS267" i="5" s="1"/>
  <c r="AP267" i="5"/>
  <c r="CR267" i="5" s="1"/>
  <c r="AM267" i="5"/>
  <c r="CQ267" i="5" s="1"/>
  <c r="AJ267" i="5"/>
  <c r="CP267" i="5" s="1"/>
  <c r="AG267" i="5"/>
  <c r="CO267" i="5" s="1"/>
  <c r="AD267" i="5"/>
  <c r="CN267" i="5" s="1"/>
  <c r="AA267" i="5"/>
  <c r="CM267" i="5" s="1"/>
  <c r="X267" i="5"/>
  <c r="CL267" i="5" s="1"/>
  <c r="U267" i="5"/>
  <c r="R267" i="5"/>
  <c r="O267" i="5"/>
  <c r="L267" i="5"/>
  <c r="I267" i="5"/>
  <c r="F267" i="5"/>
  <c r="BK265" i="5"/>
  <c r="CY265" i="5" s="1"/>
  <c r="BH265" i="5"/>
  <c r="CX265" i="5" s="1"/>
  <c r="BE265" i="5"/>
  <c r="CW265" i="5" s="1"/>
  <c r="BB265" i="5"/>
  <c r="CV265" i="5" s="1"/>
  <c r="AY265" i="5"/>
  <c r="CU265" i="5" s="1"/>
  <c r="AV265" i="5"/>
  <c r="CT265" i="5" s="1"/>
  <c r="AS265" i="5"/>
  <c r="CS265" i="5" s="1"/>
  <c r="AP265" i="5"/>
  <c r="CR265" i="5" s="1"/>
  <c r="AM265" i="5"/>
  <c r="CQ265" i="5" s="1"/>
  <c r="AJ265" i="5"/>
  <c r="CP265" i="5" s="1"/>
  <c r="AG265" i="5"/>
  <c r="CO265" i="5" s="1"/>
  <c r="AD265" i="5"/>
  <c r="CN265" i="5" s="1"/>
  <c r="AA265" i="5"/>
  <c r="CM265" i="5" s="1"/>
  <c r="X265" i="5"/>
  <c r="CL265" i="5" s="1"/>
  <c r="U265" i="5"/>
  <c r="R265" i="5"/>
  <c r="O265" i="5"/>
  <c r="L265" i="5"/>
  <c r="I265" i="5"/>
  <c r="F265" i="5"/>
  <c r="BK264" i="5"/>
  <c r="CY264" i="5" s="1"/>
  <c r="BH264" i="5"/>
  <c r="CX264" i="5" s="1"/>
  <c r="BE264" i="5"/>
  <c r="CW264" i="5" s="1"/>
  <c r="BB264" i="5"/>
  <c r="CV264" i="5" s="1"/>
  <c r="AY264" i="5"/>
  <c r="CU264" i="5" s="1"/>
  <c r="AV264" i="5"/>
  <c r="CT264" i="5" s="1"/>
  <c r="AS264" i="5"/>
  <c r="CS264" i="5" s="1"/>
  <c r="AP264" i="5"/>
  <c r="CR264" i="5" s="1"/>
  <c r="AM264" i="5"/>
  <c r="CQ264" i="5" s="1"/>
  <c r="AJ264" i="5"/>
  <c r="CP264" i="5" s="1"/>
  <c r="AG264" i="5"/>
  <c r="CO264" i="5" s="1"/>
  <c r="AD264" i="5"/>
  <c r="CN264" i="5" s="1"/>
  <c r="AA264" i="5"/>
  <c r="CM264" i="5" s="1"/>
  <c r="X264" i="5"/>
  <c r="CL264" i="5" s="1"/>
  <c r="U264" i="5"/>
  <c r="R264" i="5"/>
  <c r="O264" i="5"/>
  <c r="L264" i="5"/>
  <c r="I264" i="5"/>
  <c r="F264" i="5"/>
  <c r="BK263" i="5"/>
  <c r="CY263" i="5" s="1"/>
  <c r="BH263" i="5"/>
  <c r="CX263" i="5" s="1"/>
  <c r="BE263" i="5"/>
  <c r="CW263" i="5" s="1"/>
  <c r="BB263" i="5"/>
  <c r="CV263" i="5" s="1"/>
  <c r="AY263" i="5"/>
  <c r="CU263" i="5" s="1"/>
  <c r="AV263" i="5"/>
  <c r="CT263" i="5" s="1"/>
  <c r="AS263" i="5"/>
  <c r="CS263" i="5" s="1"/>
  <c r="AP263" i="5"/>
  <c r="CR263" i="5" s="1"/>
  <c r="AM263" i="5"/>
  <c r="CQ263" i="5" s="1"/>
  <c r="AJ263" i="5"/>
  <c r="CP263" i="5" s="1"/>
  <c r="AG263" i="5"/>
  <c r="CO263" i="5" s="1"/>
  <c r="AD263" i="5"/>
  <c r="CN263" i="5" s="1"/>
  <c r="AA263" i="5"/>
  <c r="CM263" i="5" s="1"/>
  <c r="X263" i="5"/>
  <c r="CL263" i="5" s="1"/>
  <c r="U263" i="5"/>
  <c r="R263" i="5"/>
  <c r="O263" i="5"/>
  <c r="L263" i="5"/>
  <c r="I263" i="5"/>
  <c r="F263" i="5"/>
  <c r="BK262" i="5"/>
  <c r="CY262" i="5" s="1"/>
  <c r="BH262" i="5"/>
  <c r="CX262" i="5" s="1"/>
  <c r="BE262" i="5"/>
  <c r="CW262" i="5" s="1"/>
  <c r="BB262" i="5"/>
  <c r="CV262" i="5" s="1"/>
  <c r="AY262" i="5"/>
  <c r="CU262" i="5" s="1"/>
  <c r="AV262" i="5"/>
  <c r="CT262" i="5" s="1"/>
  <c r="AS262" i="5"/>
  <c r="CS262" i="5" s="1"/>
  <c r="AP262" i="5"/>
  <c r="CR262" i="5" s="1"/>
  <c r="AM262" i="5"/>
  <c r="CQ262" i="5" s="1"/>
  <c r="AJ262" i="5"/>
  <c r="CP262" i="5" s="1"/>
  <c r="AG262" i="5"/>
  <c r="CO262" i="5" s="1"/>
  <c r="AD262" i="5"/>
  <c r="CN262" i="5" s="1"/>
  <c r="AA262" i="5"/>
  <c r="CM262" i="5" s="1"/>
  <c r="X262" i="5"/>
  <c r="CL262" i="5" s="1"/>
  <c r="U262" i="5"/>
  <c r="R262" i="5"/>
  <c r="O262" i="5"/>
  <c r="L262" i="5"/>
  <c r="I262" i="5"/>
  <c r="F262" i="5"/>
  <c r="BK261" i="5"/>
  <c r="CY261" i="5" s="1"/>
  <c r="BH261" i="5"/>
  <c r="CX261" i="5" s="1"/>
  <c r="BE261" i="5"/>
  <c r="CW261" i="5" s="1"/>
  <c r="BB261" i="5"/>
  <c r="CV261" i="5" s="1"/>
  <c r="AY261" i="5"/>
  <c r="CU261" i="5" s="1"/>
  <c r="AV261" i="5"/>
  <c r="CT261" i="5" s="1"/>
  <c r="AS261" i="5"/>
  <c r="CS261" i="5" s="1"/>
  <c r="AP261" i="5"/>
  <c r="CR261" i="5" s="1"/>
  <c r="AM261" i="5"/>
  <c r="CQ261" i="5" s="1"/>
  <c r="AJ261" i="5"/>
  <c r="CP261" i="5" s="1"/>
  <c r="AG261" i="5"/>
  <c r="CO261" i="5" s="1"/>
  <c r="AD261" i="5"/>
  <c r="CN261" i="5" s="1"/>
  <c r="AA261" i="5"/>
  <c r="CM261" i="5" s="1"/>
  <c r="X261" i="5"/>
  <c r="CL261" i="5" s="1"/>
  <c r="U261" i="5"/>
  <c r="R261" i="5"/>
  <c r="O261" i="5"/>
  <c r="L261" i="5"/>
  <c r="I261" i="5"/>
  <c r="F261" i="5"/>
  <c r="BK260" i="5"/>
  <c r="CY260" i="5" s="1"/>
  <c r="BH260" i="5"/>
  <c r="CX260" i="5" s="1"/>
  <c r="BE260" i="5"/>
  <c r="CW260" i="5" s="1"/>
  <c r="BB260" i="5"/>
  <c r="CV260" i="5" s="1"/>
  <c r="AY260" i="5"/>
  <c r="CU260" i="5" s="1"/>
  <c r="AV260" i="5"/>
  <c r="CT260" i="5" s="1"/>
  <c r="AS260" i="5"/>
  <c r="CS260" i="5" s="1"/>
  <c r="AP260" i="5"/>
  <c r="CR260" i="5" s="1"/>
  <c r="AM260" i="5"/>
  <c r="CQ260" i="5" s="1"/>
  <c r="AJ260" i="5"/>
  <c r="CP260" i="5" s="1"/>
  <c r="AG260" i="5"/>
  <c r="CO260" i="5" s="1"/>
  <c r="AD260" i="5"/>
  <c r="CN260" i="5" s="1"/>
  <c r="AA260" i="5"/>
  <c r="CM260" i="5" s="1"/>
  <c r="X260" i="5"/>
  <c r="CL260" i="5" s="1"/>
  <c r="U260" i="5"/>
  <c r="R260" i="5"/>
  <c r="O260" i="5"/>
  <c r="L260" i="5"/>
  <c r="I260" i="5"/>
  <c r="F260" i="5"/>
  <c r="BK258" i="5"/>
  <c r="CY258" i="5" s="1"/>
  <c r="BH258" i="5"/>
  <c r="CX258" i="5" s="1"/>
  <c r="BE258" i="5"/>
  <c r="CW258" i="5" s="1"/>
  <c r="BB258" i="5"/>
  <c r="CV258" i="5" s="1"/>
  <c r="AY258" i="5"/>
  <c r="CU258" i="5" s="1"/>
  <c r="AV258" i="5"/>
  <c r="CT258" i="5" s="1"/>
  <c r="AS258" i="5"/>
  <c r="CS258" i="5" s="1"/>
  <c r="AP258" i="5"/>
  <c r="CR258" i="5" s="1"/>
  <c r="AM258" i="5"/>
  <c r="CQ258" i="5" s="1"/>
  <c r="AJ258" i="5"/>
  <c r="CP258" i="5" s="1"/>
  <c r="AG258" i="5"/>
  <c r="CO258" i="5" s="1"/>
  <c r="AD258" i="5"/>
  <c r="CN258" i="5" s="1"/>
  <c r="AA258" i="5"/>
  <c r="CM258" i="5" s="1"/>
  <c r="X258" i="5"/>
  <c r="CL258" i="5" s="1"/>
  <c r="U258" i="5"/>
  <c r="R258" i="5"/>
  <c r="O258" i="5"/>
  <c r="L258" i="5"/>
  <c r="I258" i="5"/>
  <c r="F258" i="5"/>
  <c r="BK257" i="5"/>
  <c r="CY257" i="5" s="1"/>
  <c r="BH257" i="5"/>
  <c r="CX257" i="5" s="1"/>
  <c r="BE257" i="5"/>
  <c r="CW257" i="5" s="1"/>
  <c r="BB257" i="5"/>
  <c r="CV257" i="5" s="1"/>
  <c r="AY257" i="5"/>
  <c r="CU257" i="5" s="1"/>
  <c r="AV257" i="5"/>
  <c r="CT257" i="5" s="1"/>
  <c r="AS257" i="5"/>
  <c r="CS257" i="5" s="1"/>
  <c r="AP257" i="5"/>
  <c r="CR257" i="5" s="1"/>
  <c r="AM257" i="5"/>
  <c r="CQ257" i="5" s="1"/>
  <c r="AJ257" i="5"/>
  <c r="CP257" i="5" s="1"/>
  <c r="AG257" i="5"/>
  <c r="CO257" i="5" s="1"/>
  <c r="AD257" i="5"/>
  <c r="CN257" i="5" s="1"/>
  <c r="AA257" i="5"/>
  <c r="CM257" i="5" s="1"/>
  <c r="X257" i="5"/>
  <c r="CL257" i="5" s="1"/>
  <c r="U257" i="5"/>
  <c r="R257" i="5"/>
  <c r="O257" i="5"/>
  <c r="L257" i="5"/>
  <c r="I257" i="5"/>
  <c r="F257" i="5"/>
  <c r="BK256" i="5"/>
  <c r="CY256" i="5" s="1"/>
  <c r="BH256" i="5"/>
  <c r="CX256" i="5" s="1"/>
  <c r="BE256" i="5"/>
  <c r="CW256" i="5" s="1"/>
  <c r="BB256" i="5"/>
  <c r="CV256" i="5" s="1"/>
  <c r="AY256" i="5"/>
  <c r="CU256" i="5" s="1"/>
  <c r="AV256" i="5"/>
  <c r="CT256" i="5" s="1"/>
  <c r="AS256" i="5"/>
  <c r="CS256" i="5" s="1"/>
  <c r="AP256" i="5"/>
  <c r="CR256" i="5" s="1"/>
  <c r="AM256" i="5"/>
  <c r="CQ256" i="5" s="1"/>
  <c r="AJ256" i="5"/>
  <c r="CP256" i="5" s="1"/>
  <c r="AG256" i="5"/>
  <c r="CO256" i="5" s="1"/>
  <c r="AD256" i="5"/>
  <c r="CN256" i="5" s="1"/>
  <c r="AA256" i="5"/>
  <c r="CM256" i="5" s="1"/>
  <c r="X256" i="5"/>
  <c r="CL256" i="5" s="1"/>
  <c r="U256" i="5"/>
  <c r="R256" i="5"/>
  <c r="O256" i="5"/>
  <c r="L256" i="5"/>
  <c r="I256" i="5"/>
  <c r="F256" i="5"/>
  <c r="BK255" i="5"/>
  <c r="CY255" i="5" s="1"/>
  <c r="BH255" i="5"/>
  <c r="CX255" i="5" s="1"/>
  <c r="BE255" i="5"/>
  <c r="CW255" i="5" s="1"/>
  <c r="BB255" i="5"/>
  <c r="CV255" i="5" s="1"/>
  <c r="AY255" i="5"/>
  <c r="CU255" i="5" s="1"/>
  <c r="AV255" i="5"/>
  <c r="CT255" i="5" s="1"/>
  <c r="AS255" i="5"/>
  <c r="CS255" i="5" s="1"/>
  <c r="AP255" i="5"/>
  <c r="CR255" i="5" s="1"/>
  <c r="AM255" i="5"/>
  <c r="CQ255" i="5" s="1"/>
  <c r="AJ255" i="5"/>
  <c r="CP255" i="5" s="1"/>
  <c r="AG255" i="5"/>
  <c r="CO255" i="5" s="1"/>
  <c r="AD255" i="5"/>
  <c r="CN255" i="5" s="1"/>
  <c r="AA255" i="5"/>
  <c r="CM255" i="5" s="1"/>
  <c r="X255" i="5"/>
  <c r="CL255" i="5" s="1"/>
  <c r="U255" i="5"/>
  <c r="R255" i="5"/>
  <c r="O255" i="5"/>
  <c r="L255" i="5"/>
  <c r="I255" i="5"/>
  <c r="F255" i="5"/>
  <c r="BK254" i="5"/>
  <c r="CY254" i="5" s="1"/>
  <c r="BH254" i="5"/>
  <c r="CX254" i="5" s="1"/>
  <c r="BE254" i="5"/>
  <c r="CW254" i="5" s="1"/>
  <c r="BB254" i="5"/>
  <c r="CV254" i="5" s="1"/>
  <c r="AY254" i="5"/>
  <c r="CU254" i="5" s="1"/>
  <c r="AV254" i="5"/>
  <c r="CT254" i="5" s="1"/>
  <c r="AS254" i="5"/>
  <c r="CS254" i="5" s="1"/>
  <c r="AP254" i="5"/>
  <c r="CR254" i="5" s="1"/>
  <c r="AM254" i="5"/>
  <c r="CQ254" i="5" s="1"/>
  <c r="AJ254" i="5"/>
  <c r="CP254" i="5" s="1"/>
  <c r="AG254" i="5"/>
  <c r="CO254" i="5" s="1"/>
  <c r="AD254" i="5"/>
  <c r="CN254" i="5" s="1"/>
  <c r="AA254" i="5"/>
  <c r="CM254" i="5" s="1"/>
  <c r="X254" i="5"/>
  <c r="CL254" i="5" s="1"/>
  <c r="U254" i="5"/>
  <c r="R254" i="5"/>
  <c r="O254" i="5"/>
  <c r="L254" i="5"/>
  <c r="I254" i="5"/>
  <c r="F254" i="5"/>
  <c r="BK253" i="5"/>
  <c r="CY253" i="5" s="1"/>
  <c r="BH253" i="5"/>
  <c r="CX253" i="5" s="1"/>
  <c r="BE253" i="5"/>
  <c r="CW253" i="5" s="1"/>
  <c r="BB253" i="5"/>
  <c r="CV253" i="5" s="1"/>
  <c r="AY253" i="5"/>
  <c r="CU253" i="5" s="1"/>
  <c r="AV253" i="5"/>
  <c r="CT253" i="5" s="1"/>
  <c r="AS253" i="5"/>
  <c r="CS253" i="5" s="1"/>
  <c r="AP253" i="5"/>
  <c r="CR253" i="5" s="1"/>
  <c r="AM253" i="5"/>
  <c r="CQ253" i="5" s="1"/>
  <c r="AJ253" i="5"/>
  <c r="CP253" i="5" s="1"/>
  <c r="AG253" i="5"/>
  <c r="CO253" i="5" s="1"/>
  <c r="AD253" i="5"/>
  <c r="CN253" i="5" s="1"/>
  <c r="AA253" i="5"/>
  <c r="CM253" i="5" s="1"/>
  <c r="X253" i="5"/>
  <c r="CL253" i="5" s="1"/>
  <c r="U253" i="5"/>
  <c r="R253" i="5"/>
  <c r="O253" i="5"/>
  <c r="L253" i="5"/>
  <c r="I253" i="5"/>
  <c r="F253" i="5"/>
  <c r="BK251" i="5"/>
  <c r="CY251" i="5" s="1"/>
  <c r="BH251" i="5"/>
  <c r="CX251" i="5" s="1"/>
  <c r="BE251" i="5"/>
  <c r="CW251" i="5" s="1"/>
  <c r="BB251" i="5"/>
  <c r="CV251" i="5" s="1"/>
  <c r="AY251" i="5"/>
  <c r="CU251" i="5" s="1"/>
  <c r="AV251" i="5"/>
  <c r="CT251" i="5" s="1"/>
  <c r="AS251" i="5"/>
  <c r="CS251" i="5" s="1"/>
  <c r="AP251" i="5"/>
  <c r="CR251" i="5" s="1"/>
  <c r="AM251" i="5"/>
  <c r="CQ251" i="5" s="1"/>
  <c r="AJ251" i="5"/>
  <c r="CP251" i="5" s="1"/>
  <c r="AG251" i="5"/>
  <c r="CO251" i="5" s="1"/>
  <c r="AD251" i="5"/>
  <c r="CN251" i="5" s="1"/>
  <c r="AA251" i="5"/>
  <c r="CM251" i="5" s="1"/>
  <c r="X251" i="5"/>
  <c r="CL251" i="5" s="1"/>
  <c r="U251" i="5"/>
  <c r="R251" i="5"/>
  <c r="O251" i="5"/>
  <c r="L251" i="5"/>
  <c r="I251" i="5"/>
  <c r="F251" i="5"/>
  <c r="BK250" i="5"/>
  <c r="CY250" i="5" s="1"/>
  <c r="BH250" i="5"/>
  <c r="CX250" i="5" s="1"/>
  <c r="BE250" i="5"/>
  <c r="CW250" i="5" s="1"/>
  <c r="BB250" i="5"/>
  <c r="CV250" i="5" s="1"/>
  <c r="AY250" i="5"/>
  <c r="CU250" i="5" s="1"/>
  <c r="AV250" i="5"/>
  <c r="CT250" i="5" s="1"/>
  <c r="AS250" i="5"/>
  <c r="CS250" i="5" s="1"/>
  <c r="AP250" i="5"/>
  <c r="CR250" i="5" s="1"/>
  <c r="AM250" i="5"/>
  <c r="CQ250" i="5" s="1"/>
  <c r="AJ250" i="5"/>
  <c r="CP250" i="5" s="1"/>
  <c r="AG250" i="5"/>
  <c r="CO250" i="5" s="1"/>
  <c r="AD250" i="5"/>
  <c r="CN250" i="5" s="1"/>
  <c r="AA250" i="5"/>
  <c r="CM250" i="5" s="1"/>
  <c r="X250" i="5"/>
  <c r="CL250" i="5" s="1"/>
  <c r="U250" i="5"/>
  <c r="R250" i="5"/>
  <c r="O250" i="5"/>
  <c r="L250" i="5"/>
  <c r="I250" i="5"/>
  <c r="F250" i="5"/>
  <c r="BK249" i="5"/>
  <c r="CY249" i="5" s="1"/>
  <c r="BH249" i="5"/>
  <c r="CX249" i="5" s="1"/>
  <c r="BE249" i="5"/>
  <c r="CW249" i="5" s="1"/>
  <c r="BB249" i="5"/>
  <c r="CV249" i="5" s="1"/>
  <c r="AY249" i="5"/>
  <c r="CU249" i="5" s="1"/>
  <c r="AV249" i="5"/>
  <c r="CT249" i="5" s="1"/>
  <c r="AS249" i="5"/>
  <c r="CS249" i="5" s="1"/>
  <c r="AP249" i="5"/>
  <c r="CR249" i="5" s="1"/>
  <c r="AM249" i="5"/>
  <c r="CQ249" i="5" s="1"/>
  <c r="AJ249" i="5"/>
  <c r="CP249" i="5" s="1"/>
  <c r="AG249" i="5"/>
  <c r="CO249" i="5" s="1"/>
  <c r="AD249" i="5"/>
  <c r="CN249" i="5" s="1"/>
  <c r="AA249" i="5"/>
  <c r="CM249" i="5" s="1"/>
  <c r="X249" i="5"/>
  <c r="CL249" i="5" s="1"/>
  <c r="U249" i="5"/>
  <c r="R249" i="5"/>
  <c r="O249" i="5"/>
  <c r="L249" i="5"/>
  <c r="I249" i="5"/>
  <c r="F249" i="5"/>
  <c r="BK248" i="5"/>
  <c r="CY248" i="5" s="1"/>
  <c r="BH248" i="5"/>
  <c r="CX248" i="5" s="1"/>
  <c r="BE248" i="5"/>
  <c r="CW248" i="5" s="1"/>
  <c r="BB248" i="5"/>
  <c r="CV248" i="5" s="1"/>
  <c r="AY248" i="5"/>
  <c r="CU248" i="5" s="1"/>
  <c r="AV248" i="5"/>
  <c r="CT248" i="5" s="1"/>
  <c r="AS248" i="5"/>
  <c r="CS248" i="5" s="1"/>
  <c r="AP248" i="5"/>
  <c r="CR248" i="5" s="1"/>
  <c r="AM248" i="5"/>
  <c r="CQ248" i="5" s="1"/>
  <c r="AJ248" i="5"/>
  <c r="CP248" i="5" s="1"/>
  <c r="AG248" i="5"/>
  <c r="CO248" i="5" s="1"/>
  <c r="AD248" i="5"/>
  <c r="CN248" i="5" s="1"/>
  <c r="AA248" i="5"/>
  <c r="CM248" i="5" s="1"/>
  <c r="X248" i="5"/>
  <c r="CL248" i="5" s="1"/>
  <c r="U248" i="5"/>
  <c r="R248" i="5"/>
  <c r="O248" i="5"/>
  <c r="L248" i="5"/>
  <c r="I248" i="5"/>
  <c r="F248" i="5"/>
  <c r="BK247" i="5"/>
  <c r="CY247" i="5" s="1"/>
  <c r="BH247" i="5"/>
  <c r="CX247" i="5" s="1"/>
  <c r="BE247" i="5"/>
  <c r="CW247" i="5" s="1"/>
  <c r="BB247" i="5"/>
  <c r="CV247" i="5" s="1"/>
  <c r="AY247" i="5"/>
  <c r="CU247" i="5" s="1"/>
  <c r="AV247" i="5"/>
  <c r="CT247" i="5" s="1"/>
  <c r="AS247" i="5"/>
  <c r="CS247" i="5" s="1"/>
  <c r="AP247" i="5"/>
  <c r="CR247" i="5" s="1"/>
  <c r="AM247" i="5"/>
  <c r="CQ247" i="5" s="1"/>
  <c r="AJ247" i="5"/>
  <c r="CP247" i="5" s="1"/>
  <c r="AG247" i="5"/>
  <c r="CO247" i="5" s="1"/>
  <c r="AD247" i="5"/>
  <c r="CN247" i="5" s="1"/>
  <c r="AA247" i="5"/>
  <c r="CM247" i="5" s="1"/>
  <c r="X247" i="5"/>
  <c r="CL247" i="5" s="1"/>
  <c r="U247" i="5"/>
  <c r="R247" i="5"/>
  <c r="O247" i="5"/>
  <c r="L247" i="5"/>
  <c r="I247" i="5"/>
  <c r="F247" i="5"/>
  <c r="BK246" i="5"/>
  <c r="CY246" i="5" s="1"/>
  <c r="BH246" i="5"/>
  <c r="CX246" i="5" s="1"/>
  <c r="BE246" i="5"/>
  <c r="CW246" i="5" s="1"/>
  <c r="BB246" i="5"/>
  <c r="CV246" i="5" s="1"/>
  <c r="AY246" i="5"/>
  <c r="CU246" i="5" s="1"/>
  <c r="AV246" i="5"/>
  <c r="CT246" i="5" s="1"/>
  <c r="AS246" i="5"/>
  <c r="CS246" i="5" s="1"/>
  <c r="AP246" i="5"/>
  <c r="CR246" i="5" s="1"/>
  <c r="AM246" i="5"/>
  <c r="CQ246" i="5" s="1"/>
  <c r="AJ246" i="5"/>
  <c r="CP246" i="5" s="1"/>
  <c r="AG246" i="5"/>
  <c r="CO246" i="5" s="1"/>
  <c r="AD246" i="5"/>
  <c r="CN246" i="5" s="1"/>
  <c r="AA246" i="5"/>
  <c r="CM246" i="5" s="1"/>
  <c r="X246" i="5"/>
  <c r="CL246" i="5" s="1"/>
  <c r="U246" i="5"/>
  <c r="R246" i="5"/>
  <c r="O246" i="5"/>
  <c r="L246" i="5"/>
  <c r="I246" i="5"/>
  <c r="F246" i="5"/>
  <c r="BK245" i="5"/>
  <c r="CY245" i="5" s="1"/>
  <c r="BH245" i="5"/>
  <c r="CX245" i="5" s="1"/>
  <c r="BE245" i="5"/>
  <c r="CW245" i="5" s="1"/>
  <c r="BB245" i="5"/>
  <c r="CV245" i="5" s="1"/>
  <c r="AY245" i="5"/>
  <c r="CU245" i="5" s="1"/>
  <c r="AV245" i="5"/>
  <c r="CT245" i="5" s="1"/>
  <c r="AS245" i="5"/>
  <c r="CS245" i="5" s="1"/>
  <c r="AP245" i="5"/>
  <c r="CR245" i="5" s="1"/>
  <c r="AM245" i="5"/>
  <c r="CQ245" i="5" s="1"/>
  <c r="AJ245" i="5"/>
  <c r="CP245" i="5" s="1"/>
  <c r="AG245" i="5"/>
  <c r="CO245" i="5" s="1"/>
  <c r="AD245" i="5"/>
  <c r="CN245" i="5" s="1"/>
  <c r="AA245" i="5"/>
  <c r="CM245" i="5" s="1"/>
  <c r="X245" i="5"/>
  <c r="CL245" i="5" s="1"/>
  <c r="U245" i="5"/>
  <c r="R245" i="5"/>
  <c r="O245" i="5"/>
  <c r="L245" i="5"/>
  <c r="I245" i="5"/>
  <c r="F245" i="5"/>
  <c r="BK243" i="5"/>
  <c r="CY243" i="5" s="1"/>
  <c r="BH243" i="5"/>
  <c r="CX243" i="5" s="1"/>
  <c r="BE243" i="5"/>
  <c r="CW243" i="5" s="1"/>
  <c r="BB243" i="5"/>
  <c r="CV243" i="5" s="1"/>
  <c r="AY243" i="5"/>
  <c r="CU243" i="5" s="1"/>
  <c r="AV243" i="5"/>
  <c r="CT243" i="5" s="1"/>
  <c r="AS243" i="5"/>
  <c r="CS243" i="5" s="1"/>
  <c r="AP243" i="5"/>
  <c r="CR243" i="5" s="1"/>
  <c r="AM243" i="5"/>
  <c r="CQ243" i="5" s="1"/>
  <c r="AJ243" i="5"/>
  <c r="CP243" i="5" s="1"/>
  <c r="AG243" i="5"/>
  <c r="CO243" i="5" s="1"/>
  <c r="AD243" i="5"/>
  <c r="CN243" i="5" s="1"/>
  <c r="AA243" i="5"/>
  <c r="CM243" i="5" s="1"/>
  <c r="X243" i="5"/>
  <c r="CL243" i="5" s="1"/>
  <c r="U243" i="5"/>
  <c r="R243" i="5"/>
  <c r="O243" i="5"/>
  <c r="L243" i="5"/>
  <c r="I243" i="5"/>
  <c r="F243" i="5"/>
  <c r="BK242" i="5"/>
  <c r="CY242" i="5" s="1"/>
  <c r="BH242" i="5"/>
  <c r="CX242" i="5" s="1"/>
  <c r="BE242" i="5"/>
  <c r="CW242" i="5" s="1"/>
  <c r="BB242" i="5"/>
  <c r="CV242" i="5" s="1"/>
  <c r="AY242" i="5"/>
  <c r="CU242" i="5" s="1"/>
  <c r="AV242" i="5"/>
  <c r="CT242" i="5" s="1"/>
  <c r="AS242" i="5"/>
  <c r="CS242" i="5" s="1"/>
  <c r="AP242" i="5"/>
  <c r="CR242" i="5" s="1"/>
  <c r="AM242" i="5"/>
  <c r="CQ242" i="5" s="1"/>
  <c r="AJ242" i="5"/>
  <c r="CP242" i="5" s="1"/>
  <c r="AG242" i="5"/>
  <c r="CO242" i="5" s="1"/>
  <c r="AD242" i="5"/>
  <c r="CN242" i="5" s="1"/>
  <c r="AA242" i="5"/>
  <c r="CM242" i="5" s="1"/>
  <c r="X242" i="5"/>
  <c r="CL242" i="5" s="1"/>
  <c r="U242" i="5"/>
  <c r="R242" i="5"/>
  <c r="O242" i="5"/>
  <c r="L242" i="5"/>
  <c r="I242" i="5"/>
  <c r="F242" i="5"/>
  <c r="BK241" i="5"/>
  <c r="CY241" i="5" s="1"/>
  <c r="BH241" i="5"/>
  <c r="CX241" i="5" s="1"/>
  <c r="BE241" i="5"/>
  <c r="CW241" i="5" s="1"/>
  <c r="BB241" i="5"/>
  <c r="CV241" i="5" s="1"/>
  <c r="AY241" i="5"/>
  <c r="CU241" i="5" s="1"/>
  <c r="AV241" i="5"/>
  <c r="CT241" i="5" s="1"/>
  <c r="AS241" i="5"/>
  <c r="CS241" i="5" s="1"/>
  <c r="AP241" i="5"/>
  <c r="CR241" i="5" s="1"/>
  <c r="AM241" i="5"/>
  <c r="CQ241" i="5" s="1"/>
  <c r="AJ241" i="5"/>
  <c r="CP241" i="5" s="1"/>
  <c r="AG241" i="5"/>
  <c r="CO241" i="5" s="1"/>
  <c r="AD241" i="5"/>
  <c r="CN241" i="5" s="1"/>
  <c r="AA241" i="5"/>
  <c r="CM241" i="5" s="1"/>
  <c r="X241" i="5"/>
  <c r="CL241" i="5" s="1"/>
  <c r="U241" i="5"/>
  <c r="R241" i="5"/>
  <c r="O241" i="5"/>
  <c r="L241" i="5"/>
  <c r="I241" i="5"/>
  <c r="F241" i="5"/>
  <c r="BK240" i="5"/>
  <c r="CY240" i="5" s="1"/>
  <c r="BH240" i="5"/>
  <c r="CX240" i="5" s="1"/>
  <c r="BE240" i="5"/>
  <c r="CW240" i="5" s="1"/>
  <c r="BB240" i="5"/>
  <c r="CV240" i="5" s="1"/>
  <c r="AY240" i="5"/>
  <c r="CU240" i="5" s="1"/>
  <c r="AV240" i="5"/>
  <c r="CT240" i="5" s="1"/>
  <c r="AS240" i="5"/>
  <c r="CS240" i="5" s="1"/>
  <c r="AP240" i="5"/>
  <c r="CR240" i="5" s="1"/>
  <c r="AM240" i="5"/>
  <c r="CQ240" i="5" s="1"/>
  <c r="AJ240" i="5"/>
  <c r="CP240" i="5" s="1"/>
  <c r="AG240" i="5"/>
  <c r="CO240" i="5" s="1"/>
  <c r="AD240" i="5"/>
  <c r="CN240" i="5" s="1"/>
  <c r="AA240" i="5"/>
  <c r="CM240" i="5" s="1"/>
  <c r="X240" i="5"/>
  <c r="CL240" i="5" s="1"/>
  <c r="U240" i="5"/>
  <c r="R240" i="5"/>
  <c r="O240" i="5"/>
  <c r="L240" i="5"/>
  <c r="I240" i="5"/>
  <c r="F240" i="5"/>
  <c r="BK239" i="5"/>
  <c r="CY239" i="5" s="1"/>
  <c r="BH239" i="5"/>
  <c r="CX239" i="5" s="1"/>
  <c r="BE239" i="5"/>
  <c r="CW239" i="5" s="1"/>
  <c r="BB239" i="5"/>
  <c r="CV239" i="5" s="1"/>
  <c r="AY239" i="5"/>
  <c r="CU239" i="5" s="1"/>
  <c r="AV239" i="5"/>
  <c r="CT239" i="5" s="1"/>
  <c r="AS239" i="5"/>
  <c r="CS239" i="5" s="1"/>
  <c r="AP239" i="5"/>
  <c r="CR239" i="5" s="1"/>
  <c r="AM239" i="5"/>
  <c r="CQ239" i="5" s="1"/>
  <c r="AJ239" i="5"/>
  <c r="CP239" i="5" s="1"/>
  <c r="AG239" i="5"/>
  <c r="CO239" i="5" s="1"/>
  <c r="AD239" i="5"/>
  <c r="CN239" i="5" s="1"/>
  <c r="AA239" i="5"/>
  <c r="CM239" i="5" s="1"/>
  <c r="X239" i="5"/>
  <c r="CL239" i="5" s="1"/>
  <c r="U239" i="5"/>
  <c r="R239" i="5"/>
  <c r="O239" i="5"/>
  <c r="L239" i="5"/>
  <c r="I239" i="5"/>
  <c r="F239" i="5"/>
  <c r="BK238" i="5"/>
  <c r="CY238" i="5" s="1"/>
  <c r="BH238" i="5"/>
  <c r="CX238" i="5" s="1"/>
  <c r="BE238" i="5"/>
  <c r="CW238" i="5" s="1"/>
  <c r="BB238" i="5"/>
  <c r="CV238" i="5" s="1"/>
  <c r="AY238" i="5"/>
  <c r="CU238" i="5" s="1"/>
  <c r="AV238" i="5"/>
  <c r="CT238" i="5" s="1"/>
  <c r="AS238" i="5"/>
  <c r="CS238" i="5" s="1"/>
  <c r="AP238" i="5"/>
  <c r="CR238" i="5" s="1"/>
  <c r="AM238" i="5"/>
  <c r="CQ238" i="5" s="1"/>
  <c r="AJ238" i="5"/>
  <c r="CP238" i="5" s="1"/>
  <c r="AG238" i="5"/>
  <c r="CO238" i="5" s="1"/>
  <c r="AD238" i="5"/>
  <c r="CN238" i="5" s="1"/>
  <c r="AA238" i="5"/>
  <c r="CM238" i="5" s="1"/>
  <c r="X238" i="5"/>
  <c r="CL238" i="5" s="1"/>
  <c r="U238" i="5"/>
  <c r="R238" i="5"/>
  <c r="O238" i="5"/>
  <c r="L238" i="5"/>
  <c r="I238" i="5"/>
  <c r="F238" i="5"/>
  <c r="BK236" i="5"/>
  <c r="BH236" i="5"/>
  <c r="CX236" i="5" s="1"/>
  <c r="BE236" i="5"/>
  <c r="CW236" i="5" s="1"/>
  <c r="BB236" i="5"/>
  <c r="CV236" i="5" s="1"/>
  <c r="AY236" i="5"/>
  <c r="CU236" i="5" s="1"/>
  <c r="AV236" i="5"/>
  <c r="CT236" i="5" s="1"/>
  <c r="AS236" i="5"/>
  <c r="CS236" i="5" s="1"/>
  <c r="AP236" i="5"/>
  <c r="CR236" i="5" s="1"/>
  <c r="AM236" i="5"/>
  <c r="CQ236" i="5" s="1"/>
  <c r="AJ236" i="5"/>
  <c r="CP236" i="5" s="1"/>
  <c r="AG236" i="5"/>
  <c r="CO236" i="5" s="1"/>
  <c r="AD236" i="5"/>
  <c r="CN236" i="5" s="1"/>
  <c r="AA236" i="5"/>
  <c r="CM236" i="5" s="1"/>
  <c r="X236" i="5"/>
  <c r="CL236" i="5" s="1"/>
  <c r="U236" i="5"/>
  <c r="R236" i="5"/>
  <c r="O236" i="5"/>
  <c r="L236" i="5"/>
  <c r="I236" i="5"/>
  <c r="F236" i="5"/>
  <c r="BK235" i="5"/>
  <c r="CY235" i="5" s="1"/>
  <c r="BH235" i="5"/>
  <c r="CX235" i="5" s="1"/>
  <c r="BE235" i="5"/>
  <c r="CW235" i="5" s="1"/>
  <c r="BB235" i="5"/>
  <c r="CV235" i="5" s="1"/>
  <c r="AY235" i="5"/>
  <c r="CU235" i="5" s="1"/>
  <c r="AV235" i="5"/>
  <c r="CT235" i="5" s="1"/>
  <c r="AS235" i="5"/>
  <c r="CS235" i="5" s="1"/>
  <c r="AP235" i="5"/>
  <c r="CR235" i="5" s="1"/>
  <c r="AM235" i="5"/>
  <c r="CQ235" i="5" s="1"/>
  <c r="AJ235" i="5"/>
  <c r="CP235" i="5" s="1"/>
  <c r="AG235" i="5"/>
  <c r="CO235" i="5" s="1"/>
  <c r="AD235" i="5"/>
  <c r="CN235" i="5" s="1"/>
  <c r="AA235" i="5"/>
  <c r="CM235" i="5" s="1"/>
  <c r="X235" i="5"/>
  <c r="CL235" i="5" s="1"/>
  <c r="U235" i="5"/>
  <c r="R235" i="5"/>
  <c r="O235" i="5"/>
  <c r="L235" i="5"/>
  <c r="I235" i="5"/>
  <c r="F235" i="5"/>
  <c r="BK234" i="5"/>
  <c r="CY234" i="5" s="1"/>
  <c r="BH234" i="5"/>
  <c r="CX234" i="5" s="1"/>
  <c r="BE234" i="5"/>
  <c r="CW234" i="5" s="1"/>
  <c r="BB234" i="5"/>
  <c r="CV234" i="5" s="1"/>
  <c r="AY234" i="5"/>
  <c r="CU234" i="5" s="1"/>
  <c r="AV234" i="5"/>
  <c r="CT234" i="5" s="1"/>
  <c r="AS234" i="5"/>
  <c r="CS234" i="5" s="1"/>
  <c r="AP234" i="5"/>
  <c r="CR234" i="5" s="1"/>
  <c r="AM234" i="5"/>
  <c r="CQ234" i="5" s="1"/>
  <c r="AJ234" i="5"/>
  <c r="CP234" i="5" s="1"/>
  <c r="AG234" i="5"/>
  <c r="CO234" i="5" s="1"/>
  <c r="AD234" i="5"/>
  <c r="CN234" i="5" s="1"/>
  <c r="AA234" i="5"/>
  <c r="CM234" i="5" s="1"/>
  <c r="X234" i="5"/>
  <c r="CL234" i="5" s="1"/>
  <c r="U234" i="5"/>
  <c r="R234" i="5"/>
  <c r="O234" i="5"/>
  <c r="L234" i="5"/>
  <c r="I234" i="5"/>
  <c r="F234" i="5"/>
  <c r="BK233" i="5"/>
  <c r="CY233" i="5" s="1"/>
  <c r="BH233" i="5"/>
  <c r="CX233" i="5" s="1"/>
  <c r="BE233" i="5"/>
  <c r="CW233" i="5" s="1"/>
  <c r="BB233" i="5"/>
  <c r="CV233" i="5" s="1"/>
  <c r="AY233" i="5"/>
  <c r="CU233" i="5" s="1"/>
  <c r="AV233" i="5"/>
  <c r="CT233" i="5" s="1"/>
  <c r="AS233" i="5"/>
  <c r="CS233" i="5" s="1"/>
  <c r="AP233" i="5"/>
  <c r="CR233" i="5" s="1"/>
  <c r="AM233" i="5"/>
  <c r="CQ233" i="5" s="1"/>
  <c r="AJ233" i="5"/>
  <c r="CP233" i="5" s="1"/>
  <c r="AG233" i="5"/>
  <c r="CO233" i="5" s="1"/>
  <c r="AD233" i="5"/>
  <c r="CN233" i="5" s="1"/>
  <c r="AA233" i="5"/>
  <c r="CM233" i="5" s="1"/>
  <c r="X233" i="5"/>
  <c r="CL233" i="5" s="1"/>
  <c r="U233" i="5"/>
  <c r="R233" i="5"/>
  <c r="O233" i="5"/>
  <c r="L233" i="5"/>
  <c r="I233" i="5"/>
  <c r="F233" i="5"/>
  <c r="BK232" i="5"/>
  <c r="CY232" i="5" s="1"/>
  <c r="BH232" i="5"/>
  <c r="CX232" i="5" s="1"/>
  <c r="BE232" i="5"/>
  <c r="CW232" i="5" s="1"/>
  <c r="BB232" i="5"/>
  <c r="CV232" i="5" s="1"/>
  <c r="AY232" i="5"/>
  <c r="CU232" i="5" s="1"/>
  <c r="AV232" i="5"/>
  <c r="CT232" i="5" s="1"/>
  <c r="AS232" i="5"/>
  <c r="CS232" i="5" s="1"/>
  <c r="AP232" i="5"/>
  <c r="CR232" i="5" s="1"/>
  <c r="AM232" i="5"/>
  <c r="CQ232" i="5" s="1"/>
  <c r="AJ232" i="5"/>
  <c r="CP232" i="5" s="1"/>
  <c r="AG232" i="5"/>
  <c r="CO232" i="5" s="1"/>
  <c r="AD232" i="5"/>
  <c r="CN232" i="5" s="1"/>
  <c r="AA232" i="5"/>
  <c r="CM232" i="5" s="1"/>
  <c r="X232" i="5"/>
  <c r="CL232" i="5" s="1"/>
  <c r="U232" i="5"/>
  <c r="R232" i="5"/>
  <c r="O232" i="5"/>
  <c r="L232" i="5"/>
  <c r="I232" i="5"/>
  <c r="F232" i="5"/>
  <c r="BK231" i="5"/>
  <c r="CY231" i="5" s="1"/>
  <c r="BH231" i="5"/>
  <c r="CX231" i="5" s="1"/>
  <c r="BE231" i="5"/>
  <c r="CW231" i="5" s="1"/>
  <c r="BB231" i="5"/>
  <c r="CV231" i="5" s="1"/>
  <c r="AY231" i="5"/>
  <c r="CU231" i="5" s="1"/>
  <c r="AV231" i="5"/>
  <c r="CT231" i="5" s="1"/>
  <c r="AS231" i="5"/>
  <c r="CS231" i="5" s="1"/>
  <c r="AP231" i="5"/>
  <c r="CR231" i="5" s="1"/>
  <c r="AM231" i="5"/>
  <c r="CQ231" i="5" s="1"/>
  <c r="AJ231" i="5"/>
  <c r="CP231" i="5" s="1"/>
  <c r="AG231" i="5"/>
  <c r="CO231" i="5" s="1"/>
  <c r="AD231" i="5"/>
  <c r="CN231" i="5" s="1"/>
  <c r="AA231" i="5"/>
  <c r="CM231" i="5" s="1"/>
  <c r="X231" i="5"/>
  <c r="CL231" i="5" s="1"/>
  <c r="U231" i="5"/>
  <c r="R231" i="5"/>
  <c r="O231" i="5"/>
  <c r="L231" i="5"/>
  <c r="I231" i="5"/>
  <c r="F231" i="5"/>
  <c r="BK229" i="5"/>
  <c r="CY229" i="5" s="1"/>
  <c r="BH229" i="5"/>
  <c r="CX229" i="5" s="1"/>
  <c r="BE229" i="5"/>
  <c r="CW229" i="5" s="1"/>
  <c r="BB229" i="5"/>
  <c r="CV229" i="5" s="1"/>
  <c r="AY229" i="5"/>
  <c r="CU229" i="5" s="1"/>
  <c r="AV229" i="5"/>
  <c r="CT229" i="5" s="1"/>
  <c r="AS229" i="5"/>
  <c r="CS229" i="5" s="1"/>
  <c r="AP229" i="5"/>
  <c r="CR229" i="5" s="1"/>
  <c r="AM229" i="5"/>
  <c r="CQ229" i="5" s="1"/>
  <c r="AJ229" i="5"/>
  <c r="CP229" i="5" s="1"/>
  <c r="AG229" i="5"/>
  <c r="CO229" i="5" s="1"/>
  <c r="AD229" i="5"/>
  <c r="CN229" i="5" s="1"/>
  <c r="AA229" i="5"/>
  <c r="CM229" i="5" s="1"/>
  <c r="X229" i="5"/>
  <c r="CL229" i="5" s="1"/>
  <c r="U229" i="5"/>
  <c r="R229" i="5"/>
  <c r="O229" i="5"/>
  <c r="L229" i="5"/>
  <c r="I229" i="5"/>
  <c r="F229" i="5"/>
  <c r="BK228" i="5"/>
  <c r="CY228" i="5" s="1"/>
  <c r="BH228" i="5"/>
  <c r="CX228" i="5" s="1"/>
  <c r="BE228" i="5"/>
  <c r="CW228" i="5" s="1"/>
  <c r="BB228" i="5"/>
  <c r="CV228" i="5" s="1"/>
  <c r="AY228" i="5"/>
  <c r="CU228" i="5" s="1"/>
  <c r="AV228" i="5"/>
  <c r="CT228" i="5" s="1"/>
  <c r="AS228" i="5"/>
  <c r="CS228" i="5" s="1"/>
  <c r="AP228" i="5"/>
  <c r="CR228" i="5" s="1"/>
  <c r="AM228" i="5"/>
  <c r="CQ228" i="5" s="1"/>
  <c r="AJ228" i="5"/>
  <c r="CP228" i="5" s="1"/>
  <c r="AG228" i="5"/>
  <c r="CO228" i="5" s="1"/>
  <c r="AD228" i="5"/>
  <c r="CN228" i="5" s="1"/>
  <c r="AA228" i="5"/>
  <c r="CM228" i="5" s="1"/>
  <c r="X228" i="5"/>
  <c r="CL228" i="5" s="1"/>
  <c r="U228" i="5"/>
  <c r="R228" i="5"/>
  <c r="O228" i="5"/>
  <c r="L228" i="5"/>
  <c r="I228" i="5"/>
  <c r="F228" i="5"/>
  <c r="BK227" i="5"/>
  <c r="CY227" i="5" s="1"/>
  <c r="BH227" i="5"/>
  <c r="CX227" i="5" s="1"/>
  <c r="BE227" i="5"/>
  <c r="CW227" i="5" s="1"/>
  <c r="BB227" i="5"/>
  <c r="CV227" i="5" s="1"/>
  <c r="AY227" i="5"/>
  <c r="CU227" i="5" s="1"/>
  <c r="AV227" i="5"/>
  <c r="CT227" i="5" s="1"/>
  <c r="AS227" i="5"/>
  <c r="CS227" i="5" s="1"/>
  <c r="AP227" i="5"/>
  <c r="CR227" i="5" s="1"/>
  <c r="AM227" i="5"/>
  <c r="CQ227" i="5" s="1"/>
  <c r="AJ227" i="5"/>
  <c r="CP227" i="5" s="1"/>
  <c r="AG227" i="5"/>
  <c r="CO227" i="5" s="1"/>
  <c r="AD227" i="5"/>
  <c r="CN227" i="5" s="1"/>
  <c r="AA227" i="5"/>
  <c r="CM227" i="5" s="1"/>
  <c r="X227" i="5"/>
  <c r="CL227" i="5" s="1"/>
  <c r="U227" i="5"/>
  <c r="R227" i="5"/>
  <c r="O227" i="5"/>
  <c r="L227" i="5"/>
  <c r="I227" i="5"/>
  <c r="F227" i="5"/>
  <c r="BK226" i="5"/>
  <c r="CY226" i="5" s="1"/>
  <c r="BH226" i="5"/>
  <c r="CX226" i="5" s="1"/>
  <c r="BE226" i="5"/>
  <c r="CW226" i="5" s="1"/>
  <c r="BB226" i="5"/>
  <c r="CV226" i="5" s="1"/>
  <c r="AY226" i="5"/>
  <c r="CU226" i="5" s="1"/>
  <c r="AV226" i="5"/>
  <c r="CT226" i="5" s="1"/>
  <c r="AS226" i="5"/>
  <c r="CS226" i="5" s="1"/>
  <c r="AP226" i="5"/>
  <c r="CR226" i="5" s="1"/>
  <c r="AM226" i="5"/>
  <c r="CQ226" i="5" s="1"/>
  <c r="AJ226" i="5"/>
  <c r="CP226" i="5" s="1"/>
  <c r="AG226" i="5"/>
  <c r="CO226" i="5" s="1"/>
  <c r="AD226" i="5"/>
  <c r="CN226" i="5" s="1"/>
  <c r="AA226" i="5"/>
  <c r="CM226" i="5" s="1"/>
  <c r="X226" i="5"/>
  <c r="CL226" i="5" s="1"/>
  <c r="U226" i="5"/>
  <c r="R226" i="5"/>
  <c r="O226" i="5"/>
  <c r="L226" i="5"/>
  <c r="I226" i="5"/>
  <c r="F226" i="5"/>
  <c r="BK225" i="5"/>
  <c r="CY225" i="5" s="1"/>
  <c r="BH225" i="5"/>
  <c r="CX225" i="5" s="1"/>
  <c r="BE225" i="5"/>
  <c r="CW225" i="5" s="1"/>
  <c r="BB225" i="5"/>
  <c r="CV225" i="5" s="1"/>
  <c r="AY225" i="5"/>
  <c r="CU225" i="5" s="1"/>
  <c r="AV225" i="5"/>
  <c r="CT225" i="5" s="1"/>
  <c r="AS225" i="5"/>
  <c r="CS225" i="5" s="1"/>
  <c r="AP225" i="5"/>
  <c r="CR225" i="5" s="1"/>
  <c r="AM225" i="5"/>
  <c r="CQ225" i="5" s="1"/>
  <c r="AJ225" i="5"/>
  <c r="CP225" i="5" s="1"/>
  <c r="AG225" i="5"/>
  <c r="CO225" i="5" s="1"/>
  <c r="AD225" i="5"/>
  <c r="CN225" i="5" s="1"/>
  <c r="AA225" i="5"/>
  <c r="CM225" i="5" s="1"/>
  <c r="X225" i="5"/>
  <c r="CL225" i="5" s="1"/>
  <c r="U225" i="5"/>
  <c r="R225" i="5"/>
  <c r="O225" i="5"/>
  <c r="L225" i="5"/>
  <c r="I225" i="5"/>
  <c r="F225" i="5"/>
  <c r="CY224" i="5"/>
  <c r="CX224" i="5"/>
  <c r="CW224" i="5"/>
  <c r="CV224" i="5"/>
  <c r="CU224" i="5"/>
  <c r="CT224" i="5"/>
  <c r="CS224" i="5"/>
  <c r="CR224" i="5"/>
  <c r="CQ224" i="5"/>
  <c r="CP224" i="5"/>
  <c r="CO224" i="5"/>
  <c r="CN224" i="5"/>
  <c r="AA224" i="5"/>
  <c r="CM224" i="5" s="1"/>
  <c r="X224" i="5"/>
  <c r="CL224" i="5" s="1"/>
  <c r="U224" i="5"/>
  <c r="R224" i="5"/>
  <c r="O224" i="5"/>
  <c r="L224" i="5"/>
  <c r="I224" i="5"/>
  <c r="F224" i="5"/>
  <c r="BK222" i="5"/>
  <c r="CY222" i="5" s="1"/>
  <c r="BH222" i="5"/>
  <c r="CX222" i="5" s="1"/>
  <c r="BE222" i="5"/>
  <c r="CW222" i="5" s="1"/>
  <c r="BB222" i="5"/>
  <c r="CV222" i="5" s="1"/>
  <c r="AY222" i="5"/>
  <c r="CU222" i="5" s="1"/>
  <c r="AV222" i="5"/>
  <c r="CT222" i="5" s="1"/>
  <c r="AS222" i="5"/>
  <c r="CS222" i="5" s="1"/>
  <c r="AP222" i="5"/>
  <c r="CR222" i="5" s="1"/>
  <c r="AM222" i="5"/>
  <c r="CQ222" i="5" s="1"/>
  <c r="AJ222" i="5"/>
  <c r="CP222" i="5" s="1"/>
  <c r="AG222" i="5"/>
  <c r="CO222" i="5" s="1"/>
  <c r="AD222" i="5"/>
  <c r="CN222" i="5" s="1"/>
  <c r="AA222" i="5"/>
  <c r="CM222" i="5" s="1"/>
  <c r="X222" i="5"/>
  <c r="CL222" i="5" s="1"/>
  <c r="U222" i="5"/>
  <c r="R222" i="5"/>
  <c r="O222" i="5"/>
  <c r="L222" i="5"/>
  <c r="I222" i="5"/>
  <c r="F222" i="5"/>
  <c r="CY220" i="5"/>
  <c r="CX220" i="5"/>
  <c r="CW220" i="5"/>
  <c r="CV220" i="5"/>
  <c r="CU220" i="5"/>
  <c r="CT220" i="5"/>
  <c r="CS220" i="5"/>
  <c r="CR220" i="5"/>
  <c r="CQ220" i="5"/>
  <c r="CP220" i="5"/>
  <c r="CO220" i="5"/>
  <c r="CN220" i="5"/>
  <c r="CM220" i="5"/>
  <c r="CL220" i="5"/>
  <c r="AI219" i="5"/>
  <c r="AJ219" i="5" s="1"/>
  <c r="AK219" i="5" s="1"/>
  <c r="AL219" i="5" s="1"/>
  <c r="AM219" i="5" s="1"/>
  <c r="AD219" i="5"/>
  <c r="CN219" i="5" s="1"/>
  <c r="AA219" i="5"/>
  <c r="CM219" i="5" s="1"/>
  <c r="X219" i="5"/>
  <c r="CL219" i="5" s="1"/>
  <c r="U219" i="5"/>
  <c r="R219" i="5"/>
  <c r="O219" i="5"/>
  <c r="L219" i="5"/>
  <c r="I219" i="5"/>
  <c r="F219" i="5"/>
  <c r="H218" i="5"/>
  <c r="H221" i="5" s="1"/>
  <c r="G218" i="5"/>
  <c r="E218" i="5"/>
  <c r="E221" i="5" s="1"/>
  <c r="D218" i="5"/>
  <c r="AX217" i="5"/>
  <c r="AY217" i="5" s="1"/>
  <c r="AV217" i="5"/>
  <c r="CT217" i="5" s="1"/>
  <c r="AS217" i="5"/>
  <c r="CS217" i="5" s="1"/>
  <c r="AM217" i="5"/>
  <c r="CQ217" i="5" s="1"/>
  <c r="AJ217" i="5"/>
  <c r="CP217" i="5" s="1"/>
  <c r="AG217" i="5"/>
  <c r="CO217" i="5" s="1"/>
  <c r="AD217" i="5"/>
  <c r="CN217" i="5" s="1"/>
  <c r="AA217" i="5"/>
  <c r="CM217" i="5" s="1"/>
  <c r="X217" i="5"/>
  <c r="CL217" i="5" s="1"/>
  <c r="U217" i="5"/>
  <c r="R217" i="5"/>
  <c r="O217" i="5"/>
  <c r="L217" i="5"/>
  <c r="I217" i="5"/>
  <c r="F217" i="5"/>
  <c r="AQ212" i="5"/>
  <c r="AN212" i="5"/>
  <c r="AK212" i="5"/>
  <c r="CR211" i="5"/>
  <c r="CQ211" i="5"/>
  <c r="CP211" i="5"/>
  <c r="CO211" i="5"/>
  <c r="CM211" i="5"/>
  <c r="CL211" i="5"/>
  <c r="AO211" i="5"/>
  <c r="AL211" i="5"/>
  <c r="AE211" i="5"/>
  <c r="AE84" i="5" s="1"/>
  <c r="AD211" i="5"/>
  <c r="CM210" i="5"/>
  <c r="CM278" i="5" s="1"/>
  <c r="AN210" i="5"/>
  <c r="AM210" i="5"/>
  <c r="AM278" i="5" s="1"/>
  <c r="AK210" i="5"/>
  <c r="AK278" i="5" s="1"/>
  <c r="AJ210" i="5"/>
  <c r="AJ278" i="5" s="1"/>
  <c r="AH210" i="5"/>
  <c r="AI207" i="5" s="1"/>
  <c r="AG210" i="5"/>
  <c r="AG278" i="5" s="1"/>
  <c r="AD210" i="5"/>
  <c r="AD278" i="5" s="1"/>
  <c r="U210" i="5"/>
  <c r="U204" i="5" s="1"/>
  <c r="J210" i="5"/>
  <c r="I210" i="5"/>
  <c r="J218" i="5" s="1"/>
  <c r="CM208" i="5"/>
  <c r="CY208" i="5"/>
  <c r="BH208" i="5"/>
  <c r="BE208" i="5"/>
  <c r="CW208" i="5" s="1"/>
  <c r="AY208" i="5"/>
  <c r="CU208" i="5" s="1"/>
  <c r="AV208" i="5"/>
  <c r="AS208" i="5"/>
  <c r="CS208" i="5" s="1"/>
  <c r="X208" i="5"/>
  <c r="CL208" i="5" s="1"/>
  <c r="U208" i="5"/>
  <c r="U198" i="5" s="1"/>
  <c r="L208" i="5"/>
  <c r="L198" i="5" s="1"/>
  <c r="CM207" i="5"/>
  <c r="AR207" i="5"/>
  <c r="AR210" i="5" s="1"/>
  <c r="AC207" i="5"/>
  <c r="AC197" i="5" s="1"/>
  <c r="AB207" i="5"/>
  <c r="U207" i="5"/>
  <c r="U202" i="5" s="1"/>
  <c r="T207" i="5"/>
  <c r="V207" i="5" s="1"/>
  <c r="W207" i="5" s="1"/>
  <c r="R207" i="5"/>
  <c r="R202" i="5" s="1"/>
  <c r="Q207" i="5"/>
  <c r="Q202" i="5" s="1"/>
  <c r="M207" i="5"/>
  <c r="M202" i="5" s="1"/>
  <c r="K207" i="5"/>
  <c r="K210" i="5" s="1"/>
  <c r="K204" i="5" s="1"/>
  <c r="CY206" i="5"/>
  <c r="CX206" i="5"/>
  <c r="CW206" i="5"/>
  <c r="CV206" i="5"/>
  <c r="CU206" i="5"/>
  <c r="CT206" i="5"/>
  <c r="CS206" i="5"/>
  <c r="CR206" i="5"/>
  <c r="CQ206" i="5"/>
  <c r="CP206" i="5"/>
  <c r="CO206" i="5"/>
  <c r="CN206" i="5"/>
  <c r="CM206" i="5"/>
  <c r="CL206" i="5"/>
  <c r="CY205" i="5"/>
  <c r="CX205" i="5"/>
  <c r="CW205" i="5"/>
  <c r="CV205" i="5"/>
  <c r="CU205" i="5"/>
  <c r="CT205" i="5"/>
  <c r="CS205" i="5"/>
  <c r="CR205" i="5"/>
  <c r="CQ205" i="5"/>
  <c r="CP205" i="5"/>
  <c r="CO205" i="5"/>
  <c r="CN205" i="5"/>
  <c r="CM205" i="5"/>
  <c r="CL205" i="5"/>
  <c r="AA204" i="5"/>
  <c r="CM204" i="5" s="1"/>
  <c r="Z204" i="5"/>
  <c r="Y204" i="5"/>
  <c r="W204" i="5"/>
  <c r="V204" i="5"/>
  <c r="T204" i="5"/>
  <c r="S204" i="5"/>
  <c r="R204" i="5"/>
  <c r="Q204" i="5"/>
  <c r="P204" i="5"/>
  <c r="BK203" i="5"/>
  <c r="CY203" i="5" s="1"/>
  <c r="BH203" i="5"/>
  <c r="CX203" i="5" s="1"/>
  <c r="BE203" i="5"/>
  <c r="CW203" i="5" s="1"/>
  <c r="BB203" i="5"/>
  <c r="CV203" i="5" s="1"/>
  <c r="AY203" i="5"/>
  <c r="CU203" i="5" s="1"/>
  <c r="AV203" i="5"/>
  <c r="CT203" i="5" s="1"/>
  <c r="AS203" i="5"/>
  <c r="CS203" i="5" s="1"/>
  <c r="AP203" i="5"/>
  <c r="CR203" i="5" s="1"/>
  <c r="AM203" i="5"/>
  <c r="CQ203" i="5" s="1"/>
  <c r="AJ203" i="5"/>
  <c r="CP203" i="5" s="1"/>
  <c r="AG203" i="5"/>
  <c r="CO203" i="5" s="1"/>
  <c r="AD203" i="5"/>
  <c r="CN203" i="5" s="1"/>
  <c r="AA203" i="5"/>
  <c r="CM203" i="5" s="1"/>
  <c r="Z203" i="5"/>
  <c r="Y203" i="5"/>
  <c r="W203" i="5"/>
  <c r="V203" i="5"/>
  <c r="T203" i="5"/>
  <c r="S203" i="5"/>
  <c r="R203" i="5"/>
  <c r="Q203" i="5"/>
  <c r="P203" i="5"/>
  <c r="O203" i="5"/>
  <c r="N203" i="5"/>
  <c r="M203" i="5"/>
  <c r="K203" i="5"/>
  <c r="J203" i="5"/>
  <c r="I203" i="5"/>
  <c r="AD202" i="5"/>
  <c r="CN202" i="5" s="1"/>
  <c r="AC202" i="5"/>
  <c r="AC204" i="5" s="1"/>
  <c r="AD204" i="5" s="1"/>
  <c r="AA202" i="5"/>
  <c r="CM202" i="5" s="1"/>
  <c r="Z202" i="5"/>
  <c r="Y202" i="5"/>
  <c r="S202" i="5"/>
  <c r="P202" i="5"/>
  <c r="L202" i="5"/>
  <c r="J202" i="5"/>
  <c r="I202" i="5"/>
  <c r="CY201" i="5"/>
  <c r="CX201" i="5"/>
  <c r="CW201" i="5"/>
  <c r="CV201" i="5"/>
  <c r="CU201" i="5"/>
  <c r="CT201" i="5"/>
  <c r="CS201" i="5"/>
  <c r="CR201" i="5"/>
  <c r="CQ201" i="5"/>
  <c r="CP201" i="5"/>
  <c r="CO201" i="5"/>
  <c r="CN201" i="5"/>
  <c r="CM201" i="5"/>
  <c r="CL201" i="5"/>
  <c r="CY200" i="5"/>
  <c r="CX200" i="5"/>
  <c r="CW200" i="5"/>
  <c r="CV200" i="5"/>
  <c r="CU200" i="5"/>
  <c r="CT200" i="5"/>
  <c r="CS200" i="5"/>
  <c r="CR200" i="5"/>
  <c r="CQ200" i="5"/>
  <c r="CP200" i="5"/>
  <c r="CO200" i="5"/>
  <c r="CN200" i="5"/>
  <c r="CM200" i="5"/>
  <c r="CL200" i="5"/>
  <c r="AQ199" i="5"/>
  <c r="AI199" i="5"/>
  <c r="AF199" i="5"/>
  <c r="AC199" i="5"/>
  <c r="AB199" i="5"/>
  <c r="AA199" i="5"/>
  <c r="CM199" i="5" s="1"/>
  <c r="Z199" i="5"/>
  <c r="Y199" i="5"/>
  <c r="W199" i="5"/>
  <c r="V199" i="5"/>
  <c r="T199" i="5"/>
  <c r="S199" i="5"/>
  <c r="R199" i="5"/>
  <c r="Q199" i="5"/>
  <c r="P199" i="5"/>
  <c r="BD198" i="5"/>
  <c r="AX198" i="5"/>
  <c r="AT198" i="5"/>
  <c r="AR198" i="5"/>
  <c r="AQ198" i="5"/>
  <c r="AK198" i="5"/>
  <c r="AB198" i="5"/>
  <c r="AA198" i="5"/>
  <c r="CM198" i="5" s="1"/>
  <c r="Z198" i="5"/>
  <c r="Y198" i="5"/>
  <c r="W198" i="5"/>
  <c r="V198" i="5"/>
  <c r="T198" i="5"/>
  <c r="S198" i="5"/>
  <c r="R198" i="5"/>
  <c r="Q198" i="5"/>
  <c r="P198" i="5"/>
  <c r="O198" i="5"/>
  <c r="N198" i="5"/>
  <c r="M198" i="5"/>
  <c r="K198" i="5"/>
  <c r="J198" i="5"/>
  <c r="I198" i="5"/>
  <c r="AA197" i="5"/>
  <c r="CM197" i="5" s="1"/>
  <c r="Z197" i="5"/>
  <c r="Y197" i="5"/>
  <c r="S197" i="5"/>
  <c r="P197" i="5"/>
  <c r="L197" i="5"/>
  <c r="J197" i="5"/>
  <c r="I197" i="5"/>
  <c r="AP180" i="5"/>
  <c r="AQ180" i="5" s="1"/>
  <c r="AR180" i="5" s="1"/>
  <c r="AS180" i="5" s="1"/>
  <c r="AU180" i="5" s="1"/>
  <c r="AV180" i="5" s="1"/>
  <c r="AW180" i="5" s="1"/>
  <c r="AX180" i="5" s="1"/>
  <c r="AY180" i="5" s="1"/>
  <c r="AZ180" i="5" s="1"/>
  <c r="BA180" i="5" s="1"/>
  <c r="BB180" i="5" s="1"/>
  <c r="BC180" i="5" s="1"/>
  <c r="BD180" i="5" s="1"/>
  <c r="BE180" i="5" s="1"/>
  <c r="BF180" i="5" s="1"/>
  <c r="BH180" i="5" s="1"/>
  <c r="AM180" i="5"/>
  <c r="AJ180" i="5"/>
  <c r="AH180" i="5"/>
  <c r="AC176" i="5"/>
  <c r="L176" i="5"/>
  <c r="J176" i="5"/>
  <c r="AQ175" i="5"/>
  <c r="AN175" i="5"/>
  <c r="AK175" i="5"/>
  <c r="AH175" i="5"/>
  <c r="AE175" i="5"/>
  <c r="AB175" i="5"/>
  <c r="AA175" i="5"/>
  <c r="CM175" i="5" s="1"/>
  <c r="Z175" i="5"/>
  <c r="Y175" i="5"/>
  <c r="X175" i="5"/>
  <c r="CL175" i="5" s="1"/>
  <c r="W175" i="5"/>
  <c r="V175" i="5"/>
  <c r="U175" i="5"/>
  <c r="T175" i="5"/>
  <c r="S175" i="5"/>
  <c r="R175" i="5"/>
  <c r="Q175" i="5"/>
  <c r="P175" i="5"/>
  <c r="O175" i="5"/>
  <c r="N175" i="5"/>
  <c r="M175" i="5"/>
  <c r="L175" i="5"/>
  <c r="K175" i="5"/>
  <c r="J175" i="5"/>
  <c r="AR173" i="5"/>
  <c r="AS173" i="5" s="1"/>
  <c r="AO173" i="5"/>
  <c r="AP173" i="5" s="1"/>
  <c r="CO171" i="5"/>
  <c r="CN171" i="5"/>
  <c r="CM171" i="5"/>
  <c r="CL171" i="5"/>
  <c r="AR171" i="5"/>
  <c r="AO171" i="5"/>
  <c r="AL171" i="5"/>
  <c r="AI171" i="5"/>
  <c r="AF171" i="5"/>
  <c r="AA170" i="5"/>
  <c r="CM170" i="5" s="1"/>
  <c r="Z170" i="5"/>
  <c r="Y170" i="5"/>
  <c r="X170" i="5"/>
  <c r="CL170" i="5" s="1"/>
  <c r="W170" i="5"/>
  <c r="V170" i="5"/>
  <c r="U170" i="5"/>
  <c r="T170" i="5"/>
  <c r="S170" i="5"/>
  <c r="R170" i="5"/>
  <c r="Q170" i="5"/>
  <c r="P170" i="5"/>
  <c r="O170" i="5"/>
  <c r="N170" i="5"/>
  <c r="M170" i="5"/>
  <c r="L170" i="5"/>
  <c r="K170" i="5"/>
  <c r="J170" i="5"/>
  <c r="CM169" i="5"/>
  <c r="CL169" i="5"/>
  <c r="AQ169" i="5"/>
  <c r="AQ291" i="5" s="1"/>
  <c r="AH169" i="5"/>
  <c r="AH291" i="5" s="1"/>
  <c r="CM168" i="5"/>
  <c r="CL168" i="5"/>
  <c r="CM167" i="5"/>
  <c r="BH21" i="9" s="1"/>
  <c r="CL167" i="5"/>
  <c r="CM164" i="5"/>
  <c r="CL164" i="5"/>
  <c r="AR164" i="5"/>
  <c r="AO164" i="5"/>
  <c r="AL164" i="5"/>
  <c r="AI164" i="5"/>
  <c r="CK163" i="5"/>
  <c r="AB163" i="5"/>
  <c r="Z163" i="5"/>
  <c r="Y163" i="5"/>
  <c r="X163" i="5"/>
  <c r="CL163" i="5" s="1"/>
  <c r="W163" i="5"/>
  <c r="V163" i="5"/>
  <c r="U163" i="5"/>
  <c r="T163" i="5"/>
  <c r="S163" i="5"/>
  <c r="R163" i="5"/>
  <c r="Q163" i="5"/>
  <c r="P163" i="5"/>
  <c r="O163" i="5"/>
  <c r="N163" i="5"/>
  <c r="M163" i="5"/>
  <c r="L163" i="5"/>
  <c r="K163" i="5"/>
  <c r="J163" i="5"/>
  <c r="CL161" i="5"/>
  <c r="AA161" i="5"/>
  <c r="CM161" i="5" s="1"/>
  <c r="CM160" i="5"/>
  <c r="CL160" i="5"/>
  <c r="CL159" i="5"/>
  <c r="AA159" i="5"/>
  <c r="CM159" i="5" s="1"/>
  <c r="CM156" i="5"/>
  <c r="CL156" i="5"/>
  <c r="AR156" i="5"/>
  <c r="AO156" i="5"/>
  <c r="AL156" i="5"/>
  <c r="AI156" i="5"/>
  <c r="K154" i="5"/>
  <c r="J154" i="5"/>
  <c r="L153" i="5"/>
  <c r="K153" i="5"/>
  <c r="J153" i="5"/>
  <c r="K152" i="5"/>
  <c r="J152" i="5"/>
  <c r="CJ151" i="5"/>
  <c r="CI151" i="5"/>
  <c r="CH151" i="5"/>
  <c r="CG151" i="5"/>
  <c r="CF151" i="5"/>
  <c r="CE151" i="5"/>
  <c r="AQ151" i="5"/>
  <c r="AN151" i="5"/>
  <c r="AK151" i="5"/>
  <c r="AH151" i="5"/>
  <c r="AE151" i="5"/>
  <c r="AB151" i="5"/>
  <c r="AA151" i="5"/>
  <c r="Z151" i="5"/>
  <c r="Y151" i="5"/>
  <c r="X151" i="5"/>
  <c r="W151" i="5"/>
  <c r="V151" i="5"/>
  <c r="U151" i="5"/>
  <c r="T151" i="5"/>
  <c r="S151" i="5"/>
  <c r="R151" i="5"/>
  <c r="Q151" i="5"/>
  <c r="P151" i="5"/>
  <c r="O151" i="5"/>
  <c r="N151" i="5"/>
  <c r="M151" i="5"/>
  <c r="L151" i="5"/>
  <c r="K151" i="5"/>
  <c r="J151" i="5"/>
  <c r="AB150" i="5"/>
  <c r="AA150" i="5"/>
  <c r="CM150" i="5" s="1"/>
  <c r="Z150" i="5"/>
  <c r="Y150" i="5"/>
  <c r="X150" i="5"/>
  <c r="CL150" i="5" s="1"/>
  <c r="W150" i="5"/>
  <c r="V150" i="5"/>
  <c r="U150" i="5"/>
  <c r="T150" i="5"/>
  <c r="S150" i="5"/>
  <c r="R150" i="5"/>
  <c r="Q150" i="5"/>
  <c r="P150" i="5"/>
  <c r="O150" i="5"/>
  <c r="N150" i="5"/>
  <c r="M150" i="5"/>
  <c r="L150" i="5"/>
  <c r="K150" i="5"/>
  <c r="J150" i="5"/>
  <c r="AB149" i="5"/>
  <c r="AA149" i="5"/>
  <c r="CM149" i="5" s="1"/>
  <c r="Z149" i="5"/>
  <c r="Y149" i="5"/>
  <c r="X149" i="5"/>
  <c r="CL149" i="5" s="1"/>
  <c r="W149" i="5"/>
  <c r="V149" i="5"/>
  <c r="U149" i="5"/>
  <c r="T149" i="5"/>
  <c r="S149" i="5"/>
  <c r="R149" i="5"/>
  <c r="Q149" i="5"/>
  <c r="P149" i="5"/>
  <c r="O149" i="5"/>
  <c r="N149" i="5"/>
  <c r="M149" i="5"/>
  <c r="L149" i="5"/>
  <c r="K149" i="5"/>
  <c r="J149" i="5"/>
  <c r="K148" i="5"/>
  <c r="J148" i="5"/>
  <c r="CP143" i="5"/>
  <c r="AQ143" i="5"/>
  <c r="AR139" i="5" s="1"/>
  <c r="AO143" i="5"/>
  <c r="AC143" i="5"/>
  <c r="AE139" i="5" s="1"/>
  <c r="AG139" i="5" s="1"/>
  <c r="CO139" i="5" s="1"/>
  <c r="AA143" i="5"/>
  <c r="CM143" i="5" s="1"/>
  <c r="Z143" i="5"/>
  <c r="Y143" i="5"/>
  <c r="X143" i="5"/>
  <c r="CL143" i="5" s="1"/>
  <c r="W143" i="5"/>
  <c r="V143" i="5"/>
  <c r="U143" i="5"/>
  <c r="T143" i="5"/>
  <c r="S143" i="5"/>
  <c r="R143" i="5"/>
  <c r="Q143" i="5"/>
  <c r="P143" i="5"/>
  <c r="O143" i="5"/>
  <c r="N143" i="5"/>
  <c r="M143" i="5"/>
  <c r="L143" i="5"/>
  <c r="K143" i="5"/>
  <c r="J143" i="5"/>
  <c r="I143" i="5"/>
  <c r="CP142" i="5"/>
  <c r="AQ142" i="5"/>
  <c r="AH142" i="5"/>
  <c r="K142" i="5"/>
  <c r="J142" i="5"/>
  <c r="I142" i="5"/>
  <c r="CW141" i="5"/>
  <c r="CU141" i="5"/>
  <c r="CP141" i="5"/>
  <c r="CN141" i="5"/>
  <c r="CM141" i="5"/>
  <c r="CL141" i="5"/>
  <c r="AG141" i="5"/>
  <c r="CO141" i="5" s="1"/>
  <c r="CP140" i="5"/>
  <c r="AK140" i="5"/>
  <c r="K140" i="5"/>
  <c r="J140" i="5"/>
  <c r="I140" i="5"/>
  <c r="CP139" i="5"/>
  <c r="AL139" i="5"/>
  <c r="AC139" i="5"/>
  <c r="AD139" i="5" s="1"/>
  <c r="CN139" i="5" s="1"/>
  <c r="AB139" i="5"/>
  <c r="AB143" i="5" s="1"/>
  <c r="AA139" i="5"/>
  <c r="CM139" i="5" s="1"/>
  <c r="Z139" i="5"/>
  <c r="Y139" i="5"/>
  <c r="X139" i="5"/>
  <c r="CL139" i="5" s="1"/>
  <c r="W139" i="5"/>
  <c r="V139" i="5"/>
  <c r="U139" i="5"/>
  <c r="T139" i="5"/>
  <c r="S139" i="5"/>
  <c r="R139" i="5"/>
  <c r="Q139" i="5"/>
  <c r="P139" i="5"/>
  <c r="O139" i="5"/>
  <c r="N139" i="5"/>
  <c r="M139" i="5"/>
  <c r="L139" i="5"/>
  <c r="K139" i="5"/>
  <c r="J139" i="5"/>
  <c r="I139" i="5"/>
  <c r="AB134" i="5"/>
  <c r="AA134" i="5"/>
  <c r="Z134" i="5"/>
  <c r="Y134" i="5"/>
  <c r="X134" i="5"/>
  <c r="W134" i="5"/>
  <c r="V134" i="5"/>
  <c r="U134" i="5"/>
  <c r="T134" i="5"/>
  <c r="S134" i="5"/>
  <c r="R134" i="5"/>
  <c r="Q134" i="5"/>
  <c r="P134" i="5"/>
  <c r="O134" i="5"/>
  <c r="N134" i="5"/>
  <c r="M134" i="5"/>
  <c r="L134" i="5"/>
  <c r="CM133" i="5"/>
  <c r="CL133" i="5"/>
  <c r="AO133" i="5"/>
  <c r="AO134" i="5" s="1"/>
  <c r="AM133" i="5"/>
  <c r="AJ133" i="5"/>
  <c r="AG133" i="5"/>
  <c r="AD133" i="5"/>
  <c r="CM132" i="5"/>
  <c r="CL132" i="5"/>
  <c r="AS132" i="5"/>
  <c r="CS132" i="5" s="1"/>
  <c r="AP132" i="5"/>
  <c r="AP143" i="5" s="1"/>
  <c r="AN132" i="5"/>
  <c r="AN143" i="5" s="1"/>
  <c r="AO139" i="5" s="1"/>
  <c r="AL132" i="5"/>
  <c r="AL143" i="5" s="1"/>
  <c r="AM143" i="5" s="1"/>
  <c r="AK132" i="5"/>
  <c r="AI132" i="5"/>
  <c r="AI143" i="5" s="1"/>
  <c r="AK139" i="5" s="1"/>
  <c r="AM139" i="5" s="1"/>
  <c r="CQ139" i="5" s="1"/>
  <c r="AH132" i="5"/>
  <c r="AH143" i="5" s="1"/>
  <c r="AI139" i="5" s="1"/>
  <c r="AF132" i="5"/>
  <c r="AF143" i="5" s="1"/>
  <c r="AG143" i="5" s="1"/>
  <c r="AE132" i="5"/>
  <c r="AD132" i="5"/>
  <c r="AD143" i="5" s="1"/>
  <c r="CN143" i="5" s="1"/>
  <c r="CM131" i="5"/>
  <c r="CL131" i="5"/>
  <c r="AP131" i="5"/>
  <c r="CR131" i="5" s="1"/>
  <c r="AN131" i="5"/>
  <c r="AL131" i="5"/>
  <c r="AK131" i="5"/>
  <c r="AI131" i="5"/>
  <c r="AJ131" i="5" s="1"/>
  <c r="CP131" i="5" s="1"/>
  <c r="AH131" i="5"/>
  <c r="AF131" i="5"/>
  <c r="AE131" i="5"/>
  <c r="AC131" i="5"/>
  <c r="AD131" i="5" s="1"/>
  <c r="CM130" i="5"/>
  <c r="CL130" i="5"/>
  <c r="AS130" i="5"/>
  <c r="CS130" i="5" s="1"/>
  <c r="AP130" i="5"/>
  <c r="AN130" i="5"/>
  <c r="AL130" i="5"/>
  <c r="AK130" i="5"/>
  <c r="AI130" i="5"/>
  <c r="AJ130" i="5" s="1"/>
  <c r="AH130" i="5"/>
  <c r="AF130" i="5"/>
  <c r="AE130" i="5"/>
  <c r="AD130" i="5"/>
  <c r="AD292" i="5" s="1"/>
  <c r="X123" i="5"/>
  <c r="W123" i="5"/>
  <c r="V123" i="5"/>
  <c r="U123" i="5"/>
  <c r="T123" i="5"/>
  <c r="S123" i="5"/>
  <c r="R123" i="5"/>
  <c r="Q123" i="5"/>
  <c r="P123" i="5"/>
  <c r="O123" i="5"/>
  <c r="N123" i="5"/>
  <c r="M123" i="5"/>
  <c r="L123" i="5"/>
  <c r="CL122" i="5"/>
  <c r="AQ122" i="5"/>
  <c r="AO122" i="5"/>
  <c r="AN122" i="5"/>
  <c r="AL122" i="5"/>
  <c r="AM122" i="5" s="1"/>
  <c r="AK122" i="5"/>
  <c r="AI122" i="5"/>
  <c r="AI123" i="5" s="1"/>
  <c r="AH122" i="5"/>
  <c r="AG122" i="5"/>
  <c r="AE122" i="5"/>
  <c r="AC122" i="5"/>
  <c r="AD122" i="5" s="1"/>
  <c r="AB122" i="5"/>
  <c r="Z122" i="5"/>
  <c r="Y122" i="5"/>
  <c r="CL121" i="5"/>
  <c r="AP121" i="5"/>
  <c r="AM121" i="5"/>
  <c r="CQ121" i="5" s="1"/>
  <c r="AJ121" i="5"/>
  <c r="AF121" i="5"/>
  <c r="AD121" i="5"/>
  <c r="AA121" i="5"/>
  <c r="AO118" i="5"/>
  <c r="AN118" i="5"/>
  <c r="AL118" i="5"/>
  <c r="AK118" i="5"/>
  <c r="AI118" i="5"/>
  <c r="AH118" i="5"/>
  <c r="X118" i="5"/>
  <c r="CL118" i="5" s="1"/>
  <c r="W118" i="5"/>
  <c r="V118" i="5"/>
  <c r="U118" i="5"/>
  <c r="T118" i="5"/>
  <c r="S118" i="5"/>
  <c r="R118" i="5"/>
  <c r="Q118" i="5"/>
  <c r="P118" i="5"/>
  <c r="O118" i="5"/>
  <c r="N118" i="5"/>
  <c r="M118" i="5"/>
  <c r="L118" i="5"/>
  <c r="CM117" i="5"/>
  <c r="CL117" i="5"/>
  <c r="AR117" i="5"/>
  <c r="AR118" i="5" s="1"/>
  <c r="AQ117" i="5"/>
  <c r="AQ118" i="5" s="1"/>
  <c r="AP117" i="5"/>
  <c r="CR117" i="5" s="1"/>
  <c r="AM117" i="5"/>
  <c r="CQ117" i="5" s="1"/>
  <c r="AJ117" i="5"/>
  <c r="CP117" i="5" s="1"/>
  <c r="AG117" i="5"/>
  <c r="CO117" i="5" s="1"/>
  <c r="AC117" i="5"/>
  <c r="AD117" i="5" s="1"/>
  <c r="CL116" i="5"/>
  <c r="AV116" i="5"/>
  <c r="AS116" i="5"/>
  <c r="CS116" i="5" s="1"/>
  <c r="AP116" i="5"/>
  <c r="CR116" i="5" s="1"/>
  <c r="AM116" i="5"/>
  <c r="CQ116" i="5" s="1"/>
  <c r="AJ116" i="5"/>
  <c r="CP116" i="5" s="1"/>
  <c r="AC116" i="5"/>
  <c r="AD116" i="5" s="1"/>
  <c r="AE116" i="5" s="1"/>
  <c r="AA116" i="5"/>
  <c r="CM116" i="5" s="1"/>
  <c r="CL115" i="5"/>
  <c r="AS115" i="5"/>
  <c r="AP115" i="5"/>
  <c r="AM115" i="5"/>
  <c r="AJ115" i="5"/>
  <c r="AG115" i="5"/>
  <c r="AE115" i="5"/>
  <c r="AC115" i="5"/>
  <c r="AB115" i="5"/>
  <c r="Z115" i="5"/>
  <c r="Y115" i="5"/>
  <c r="CL114" i="5"/>
  <c r="AS114" i="5"/>
  <c r="CS114" i="5" s="1"/>
  <c r="AP114" i="5"/>
  <c r="CR114" i="5" s="1"/>
  <c r="AM114" i="5"/>
  <c r="CQ114" i="5" s="1"/>
  <c r="AJ114" i="5"/>
  <c r="CP114" i="5" s="1"/>
  <c r="AG114" i="5"/>
  <c r="CO114" i="5" s="1"/>
  <c r="AD114" i="5"/>
  <c r="CN114" i="5" s="1"/>
  <c r="AA114" i="5"/>
  <c r="CM114" i="5" s="1"/>
  <c r="CL113" i="5"/>
  <c r="AS113" i="5"/>
  <c r="AP113" i="5"/>
  <c r="AM113" i="5"/>
  <c r="AJ113" i="5"/>
  <c r="CP113" i="5" s="1"/>
  <c r="AG113" i="5"/>
  <c r="AD113" i="5"/>
  <c r="AA113" i="5"/>
  <c r="AR107" i="5"/>
  <c r="AS107" i="5" s="1"/>
  <c r="AQ107" i="5"/>
  <c r="AQ108" i="5" s="1"/>
  <c r="AO107" i="5"/>
  <c r="AP107" i="5" s="1"/>
  <c r="CR107" i="5" s="1"/>
  <c r="AN107" i="5"/>
  <c r="AL107" i="5"/>
  <c r="AM107" i="5" s="1"/>
  <c r="CQ107" i="5" s="1"/>
  <c r="AK107" i="5"/>
  <c r="AI107" i="5"/>
  <c r="AJ107" i="5" s="1"/>
  <c r="CP107" i="5" s="1"/>
  <c r="AH107" i="5"/>
  <c r="AF107" i="5"/>
  <c r="AG107" i="5" s="1"/>
  <c r="CO107" i="5" s="1"/>
  <c r="AE107" i="5"/>
  <c r="AC107" i="5"/>
  <c r="AD107" i="5" s="1"/>
  <c r="CN107" i="5" s="1"/>
  <c r="AB107" i="5"/>
  <c r="Z107" i="5"/>
  <c r="AA107" i="5" s="1"/>
  <c r="CM107" i="5" s="1"/>
  <c r="Y107" i="5"/>
  <c r="X107" i="5"/>
  <c r="CL107" i="5" s="1"/>
  <c r="W107" i="5"/>
  <c r="V107" i="5"/>
  <c r="V108" i="5" s="1"/>
  <c r="T107" i="5"/>
  <c r="U107" i="5" s="1"/>
  <c r="S107" i="5"/>
  <c r="S108" i="5" s="1"/>
  <c r="Q107" i="5"/>
  <c r="Q108" i="5" s="1"/>
  <c r="P107" i="5"/>
  <c r="P108" i="5" s="1"/>
  <c r="N107" i="5"/>
  <c r="M107" i="5"/>
  <c r="L107" i="5"/>
  <c r="AV106" i="5"/>
  <c r="AS106" i="5"/>
  <c r="AP106" i="5"/>
  <c r="AM106" i="5"/>
  <c r="AJ106" i="5"/>
  <c r="AG106" i="5"/>
  <c r="AD106" i="5"/>
  <c r="AA106" i="5"/>
  <c r="X106" i="5"/>
  <c r="U106" i="5"/>
  <c r="R106" i="5"/>
  <c r="O106" i="5"/>
  <c r="AS105" i="5"/>
  <c r="CS105" i="5" s="1"/>
  <c r="AP105" i="5"/>
  <c r="CR105" i="5" s="1"/>
  <c r="AL105" i="5"/>
  <c r="AM105" i="5" s="1"/>
  <c r="CQ105" i="5" s="1"/>
  <c r="AJ105" i="5"/>
  <c r="CP105" i="5" s="1"/>
  <c r="AH105" i="5"/>
  <c r="AF105" i="5"/>
  <c r="AG105" i="5" s="1"/>
  <c r="CO105" i="5" s="1"/>
  <c r="AE105" i="5"/>
  <c r="AC105" i="5"/>
  <c r="AD105" i="5" s="1"/>
  <c r="CN105" i="5" s="1"/>
  <c r="AB105" i="5"/>
  <c r="Z105" i="5"/>
  <c r="AA105" i="5" s="1"/>
  <c r="CM105" i="5" s="1"/>
  <c r="Y105" i="5"/>
  <c r="W105" i="5"/>
  <c r="X105" i="5" s="1"/>
  <c r="CL105" i="5" s="1"/>
  <c r="T105" i="5"/>
  <c r="U105" i="5" s="1"/>
  <c r="R105" i="5"/>
  <c r="O105" i="5"/>
  <c r="AS104" i="5"/>
  <c r="AP104" i="5"/>
  <c r="CR104" i="5" s="1"/>
  <c r="AM104" i="5"/>
  <c r="CQ104" i="5" s="1"/>
  <c r="AJ104" i="5"/>
  <c r="CP104" i="5" s="1"/>
  <c r="AG104" i="5"/>
  <c r="CO104" i="5" s="1"/>
  <c r="AD104" i="5"/>
  <c r="CN104" i="5" s="1"/>
  <c r="AA104" i="5"/>
  <c r="CM104" i="5" s="1"/>
  <c r="X104" i="5"/>
  <c r="CL104" i="5" s="1"/>
  <c r="U104" i="5"/>
  <c r="R104" i="5"/>
  <c r="O104" i="5"/>
  <c r="M104" i="5"/>
  <c r="L104" i="5"/>
  <c r="AS103" i="5"/>
  <c r="AP103" i="5"/>
  <c r="CR103" i="5" s="1"/>
  <c r="AM103" i="5"/>
  <c r="AJ103" i="5"/>
  <c r="AH103" i="5"/>
  <c r="AF103" i="5"/>
  <c r="AE103" i="5"/>
  <c r="AC103" i="5"/>
  <c r="AB103" i="5"/>
  <c r="Z103" i="5"/>
  <c r="Y103" i="5"/>
  <c r="W103" i="5"/>
  <c r="X103" i="5" s="1"/>
  <c r="T103" i="5"/>
  <c r="U103" i="5" s="1"/>
  <c r="R103" i="5"/>
  <c r="O103" i="5"/>
  <c r="AR102" i="5"/>
  <c r="AS102" i="5" s="1"/>
  <c r="AO102" i="5"/>
  <c r="AP102" i="5" s="1"/>
  <c r="AL102" i="5"/>
  <c r="AK102" i="5"/>
  <c r="AK66" i="5" s="1"/>
  <c r="AI102" i="5"/>
  <c r="AI66" i="5" s="1"/>
  <c r="AH102" i="5"/>
  <c r="AF102" i="5"/>
  <c r="AF66" i="5" s="1"/>
  <c r="AE102" i="5"/>
  <c r="AD102" i="5"/>
  <c r="AA102" i="5"/>
  <c r="X102" i="5"/>
  <c r="U102" i="5"/>
  <c r="R102" i="5"/>
  <c r="O102" i="5"/>
  <c r="AC99" i="5"/>
  <c r="Y99" i="5"/>
  <c r="X99" i="5"/>
  <c r="CL99" i="5" s="1"/>
  <c r="W99" i="5"/>
  <c r="V99" i="5"/>
  <c r="U99" i="5"/>
  <c r="T99" i="5"/>
  <c r="S99" i="5"/>
  <c r="R99" i="5"/>
  <c r="Q99" i="5"/>
  <c r="P99" i="5"/>
  <c r="O99" i="5"/>
  <c r="N99" i="5"/>
  <c r="M99" i="5"/>
  <c r="L99" i="5"/>
  <c r="K99" i="5"/>
  <c r="K110" i="5" s="1"/>
  <c r="K127" i="5" s="1"/>
  <c r="J99" i="5"/>
  <c r="J110" i="5" s="1"/>
  <c r="J127" i="5" s="1"/>
  <c r="I99" i="5"/>
  <c r="I110" i="5" s="1"/>
  <c r="I127" i="5" s="1"/>
  <c r="CL98" i="5"/>
  <c r="AR98" i="5"/>
  <c r="AQ98" i="5"/>
  <c r="AO98" i="5"/>
  <c r="AN98" i="5"/>
  <c r="AL98" i="5"/>
  <c r="AK98" i="5"/>
  <c r="AI98" i="5"/>
  <c r="AH98" i="5"/>
  <c r="AH99" i="5" s="1"/>
  <c r="AF98" i="5"/>
  <c r="AF99" i="5" s="1"/>
  <c r="AE98" i="5"/>
  <c r="AD98" i="5"/>
  <c r="CN98" i="5" s="1"/>
  <c r="AB98" i="5"/>
  <c r="AB99" i="5" s="1"/>
  <c r="Z98" i="5"/>
  <c r="AA98" i="5" s="1"/>
  <c r="CM98" i="5" s="1"/>
  <c r="CL97" i="5"/>
  <c r="AS97" i="5"/>
  <c r="AP97" i="5"/>
  <c r="AM97" i="5"/>
  <c r="AJ97" i="5"/>
  <c r="AG97" i="5"/>
  <c r="AD97" i="5"/>
  <c r="AA97" i="5"/>
  <c r="CL96" i="5"/>
  <c r="AS96" i="5"/>
  <c r="AP96" i="5"/>
  <c r="AM96" i="5"/>
  <c r="CQ96" i="5" s="1"/>
  <c r="AJ96" i="5"/>
  <c r="AG96" i="5"/>
  <c r="AD96" i="5"/>
  <c r="AA96" i="5"/>
  <c r="CL95" i="5"/>
  <c r="AG95" i="5"/>
  <c r="AD95" i="5"/>
  <c r="AA95" i="5"/>
  <c r="K90" i="5"/>
  <c r="J90" i="5"/>
  <c r="I90" i="5"/>
  <c r="L89" i="5"/>
  <c r="I89" i="5"/>
  <c r="CY88" i="5"/>
  <c r="CX88" i="5"/>
  <c r="CW88" i="5"/>
  <c r="CV88" i="5"/>
  <c r="CU88" i="5"/>
  <c r="CT88" i="5"/>
  <c r="CS88" i="5"/>
  <c r="CR88" i="5"/>
  <c r="CQ88" i="5"/>
  <c r="CP88" i="5"/>
  <c r="CO88" i="5"/>
  <c r="CN88" i="5"/>
  <c r="CM88" i="5"/>
  <c r="CL88" i="5"/>
  <c r="AU87" i="5"/>
  <c r="AH87" i="5"/>
  <c r="X87" i="5"/>
  <c r="W87" i="5"/>
  <c r="W218" i="5" s="1"/>
  <c r="W221" i="5" s="1"/>
  <c r="U87" i="5"/>
  <c r="S87" i="5"/>
  <c r="S218" i="5" s="1"/>
  <c r="R87" i="5"/>
  <c r="P87" i="5"/>
  <c r="CL86" i="5"/>
  <c r="AV86" i="5"/>
  <c r="AQ86" i="5"/>
  <c r="CP82" i="5"/>
  <c r="CM82" i="5"/>
  <c r="CL82" i="5"/>
  <c r="AP82" i="5"/>
  <c r="CR82" i="5" s="1"/>
  <c r="AM82" i="5"/>
  <c r="CQ82" i="5" s="1"/>
  <c r="AD82" i="5"/>
  <c r="CN82" i="5" s="1"/>
  <c r="L78" i="5"/>
  <c r="AK74" i="5"/>
  <c r="CM71" i="5"/>
  <c r="CL71" i="5"/>
  <c r="L68" i="5"/>
  <c r="L154" i="5" s="1"/>
  <c r="AQ66" i="5"/>
  <c r="X12" i="9" s="1"/>
  <c r="AQ152" i="5" s="1"/>
  <c r="AC66" i="5"/>
  <c r="AB66" i="5"/>
  <c r="Z66" i="5"/>
  <c r="Y66" i="5"/>
  <c r="W66" i="5"/>
  <c r="W152" i="5" s="1"/>
  <c r="V66" i="5"/>
  <c r="V152" i="5" s="1"/>
  <c r="T66" i="5"/>
  <c r="T152" i="5" s="1"/>
  <c r="S66" i="5"/>
  <c r="S152" i="5" s="1"/>
  <c r="Q66" i="5"/>
  <c r="P66" i="5"/>
  <c r="P152" i="5" s="1"/>
  <c r="N66" i="5"/>
  <c r="N152" i="5" s="1"/>
  <c r="M66" i="5"/>
  <c r="L66" i="5"/>
  <c r="L152" i="5" s="1"/>
  <c r="CY65" i="5"/>
  <c r="CX65" i="5"/>
  <c r="CW65" i="5"/>
  <c r="CV65" i="5"/>
  <c r="CU65" i="5"/>
  <c r="CT65" i="5"/>
  <c r="CS65" i="5"/>
  <c r="CR65" i="5"/>
  <c r="CQ65" i="5"/>
  <c r="CP65" i="5"/>
  <c r="CO65" i="5"/>
  <c r="CN65" i="5"/>
  <c r="CM65" i="5"/>
  <c r="CL65" i="5"/>
  <c r="BJ57" i="5"/>
  <c r="BI57" i="5"/>
  <c r="BG57" i="5"/>
  <c r="BF57" i="5"/>
  <c r="BD57" i="5"/>
  <c r="BC57" i="5"/>
  <c r="BA57" i="5"/>
  <c r="AZ57" i="5"/>
  <c r="AX57" i="5"/>
  <c r="AW57" i="5"/>
  <c r="AU57" i="5"/>
  <c r="AT57" i="5"/>
  <c r="AQ57" i="5"/>
  <c r="AN57" i="5"/>
  <c r="AH57" i="5"/>
  <c r="AE57" i="5"/>
  <c r="AC57" i="5"/>
  <c r="AB57" i="5"/>
  <c r="Z57" i="5"/>
  <c r="Y57" i="5"/>
  <c r="X57" i="5"/>
  <c r="CL57" i="5" s="1"/>
  <c r="W57" i="5"/>
  <c r="V57" i="5"/>
  <c r="U57" i="5"/>
  <c r="T57" i="5"/>
  <c r="S57" i="5"/>
  <c r="R57" i="5"/>
  <c r="Q57" i="5"/>
  <c r="P57" i="5"/>
  <c r="O57" i="5"/>
  <c r="N57" i="5"/>
  <c r="M57" i="5"/>
  <c r="BJ56" i="5"/>
  <c r="BI56" i="5"/>
  <c r="BG56" i="5"/>
  <c r="BF56" i="5"/>
  <c r="BD56" i="5"/>
  <c r="BC56" i="5"/>
  <c r="BA56" i="5"/>
  <c r="AZ56" i="5"/>
  <c r="AX56" i="5"/>
  <c r="AW56" i="5"/>
  <c r="AU56" i="5"/>
  <c r="AT56" i="5"/>
  <c r="AQ56" i="5"/>
  <c r="AN56" i="5"/>
  <c r="AL56" i="5"/>
  <c r="AK56" i="5"/>
  <c r="AH56" i="5"/>
  <c r="AE56" i="5"/>
  <c r="AC56" i="5"/>
  <c r="AB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AQ55" i="5"/>
  <c r="AN55" i="5"/>
  <c r="AL55" i="5"/>
  <c r="AK55" i="5"/>
  <c r="AH55" i="5"/>
  <c r="AE55" i="5"/>
  <c r="AC55" i="5"/>
  <c r="AB55" i="5"/>
  <c r="AA55" i="5"/>
  <c r="CM55" i="5" s="1"/>
  <c r="Z55" i="5"/>
  <c r="Y55" i="5"/>
  <c r="X55" i="5"/>
  <c r="CL55" i="5" s="1"/>
  <c r="W55" i="5"/>
  <c r="V55" i="5"/>
  <c r="U55" i="5"/>
  <c r="T55" i="5"/>
  <c r="S55" i="5"/>
  <c r="R55" i="5"/>
  <c r="Q55" i="5"/>
  <c r="P55" i="5"/>
  <c r="O55" i="5"/>
  <c r="N55" i="5"/>
  <c r="M55" i="5"/>
  <c r="AL51" i="5"/>
  <c r="AM51" i="5" s="1"/>
  <c r="AM140" i="5" s="1"/>
  <c r="CQ140" i="5" s="1"/>
  <c r="CM50" i="5"/>
  <c r="CL50" i="5"/>
  <c r="BK50" i="5"/>
  <c r="BK57" i="5" s="1"/>
  <c r="CY57" i="5" s="1"/>
  <c r="BH50" i="5"/>
  <c r="BH57" i="5" s="1"/>
  <c r="CX57" i="5" s="1"/>
  <c r="BE50" i="5"/>
  <c r="CW50" i="5" s="1"/>
  <c r="BB50" i="5"/>
  <c r="BB57" i="5" s="1"/>
  <c r="CV57" i="5" s="1"/>
  <c r="AY50" i="5"/>
  <c r="AY57" i="5" s="1"/>
  <c r="CU57" i="5" s="1"/>
  <c r="AV50" i="5"/>
  <c r="AV57" i="5" s="1"/>
  <c r="CT57" i="5" s="1"/>
  <c r="AR50" i="5"/>
  <c r="AR57" i="5" s="1"/>
  <c r="AO50" i="5"/>
  <c r="AP50" i="5" s="1"/>
  <c r="AI50" i="5"/>
  <c r="AI57" i="5" s="1"/>
  <c r="AF50" i="5"/>
  <c r="AF57" i="5" s="1"/>
  <c r="AD50" i="5"/>
  <c r="AD57" i="5" s="1"/>
  <c r="CN57" i="5" s="1"/>
  <c r="CL49" i="5"/>
  <c r="BK49" i="5"/>
  <c r="BK56" i="5" s="1"/>
  <c r="BH49" i="5"/>
  <c r="BH56" i="5" s="1"/>
  <c r="BE49" i="5"/>
  <c r="CW49" i="5" s="1"/>
  <c r="BB49" i="5"/>
  <c r="BB56" i="5" s="1"/>
  <c r="AY49" i="5"/>
  <c r="AY56" i="5" s="1"/>
  <c r="AV49" i="5"/>
  <c r="AV56" i="5" s="1"/>
  <c r="AR49" i="5"/>
  <c r="AR56" i="5" s="1"/>
  <c r="AO49" i="5"/>
  <c r="AP49" i="5" s="1"/>
  <c r="AM49" i="5"/>
  <c r="CQ49" i="5" s="1"/>
  <c r="AI49" i="5"/>
  <c r="AI56" i="5" s="1"/>
  <c r="AF49" i="5"/>
  <c r="AG49" i="5" s="1"/>
  <c r="AD49" i="5"/>
  <c r="AD56" i="5" s="1"/>
  <c r="AA49" i="5"/>
  <c r="AV48" i="5"/>
  <c r="AS48" i="5"/>
  <c r="AP48" i="5"/>
  <c r="AM48" i="5"/>
  <c r="AJ48" i="5"/>
  <c r="AF48" i="5"/>
  <c r="AG48" i="5" s="1"/>
  <c r="CM47" i="5"/>
  <c r="CL47" i="5"/>
  <c r="AR47" i="5"/>
  <c r="AS47" i="5" s="1"/>
  <c r="AO47" i="5"/>
  <c r="AO55" i="5" s="1"/>
  <c r="AM47" i="5"/>
  <c r="AI47" i="5"/>
  <c r="AI55" i="5" s="1"/>
  <c r="AF47" i="5"/>
  <c r="AG47" i="5" s="1"/>
  <c r="AD47" i="5"/>
  <c r="CN47" i="5" s="1"/>
  <c r="CM39" i="5"/>
  <c r="CL39" i="5"/>
  <c r="AP39" i="5"/>
  <c r="AL39" i="5"/>
  <c r="AM39" i="5" s="1"/>
  <c r="AI39" i="5"/>
  <c r="AF39" i="5"/>
  <c r="AC39" i="5"/>
  <c r="CM34" i="5"/>
  <c r="CM151" i="5" s="1"/>
  <c r="CL34" i="5"/>
  <c r="CL151" i="5" s="1"/>
  <c r="AR34" i="5"/>
  <c r="AO34" i="5"/>
  <c r="AP34" i="5" s="1"/>
  <c r="AL34" i="5"/>
  <c r="AI34" i="5"/>
  <c r="AJ34" i="5" s="1"/>
  <c r="AF34" i="5"/>
  <c r="AC34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CM31" i="5"/>
  <c r="CL31" i="5"/>
  <c r="CM30" i="5"/>
  <c r="CL30" i="5"/>
  <c r="AC30" i="5"/>
  <c r="L27" i="5"/>
  <c r="CY25" i="5"/>
  <c r="CX25" i="5"/>
  <c r="CW25" i="5"/>
  <c r="CV25" i="5"/>
  <c r="CU25" i="5"/>
  <c r="CT25" i="5"/>
  <c r="CS25" i="5"/>
  <c r="CR25" i="5"/>
  <c r="CQ25" i="5"/>
  <c r="CP25" i="5"/>
  <c r="CO25" i="5"/>
  <c r="CN25" i="5"/>
  <c r="CM25" i="5"/>
  <c r="CL25" i="5"/>
  <c r="CP21" i="5"/>
  <c r="CO21" i="5"/>
  <c r="CN21" i="5"/>
  <c r="CM21" i="5"/>
  <c r="CL21" i="5"/>
  <c r="AS21" i="5"/>
  <c r="AQ21" i="5"/>
  <c r="AP21" i="5"/>
  <c r="AN21" i="5"/>
  <c r="AL21" i="5"/>
  <c r="L18" i="5"/>
  <c r="L16" i="5" s="1"/>
  <c r="AQ17" i="5"/>
  <c r="AN17" i="5"/>
  <c r="AO17" i="5" s="1"/>
  <c r="AH17" i="5"/>
  <c r="AI17" i="5" s="1"/>
  <c r="AE17" i="5"/>
  <c r="AF17" i="5" s="1"/>
  <c r="AB17" i="5"/>
  <c r="AC17" i="5" s="1"/>
  <c r="Y17" i="5"/>
  <c r="Z17" i="5" s="1"/>
  <c r="V17" i="5"/>
  <c r="W17" i="5" s="1"/>
  <c r="S17" i="5"/>
  <c r="T17" i="5" s="1"/>
  <c r="DG16" i="5"/>
  <c r="DG15" i="5"/>
  <c r="CS14" i="5"/>
  <c r="CR14" i="5"/>
  <c r="CP14" i="5"/>
  <c r="CO14" i="5"/>
  <c r="CN14" i="5"/>
  <c r="CM14" i="5"/>
  <c r="CL14" i="5"/>
  <c r="AR14" i="5"/>
  <c r="AO14" i="5"/>
  <c r="AL14" i="5"/>
  <c r="AM14" i="5" s="1"/>
  <c r="AC11" i="5"/>
  <c r="DG10" i="5"/>
  <c r="CM10" i="5"/>
  <c r="CL10" i="5"/>
  <c r="DG9" i="5"/>
  <c r="CM9" i="5"/>
  <c r="CL9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O18" i="5" s="1"/>
  <c r="N8" i="5"/>
  <c r="M8" i="5"/>
  <c r="F3" i="5"/>
  <c r="E3" i="5"/>
  <c r="D3" i="5"/>
  <c r="CE2" i="5"/>
  <c r="CE5" i="5" s="1"/>
  <c r="I2" i="5"/>
  <c r="I3" i="5" s="1"/>
  <c r="H2" i="5"/>
  <c r="K2" i="5" s="1"/>
  <c r="N2" i="5" s="1"/>
  <c r="G2" i="5"/>
  <c r="J2" i="5" s="1"/>
  <c r="B1" i="5"/>
  <c r="CY160" i="5" l="1"/>
  <c r="AS121" i="5"/>
  <c r="Z13" i="10"/>
  <c r="CY236" i="5"/>
  <c r="BK198" i="5"/>
  <c r="BI180" i="5"/>
  <c r="BJ180" i="5" s="1"/>
  <c r="BK180" i="5" s="1"/>
  <c r="BL180" i="5" s="1"/>
  <c r="BM180" i="5" s="1"/>
  <c r="BN180" i="5" s="1"/>
  <c r="BO180" i="5" s="1"/>
  <c r="BP180" i="5" s="1"/>
  <c r="BQ180" i="5" s="1"/>
  <c r="BR180" i="5" s="1"/>
  <c r="BS180" i="5" s="1"/>
  <c r="BT180" i="5" s="1"/>
  <c r="BU180" i="5" s="1"/>
  <c r="BV180" i="5" s="1"/>
  <c r="BW180" i="5" s="1"/>
  <c r="BX180" i="5" s="1"/>
  <c r="BY180" i="5" s="1"/>
  <c r="BZ180" i="5" s="1"/>
  <c r="CA180" i="5" s="1"/>
  <c r="CB180" i="5" s="1"/>
  <c r="CC180" i="5" s="1"/>
  <c r="CL12" i="5"/>
  <c r="AJ149" i="5"/>
  <c r="CP149" i="5" s="1"/>
  <c r="Q197" i="5"/>
  <c r="AA42" i="9"/>
  <c r="AO66" i="5"/>
  <c r="AG199" i="5"/>
  <c r="CO199" i="5" s="1"/>
  <c r="L108" i="5"/>
  <c r="L110" i="5" s="1"/>
  <c r="X198" i="5"/>
  <c r="CL198" i="5" s="1"/>
  <c r="AR84" i="5"/>
  <c r="AS84" i="5" s="1"/>
  <c r="CS84" i="5" s="1"/>
  <c r="AR197" i="5"/>
  <c r="N32" i="9"/>
  <c r="S23" i="10"/>
  <c r="N17" i="9"/>
  <c r="H41" i="10"/>
  <c r="H42" i="10" s="1"/>
  <c r="H45" i="10" s="1"/>
  <c r="AH207" i="5"/>
  <c r="AH197" i="5" s="1"/>
  <c r="I41" i="10"/>
  <c r="I42" i="10" s="1"/>
  <c r="I45" i="10" s="1"/>
  <c r="P38" i="9"/>
  <c r="Q38" i="9" s="1"/>
  <c r="O38" i="9"/>
  <c r="Q23" i="10"/>
  <c r="Q29" i="10" s="1"/>
  <c r="Q30" i="10" s="1"/>
  <c r="CO10" i="5"/>
  <c r="M108" i="5"/>
  <c r="M110" i="5" s="1"/>
  <c r="AM199" i="5"/>
  <c r="CQ199" i="5" s="1"/>
  <c r="N66" i="9"/>
  <c r="AG71" i="5" s="1"/>
  <c r="W23" i="10"/>
  <c r="W28" i="10" s="1"/>
  <c r="X46" i="10"/>
  <c r="K197" i="5"/>
  <c r="U197" i="5"/>
  <c r="AH35" i="10"/>
  <c r="AF35" i="10" s="1"/>
  <c r="AG35" i="10" s="1"/>
  <c r="AG34" i="10" s="1"/>
  <c r="AG36" i="10" s="1"/>
  <c r="CM13" i="5"/>
  <c r="AP207" i="5"/>
  <c r="CR207" i="5" s="1"/>
  <c r="AF23" i="10"/>
  <c r="AF28" i="10" s="1"/>
  <c r="M197" i="5"/>
  <c r="BE159" i="5"/>
  <c r="I31" i="9"/>
  <c r="I35" i="9" s="1"/>
  <c r="T18" i="5"/>
  <c r="T23" i="5" s="1"/>
  <c r="T27" i="5" s="1"/>
  <c r="T37" i="5" s="1"/>
  <c r="T41" i="5" s="1"/>
  <c r="AE33" i="10"/>
  <c r="AS13" i="5" s="1"/>
  <c r="AG8" i="5"/>
  <c r="CO8" i="5" s="1"/>
  <c r="P64" i="9"/>
  <c r="Q64" i="9" s="1"/>
  <c r="M41" i="9"/>
  <c r="N41" i="9" s="1"/>
  <c r="F2" i="10"/>
  <c r="F3" i="10" s="1"/>
  <c r="F4" i="10" s="1"/>
  <c r="BB159" i="5"/>
  <c r="CL13" i="5"/>
  <c r="BE160" i="5"/>
  <c r="CW160" i="5" s="1"/>
  <c r="X18" i="5"/>
  <c r="AJ47" i="5"/>
  <c r="CP47" i="5" s="1"/>
  <c r="AJ199" i="5"/>
  <c r="CP199" i="5" s="1"/>
  <c r="F218" i="5"/>
  <c r="F221" i="5" s="1"/>
  <c r="AI218" i="5"/>
  <c r="AI221" i="5" s="1"/>
  <c r="AS198" i="5"/>
  <c r="CS198" i="5" s="1"/>
  <c r="AC32" i="5"/>
  <c r="AE66" i="5"/>
  <c r="CN71" i="5"/>
  <c r="AN123" i="5"/>
  <c r="AN125" i="5" s="1"/>
  <c r="U199" i="5"/>
  <c r="AY198" i="5"/>
  <c r="CU198" i="5" s="1"/>
  <c r="AG50" i="5"/>
  <c r="CO50" i="5" s="1"/>
  <c r="CU50" i="5"/>
  <c r="AD66" i="5"/>
  <c r="AD67" i="5" s="1"/>
  <c r="AE67" i="5" s="1"/>
  <c r="AF67" i="5" s="1"/>
  <c r="AG67" i="5" s="1"/>
  <c r="AH67" i="5" s="1"/>
  <c r="AI67" i="5" s="1"/>
  <c r="AJ67" i="5" s="1"/>
  <c r="AK67" i="5" s="1"/>
  <c r="AL67" i="5" s="1"/>
  <c r="AM67" i="5" s="1"/>
  <c r="AN67" i="5" s="1"/>
  <c r="AO67" i="5" s="1"/>
  <c r="AP67" i="5" s="1"/>
  <c r="AQ67" i="5" s="1"/>
  <c r="AR67" i="5" s="1"/>
  <c r="AS67" i="5" s="1"/>
  <c r="AT67" i="5" s="1"/>
  <c r="AU67" i="5" s="1"/>
  <c r="AV67" i="5" s="1"/>
  <c r="AW67" i="5" s="1"/>
  <c r="AX67" i="5" s="1"/>
  <c r="AY67" i="5" s="1"/>
  <c r="AZ67" i="5" s="1"/>
  <c r="BA67" i="5" s="1"/>
  <c r="BB67" i="5" s="1"/>
  <c r="BC67" i="5" s="1"/>
  <c r="BD67" i="5" s="1"/>
  <c r="BE67" i="5" s="1"/>
  <c r="BF67" i="5" s="1"/>
  <c r="BG67" i="5" s="1"/>
  <c r="BH67" i="5" s="1"/>
  <c r="CN97" i="5"/>
  <c r="AA115" i="5"/>
  <c r="AA118" i="5" s="1"/>
  <c r="CM118" i="5" s="1"/>
  <c r="Z118" i="5"/>
  <c r="AJ207" i="5"/>
  <c r="AS50" i="5"/>
  <c r="CS50" i="5" s="1"/>
  <c r="AD103" i="5"/>
  <c r="R197" i="5"/>
  <c r="AR199" i="5"/>
  <c r="AN207" i="5"/>
  <c r="AN197" i="5" s="1"/>
  <c r="R18" i="5"/>
  <c r="R16" i="5" s="1"/>
  <c r="V18" i="5"/>
  <c r="V23" i="5" s="1"/>
  <c r="V27" i="5" s="1"/>
  <c r="AY159" i="5"/>
  <c r="W10" i="10"/>
  <c r="W13" i="10" s="1"/>
  <c r="AS160" i="5"/>
  <c r="CS160" i="5" s="1"/>
  <c r="BB160" i="5"/>
  <c r="CV160" i="5" s="1"/>
  <c r="Z10" i="10"/>
  <c r="BE198" i="5"/>
  <c r="BD199" i="5"/>
  <c r="V38" i="9"/>
  <c r="W38" i="9" s="1"/>
  <c r="L35" i="5"/>
  <c r="AJ49" i="5"/>
  <c r="AJ56" i="5" s="1"/>
  <c r="AS49" i="5"/>
  <c r="CS49" i="5" s="1"/>
  <c r="AQ123" i="5"/>
  <c r="AQ125" i="5" s="1"/>
  <c r="AS156" i="5"/>
  <c r="CS156" i="5" s="1"/>
  <c r="V197" i="5"/>
  <c r="K202" i="5"/>
  <c r="U203" i="5"/>
  <c r="W16" i="10"/>
  <c r="AC23" i="10"/>
  <c r="AC28" i="10" s="1"/>
  <c r="W34" i="10"/>
  <c r="C36" i="10"/>
  <c r="CR11" i="5"/>
  <c r="J38" i="9"/>
  <c r="K38" i="9" s="1"/>
  <c r="AP47" i="5"/>
  <c r="CR47" i="5" s="1"/>
  <c r="AD199" i="5"/>
  <c r="CN199" i="5" s="1"/>
  <c r="AL207" i="5"/>
  <c r="AL197" i="5" s="1"/>
  <c r="I218" i="5"/>
  <c r="I221" i="5" s="1"/>
  <c r="D221" i="5"/>
  <c r="CP11" i="5"/>
  <c r="AE134" i="5"/>
  <c r="T197" i="5"/>
  <c r="AK199" i="5"/>
  <c r="T202" i="5"/>
  <c r="P56" i="9"/>
  <c r="P70" i="9" s="1"/>
  <c r="L29" i="10"/>
  <c r="L30" i="10" s="1"/>
  <c r="AI125" i="5"/>
  <c r="CO106" i="5"/>
  <c r="J155" i="5"/>
  <c r="I199" i="5"/>
  <c r="CP71" i="5"/>
  <c r="CS106" i="5"/>
  <c r="I204" i="5"/>
  <c r="N125" i="5"/>
  <c r="R125" i="5"/>
  <c r="V125" i="5"/>
  <c r="Z18" i="5"/>
  <c r="AP160" i="5"/>
  <c r="CR160" i="5" s="1"/>
  <c r="S18" i="5"/>
  <c r="S23" i="5" s="1"/>
  <c r="S27" i="5" s="1"/>
  <c r="S37" i="5" s="1"/>
  <c r="S41" i="5" s="1"/>
  <c r="W18" i="5"/>
  <c r="P18" i="5"/>
  <c r="P16" i="5" s="1"/>
  <c r="U18" i="5"/>
  <c r="U23" i="5" s="1"/>
  <c r="U27" i="5" s="1"/>
  <c r="U35" i="5" s="1"/>
  <c r="AN8" i="5"/>
  <c r="AP159" i="5"/>
  <c r="CR159" i="5" s="1"/>
  <c r="AE18" i="5"/>
  <c r="AQ18" i="5"/>
  <c r="Y18" i="5"/>
  <c r="N20" i="9"/>
  <c r="AG160" i="5" s="1"/>
  <c r="CO160" i="5" s="1"/>
  <c r="AH8" i="5"/>
  <c r="AA18" i="5"/>
  <c r="U16" i="5"/>
  <c r="Q125" i="5"/>
  <c r="AM160" i="5"/>
  <c r="CQ160" i="5" s="1"/>
  <c r="AK8" i="5"/>
  <c r="AN18" i="5"/>
  <c r="AB18" i="5"/>
  <c r="Y16" i="5"/>
  <c r="O125" i="5"/>
  <c r="S125" i="5"/>
  <c r="W125" i="5"/>
  <c r="K199" i="5"/>
  <c r="AH18" i="5"/>
  <c r="M125" i="5"/>
  <c r="U125" i="5"/>
  <c r="AK16" i="5"/>
  <c r="DH15" i="5"/>
  <c r="DH16" i="5"/>
  <c r="CO113" i="5"/>
  <c r="Q11" i="9"/>
  <c r="Q58" i="9" s="1"/>
  <c r="AI208" i="5"/>
  <c r="AI198" i="5" s="1"/>
  <c r="AI197" i="5"/>
  <c r="CN122" i="5"/>
  <c r="AJ151" i="5"/>
  <c r="CR21" i="5"/>
  <c r="AC151" i="5"/>
  <c r="AD39" i="5"/>
  <c r="AQ297" i="5"/>
  <c r="N74" i="9"/>
  <c r="AH108" i="5"/>
  <c r="AH110" i="5" s="1"/>
  <c r="AS108" i="5"/>
  <c r="CS108" i="5" s="1"/>
  <c r="Z108" i="5"/>
  <c r="CQ103" i="5"/>
  <c r="T63" i="9"/>
  <c r="W202" i="5"/>
  <c r="W197" i="5"/>
  <c r="CT208" i="5"/>
  <c r="AV198" i="5"/>
  <c r="CT198" i="5" s="1"/>
  <c r="K218" i="5"/>
  <c r="K221" i="5" s="1"/>
  <c r="J204" i="5"/>
  <c r="AN278" i="5"/>
  <c r="AN199" i="5"/>
  <c r="B3" i="10"/>
  <c r="B4" i="10" s="1"/>
  <c r="E2" i="10"/>
  <c r="F64" i="10"/>
  <c r="V23" i="10"/>
  <c r="T23" i="10"/>
  <c r="T28" i="10" s="1"/>
  <c r="T66" i="9"/>
  <c r="AM71" i="5" s="1"/>
  <c r="AL71" i="5"/>
  <c r="S64" i="9"/>
  <c r="T64" i="9" s="1"/>
  <c r="AD31" i="5"/>
  <c r="CN31" i="5" s="1"/>
  <c r="AD150" i="5"/>
  <c r="CN150" i="5" s="1"/>
  <c r="L78" i="9"/>
  <c r="AE30" i="5"/>
  <c r="AE32" i="5" s="1"/>
  <c r="AE149" i="5"/>
  <c r="M76" i="9"/>
  <c r="AM21" i="5"/>
  <c r="AL151" i="5"/>
  <c r="AG39" i="5"/>
  <c r="U66" i="5"/>
  <c r="U67" i="5" s="1"/>
  <c r="CN102" i="5"/>
  <c r="CM106" i="5"/>
  <c r="CL106" i="5"/>
  <c r="CO115" i="5"/>
  <c r="I11" i="9"/>
  <c r="K11" i="9" s="1"/>
  <c r="AF292" i="5"/>
  <c r="AJ132" i="5"/>
  <c r="CP132" i="5" s="1"/>
  <c r="CR132" i="5"/>
  <c r="CQ133" i="5"/>
  <c r="CP133" i="5"/>
  <c r="CM134" i="5"/>
  <c r="AM156" i="5"/>
  <c r="J177" i="5"/>
  <c r="K176" i="5" s="1"/>
  <c r="K177" i="5" s="1"/>
  <c r="K178" i="5" s="1"/>
  <c r="J199" i="5"/>
  <c r="AO212" i="5"/>
  <c r="D5" i="5"/>
  <c r="CL8" i="5"/>
  <c r="AR21" i="5"/>
  <c r="L37" i="5"/>
  <c r="L41" i="5" s="1"/>
  <c r="L43" i="5" s="1"/>
  <c r="CL32" i="5"/>
  <c r="AF151" i="5"/>
  <c r="AO151" i="5"/>
  <c r="AJ39" i="5"/>
  <c r="AA56" i="5"/>
  <c r="CM49" i="5"/>
  <c r="CU49" i="5"/>
  <c r="R66" i="5"/>
  <c r="R152" i="5" s="1"/>
  <c r="CP97" i="5"/>
  <c r="AI99" i="5"/>
  <c r="AP98" i="5"/>
  <c r="CR98" i="5" s="1"/>
  <c r="AB118" i="5"/>
  <c r="CP115" i="5"/>
  <c r="CR121" i="5"/>
  <c r="Y123" i="5"/>
  <c r="AJ122" i="5"/>
  <c r="AJ123" i="5" s="1"/>
  <c r="CQ122" i="5"/>
  <c r="AR175" i="5"/>
  <c r="AS175" i="5" s="1"/>
  <c r="CS175" i="5" s="1"/>
  <c r="AD207" i="5"/>
  <c r="AB197" i="5"/>
  <c r="P21" i="9"/>
  <c r="AC19" i="10"/>
  <c r="AD19" i="10" s="1"/>
  <c r="AD14" i="10" s="1"/>
  <c r="AD8" i="10" s="1"/>
  <c r="AC8" i="10"/>
  <c r="AL13" i="5"/>
  <c r="Y33" i="10"/>
  <c r="F59" i="10"/>
  <c r="F60" i="10"/>
  <c r="F61" i="10"/>
  <c r="AR151" i="5"/>
  <c r="CQ39" i="5"/>
  <c r="P12" i="9"/>
  <c r="AI152" i="5" s="1"/>
  <c r="CL87" i="5"/>
  <c r="CO96" i="5"/>
  <c r="CS96" i="5"/>
  <c r="AS98" i="5"/>
  <c r="CS98" i="5" s="1"/>
  <c r="CM102" i="5"/>
  <c r="L63" i="9"/>
  <c r="L64" i="9" s="1"/>
  <c r="CP106" i="5"/>
  <c r="CN113" i="5"/>
  <c r="CR113" i="5"/>
  <c r="Z185" i="5"/>
  <c r="CX208" i="5"/>
  <c r="BH198" i="5"/>
  <c r="CX198" i="5" s="1"/>
  <c r="AH278" i="5"/>
  <c r="AI211" i="5"/>
  <c r="AH199" i="5"/>
  <c r="W76" i="9"/>
  <c r="AP30" i="5" s="1"/>
  <c r="AP149" i="5" s="1"/>
  <c r="CR149" i="5" s="1"/>
  <c r="AO30" i="5"/>
  <c r="CM8" i="5"/>
  <c r="AD34" i="5"/>
  <c r="CN34" i="5" s="1"/>
  <c r="CN151" i="5" s="1"/>
  <c r="Z152" i="5"/>
  <c r="AI108" i="5"/>
  <c r="AJ102" i="5"/>
  <c r="CP102" i="5" s="1"/>
  <c r="CQ106" i="5"/>
  <c r="CS115" i="5"/>
  <c r="AM123" i="5"/>
  <c r="CQ123" i="5" s="1"/>
  <c r="AC123" i="5"/>
  <c r="AH123" i="5"/>
  <c r="AH125" i="5" s="1"/>
  <c r="CQ14" i="5"/>
  <c r="AO21" i="5"/>
  <c r="CM32" i="5"/>
  <c r="AP151" i="5"/>
  <c r="CP34" i="5"/>
  <c r="CP151" i="5" s="1"/>
  <c r="CY49" i="5"/>
  <c r="AH66" i="5"/>
  <c r="AJ66" i="5" s="1"/>
  <c r="CP66" i="5" s="1"/>
  <c r="CN95" i="5"/>
  <c r="CN96" i="5"/>
  <c r="CR96" i="5"/>
  <c r="CM97" i="5"/>
  <c r="CQ97" i="5"/>
  <c r="AL108" i="5"/>
  <c r="AL66" i="5"/>
  <c r="AM66" i="5" s="1"/>
  <c r="AR108" i="5"/>
  <c r="AR66" i="5"/>
  <c r="CP103" i="5"/>
  <c r="Q63" i="9"/>
  <c r="CM113" i="5"/>
  <c r="CQ113" i="5"/>
  <c r="AF211" i="5"/>
  <c r="AF276" i="5" s="1"/>
  <c r="AC47" i="9"/>
  <c r="AD40" i="9"/>
  <c r="AD47" i="9" s="1"/>
  <c r="AC13" i="5"/>
  <c r="L177" i="5"/>
  <c r="M176" i="5" s="1"/>
  <c r="M177" i="5" s="1"/>
  <c r="N11" i="9"/>
  <c r="V64" i="9"/>
  <c r="W64" i="9" s="1"/>
  <c r="AO71" i="5"/>
  <c r="Z76" i="9"/>
  <c r="AS30" i="5" s="1"/>
  <c r="CS30" i="5" s="1"/>
  <c r="AR30" i="5"/>
  <c r="AR149" i="5" s="1"/>
  <c r="P13" i="10"/>
  <c r="AD12" i="5"/>
  <c r="Y82" i="10"/>
  <c r="AO12" i="5"/>
  <c r="N18" i="10"/>
  <c r="N17" i="10" s="1"/>
  <c r="AC41" i="10"/>
  <c r="AC42" i="10" s="1"/>
  <c r="AC43" i="10" s="1"/>
  <c r="AC45" i="10" s="1"/>
  <c r="X13" i="9" s="1"/>
  <c r="AQ161" i="5" s="1"/>
  <c r="AF13" i="5"/>
  <c r="J63" i="9"/>
  <c r="J64" i="9" s="1"/>
  <c r="CR39" i="5"/>
  <c r="AM55" i="5"/>
  <c r="CQ55" i="5" s="1"/>
  <c r="CY50" i="5"/>
  <c r="AB152" i="5"/>
  <c r="I12" i="9"/>
  <c r="M12" i="9"/>
  <c r="AF152" i="5" s="1"/>
  <c r="R12" i="9"/>
  <c r="AK152" i="5" s="1"/>
  <c r="AV297" i="5"/>
  <c r="CP96" i="5"/>
  <c r="CR97" i="5"/>
  <c r="AO108" i="5"/>
  <c r="W108" i="5"/>
  <c r="W110" i="5" s="1"/>
  <c r="AB108" i="5"/>
  <c r="AB110" i="5" s="1"/>
  <c r="I63" i="9"/>
  <c r="I64" i="9" s="1"/>
  <c r="AG103" i="5"/>
  <c r="M63" i="9"/>
  <c r="M64" i="9" s="1"/>
  <c r="N64" i="9" s="1"/>
  <c r="O64" i="9" s="1"/>
  <c r="W63" i="9"/>
  <c r="CN106" i="5"/>
  <c r="CR106" i="5"/>
  <c r="CS113" i="5"/>
  <c r="Y118" i="5"/>
  <c r="AC118" i="5"/>
  <c r="AF123" i="5"/>
  <c r="Z123" i="5"/>
  <c r="AK123" i="5"/>
  <c r="AK125" i="5" s="1"/>
  <c r="AO123" i="5"/>
  <c r="AO125" i="5" s="1"/>
  <c r="L125" i="5"/>
  <c r="P125" i="5"/>
  <c r="T125" i="5"/>
  <c r="X125" i="5"/>
  <c r="AH134" i="5"/>
  <c r="AL292" i="5"/>
  <c r="CN133" i="5"/>
  <c r="AB185" i="5"/>
  <c r="K155" i="5"/>
  <c r="AP156" i="5"/>
  <c r="AL175" i="5"/>
  <c r="AM175" i="5" s="1"/>
  <c r="CQ175" i="5" s="1"/>
  <c r="CQ210" i="5"/>
  <c r="CQ278" i="5" s="1"/>
  <c r="AN217" i="5"/>
  <c r="AO217" i="5" s="1"/>
  <c r="AP217" i="5" s="1"/>
  <c r="CR217" i="5" s="1"/>
  <c r="AE219" i="5"/>
  <c r="AF219" i="5" s="1"/>
  <c r="AG219" i="5" s="1"/>
  <c r="CO219" i="5" s="1"/>
  <c r="Q20" i="9"/>
  <c r="AJ160" i="5" s="1"/>
  <c r="CP160" i="5" s="1"/>
  <c r="AI160" i="5"/>
  <c r="Z66" i="9"/>
  <c r="AS71" i="5" s="1"/>
  <c r="AR71" i="5"/>
  <c r="P76" i="9"/>
  <c r="AH30" i="5"/>
  <c r="AH149" i="5" s="1"/>
  <c r="R17" i="10"/>
  <c r="S17" i="10" s="1"/>
  <c r="AF12" i="5"/>
  <c r="AA82" i="10"/>
  <c r="AR12" i="5"/>
  <c r="AB24" i="10"/>
  <c r="AB40" i="10" s="1"/>
  <c r="I29" i="10"/>
  <c r="I30" i="10" s="1"/>
  <c r="S33" i="10"/>
  <c r="S37" i="10" s="1"/>
  <c r="AA37" i="10"/>
  <c r="AB37" i="10" s="1"/>
  <c r="AO13" i="5"/>
  <c r="F63" i="10"/>
  <c r="F65" i="10"/>
  <c r="F66" i="10"/>
  <c r="CS11" i="5"/>
  <c r="AA57" i="5"/>
  <c r="CM57" i="5" s="1"/>
  <c r="J12" i="9"/>
  <c r="AC152" i="5" s="1"/>
  <c r="CL297" i="5"/>
  <c r="CM95" i="5"/>
  <c r="CM96" i="5"/>
  <c r="CO97" i="5"/>
  <c r="CS97" i="5"/>
  <c r="AM98" i="5"/>
  <c r="CQ98" i="5" s="1"/>
  <c r="X108" i="5"/>
  <c r="X110" i="5" s="1"/>
  <c r="AF108" i="5"/>
  <c r="AF110" i="5" s="1"/>
  <c r="AK108" i="5"/>
  <c r="AP108" i="5"/>
  <c r="CR108" i="5" s="1"/>
  <c r="CL103" i="5"/>
  <c r="O63" i="9"/>
  <c r="CS103" i="5"/>
  <c r="Z63" i="9"/>
  <c r="AJ118" i="5"/>
  <c r="CP118" i="5" s="1"/>
  <c r="CR115" i="5"/>
  <c r="CQ115" i="5"/>
  <c r="AB123" i="5"/>
  <c r="CO122" i="5"/>
  <c r="AL123" i="5"/>
  <c r="AL125" i="5" s="1"/>
  <c r="AE123" i="5"/>
  <c r="AI134" i="5"/>
  <c r="CO133" i="5"/>
  <c r="Y185" i="5"/>
  <c r="AJ156" i="5"/>
  <c r="AO175" i="5"/>
  <c r="AP175" i="5" s="1"/>
  <c r="CR175" i="5" s="1"/>
  <c r="AM212" i="5"/>
  <c r="AC11" i="9"/>
  <c r="U82" i="10"/>
  <c r="AI12" i="5"/>
  <c r="F29" i="10"/>
  <c r="F30" i="10" s="1"/>
  <c r="V24" i="10"/>
  <c r="V40" i="10" s="1"/>
  <c r="W46" i="10"/>
  <c r="V26" i="10"/>
  <c r="CQ11" i="5"/>
  <c r="CS10" i="5"/>
  <c r="K76" i="9"/>
  <c r="K78" i="9" s="1"/>
  <c r="AC149" i="5"/>
  <c r="T76" i="9"/>
  <c r="AM30" i="5" s="1"/>
  <c r="AL30" i="5"/>
  <c r="AL149" i="5" s="1"/>
  <c r="Q10" i="10"/>
  <c r="Q13" i="10" s="1"/>
  <c r="C18" i="10"/>
  <c r="C17" i="10" s="1"/>
  <c r="Q12" i="5"/>
  <c r="Q18" i="5" s="1"/>
  <c r="Q16" i="5" s="1"/>
  <c r="W82" i="10"/>
  <c r="AL12" i="5"/>
  <c r="Z19" i="10"/>
  <c r="Q41" i="10"/>
  <c r="Q42" i="10" s="1"/>
  <c r="Q43" i="10" s="1"/>
  <c r="Q45" i="10" s="1"/>
  <c r="AS301" i="5"/>
  <c r="V33" i="10"/>
  <c r="AI13" i="5"/>
  <c r="X41" i="10"/>
  <c r="X42" i="10" s="1"/>
  <c r="X43" i="10" s="1"/>
  <c r="X45" i="10" s="1"/>
  <c r="S13" i="9" s="1"/>
  <c r="AL161" i="5" s="1"/>
  <c r="I59" i="10"/>
  <c r="I60" i="10"/>
  <c r="C63" i="10"/>
  <c r="C64" i="10"/>
  <c r="C65" i="10"/>
  <c r="C66" i="10"/>
  <c r="CR10" i="5"/>
  <c r="AK25" i="10"/>
  <c r="AJ40" i="10"/>
  <c r="AJ41" i="10" s="1"/>
  <c r="AJ42" i="10" s="1"/>
  <c r="AJ43" i="10" s="1"/>
  <c r="Z11" i="9"/>
  <c r="Z58" i="9" s="1"/>
  <c r="I5" i="5"/>
  <c r="L45" i="9"/>
  <c r="N38" i="9"/>
  <c r="E5" i="5"/>
  <c r="R58" i="9"/>
  <c r="M35" i="9"/>
  <c r="V46" i="9"/>
  <c r="W39" i="9"/>
  <c r="U41" i="9"/>
  <c r="U48" i="9" s="1"/>
  <c r="U47" i="9"/>
  <c r="V40" i="9"/>
  <c r="V41" i="9" s="1"/>
  <c r="AA53" i="9"/>
  <c r="AB53" i="9" s="1"/>
  <c r="Z53" i="9"/>
  <c r="G3" i="10"/>
  <c r="G4" i="10" s="1"/>
  <c r="J2" i="10"/>
  <c r="S58" i="9"/>
  <c r="W26" i="9"/>
  <c r="L35" i="9"/>
  <c r="Q31" i="9"/>
  <c r="W32" i="9"/>
  <c r="X32" i="9" s="1"/>
  <c r="N34" i="9"/>
  <c r="O41" i="9"/>
  <c r="O48" i="9" s="1"/>
  <c r="O47" i="9"/>
  <c r="L54" i="9"/>
  <c r="M53" i="9"/>
  <c r="M54" i="9" s="1"/>
  <c r="R70" i="9"/>
  <c r="S68" i="9"/>
  <c r="U68" i="9" s="1"/>
  <c r="V68" i="9" s="1"/>
  <c r="X68" i="9" s="1"/>
  <c r="AQ25" i="10"/>
  <c r="AS25" i="10" s="1"/>
  <c r="AT25" i="10" s="1"/>
  <c r="AU25" i="10" s="1"/>
  <c r="AV25" i="10" s="1"/>
  <c r="AW25" i="10" s="1"/>
  <c r="AX25" i="10" s="1"/>
  <c r="AY25" i="10" s="1"/>
  <c r="AZ25" i="10" s="1"/>
  <c r="BA25" i="10" s="1"/>
  <c r="BB25" i="10" s="1"/>
  <c r="BC25" i="10" s="1"/>
  <c r="BD25" i="10" s="1"/>
  <c r="BE25" i="10" s="1"/>
  <c r="BF25" i="10" s="1"/>
  <c r="BG25" i="10" s="1"/>
  <c r="BH25" i="10" s="1"/>
  <c r="BI25" i="10" s="1"/>
  <c r="BJ25" i="10" s="1"/>
  <c r="BK25" i="10" s="1"/>
  <c r="BL25" i="10" s="1"/>
  <c r="BM25" i="10" s="1"/>
  <c r="BN25" i="10" s="1"/>
  <c r="BO25" i="10" s="1"/>
  <c r="W11" i="9"/>
  <c r="P17" i="9"/>
  <c r="R17" i="9" s="1"/>
  <c r="T26" i="9"/>
  <c r="R31" i="9"/>
  <c r="W31" i="9"/>
  <c r="AC31" i="9"/>
  <c r="AI31" i="9"/>
  <c r="AO31" i="9"/>
  <c r="Q32" i="9"/>
  <c r="P33" i="9"/>
  <c r="P34" i="9" s="1"/>
  <c r="AC41" i="9"/>
  <c r="AB48" i="9"/>
  <c r="AC48" i="9" s="1"/>
  <c r="P41" i="9"/>
  <c r="R40" i="9"/>
  <c r="P47" i="9"/>
  <c r="Q40" i="9"/>
  <c r="Q47" i="9" s="1"/>
  <c r="L38" i="9"/>
  <c r="L42" i="9" s="1"/>
  <c r="L58" i="9"/>
  <c r="T11" i="9"/>
  <c r="J35" i="9"/>
  <c r="O35" i="9"/>
  <c r="S31" i="9"/>
  <c r="Z16" i="10"/>
  <c r="AA17" i="10"/>
  <c r="S48" i="9"/>
  <c r="T48" i="9" s="1"/>
  <c r="O58" i="9"/>
  <c r="O70" i="9"/>
  <c r="D3" i="10"/>
  <c r="D4" i="10" s="1"/>
  <c r="R13" i="10"/>
  <c r="S13" i="10" s="1"/>
  <c r="AD13" i="10"/>
  <c r="R37" i="10"/>
  <c r="O41" i="10"/>
  <c r="O42" i="10" s="1"/>
  <c r="O45" i="10" s="1"/>
  <c r="J13" i="9" s="1"/>
  <c r="AC161" i="5" s="1"/>
  <c r="Z46" i="10"/>
  <c r="AB46" i="9"/>
  <c r="AB47" i="9"/>
  <c r="W53" i="9"/>
  <c r="W66" i="9"/>
  <c r="AP71" i="5" s="1"/>
  <c r="J78" i="9"/>
  <c r="U81" i="10"/>
  <c r="Z81" i="10"/>
  <c r="S12" i="10"/>
  <c r="Y12" i="10"/>
  <c r="AE12" i="10"/>
  <c r="AS12" i="5" s="1"/>
  <c r="C13" i="10"/>
  <c r="AA13" i="10"/>
  <c r="AA14" i="10"/>
  <c r="AA19" i="10" s="1"/>
  <c r="P16" i="10"/>
  <c r="X16" i="10"/>
  <c r="O29" i="10"/>
  <c r="O30" i="10" s="1"/>
  <c r="Y26" i="10"/>
  <c r="AK26" i="10"/>
  <c r="I66" i="10"/>
  <c r="I62" i="10"/>
  <c r="I65" i="10"/>
  <c r="I61" i="10"/>
  <c r="I64" i="10"/>
  <c r="D30" i="10"/>
  <c r="C29" i="10"/>
  <c r="C30" i="10" s="1"/>
  <c r="AK33" i="10"/>
  <c r="R34" i="10"/>
  <c r="S34" i="10" s="1"/>
  <c r="Z41" i="10"/>
  <c r="Z42" i="10" s="1"/>
  <c r="Z43" i="10" s="1"/>
  <c r="Z45" i="10" s="1"/>
  <c r="AC46" i="10"/>
  <c r="AD44" i="10"/>
  <c r="L60" i="10"/>
  <c r="N39" i="9"/>
  <c r="N46" i="9" s="1"/>
  <c r="AC39" i="9"/>
  <c r="N40" i="9"/>
  <c r="N47" i="9" s="1"/>
  <c r="M46" i="9"/>
  <c r="I47" i="9"/>
  <c r="M47" i="9"/>
  <c r="N52" i="9"/>
  <c r="K53" i="9"/>
  <c r="V56" i="9"/>
  <c r="M58" i="9"/>
  <c r="U58" i="9"/>
  <c r="M70" i="9"/>
  <c r="X81" i="10"/>
  <c r="AA81" i="10"/>
  <c r="X13" i="10"/>
  <c r="U14" i="10"/>
  <c r="U16" i="10"/>
  <c r="U17" i="10"/>
  <c r="V17" i="10" s="1"/>
  <c r="T17" i="10" s="1"/>
  <c r="S24" i="10"/>
  <c r="S40" i="10" s="1"/>
  <c r="Y24" i="10"/>
  <c r="Y40" i="10" s="1"/>
  <c r="AE24" i="10"/>
  <c r="AE40" i="10" s="1"/>
  <c r="AK24" i="10"/>
  <c r="AK40" i="10" s="1"/>
  <c r="AH33" i="10"/>
  <c r="L59" i="10"/>
  <c r="L62" i="10"/>
  <c r="L61" i="10"/>
  <c r="Z35" i="10"/>
  <c r="F41" i="10"/>
  <c r="F42" i="10" s="1"/>
  <c r="F45" i="10" s="1"/>
  <c r="K41" i="10"/>
  <c r="R41" i="10"/>
  <c r="R42" i="10" s="1"/>
  <c r="R43" i="10" s="1"/>
  <c r="R45" i="10" s="1"/>
  <c r="AD41" i="10"/>
  <c r="AD42" i="10" s="1"/>
  <c r="AD43" i="10" s="1"/>
  <c r="C60" i="10"/>
  <c r="C61" i="10"/>
  <c r="C62" i="10"/>
  <c r="I63" i="10"/>
  <c r="J40" i="9"/>
  <c r="J52" i="9"/>
  <c r="O52" i="9"/>
  <c r="C4" i="10"/>
  <c r="V81" i="10"/>
  <c r="Y81" i="10"/>
  <c r="V12" i="10"/>
  <c r="AB12" i="10"/>
  <c r="U13" i="10"/>
  <c r="V13" i="10" s="1"/>
  <c r="AC13" i="10"/>
  <c r="W14" i="10"/>
  <c r="R16" i="10"/>
  <c r="W41" i="10"/>
  <c r="W42" i="10" s="1"/>
  <c r="W43" i="10" s="1"/>
  <c r="W45" i="10" s="1"/>
  <c r="U41" i="10"/>
  <c r="U42" i="10" s="1"/>
  <c r="U43" i="10" s="1"/>
  <c r="U45" i="10" s="1"/>
  <c r="AI41" i="10"/>
  <c r="AI42" i="10" s="1"/>
  <c r="AI43" i="10" s="1"/>
  <c r="AG41" i="10"/>
  <c r="AG42" i="10" s="1"/>
  <c r="AG43" i="10" s="1"/>
  <c r="C59" i="10"/>
  <c r="P30" i="10"/>
  <c r="O37" i="10"/>
  <c r="X34" i="10"/>
  <c r="X36" i="10" s="1"/>
  <c r="Y36" i="10" s="1"/>
  <c r="R35" i="10"/>
  <c r="AD35" i="10"/>
  <c r="AD34" i="10" s="1"/>
  <c r="AD36" i="10" s="1"/>
  <c r="AE36" i="10" s="1"/>
  <c r="T41" i="10"/>
  <c r="T42" i="10" s="1"/>
  <c r="T43" i="10" s="1"/>
  <c r="T45" i="10" s="1"/>
  <c r="AF41" i="10"/>
  <c r="AF42" i="10" s="1"/>
  <c r="AF43" i="10" s="1"/>
  <c r="L63" i="10"/>
  <c r="L64" i="10"/>
  <c r="L65" i="10"/>
  <c r="L66" i="10"/>
  <c r="U34" i="10"/>
  <c r="V34" i="10" s="1"/>
  <c r="U35" i="10"/>
  <c r="X37" i="10"/>
  <c r="Y37" i="10" s="1"/>
  <c r="L41" i="10"/>
  <c r="L42" i="10" s="1"/>
  <c r="L45" i="10" s="1"/>
  <c r="AA41" i="10"/>
  <c r="AA42" i="10" s="1"/>
  <c r="AA43" i="10" s="1"/>
  <c r="AA45" i="10" s="1"/>
  <c r="F52" i="10"/>
  <c r="F62" i="10" s="1"/>
  <c r="U37" i="10"/>
  <c r="V37" i="10" s="1"/>
  <c r="AA46" i="10"/>
  <c r="O35" i="10"/>
  <c r="O34" i="10" s="1"/>
  <c r="AD37" i="10"/>
  <c r="N41" i="10"/>
  <c r="P33" i="10"/>
  <c r="AB33" i="10"/>
  <c r="AP13" i="5" s="1"/>
  <c r="J3" i="5"/>
  <c r="J5" i="5" s="1"/>
  <c r="M2" i="5"/>
  <c r="N3" i="5"/>
  <c r="N5" i="5" s="1"/>
  <c r="Q2" i="5"/>
  <c r="O23" i="5"/>
  <c r="O27" i="5" s="1"/>
  <c r="O37" i="5" s="1"/>
  <c r="O41" i="5" s="1"/>
  <c r="O19" i="5"/>
  <c r="O16" i="5"/>
  <c r="G3" i="5"/>
  <c r="G4" i="5" s="1"/>
  <c r="M68" i="5"/>
  <c r="M61" i="5"/>
  <c r="M153" i="5" s="1"/>
  <c r="Y68" i="5"/>
  <c r="Y61" i="5"/>
  <c r="M18" i="5"/>
  <c r="AG55" i="5"/>
  <c r="CO55" i="5" s="1"/>
  <c r="CO47" i="5"/>
  <c r="L2" i="5"/>
  <c r="H3" i="5"/>
  <c r="H5" i="5" s="1"/>
  <c r="D4" i="5"/>
  <c r="F5" i="5"/>
  <c r="N68" i="5"/>
  <c r="N61" i="5"/>
  <c r="V68" i="5"/>
  <c r="V61" i="5"/>
  <c r="V153" i="5" s="1"/>
  <c r="Z68" i="5"/>
  <c r="Z61" i="5"/>
  <c r="AD11" i="5"/>
  <c r="CM12" i="5"/>
  <c r="V16" i="5"/>
  <c r="Z16" i="5"/>
  <c r="AH16" i="5"/>
  <c r="AK17" i="5"/>
  <c r="AL17" i="5" s="1"/>
  <c r="N18" i="5"/>
  <c r="AG34" i="5"/>
  <c r="AM34" i="5"/>
  <c r="AS34" i="5"/>
  <c r="CR34" i="5"/>
  <c r="CR151" i="5" s="1"/>
  <c r="K3" i="5"/>
  <c r="K4" i="5" s="1"/>
  <c r="AK18" i="5"/>
  <c r="CF2" i="5"/>
  <c r="E4" i="5"/>
  <c r="I4" i="5"/>
  <c r="S61" i="5"/>
  <c r="S153" i="5" s="1"/>
  <c r="S68" i="5"/>
  <c r="W61" i="5"/>
  <c r="W68" i="5"/>
  <c r="AE8" i="5"/>
  <c r="AQ8" i="5"/>
  <c r="S16" i="5"/>
  <c r="W16" i="5"/>
  <c r="AA16" i="5"/>
  <c r="AE16" i="5"/>
  <c r="AR17" i="5"/>
  <c r="CS21" i="5"/>
  <c r="AI151" i="5"/>
  <c r="AS55" i="5"/>
  <c r="CS55" i="5" s="1"/>
  <c r="CS47" i="5"/>
  <c r="CO49" i="5"/>
  <c r="AG56" i="5"/>
  <c r="AP56" i="5"/>
  <c r="CR49" i="5"/>
  <c r="Q68" i="5"/>
  <c r="Q61" i="5"/>
  <c r="F4" i="5"/>
  <c r="P68" i="5"/>
  <c r="P61" i="5"/>
  <c r="P153" i="5" s="1"/>
  <c r="T68" i="5"/>
  <c r="T61" i="5"/>
  <c r="AB68" i="5"/>
  <c r="AB61" i="5"/>
  <c r="T16" i="5"/>
  <c r="X16" i="5"/>
  <c r="AB16" i="5"/>
  <c r="AP57" i="5"/>
  <c r="CR57" i="5" s="1"/>
  <c r="CR50" i="5"/>
  <c r="CT49" i="5"/>
  <c r="CX49" i="5"/>
  <c r="CT50" i="5"/>
  <c r="CX50" i="5"/>
  <c r="AL140" i="5"/>
  <c r="AL74" i="5"/>
  <c r="AF55" i="5"/>
  <c r="AR55" i="5"/>
  <c r="AM56" i="5"/>
  <c r="M152" i="5"/>
  <c r="Q152" i="5"/>
  <c r="Y152" i="5"/>
  <c r="S67" i="5"/>
  <c r="W67" i="5"/>
  <c r="AF56" i="5"/>
  <c r="AO57" i="5"/>
  <c r="BE57" i="5"/>
  <c r="CW57" i="5" s="1"/>
  <c r="L67" i="5"/>
  <c r="P67" i="5"/>
  <c r="T67" i="5"/>
  <c r="AB67" i="5"/>
  <c r="AM74" i="5"/>
  <c r="CQ47" i="5"/>
  <c r="CN49" i="5"/>
  <c r="CV49" i="5"/>
  <c r="AJ50" i="5"/>
  <c r="CN50" i="5"/>
  <c r="CV50" i="5"/>
  <c r="AD55" i="5"/>
  <c r="CN55" i="5" s="1"/>
  <c r="AO56" i="5"/>
  <c r="BE56" i="5"/>
  <c r="O66" i="5"/>
  <c r="AA66" i="5"/>
  <c r="M67" i="5"/>
  <c r="Q67" i="5"/>
  <c r="Y67" i="5"/>
  <c r="AC67" i="5"/>
  <c r="CQ51" i="5"/>
  <c r="X66" i="5"/>
  <c r="N67" i="5"/>
  <c r="V67" i="5"/>
  <c r="Z67" i="5"/>
  <c r="L69" i="5"/>
  <c r="AY106" i="5"/>
  <c r="CT106" i="5"/>
  <c r="AE169" i="5"/>
  <c r="AE291" i="5" s="1"/>
  <c r="AE142" i="5"/>
  <c r="AH85" i="5"/>
  <c r="CT86" i="5"/>
  <c r="CO95" i="5"/>
  <c r="Q110" i="5"/>
  <c r="P110" i="5"/>
  <c r="AT87" i="5"/>
  <c r="Z99" i="5"/>
  <c r="AA99" i="5" s="1"/>
  <c r="CM99" i="5" s="1"/>
  <c r="AD99" i="5"/>
  <c r="CN99" i="5" s="1"/>
  <c r="AG102" i="5"/>
  <c r="CR102" i="5"/>
  <c r="AA103" i="5"/>
  <c r="CM103" i="5" s="1"/>
  <c r="AV103" i="5"/>
  <c r="CS104" i="5"/>
  <c r="R107" i="5"/>
  <c r="R108" i="5" s="1"/>
  <c r="R110" i="5" s="1"/>
  <c r="V110" i="5"/>
  <c r="S110" i="5"/>
  <c r="AF116" i="5"/>
  <c r="S221" i="5"/>
  <c r="AJ98" i="5"/>
  <c r="CP98" i="5" s="1"/>
  <c r="CS102" i="5"/>
  <c r="N108" i="5"/>
  <c r="N110" i="5" s="1"/>
  <c r="O107" i="5"/>
  <c r="O108" i="5" s="1"/>
  <c r="O110" i="5" s="1"/>
  <c r="AX116" i="5"/>
  <c r="CT116" i="5"/>
  <c r="CN117" i="5"/>
  <c r="AE117" i="5"/>
  <c r="AE118" i="5" s="1"/>
  <c r="AS86" i="5"/>
  <c r="AG98" i="5"/>
  <c r="CO98" i="5" s="1"/>
  <c r="U108" i="5"/>
  <c r="U110" i="5" s="1"/>
  <c r="AE108" i="5"/>
  <c r="AM102" i="5"/>
  <c r="CL102" i="5"/>
  <c r="T108" i="5"/>
  <c r="T110" i="5" s="1"/>
  <c r="Y108" i="5"/>
  <c r="Y110" i="5" s="1"/>
  <c r="AC108" i="5"/>
  <c r="AC110" i="5" s="1"/>
  <c r="CS107" i="5"/>
  <c r="CN116" i="5"/>
  <c r="AP118" i="5"/>
  <c r="CR118" i="5" s="1"/>
  <c r="AA185" i="5"/>
  <c r="CM121" i="5"/>
  <c r="AO292" i="5"/>
  <c r="CO143" i="5"/>
  <c r="AH139" i="5"/>
  <c r="X294" i="5"/>
  <c r="X185" i="5"/>
  <c r="CL134" i="5"/>
  <c r="AS117" i="5"/>
  <c r="AS118" i="5" s="1"/>
  <c r="CS118" i="5" s="1"/>
  <c r="AM118" i="5"/>
  <c r="CQ118" i="5" s="1"/>
  <c r="CN121" i="5"/>
  <c r="AP122" i="5"/>
  <c r="AP123" i="5" s="1"/>
  <c r="CL123" i="5"/>
  <c r="AG130" i="5"/>
  <c r="AJ292" i="5" s="1"/>
  <c r="AK292" i="5"/>
  <c r="AK134" i="5"/>
  <c r="AQ292" i="5"/>
  <c r="CP130" i="5"/>
  <c r="AM131" i="5"/>
  <c r="AG132" i="5"/>
  <c r="CO132" i="5" s="1"/>
  <c r="CR143" i="5"/>
  <c r="AQ139" i="5"/>
  <c r="AS139" i="5" s="1"/>
  <c r="AP133" i="5"/>
  <c r="AD134" i="5"/>
  <c r="AN134" i="5"/>
  <c r="AV114" i="5"/>
  <c r="CS121" i="5"/>
  <c r="AS292" i="5"/>
  <c r="CN131" i="5"/>
  <c r="AN139" i="5"/>
  <c r="AP139" i="5" s="1"/>
  <c r="CR139" i="5" s="1"/>
  <c r="CQ143" i="5"/>
  <c r="AD115" i="5"/>
  <c r="AG121" i="5"/>
  <c r="CP121" i="5"/>
  <c r="AA122" i="5"/>
  <c r="AR122" i="5"/>
  <c r="AR123" i="5" s="1"/>
  <c r="AR125" i="5" s="1"/>
  <c r="AD123" i="5"/>
  <c r="AE292" i="5"/>
  <c r="AI292" i="5"/>
  <c r="AM130" i="5"/>
  <c r="AP292" i="5" s="1"/>
  <c r="CN130" i="5"/>
  <c r="CR130" i="5"/>
  <c r="AC134" i="5"/>
  <c r="AG131" i="5"/>
  <c r="AM132" i="5"/>
  <c r="CQ132" i="5" s="1"/>
  <c r="CN132" i="5"/>
  <c r="AF134" i="5"/>
  <c r="AL134" i="5"/>
  <c r="AA163" i="5"/>
  <c r="CM163" i="5" s="1"/>
  <c r="AI175" i="5"/>
  <c r="AJ175" i="5" s="1"/>
  <c r="CP175" i="5" s="1"/>
  <c r="CN204" i="5"/>
  <c r="AE202" i="5"/>
  <c r="AE204" i="5" s="1"/>
  <c r="AF202" i="5" s="1"/>
  <c r="AF204" i="5" s="1"/>
  <c r="AG204" i="5" s="1"/>
  <c r="AG202" i="5"/>
  <c r="CO202" i="5" s="1"/>
  <c r="L210" i="5"/>
  <c r="L203" i="5"/>
  <c r="CQ219" i="5"/>
  <c r="AN219" i="5"/>
  <c r="AO219" i="5" s="1"/>
  <c r="AP219" i="5" s="1"/>
  <c r="CU217" i="5"/>
  <c r="AZ217" i="5"/>
  <c r="BA217" i="5" s="1"/>
  <c r="BB217" i="5" s="1"/>
  <c r="V202" i="5"/>
  <c r="X207" i="5"/>
  <c r="AR278" i="5"/>
  <c r="AS210" i="5"/>
  <c r="O207" i="5"/>
  <c r="M210" i="5"/>
  <c r="N207" i="5"/>
  <c r="J221" i="5"/>
  <c r="X203" i="5"/>
  <c r="CL203" i="5" s="1"/>
  <c r="AE207" i="5"/>
  <c r="AM207" i="5"/>
  <c r="CP210" i="5"/>
  <c r="CP278" i="5" s="1"/>
  <c r="CL277" i="5"/>
  <c r="CL281" i="5" s="1"/>
  <c r="CL276" i="5"/>
  <c r="CP277" i="5"/>
  <c r="CP281" i="5" s="1"/>
  <c r="CP276" i="5"/>
  <c r="G221" i="5"/>
  <c r="CM277" i="5"/>
  <c r="CM281" i="5" s="1"/>
  <c r="CM276" i="5"/>
  <c r="CQ277" i="5"/>
  <c r="CQ281" i="5" s="1"/>
  <c r="CQ276" i="5"/>
  <c r="CP219" i="5"/>
  <c r="AG207" i="5"/>
  <c r="AK207" i="5"/>
  <c r="AK197" i="5" s="1"/>
  <c r="AO207" i="5"/>
  <c r="CN210" i="5"/>
  <c r="CN278" i="5" s="1"/>
  <c r="AD277" i="5"/>
  <c r="AD281" i="5" s="1"/>
  <c r="AD276" i="5"/>
  <c r="AL277" i="5"/>
  <c r="AL281" i="5" s="1"/>
  <c r="AL276" i="5"/>
  <c r="CN211" i="5"/>
  <c r="CR277" i="5"/>
  <c r="CR281" i="5" s="1"/>
  <c r="CR276" i="5"/>
  <c r="CO210" i="5"/>
  <c r="CO278" i="5" s="1"/>
  <c r="AE277" i="5"/>
  <c r="AE281" i="5" s="1"/>
  <c r="AE276" i="5"/>
  <c r="AO277" i="5"/>
  <c r="AO281" i="5" s="1"/>
  <c r="AO276" i="5"/>
  <c r="CO277" i="5"/>
  <c r="CO281" i="5" s="1"/>
  <c r="CO276" i="5"/>
  <c r="AL212" i="5"/>
  <c r="AP212" i="5"/>
  <c r="CY198" i="5" l="1"/>
  <c r="AS169" i="5"/>
  <c r="AS291" i="5" s="1"/>
  <c r="AP197" i="5"/>
  <c r="CR197" i="5" s="1"/>
  <c r="M48" i="9"/>
  <c r="N48" i="9" s="1"/>
  <c r="V12" i="9"/>
  <c r="AO152" i="5" s="1"/>
  <c r="Y45" i="10"/>
  <c r="T13" i="9" s="1"/>
  <c r="AM161" i="5" s="1"/>
  <c r="CQ161" i="5" s="1"/>
  <c r="M42" i="9"/>
  <c r="N42" i="9" s="1"/>
  <c r="AA19" i="5"/>
  <c r="CM19" i="5" s="1"/>
  <c r="P58" i="9"/>
  <c r="AR169" i="5"/>
  <c r="AR291" i="5" s="1"/>
  <c r="CL18" i="5"/>
  <c r="AK35" i="10"/>
  <c r="AN35" i="10" s="1"/>
  <c r="AR142" i="5"/>
  <c r="X23" i="5"/>
  <c r="AS142" i="5"/>
  <c r="CS142" i="5" s="1"/>
  <c r="X23" i="10"/>
  <c r="X28" i="10" s="1"/>
  <c r="AI110" i="5"/>
  <c r="AS57" i="5"/>
  <c r="CS57" i="5" s="1"/>
  <c r="K35" i="9"/>
  <c r="U23" i="10"/>
  <c r="AD108" i="5"/>
  <c r="AD110" i="5" s="1"/>
  <c r="R19" i="5"/>
  <c r="W81" i="10"/>
  <c r="AP8" i="5"/>
  <c r="CR8" i="5" s="1"/>
  <c r="AJ134" i="5"/>
  <c r="U152" i="5"/>
  <c r="AE37" i="10"/>
  <c r="J41" i="10"/>
  <c r="J42" i="10" s="1"/>
  <c r="J45" i="10" s="1"/>
  <c r="AD160" i="5"/>
  <c r="CN160" i="5" s="1"/>
  <c r="AK61" i="5"/>
  <c r="AK153" i="5" s="1"/>
  <c r="AK68" i="5"/>
  <c r="R14" i="9" s="1"/>
  <c r="AK154" i="5" s="1"/>
  <c r="J178" i="5"/>
  <c r="AJ55" i="5"/>
  <c r="CP55" i="5" s="1"/>
  <c r="W19" i="5"/>
  <c r="P42" i="9"/>
  <c r="Z125" i="5"/>
  <c r="L12" i="9"/>
  <c r="AE152" i="5" s="1"/>
  <c r="AG152" i="5" s="1"/>
  <c r="CO152" i="5" s="1"/>
  <c r="AG66" i="5"/>
  <c r="CO66" i="5" s="1"/>
  <c r="BJ12" i="9" s="1"/>
  <c r="CO71" i="5"/>
  <c r="J60" i="9"/>
  <c r="Y46" i="10"/>
  <c r="CL125" i="5"/>
  <c r="Y16" i="10"/>
  <c r="CN66" i="5"/>
  <c r="BI12" i="9" s="1"/>
  <c r="L51" i="5"/>
  <c r="L148" i="5" s="1"/>
  <c r="I2" i="10"/>
  <c r="I3" i="10" s="1"/>
  <c r="I4" i="10" s="1"/>
  <c r="K63" i="9"/>
  <c r="K64" i="9" s="1"/>
  <c r="AE34" i="10"/>
  <c r="AG23" i="10"/>
  <c r="AG28" i="10" s="1"/>
  <c r="V42" i="9"/>
  <c r="CN103" i="5"/>
  <c r="K12" i="9"/>
  <c r="U70" i="9"/>
  <c r="AN150" i="5" s="1"/>
  <c r="Z19" i="5"/>
  <c r="AS56" i="5"/>
  <c r="W23" i="5"/>
  <c r="W27" i="5" s="1"/>
  <c r="W37" i="5" s="1"/>
  <c r="W41" i="5" s="1"/>
  <c r="W43" i="5" s="1"/>
  <c r="CS13" i="5"/>
  <c r="BI67" i="5"/>
  <c r="BJ67" i="5" s="1"/>
  <c r="BK67" i="5" s="1"/>
  <c r="BL67" i="5" s="1"/>
  <c r="BM67" i="5" s="1"/>
  <c r="BN67" i="5" s="1"/>
  <c r="BO67" i="5" s="1"/>
  <c r="BP67" i="5" s="1"/>
  <c r="BQ67" i="5" s="1"/>
  <c r="BR67" i="5" s="1"/>
  <c r="BS67" i="5" s="1"/>
  <c r="BT67" i="5" s="1"/>
  <c r="BU67" i="5" s="1"/>
  <c r="BV67" i="5" s="1"/>
  <c r="BW67" i="5" s="1"/>
  <c r="BX67" i="5" s="1"/>
  <c r="BY67" i="5" s="1"/>
  <c r="BZ67" i="5" s="1"/>
  <c r="CA67" i="5" s="1"/>
  <c r="CB67" i="5" s="1"/>
  <c r="CC67" i="5" s="1"/>
  <c r="AV87" i="5"/>
  <c r="CT87" i="5" s="1"/>
  <c r="R23" i="5"/>
  <c r="R27" i="5" s="1"/>
  <c r="R37" i="5" s="1"/>
  <c r="R41" i="5" s="1"/>
  <c r="AP55" i="5"/>
  <c r="CR55" i="5" s="1"/>
  <c r="P23" i="5"/>
  <c r="P27" i="5" s="1"/>
  <c r="P37" i="5" s="1"/>
  <c r="P41" i="5" s="1"/>
  <c r="P51" i="5" s="1"/>
  <c r="AG57" i="5"/>
  <c r="CO57" i="5" s="1"/>
  <c r="P19" i="5"/>
  <c r="V37" i="5"/>
  <c r="V41" i="5" s="1"/>
  <c r="V51" i="5" s="1"/>
  <c r="V35" i="5"/>
  <c r="M191" i="5"/>
  <c r="CM115" i="5"/>
  <c r="CP49" i="5"/>
  <c r="AA23" i="5"/>
  <c r="CP207" i="5"/>
  <c r="AJ197" i="5"/>
  <c r="CP197" i="5" s="1"/>
  <c r="CW198" i="5"/>
  <c r="O42" i="9"/>
  <c r="P18" i="10"/>
  <c r="P17" i="10" s="1"/>
  <c r="AD23" i="10"/>
  <c r="U37" i="5"/>
  <c r="U41" i="5" s="1"/>
  <c r="U51" i="5" s="1"/>
  <c r="U74" i="5" s="1"/>
  <c r="AF34" i="10"/>
  <c r="AF36" i="10" s="1"/>
  <c r="AH36" i="10" s="1"/>
  <c r="AE40" i="9"/>
  <c r="AG40" i="9" s="1"/>
  <c r="AC187" i="5"/>
  <c r="CL108" i="5"/>
  <c r="S19" i="5"/>
  <c r="V19" i="5"/>
  <c r="CR30" i="5"/>
  <c r="T19" i="5"/>
  <c r="DH14" i="5"/>
  <c r="DH18" i="5" s="1"/>
  <c r="DI14" i="5" s="1"/>
  <c r="W191" i="5"/>
  <c r="AN61" i="5"/>
  <c r="AN153" i="5" s="1"/>
  <c r="N4" i="5"/>
  <c r="Y125" i="5"/>
  <c r="AY116" i="5"/>
  <c r="CU116" i="5" s="1"/>
  <c r="AE26" i="9"/>
  <c r="AX117" i="5"/>
  <c r="AN68" i="5"/>
  <c r="U14" i="9" s="1"/>
  <c r="AN154" i="5" s="1"/>
  <c r="AB125" i="5"/>
  <c r="AB191" i="5" s="1"/>
  <c r="AH61" i="5"/>
  <c r="AH153" i="5" s="1"/>
  <c r="AH68" i="5"/>
  <c r="AN23" i="5"/>
  <c r="AN27" i="5" s="1"/>
  <c r="Z23" i="5"/>
  <c r="AQ23" i="5"/>
  <c r="AO18" i="5"/>
  <c r="AE23" i="5"/>
  <c r="U19" i="5"/>
  <c r="X19" i="5"/>
  <c r="CL19" i="5" s="1"/>
  <c r="CM18" i="5"/>
  <c r="I58" i="9"/>
  <c r="I38" i="9"/>
  <c r="I42" i="9" s="1"/>
  <c r="AH19" i="5"/>
  <c r="Y23" i="5"/>
  <c r="Y27" i="5" s="1"/>
  <c r="Y35" i="5" s="1"/>
  <c r="AH23" i="5"/>
  <c r="AH27" i="5" s="1"/>
  <c r="AI16" i="5"/>
  <c r="AB19" i="5"/>
  <c r="AQ19" i="5"/>
  <c r="Q23" i="5"/>
  <c r="Q27" i="5" s="1"/>
  <c r="Q37" i="5" s="1"/>
  <c r="Q41" i="5" s="1"/>
  <c r="Q43" i="5" s="1"/>
  <c r="Y19" i="5"/>
  <c r="AH187" i="5"/>
  <c r="T58" i="9"/>
  <c r="AD118" i="5"/>
  <c r="CN118" i="5" s="1"/>
  <c r="U191" i="5"/>
  <c r="AE125" i="5"/>
  <c r="J4" i="5"/>
  <c r="CN10" i="5"/>
  <c r="AE19" i="5"/>
  <c r="AC125" i="5"/>
  <c r="AI8" i="5"/>
  <c r="AL16" i="5"/>
  <c r="S191" i="5"/>
  <c r="O35" i="5"/>
  <c r="K5" i="5"/>
  <c r="AB23" i="5"/>
  <c r="P191" i="5"/>
  <c r="AC18" i="5"/>
  <c r="AD18" i="5" s="1"/>
  <c r="X191" i="5"/>
  <c r="CL191" i="5" s="1"/>
  <c r="AI185" i="5"/>
  <c r="AC160" i="5"/>
  <c r="AC159" i="5"/>
  <c r="AJ8" i="5"/>
  <c r="AI276" i="5"/>
  <c r="O176" i="5"/>
  <c r="O177" i="5" s="1"/>
  <c r="O178" i="5" s="1"/>
  <c r="CN134" i="5"/>
  <c r="AJ108" i="5"/>
  <c r="CP108" i="5" s="1"/>
  <c r="AO149" i="5"/>
  <c r="CO39" i="5"/>
  <c r="CQ71" i="5"/>
  <c r="E3" i="10"/>
  <c r="E4" i="10" s="1"/>
  <c r="H2" i="10"/>
  <c r="AA108" i="5"/>
  <c r="AA110" i="5" s="1"/>
  <c r="Y12" i="9"/>
  <c r="AR152" i="5" s="1"/>
  <c r="AS152" i="5" s="1"/>
  <c r="CS152" i="5" s="1"/>
  <c r="AF185" i="5"/>
  <c r="AC185" i="5"/>
  <c r="CS12" i="5"/>
  <c r="AK150" i="5"/>
  <c r="AK31" i="5"/>
  <c r="AK32" i="5" s="1"/>
  <c r="AJ13" i="5"/>
  <c r="V35" i="10"/>
  <c r="T35" i="10" s="1"/>
  <c r="AF18" i="5"/>
  <c r="AF8" i="5"/>
  <c r="AG13" i="5"/>
  <c r="P75" i="9"/>
  <c r="Q75" i="9" s="1"/>
  <c r="AI30" i="5"/>
  <c r="AL18" i="5"/>
  <c r="AL8" i="5"/>
  <c r="AD151" i="5"/>
  <c r="Q12" i="9"/>
  <c r="CP122" i="5"/>
  <c r="CN39" i="5"/>
  <c r="CQ9" i="5"/>
  <c r="CR13" i="5"/>
  <c r="AJ12" i="5"/>
  <c r="AO8" i="5"/>
  <c r="CP156" i="5"/>
  <c r="CS71" i="5"/>
  <c r="N76" i="9"/>
  <c r="AF30" i="5"/>
  <c r="AF149" i="5"/>
  <c r="AF277" i="5"/>
  <c r="AF281" i="5" s="1"/>
  <c r="AH292" i="5"/>
  <c r="AF218" i="5"/>
  <c r="AF208" i="5" s="1"/>
  <c r="AF198" i="5" s="1"/>
  <c r="CN9" i="5"/>
  <c r="P35" i="10"/>
  <c r="P34" i="10" s="1"/>
  <c r="AD13" i="5"/>
  <c r="AD149" i="5"/>
  <c r="CN149" i="5" s="1"/>
  <c r="AD30" i="5"/>
  <c r="AR18" i="5"/>
  <c r="AR8" i="5"/>
  <c r="AI18" i="5"/>
  <c r="CR156" i="5"/>
  <c r="AH185" i="5"/>
  <c r="AD152" i="5"/>
  <c r="CN152" i="5" s="1"/>
  <c r="CQ10" i="5"/>
  <c r="CN207" i="5"/>
  <c r="AD197" i="5"/>
  <c r="CN197" i="5" s="1"/>
  <c r="AI277" i="5"/>
  <c r="AI281" i="5" s="1"/>
  <c r="L218" i="5"/>
  <c r="L221" i="5" s="1"/>
  <c r="L178" i="5"/>
  <c r="CM122" i="5"/>
  <c r="CN115" i="5"/>
  <c r="L191" i="5"/>
  <c r="T12" i="9"/>
  <c r="AS66" i="5"/>
  <c r="CS66" i="5" s="1"/>
  <c r="AB153" i="5"/>
  <c r="AD8" i="5"/>
  <c r="CN8" i="5" s="1"/>
  <c r="AD45" i="10"/>
  <c r="AE45" i="10" s="1"/>
  <c r="Z13" i="9" s="1"/>
  <c r="AS161" i="5" s="1"/>
  <c r="CS161" i="5" s="1"/>
  <c r="AF150" i="5"/>
  <c r="AF31" i="5"/>
  <c r="Y13" i="10"/>
  <c r="AM12" i="5"/>
  <c r="M79" i="9"/>
  <c r="AP134" i="5"/>
  <c r="CR122" i="5"/>
  <c r="CT297" i="5"/>
  <c r="R67" i="5"/>
  <c r="AF16" i="5"/>
  <c r="I14" i="9"/>
  <c r="AC16" i="5"/>
  <c r="S35" i="5"/>
  <c r="AM8" i="5"/>
  <c r="CP9" i="5"/>
  <c r="Y153" i="5"/>
  <c r="G41" i="10"/>
  <c r="G42" i="10" s="1"/>
  <c r="G45" i="10" s="1"/>
  <c r="S16" i="10"/>
  <c r="AB13" i="10"/>
  <c r="AP12" i="5"/>
  <c r="V16" i="10"/>
  <c r="AG12" i="5"/>
  <c r="CR71" i="5"/>
  <c r="AH31" i="5"/>
  <c r="AH32" i="5" s="1"/>
  <c r="AH150" i="5"/>
  <c r="P78" i="9"/>
  <c r="AI31" i="5"/>
  <c r="AI150" i="5"/>
  <c r="N35" i="9"/>
  <c r="L13" i="9"/>
  <c r="AE161" i="5" s="1"/>
  <c r="CQ30" i="5"/>
  <c r="AM149" i="5"/>
  <c r="CQ149" i="5" s="1"/>
  <c r="AC8" i="5"/>
  <c r="CO103" i="5"/>
  <c r="N63" i="9"/>
  <c r="S35" i="10"/>
  <c r="CN12" i="5"/>
  <c r="AS149" i="5"/>
  <c r="CS149" i="5" s="1"/>
  <c r="CP10" i="5"/>
  <c r="S12" i="9"/>
  <c r="AL152" i="5" s="1"/>
  <c r="AM152" i="5" s="1"/>
  <c r="CQ152" i="5" s="1"/>
  <c r="O12" i="9"/>
  <c r="AH152" i="5" s="1"/>
  <c r="AJ152" i="5" s="1"/>
  <c r="CP152" i="5" s="1"/>
  <c r="Y34" i="10"/>
  <c r="AM13" i="5"/>
  <c r="CP39" i="5"/>
  <c r="CQ156" i="5"/>
  <c r="CQ21" i="5"/>
  <c r="AY13" i="5"/>
  <c r="AV13" i="5"/>
  <c r="AV115" i="5"/>
  <c r="AV97" i="5"/>
  <c r="AV96" i="5"/>
  <c r="CT96" i="5" s="1"/>
  <c r="DH8" i="5"/>
  <c r="AS122" i="5"/>
  <c r="CS122" i="5" s="1"/>
  <c r="Q34" i="9"/>
  <c r="P35" i="9"/>
  <c r="Q35" i="9" s="1"/>
  <c r="AL162" i="5"/>
  <c r="AL163" i="5" s="1"/>
  <c r="AL40" i="10"/>
  <c r="AM40" i="10"/>
  <c r="AO41" i="10" s="1"/>
  <c r="AO42" i="10" s="1"/>
  <c r="AO43" i="10" s="1"/>
  <c r="V45" i="10"/>
  <c r="Q13" i="9" s="1"/>
  <c r="AJ161" i="5" s="1"/>
  <c r="CP161" i="5" s="1"/>
  <c r="P13" i="9"/>
  <c r="AI161" i="5" s="1"/>
  <c r="J47" i="9"/>
  <c r="K47" i="9" s="1"/>
  <c r="J41" i="9"/>
  <c r="K40" i="9"/>
  <c r="V70" i="9"/>
  <c r="V58" i="9"/>
  <c r="T31" i="9"/>
  <c r="S38" i="9"/>
  <c r="AQ24" i="10"/>
  <c r="AQ40" i="10" s="1"/>
  <c r="AP40" i="10"/>
  <c r="AP41" i="10" s="1"/>
  <c r="AP42" i="10" s="1"/>
  <c r="AP43" i="10" s="1"/>
  <c r="R78" i="9"/>
  <c r="N54" i="9"/>
  <c r="Y32" i="9"/>
  <c r="Q17" i="9"/>
  <c r="AB34" i="10"/>
  <c r="AB51" i="10"/>
  <c r="AE51" i="10"/>
  <c r="R13" i="9"/>
  <c r="AK161" i="5" s="1"/>
  <c r="AA35" i="10"/>
  <c r="AA34" i="10" s="1"/>
  <c r="AA36" i="10" s="1"/>
  <c r="Z34" i="10"/>
  <c r="Z36" i="10" s="1"/>
  <c r="AH51" i="10"/>
  <c r="AH37" i="10"/>
  <c r="AH34" i="10"/>
  <c r="N70" i="9"/>
  <c r="M78" i="9"/>
  <c r="X18" i="10"/>
  <c r="Y18" i="10" s="1"/>
  <c r="AB17" i="10"/>
  <c r="AC17" i="10" s="1"/>
  <c r="AA16" i="10"/>
  <c r="AA18" i="10" s="1"/>
  <c r="R47" i="9"/>
  <c r="R41" i="9"/>
  <c r="R48" i="9" s="1"/>
  <c r="S17" i="9"/>
  <c r="U17" i="9" s="1"/>
  <c r="S70" i="9"/>
  <c r="AC53" i="9"/>
  <c r="AD53" i="9"/>
  <c r="AE53" i="9" s="1"/>
  <c r="L49" i="9"/>
  <c r="AG159" i="5"/>
  <c r="CO159" i="5" s="1"/>
  <c r="P37" i="10"/>
  <c r="P52" i="9"/>
  <c r="S45" i="10"/>
  <c r="N13" i="9" s="1"/>
  <c r="AG161" i="5" s="1"/>
  <c r="CO161" i="5" s="1"/>
  <c r="M13" i="9"/>
  <c r="AF161" i="5" s="1"/>
  <c r="U13" i="9"/>
  <c r="AB46" i="10"/>
  <c r="O78" i="9"/>
  <c r="Q70" i="9"/>
  <c r="Z18" i="10"/>
  <c r="W56" i="9"/>
  <c r="W58" i="9" s="1"/>
  <c r="Q41" i="9"/>
  <c r="P48" i="9"/>
  <c r="Q48" i="9" s="1"/>
  <c r="J3" i="10"/>
  <c r="J4" i="10" s="1"/>
  <c r="M2" i="10"/>
  <c r="V48" i="9"/>
  <c r="W48" i="9" s="1"/>
  <c r="W41" i="9"/>
  <c r="N42" i="10"/>
  <c r="N45" i="10" s="1"/>
  <c r="I13" i="9" s="1"/>
  <c r="P41" i="10"/>
  <c r="P42" i="10" s="1"/>
  <c r="P45" i="10" s="1"/>
  <c r="K13" i="9" s="1"/>
  <c r="AD161" i="5" s="1"/>
  <c r="CN161" i="5" s="1"/>
  <c r="N13" i="10"/>
  <c r="AB45" i="10"/>
  <c r="W13" i="9" s="1"/>
  <c r="V13" i="9"/>
  <c r="AO161" i="5" s="1"/>
  <c r="O13" i="9"/>
  <c r="AH161" i="5" s="1"/>
  <c r="J54" i="9"/>
  <c r="K54" i="9" s="1"/>
  <c r="K52" i="9"/>
  <c r="K42" i="10"/>
  <c r="K45" i="10" s="1"/>
  <c r="M41" i="10"/>
  <c r="M42" i="10" s="1"/>
  <c r="M45" i="10" s="1"/>
  <c r="AC46" i="9"/>
  <c r="AD46" i="10"/>
  <c r="AE46" i="10" s="1"/>
  <c r="AF44" i="10"/>
  <c r="AK51" i="10"/>
  <c r="AK37" i="10"/>
  <c r="AE19" i="10"/>
  <c r="Q33" i="9"/>
  <c r="R33" i="9"/>
  <c r="X70" i="9"/>
  <c r="Y68" i="9"/>
  <c r="O53" i="9"/>
  <c r="P53" i="9" s="1"/>
  <c r="N53" i="9"/>
  <c r="L60" i="9"/>
  <c r="R38" i="9"/>
  <c r="V47" i="9"/>
  <c r="X40" i="9"/>
  <c r="W40" i="9"/>
  <c r="W47" i="9" s="1"/>
  <c r="X39" i="9"/>
  <c r="W46" i="9"/>
  <c r="U42" i="9"/>
  <c r="O185" i="5"/>
  <c r="O135" i="5"/>
  <c r="O127" i="5"/>
  <c r="O191" i="5"/>
  <c r="CO204" i="5"/>
  <c r="AJ202" i="5"/>
  <c r="CP202" i="5" s="1"/>
  <c r="AH202" i="5"/>
  <c r="AH204" i="5" s="1"/>
  <c r="AI202" i="5" s="1"/>
  <c r="AI204" i="5" s="1"/>
  <c r="AJ204" i="5" s="1"/>
  <c r="CR123" i="5"/>
  <c r="AP125" i="5"/>
  <c r="AY114" i="5"/>
  <c r="CT114" i="5"/>
  <c r="CS139" i="5"/>
  <c r="T185" i="5"/>
  <c r="T135" i="5"/>
  <c r="T127" i="5"/>
  <c r="T182" i="5" s="1"/>
  <c r="AM108" i="5"/>
  <c r="CQ102" i="5"/>
  <c r="N185" i="5"/>
  <c r="N135" i="5"/>
  <c r="N127" i="5"/>
  <c r="V185" i="5"/>
  <c r="V135" i="5"/>
  <c r="V127" i="5"/>
  <c r="V182" i="5" s="1"/>
  <c r="CT103" i="5"/>
  <c r="AY97" i="5"/>
  <c r="V191" i="5"/>
  <c r="P185" i="5"/>
  <c r="P135" i="5"/>
  <c r="P127" i="5"/>
  <c r="P182" i="5" s="1"/>
  <c r="CU106" i="5"/>
  <c r="BB106" i="5"/>
  <c r="CQ66" i="5"/>
  <c r="AQ61" i="5"/>
  <c r="AQ68" i="5"/>
  <c r="W154" i="5"/>
  <c r="W69" i="5"/>
  <c r="X68" i="5"/>
  <c r="AG151" i="5"/>
  <c r="CO34" i="5"/>
  <c r="CO151" i="5" s="1"/>
  <c r="Y154" i="5"/>
  <c r="Y69" i="5"/>
  <c r="T51" i="5"/>
  <c r="T43" i="5"/>
  <c r="Q3" i="5"/>
  <c r="Q4" i="5" s="1"/>
  <c r="T2" i="5"/>
  <c r="AO197" i="5"/>
  <c r="N202" i="5"/>
  <c r="N210" i="5"/>
  <c r="N197" i="5"/>
  <c r="M178" i="5"/>
  <c r="N176" i="5"/>
  <c r="N177" i="5" s="1"/>
  <c r="N178" i="5" s="1"/>
  <c r="AM292" i="5"/>
  <c r="CQ130" i="5"/>
  <c r="AM134" i="5"/>
  <c r="CN123" i="5"/>
  <c r="AJ125" i="5"/>
  <c r="CP123" i="5"/>
  <c r="CL185" i="5"/>
  <c r="AN292" i="5"/>
  <c r="AA186" i="5"/>
  <c r="CM186" i="5" s="1"/>
  <c r="CM185" i="5"/>
  <c r="M185" i="5"/>
  <c r="M135" i="5"/>
  <c r="M127" i="5"/>
  <c r="M182" i="5" s="1"/>
  <c r="M183" i="5" s="1"/>
  <c r="R185" i="5"/>
  <c r="R135" i="5"/>
  <c r="R127" i="5"/>
  <c r="R182" i="5" s="1"/>
  <c r="R191" i="5"/>
  <c r="Q185" i="5"/>
  <c r="Q135" i="5"/>
  <c r="Q127" i="5"/>
  <c r="Q182" i="5" s="1"/>
  <c r="AG99" i="5"/>
  <c r="CO99" i="5" s="1"/>
  <c r="AA152" i="5"/>
  <c r="CM152" i="5" s="1"/>
  <c r="AA67" i="5"/>
  <c r="CM66" i="5"/>
  <c r="BH12" i="9" s="1"/>
  <c r="AB154" i="5"/>
  <c r="AB69" i="5"/>
  <c r="AC69" i="5" s="1"/>
  <c r="AD69" i="5" s="1"/>
  <c r="AE69" i="5" s="1"/>
  <c r="AF69" i="5" s="1"/>
  <c r="AG69" i="5" s="1"/>
  <c r="AH69" i="5" s="1"/>
  <c r="AI69" i="5" s="1"/>
  <c r="AJ69" i="5" s="1"/>
  <c r="AK69" i="5" s="1"/>
  <c r="AL69" i="5" s="1"/>
  <c r="AM69" i="5" s="1"/>
  <c r="AN69" i="5" s="1"/>
  <c r="AO69" i="5" s="1"/>
  <c r="AP69" i="5" s="1"/>
  <c r="AQ69" i="5" s="1"/>
  <c r="AR69" i="5" s="1"/>
  <c r="AS69" i="5" s="1"/>
  <c r="AT69" i="5" s="1"/>
  <c r="AU69" i="5" s="1"/>
  <c r="AV69" i="5" s="1"/>
  <c r="AW69" i="5" s="1"/>
  <c r="AX69" i="5" s="1"/>
  <c r="AY69" i="5" s="1"/>
  <c r="AZ69" i="5" s="1"/>
  <c r="BA69" i="5" s="1"/>
  <c r="BB69" i="5" s="1"/>
  <c r="BC69" i="5" s="1"/>
  <c r="BD69" i="5" s="1"/>
  <c r="BE69" i="5" s="1"/>
  <c r="BF69" i="5" s="1"/>
  <c r="BG69" i="5" s="1"/>
  <c r="BH69" i="5" s="1"/>
  <c r="P154" i="5"/>
  <c r="P69" i="5"/>
  <c r="Q153" i="5"/>
  <c r="R61" i="5"/>
  <c r="R153" i="5" s="1"/>
  <c r="W153" i="5"/>
  <c r="X61" i="5"/>
  <c r="G5" i="5"/>
  <c r="CG2" i="5"/>
  <c r="CF5" i="5"/>
  <c r="N23" i="5"/>
  <c r="N27" i="5" s="1"/>
  <c r="N16" i="5"/>
  <c r="V154" i="5"/>
  <c r="V69" i="5"/>
  <c r="O2" i="5"/>
  <c r="L3" i="5"/>
  <c r="L4" i="5" s="1"/>
  <c r="S51" i="5"/>
  <c r="S43" i="5"/>
  <c r="M3" i="5"/>
  <c r="M4" i="5" s="1"/>
  <c r="P2" i="5"/>
  <c r="AE197" i="5"/>
  <c r="AS278" i="5"/>
  <c r="CS210" i="5"/>
  <c r="CS278" i="5" s="1"/>
  <c r="AV207" i="5"/>
  <c r="AS199" i="5"/>
  <c r="CS199" i="5" s="1"/>
  <c r="AT207" i="5"/>
  <c r="M204" i="5"/>
  <c r="N218" i="5"/>
  <c r="N221" i="5" s="1"/>
  <c r="M199" i="5"/>
  <c r="CL207" i="5"/>
  <c r="X210" i="5"/>
  <c r="X202" i="5"/>
  <c r="CL202" i="5" s="1"/>
  <c r="X197" i="5"/>
  <c r="CL197" i="5" s="1"/>
  <c r="M218" i="5"/>
  <c r="L204" i="5"/>
  <c r="L199" i="5"/>
  <c r="AF187" i="5"/>
  <c r="AD185" i="5"/>
  <c r="CS117" i="5"/>
  <c r="AV117" i="5"/>
  <c r="Y289" i="5"/>
  <c r="X295" i="5"/>
  <c r="AS297" i="5"/>
  <c r="CS86" i="5"/>
  <c r="AB187" i="5"/>
  <c r="AG116" i="5"/>
  <c r="AF118" i="5"/>
  <c r="AF125" i="5" s="1"/>
  <c r="W185" i="5"/>
  <c r="W135" i="5"/>
  <c r="W127" i="5"/>
  <c r="W182" i="5" s="1"/>
  <c r="N191" i="5"/>
  <c r="Q191" i="5"/>
  <c r="Z110" i="5"/>
  <c r="X187" i="5"/>
  <c r="X135" i="5"/>
  <c r="CL110" i="5"/>
  <c r="X127" i="5"/>
  <c r="M21" i="9"/>
  <c r="O152" i="5"/>
  <c r="O67" i="5"/>
  <c r="AJ57" i="5"/>
  <c r="CP57" i="5" s="1"/>
  <c r="CP50" i="5"/>
  <c r="CQ74" i="5"/>
  <c r="T153" i="5"/>
  <c r="U61" i="5"/>
  <c r="U153" i="5" s="1"/>
  <c r="Q154" i="5"/>
  <c r="R68" i="5"/>
  <c r="Q69" i="5"/>
  <c r="S154" i="5"/>
  <c r="S69" i="5"/>
  <c r="AK19" i="5"/>
  <c r="AK23" i="5"/>
  <c r="AS151" i="5"/>
  <c r="CS34" i="5"/>
  <c r="Z153" i="5"/>
  <c r="AA61" i="5"/>
  <c r="N153" i="5"/>
  <c r="O61" i="5"/>
  <c r="O153" i="5" s="1"/>
  <c r="H4" i="5"/>
  <c r="M16" i="5"/>
  <c r="M23" i="5"/>
  <c r="M27" i="5" s="1"/>
  <c r="M154" i="5"/>
  <c r="M69" i="5"/>
  <c r="O51" i="5"/>
  <c r="O43" i="5"/>
  <c r="O44" i="5" s="1"/>
  <c r="Q19" i="5"/>
  <c r="BC217" i="5"/>
  <c r="BD217" i="5" s="1"/>
  <c r="BE217" i="5" s="1"/>
  <c r="CV217" i="5"/>
  <c r="CN277" i="5"/>
  <c r="CN281" i="5" s="1"/>
  <c r="CN276" i="5"/>
  <c r="CO207" i="5"/>
  <c r="AG197" i="5"/>
  <c r="CO197" i="5" s="1"/>
  <c r="CQ207" i="5"/>
  <c r="AM197" i="5"/>
  <c r="CQ197" i="5" s="1"/>
  <c r="O210" i="5"/>
  <c r="O197" i="5"/>
  <c r="O202" i="5"/>
  <c r="CR219" i="5"/>
  <c r="AQ219" i="5"/>
  <c r="AR219" i="5" s="1"/>
  <c r="CO131" i="5"/>
  <c r="AG123" i="5"/>
  <c r="CO121" i="5"/>
  <c r="AT118" i="5"/>
  <c r="AY115" i="5"/>
  <c r="CR133" i="5"/>
  <c r="CQ131" i="5"/>
  <c r="AG292" i="5"/>
  <c r="AG134" i="5"/>
  <c r="CO130" i="5"/>
  <c r="AA123" i="5"/>
  <c r="AM125" i="5"/>
  <c r="Y187" i="5"/>
  <c r="U185" i="5"/>
  <c r="U135" i="5"/>
  <c r="U127" i="5"/>
  <c r="U182" i="5" s="1"/>
  <c r="T191" i="5"/>
  <c r="AH135" i="5"/>
  <c r="AH127" i="5"/>
  <c r="AH182" i="5" s="1"/>
  <c r="S185" i="5"/>
  <c r="S135" i="5"/>
  <c r="S127" i="5"/>
  <c r="S182" i="5" s="1"/>
  <c r="L185" i="5"/>
  <c r="L135" i="5"/>
  <c r="L127" i="5"/>
  <c r="L182" i="5" s="1"/>
  <c r="L183" i="5" s="1"/>
  <c r="AG108" i="5"/>
  <c r="CO102" i="5"/>
  <c r="AH191" i="5"/>
  <c r="X152" i="5"/>
  <c r="CL152" i="5" s="1"/>
  <c r="CL66" i="5"/>
  <c r="BG12" i="9" s="1"/>
  <c r="X67" i="5"/>
  <c r="T154" i="5"/>
  <c r="T69" i="5"/>
  <c r="U68" i="5"/>
  <c r="AE61" i="5"/>
  <c r="AE68" i="5"/>
  <c r="AM151" i="5"/>
  <c r="CQ34" i="5"/>
  <c r="CQ151" i="5" s="1"/>
  <c r="Z154" i="5"/>
  <c r="Z69" i="5"/>
  <c r="AA68" i="5"/>
  <c r="N154" i="5"/>
  <c r="N69" i="5"/>
  <c r="O68" i="5"/>
  <c r="T35" i="5"/>
  <c r="AN19" i="5"/>
  <c r="CB152" i="5" l="1"/>
  <c r="CA152" i="5"/>
  <c r="CC152" i="5" s="1"/>
  <c r="DE152" i="5" s="1"/>
  <c r="CS169" i="5"/>
  <c r="Y28" i="10"/>
  <c r="P35" i="5"/>
  <c r="CN108" i="5"/>
  <c r="AI191" i="5"/>
  <c r="AI127" i="5"/>
  <c r="AI182" i="5" s="1"/>
  <c r="AI135" i="5"/>
  <c r="AI187" i="5"/>
  <c r="R176" i="5"/>
  <c r="R177" i="5" s="1"/>
  <c r="U176" i="5" s="1"/>
  <c r="U177" i="5" s="1"/>
  <c r="P176" i="5"/>
  <c r="P177" i="5" s="1"/>
  <c r="Q176" i="5" s="1"/>
  <c r="Q177" i="5" s="1"/>
  <c r="Q178" i="5" s="1"/>
  <c r="AP16" i="5"/>
  <c r="CR9" i="5"/>
  <c r="AN31" i="5"/>
  <c r="AN32" i="5" s="1"/>
  <c r="CL23" i="5"/>
  <c r="R35" i="5"/>
  <c r="AI61" i="5"/>
  <c r="W51" i="5"/>
  <c r="W148" i="5" s="1"/>
  <c r="X27" i="5"/>
  <c r="W35" i="5"/>
  <c r="CP134" i="5"/>
  <c r="Q42" i="9"/>
  <c r="L2" i="10"/>
  <c r="L3" i="10" s="1"/>
  <c r="L4" i="10" s="1"/>
  <c r="U78" i="9"/>
  <c r="W42" i="9"/>
  <c r="AK34" i="10"/>
  <c r="AI35" i="10"/>
  <c r="AI34" i="10" s="1"/>
  <c r="AI36" i="10" s="1"/>
  <c r="L74" i="5"/>
  <c r="AB127" i="5"/>
  <c r="AB182" i="5" s="1"/>
  <c r="L58" i="5"/>
  <c r="L140" i="5" s="1"/>
  <c r="P43" i="5"/>
  <c r="S44" i="5" s="1"/>
  <c r="AB135" i="5"/>
  <c r="AD159" i="5"/>
  <c r="CN159" i="5" s="1"/>
  <c r="Y13" i="9"/>
  <c r="AR161" i="5" s="1"/>
  <c r="U58" i="5"/>
  <c r="U76" i="5" s="1"/>
  <c r="Q51" i="5"/>
  <c r="Q74" i="5" s="1"/>
  <c r="AQ162" i="5"/>
  <c r="AQ163" i="5" s="1"/>
  <c r="AH162" i="5"/>
  <c r="AH163" i="5" s="1"/>
  <c r="AE47" i="9"/>
  <c r="N12" i="9"/>
  <c r="AF40" i="9"/>
  <c r="AF47" i="9" s="1"/>
  <c r="R42" i="9"/>
  <c r="AZ116" i="5"/>
  <c r="AG26" i="9" s="1"/>
  <c r="Z27" i="5"/>
  <c r="Z37" i="5" s="1"/>
  <c r="Z41" i="5" s="1"/>
  <c r="AH28" i="10"/>
  <c r="AH31" i="10" s="1"/>
  <c r="AC191" i="5"/>
  <c r="CM23" i="5"/>
  <c r="V43" i="5"/>
  <c r="V44" i="5" s="1"/>
  <c r="U43" i="5"/>
  <c r="AB16" i="10"/>
  <c r="BI69" i="5"/>
  <c r="BJ69" i="5" s="1"/>
  <c r="BK69" i="5" s="1"/>
  <c r="BL69" i="5" s="1"/>
  <c r="BM69" i="5" s="1"/>
  <c r="BN69" i="5" s="1"/>
  <c r="BO69" i="5" s="1"/>
  <c r="BP69" i="5" s="1"/>
  <c r="BQ69" i="5" s="1"/>
  <c r="BR69" i="5" s="1"/>
  <c r="BS69" i="5" s="1"/>
  <c r="BT69" i="5" s="1"/>
  <c r="BU69" i="5" s="1"/>
  <c r="BV69" i="5" s="1"/>
  <c r="BW69" i="5" s="1"/>
  <c r="BX69" i="5" s="1"/>
  <c r="BY69" i="5" s="1"/>
  <c r="BZ69" i="5" s="1"/>
  <c r="CA69" i="5" s="1"/>
  <c r="CB69" i="5" s="1"/>
  <c r="CC69" i="5" s="1"/>
  <c r="T17" i="9"/>
  <c r="AB36" i="10"/>
  <c r="AC127" i="5"/>
  <c r="AC182" i="5" s="1"/>
  <c r="AA27" i="5"/>
  <c r="AD125" i="5"/>
  <c r="AC135" i="5"/>
  <c r="AM16" i="5"/>
  <c r="Y127" i="5"/>
  <c r="Y182" i="5" s="1"/>
  <c r="U148" i="5"/>
  <c r="U192" i="5" s="1"/>
  <c r="Y135" i="5"/>
  <c r="Q186" i="5"/>
  <c r="Y191" i="5"/>
  <c r="AI186" i="5"/>
  <c r="AF186" i="5"/>
  <c r="AQ27" i="5"/>
  <c r="AF221" i="5"/>
  <c r="CM108" i="5"/>
  <c r="AM159" i="5"/>
  <c r="CQ159" i="5" s="1"/>
  <c r="S183" i="5"/>
  <c r="U183" i="5"/>
  <c r="CT115" i="5"/>
  <c r="AI68" i="5"/>
  <c r="AE27" i="5"/>
  <c r="AE37" i="5" s="1"/>
  <c r="AE41" i="5" s="1"/>
  <c r="BB116" i="5"/>
  <c r="CV116" i="5" s="1"/>
  <c r="O14" i="9"/>
  <c r="AH154" i="5" s="1"/>
  <c r="Q35" i="5"/>
  <c r="I18" i="9"/>
  <c r="AB27" i="5"/>
  <c r="AB35" i="5" s="1"/>
  <c r="CN18" i="5"/>
  <c r="AD23" i="5"/>
  <c r="AD19" i="5"/>
  <c r="CN19" i="5" s="1"/>
  <c r="AC23" i="5"/>
  <c r="AC19" i="5"/>
  <c r="U186" i="5"/>
  <c r="CQ8" i="5"/>
  <c r="S186" i="5"/>
  <c r="W44" i="5"/>
  <c r="CT97" i="5"/>
  <c r="AH35" i="5"/>
  <c r="AH37" i="5"/>
  <c r="AH41" i="5" s="1"/>
  <c r="N78" i="9"/>
  <c r="AG150" i="5"/>
  <c r="CO150" i="5" s="1"/>
  <c r="AG31" i="5"/>
  <c r="CO31" i="5" s="1"/>
  <c r="CO12" i="5"/>
  <c r="DH9" i="5" s="1"/>
  <c r="AG16" i="5"/>
  <c r="AJ18" i="5"/>
  <c r="AI19" i="5"/>
  <c r="AI23" i="5"/>
  <c r="AS18" i="5"/>
  <c r="AR23" i="5"/>
  <c r="AR19" i="5"/>
  <c r="AO61" i="5"/>
  <c r="AO68" i="5"/>
  <c r="CP12" i="5"/>
  <c r="AL19" i="5"/>
  <c r="AL23" i="5"/>
  <c r="AC186" i="5"/>
  <c r="AC163" i="5"/>
  <c r="AD163" i="5" s="1"/>
  <c r="CN163" i="5" s="1"/>
  <c r="CO134" i="5"/>
  <c r="L5" i="5"/>
  <c r="AQ31" i="5"/>
  <c r="AQ32" i="5" s="1"/>
  <c r="AQ150" i="5"/>
  <c r="AB18" i="10"/>
  <c r="AN161" i="5"/>
  <c r="AN104" i="5"/>
  <c r="V78" i="9"/>
  <c r="AO150" i="5"/>
  <c r="AO31" i="5"/>
  <c r="AO32" i="5" s="1"/>
  <c r="AC68" i="5"/>
  <c r="AC61" i="5"/>
  <c r="CR134" i="5"/>
  <c r="CN13" i="5"/>
  <c r="AO19" i="5"/>
  <c r="AO23" i="5"/>
  <c r="AP18" i="5"/>
  <c r="CO13" i="5"/>
  <c r="DH10" i="5" s="1"/>
  <c r="CP13" i="5"/>
  <c r="AJ159" i="5"/>
  <c r="CP159" i="5" s="1"/>
  <c r="CP8" i="5"/>
  <c r="AF191" i="5"/>
  <c r="CQ13" i="5"/>
  <c r="AM24" i="5"/>
  <c r="CS9" i="5"/>
  <c r="AS8" i="5"/>
  <c r="AS16" i="5"/>
  <c r="CQ12" i="5"/>
  <c r="AD32" i="5"/>
  <c r="CN30" i="5"/>
  <c r="AF32" i="5"/>
  <c r="AF61" i="5"/>
  <c r="AG61" i="5" s="1"/>
  <c r="AF68" i="5"/>
  <c r="AG68" i="5" s="1"/>
  <c r="AJ16" i="5"/>
  <c r="AF188" i="5"/>
  <c r="CQ134" i="5"/>
  <c r="Q78" i="9"/>
  <c r="AJ150" i="5"/>
  <c r="CP150" i="5" s="1"/>
  <c r="AJ31" i="5"/>
  <c r="AM18" i="5"/>
  <c r="CS151" i="5"/>
  <c r="W183" i="5"/>
  <c r="CS297" i="5"/>
  <c r="R186" i="5"/>
  <c r="Q5" i="5"/>
  <c r="S78" i="9"/>
  <c r="AL31" i="5"/>
  <c r="AL32" i="5" s="1"/>
  <c r="AL150" i="5"/>
  <c r="CR12" i="5"/>
  <c r="AD16" i="5"/>
  <c r="Z12" i="9"/>
  <c r="AR61" i="5"/>
  <c r="AR68" i="5"/>
  <c r="AG149" i="5"/>
  <c r="CO149" i="5" s="1"/>
  <c r="AG30" i="5"/>
  <c r="AL61" i="5"/>
  <c r="AL68" i="5"/>
  <c r="AI149" i="5"/>
  <c r="AI32" i="5"/>
  <c r="AF23" i="5"/>
  <c r="AG18" i="5"/>
  <c r="AF19" i="5"/>
  <c r="K2" i="10"/>
  <c r="H3" i="10"/>
  <c r="H4" i="10" s="1"/>
  <c r="CU13" i="5"/>
  <c r="AV24" i="5"/>
  <c r="CT13" i="5"/>
  <c r="AE153" i="5"/>
  <c r="AK27" i="5"/>
  <c r="X14" i="9"/>
  <c r="AS123" i="5"/>
  <c r="Y37" i="5"/>
  <c r="Y41" i="5" s="1"/>
  <c r="L14" i="9"/>
  <c r="AQ153" i="5"/>
  <c r="X47" i="9"/>
  <c r="Y40" i="9"/>
  <c r="R34" i="9"/>
  <c r="R35" i="9" s="1"/>
  <c r="S33" i="9"/>
  <c r="AF46" i="10"/>
  <c r="AG44" i="10"/>
  <c r="M3" i="10"/>
  <c r="M4" i="10" s="1"/>
  <c r="P2" i="10"/>
  <c r="AG47" i="9"/>
  <c r="AH40" i="9"/>
  <c r="P54" i="9"/>
  <c r="R52" i="9"/>
  <c r="Q52" i="9"/>
  <c r="T38" i="9"/>
  <c r="S42" i="9"/>
  <c r="J48" i="9"/>
  <c r="K41" i="9"/>
  <c r="J42" i="9"/>
  <c r="R53" i="9"/>
  <c r="Q53" i="9"/>
  <c r="O54" i="9"/>
  <c r="AF45" i="10"/>
  <c r="AF64" i="9"/>
  <c r="AO162" i="5"/>
  <c r="AO163" i="5" s="1"/>
  <c r="AT26" i="10"/>
  <c r="Y39" i="9"/>
  <c r="X41" i="9"/>
  <c r="X46" i="9"/>
  <c r="AA68" i="9"/>
  <c r="AB68" i="9" s="1"/>
  <c r="AD68" i="9" s="1"/>
  <c r="AE68" i="9" s="1"/>
  <c r="AG68" i="9" s="1"/>
  <c r="AH68" i="9" s="1"/>
  <c r="AJ68" i="9" s="1"/>
  <c r="AK68" i="9" s="1"/>
  <c r="AM68" i="9" s="1"/>
  <c r="AN68" i="9" s="1"/>
  <c r="AP68" i="9" s="1"/>
  <c r="AQ68" i="9" s="1"/>
  <c r="AS68" i="9" s="1"/>
  <c r="AT68" i="9" s="1"/>
  <c r="AV68" i="9" s="1"/>
  <c r="AW68" i="9" s="1"/>
  <c r="AY68" i="9" s="1"/>
  <c r="AZ68" i="9" s="1"/>
  <c r="BB68" i="9" s="1"/>
  <c r="BC68" i="9" s="1"/>
  <c r="BE68" i="9" s="1"/>
  <c r="BF68" i="9" s="1"/>
  <c r="BH68" i="9" s="1"/>
  <c r="BI68" i="9" s="1"/>
  <c r="Y70" i="9"/>
  <c r="Z70" i="9" s="1"/>
  <c r="BA13" i="5"/>
  <c r="AZ13" i="5"/>
  <c r="AD46" i="9"/>
  <c r="AD48" i="9"/>
  <c r="AE39" i="9"/>
  <c r="AG53" i="9"/>
  <c r="AH53" i="9" s="1"/>
  <c r="AF53" i="9"/>
  <c r="AD17" i="10"/>
  <c r="AC16" i="10"/>
  <c r="T70" i="9"/>
  <c r="AR40" i="10"/>
  <c r="AZ26" i="10"/>
  <c r="W70" i="9"/>
  <c r="AN24" i="10"/>
  <c r="AN40" i="10" s="1"/>
  <c r="X78" i="9"/>
  <c r="AQ35" i="10"/>
  <c r="AL35" i="10"/>
  <c r="AM35" i="10" s="1"/>
  <c r="V17" i="9"/>
  <c r="X17" i="9" s="1"/>
  <c r="Z32" i="9"/>
  <c r="AA32" i="9" s="1"/>
  <c r="AL41" i="10"/>
  <c r="AL42" i="10" s="1"/>
  <c r="AL43" i="10" s="1"/>
  <c r="AM41" i="10"/>
  <c r="AM42" i="10" s="1"/>
  <c r="AM43" i="10" s="1"/>
  <c r="AV113" i="5"/>
  <c r="AG185" i="5"/>
  <c r="M37" i="5"/>
  <c r="M41" i="5" s="1"/>
  <c r="M35" i="5"/>
  <c r="R154" i="5"/>
  <c r="R69" i="5"/>
  <c r="X182" i="5"/>
  <c r="CL127" i="5"/>
  <c r="Z187" i="5"/>
  <c r="Z135" i="5"/>
  <c r="Z127" i="5"/>
  <c r="Z182" i="5" s="1"/>
  <c r="Z191" i="5"/>
  <c r="X278" i="5"/>
  <c r="CL210" i="5"/>
  <c r="CL278" i="5" s="1"/>
  <c r="X199" i="5"/>
  <c r="CL199" i="5" s="1"/>
  <c r="X204" i="5"/>
  <c r="CL204" i="5" s="1"/>
  <c r="P3" i="5"/>
  <c r="P4" i="5" s="1"/>
  <c r="S2" i="5"/>
  <c r="L192" i="5"/>
  <c r="L155" i="5"/>
  <c r="N37" i="5"/>
  <c r="N41" i="5" s="1"/>
  <c r="N35" i="5"/>
  <c r="X153" i="5"/>
  <c r="CL153" i="5" s="1"/>
  <c r="CL61" i="5"/>
  <c r="AI188" i="5"/>
  <c r="X186" i="5"/>
  <c r="CL186" i="5" s="1"/>
  <c r="T44" i="5"/>
  <c r="CV106" i="5"/>
  <c r="P183" i="5"/>
  <c r="BB97" i="5"/>
  <c r="CU97" i="5"/>
  <c r="V186" i="5"/>
  <c r="Y186" i="5"/>
  <c r="N182" i="5"/>
  <c r="N183" i="5" s="1"/>
  <c r="T183" i="5"/>
  <c r="CU114" i="5"/>
  <c r="BB114" i="5"/>
  <c r="U154" i="5"/>
  <c r="U69" i="5"/>
  <c r="O148" i="5"/>
  <c r="O74" i="5"/>
  <c r="O58" i="5"/>
  <c r="O52" i="5"/>
  <c r="P148" i="5"/>
  <c r="P58" i="5"/>
  <c r="P74" i="5"/>
  <c r="AA153" i="5"/>
  <c r="CM153" i="5" s="1"/>
  <c r="CM61" i="5"/>
  <c r="W186" i="5"/>
  <c r="Z186" i="5"/>
  <c r="CN185" i="5"/>
  <c r="AD186" i="5"/>
  <c r="CN186" i="5" s="1"/>
  <c r="M221" i="5"/>
  <c r="O218" i="5"/>
  <c r="O221" i="5" s="1"/>
  <c r="AT197" i="5"/>
  <c r="S148" i="5"/>
  <c r="S74" i="5"/>
  <c r="S58" i="5"/>
  <c r="S52" i="5"/>
  <c r="V148" i="5"/>
  <c r="V74" i="5"/>
  <c r="V52" i="5"/>
  <c r="V58" i="5"/>
  <c r="T148" i="5"/>
  <c r="T74" i="5"/>
  <c r="T58" i="5"/>
  <c r="CR125" i="5"/>
  <c r="O182" i="5"/>
  <c r="O183" i="5" s="1"/>
  <c r="CQ125" i="5"/>
  <c r="DI16" i="5"/>
  <c r="DI15" i="5"/>
  <c r="AA154" i="5"/>
  <c r="CM154" i="5" s="1"/>
  <c r="AA69" i="5"/>
  <c r="CM68" i="5"/>
  <c r="BH14" i="9" s="1"/>
  <c r="CA154" i="5" s="1"/>
  <c r="AG110" i="5"/>
  <c r="CO108" i="5"/>
  <c r="AA125" i="5"/>
  <c r="CM123" i="5"/>
  <c r="R51" i="5"/>
  <c r="R43" i="5"/>
  <c r="AA289" i="5"/>
  <c r="M5" i="5"/>
  <c r="CG5" i="5"/>
  <c r="CH2" i="5"/>
  <c r="N204" i="5"/>
  <c r="N199" i="5"/>
  <c r="AF127" i="5"/>
  <c r="AF182" i="5" s="1"/>
  <c r="P186" i="5"/>
  <c r="CM110" i="5"/>
  <c r="AA187" i="5"/>
  <c r="V183" i="5"/>
  <c r="CN110" i="5"/>
  <c r="AD187" i="5"/>
  <c r="T186" i="5"/>
  <c r="O154" i="5"/>
  <c r="O69" i="5"/>
  <c r="CU115" i="5"/>
  <c r="BB115" i="5"/>
  <c r="CO123" i="5"/>
  <c r="AS219" i="5"/>
  <c r="AR218" i="5"/>
  <c r="P218" i="5"/>
  <c r="O204" i="5"/>
  <c r="O199" i="5"/>
  <c r="CW217" i="5"/>
  <c r="BF217" i="5"/>
  <c r="BG217" i="5" s="1"/>
  <c r="BH217" i="5" s="1"/>
  <c r="CO116" i="5"/>
  <c r="AG118" i="5"/>
  <c r="CO118" i="5" s="1"/>
  <c r="AY117" i="5"/>
  <c r="CT117" i="5"/>
  <c r="CT207" i="5"/>
  <c r="AV197" i="5"/>
  <c r="CT197" i="5" s="1"/>
  <c r="R2" i="5"/>
  <c r="O3" i="5"/>
  <c r="O4" i="5" s="1"/>
  <c r="CP125" i="5"/>
  <c r="W2" i="5"/>
  <c r="T3" i="5"/>
  <c r="T4" i="5" s="1"/>
  <c r="X154" i="5"/>
  <c r="CL154" i="5" s="1"/>
  <c r="X69" i="5"/>
  <c r="CL68" i="5"/>
  <c r="BG14" i="9" s="1"/>
  <c r="AF135" i="5"/>
  <c r="CQ108" i="5"/>
  <c r="AM202" i="5"/>
  <c r="CQ202" i="5" s="1"/>
  <c r="CP204" i="5"/>
  <c r="AK202" i="5"/>
  <c r="AK204" i="5" s="1"/>
  <c r="AL202" i="5" s="1"/>
  <c r="AL204" i="5" s="1"/>
  <c r="AM204" i="5" s="1"/>
  <c r="O186" i="5"/>
  <c r="Z23" i="10" l="1"/>
  <c r="Z28" i="10" s="1"/>
  <c r="AB23" i="10"/>
  <c r="AA35" i="5"/>
  <c r="AN162" i="5"/>
  <c r="AP162" i="5" s="1"/>
  <c r="CR162" i="5" s="1"/>
  <c r="AK162" i="5"/>
  <c r="AK163" i="5" s="1"/>
  <c r="AM163" i="5" s="1"/>
  <c r="CQ163" i="5" s="1"/>
  <c r="R178" i="5"/>
  <c r="CM27" i="5"/>
  <c r="S176" i="5"/>
  <c r="S177" i="5" s="1"/>
  <c r="T176" i="5" s="1"/>
  <c r="T177" i="5" s="1"/>
  <c r="T178" i="5" s="1"/>
  <c r="U62" i="5"/>
  <c r="U70" i="5" s="1"/>
  <c r="U90" i="5" s="1"/>
  <c r="U84" i="5"/>
  <c r="U142" i="5" s="1"/>
  <c r="P178" i="5"/>
  <c r="O2" i="10"/>
  <c r="O3" i="10" s="1"/>
  <c r="O4" i="10" s="1"/>
  <c r="W52" i="5"/>
  <c r="AN35" i="5"/>
  <c r="AN37" i="5"/>
  <c r="AN41" i="5" s="1"/>
  <c r="AI153" i="5"/>
  <c r="AJ61" i="5"/>
  <c r="W58" i="5"/>
  <c r="W140" i="5" s="1"/>
  <c r="CL27" i="5"/>
  <c r="L62" i="5"/>
  <c r="L70" i="5" s="1"/>
  <c r="L72" i="5" s="1"/>
  <c r="W74" i="5"/>
  <c r="W75" i="5" s="1"/>
  <c r="X35" i="5"/>
  <c r="X37" i="5"/>
  <c r="CL37" i="5" s="1"/>
  <c r="O75" i="5"/>
  <c r="O18" i="9"/>
  <c r="AK23" i="10"/>
  <c r="AA37" i="5"/>
  <c r="CM37" i="5" s="1"/>
  <c r="U140" i="5"/>
  <c r="AJ35" i="10"/>
  <c r="AJ34" i="10" s="1"/>
  <c r="AJ36" i="10" s="1"/>
  <c r="AK36" i="10" s="1"/>
  <c r="L76" i="5"/>
  <c r="L84" i="5"/>
  <c r="L142" i="5" s="1"/>
  <c r="AC183" i="5"/>
  <c r="U155" i="5"/>
  <c r="T42" i="9"/>
  <c r="AZ117" i="5"/>
  <c r="Q148" i="5"/>
  <c r="Q192" i="5" s="1"/>
  <c r="Q58" i="5"/>
  <c r="Q62" i="5" s="1"/>
  <c r="T52" i="5"/>
  <c r="CN125" i="5"/>
  <c r="AD191" i="5"/>
  <c r="CN191" i="5" s="1"/>
  <c r="AD127" i="5"/>
  <c r="AD182" i="5" s="1"/>
  <c r="AD135" i="5"/>
  <c r="AQ37" i="5"/>
  <c r="Z35" i="5"/>
  <c r="AV301" i="5"/>
  <c r="AI23" i="10"/>
  <c r="AI28" i="10" s="1"/>
  <c r="AJ23" i="10" s="1"/>
  <c r="AK28" i="10" s="1"/>
  <c r="AN23" i="10" s="1"/>
  <c r="Y183" i="5"/>
  <c r="AB183" i="5"/>
  <c r="O22" i="9"/>
  <c r="CQ18" i="5"/>
  <c r="AA127" i="5"/>
  <c r="AA182" i="5" s="1"/>
  <c r="P14" i="9"/>
  <c r="AI154" i="5" s="1"/>
  <c r="AJ154" i="5" s="1"/>
  <c r="CP154" i="5" s="1"/>
  <c r="AJ68" i="5"/>
  <c r="AM23" i="5"/>
  <c r="AM27" i="5" s="1"/>
  <c r="AH43" i="5"/>
  <c r="AK35" i="5"/>
  <c r="AC164" i="5"/>
  <c r="AD164" i="5" s="1"/>
  <c r="AB37" i="5"/>
  <c r="AB41" i="5" s="1"/>
  <c r="AT24" i="10"/>
  <c r="AT40" i="10" s="1"/>
  <c r="X18" i="9"/>
  <c r="AC27" i="5"/>
  <c r="AK37" i="5"/>
  <c r="AK41" i="5" s="1"/>
  <c r="CN23" i="5"/>
  <c r="AD27" i="5"/>
  <c r="AM19" i="5"/>
  <c r="CQ19" i="5" s="1"/>
  <c r="CQ4" i="5"/>
  <c r="AH51" i="5"/>
  <c r="T75" i="5"/>
  <c r="V75" i="5"/>
  <c r="AF183" i="5"/>
  <c r="AG125" i="5"/>
  <c r="AM68" i="5"/>
  <c r="S14" i="9"/>
  <c r="CO30" i="5"/>
  <c r="AG32" i="5"/>
  <c r="CN32" i="5"/>
  <c r="AO27" i="5"/>
  <c r="AD68" i="5"/>
  <c r="J14" i="9"/>
  <c r="AP161" i="5"/>
  <c r="AD188" i="5"/>
  <c r="AA135" i="5"/>
  <c r="Z78" i="9"/>
  <c r="AS150" i="5"/>
  <c r="CS150" i="5" s="1"/>
  <c r="AS31" i="5"/>
  <c r="T78" i="9"/>
  <c r="AM31" i="5"/>
  <c r="AM150" i="5"/>
  <c r="CQ150" i="5" s="1"/>
  <c r="N2" i="10"/>
  <c r="K3" i="10"/>
  <c r="K4" i="10" s="1"/>
  <c r="AF153" i="5"/>
  <c r="AP68" i="5"/>
  <c r="V14" i="9"/>
  <c r="V18" i="9" s="1"/>
  <c r="AR27" i="5"/>
  <c r="AI27" i="5"/>
  <c r="AA188" i="5"/>
  <c r="Y78" i="9"/>
  <c r="AR150" i="5"/>
  <c r="AR31" i="5"/>
  <c r="AR32" i="5" s="1"/>
  <c r="CO18" i="5"/>
  <c r="AG23" i="5"/>
  <c r="AG19" i="5"/>
  <c r="CO19" i="5" s="1"/>
  <c r="AL153" i="5"/>
  <c r="AM61" i="5"/>
  <c r="AS68" i="5"/>
  <c r="Y14" i="9"/>
  <c r="DH12" i="5"/>
  <c r="AQ35" i="5"/>
  <c r="AL27" i="5"/>
  <c r="AO153" i="5"/>
  <c r="AP61" i="5"/>
  <c r="AS19" i="5"/>
  <c r="CS19" i="5" s="1"/>
  <c r="AS23" i="5"/>
  <c r="CS18" i="5"/>
  <c r="Z183" i="5"/>
  <c r="W78" i="9"/>
  <c r="AP31" i="5"/>
  <c r="AP150" i="5"/>
  <c r="CR150" i="5" s="1"/>
  <c r="AF27" i="5"/>
  <c r="AR153" i="5"/>
  <c r="AS61" i="5"/>
  <c r="CP31" i="5"/>
  <c r="AJ32" i="5"/>
  <c r="M14" i="9"/>
  <c r="CS8" i="5"/>
  <c r="CR18" i="5"/>
  <c r="AP23" i="5"/>
  <c r="AP19" i="5"/>
  <c r="CR19" i="5" s="1"/>
  <c r="AC153" i="5"/>
  <c r="AD61" i="5"/>
  <c r="U63" i="9"/>
  <c r="U64" i="9" s="1"/>
  <c r="AN102" i="5"/>
  <c r="AJ19" i="5"/>
  <c r="CP19" i="5" s="1"/>
  <c r="CP18" i="5"/>
  <c r="AJ23" i="5"/>
  <c r="BB13" i="10"/>
  <c r="DF13" i="5"/>
  <c r="AY96" i="5"/>
  <c r="N14" i="9"/>
  <c r="AS125" i="5"/>
  <c r="CS123" i="5"/>
  <c r="Y51" i="5"/>
  <c r="Y43" i="5"/>
  <c r="AE154" i="5"/>
  <c r="L22" i="9"/>
  <c r="AV122" i="5"/>
  <c r="Z51" i="5"/>
  <c r="Z43" i="5"/>
  <c r="AE51" i="5"/>
  <c r="AE43" i="5"/>
  <c r="AQ154" i="5"/>
  <c r="X22" i="9"/>
  <c r="AR41" i="10"/>
  <c r="AR42" i="10" s="1"/>
  <c r="AR43" i="10" s="1"/>
  <c r="AA23" i="10"/>
  <c r="J49" i="9"/>
  <c r="J56" i="9" s="1"/>
  <c r="K48" i="9"/>
  <c r="AG46" i="10"/>
  <c r="AH46" i="10" s="1"/>
  <c r="AI44" i="10"/>
  <c r="AG45" i="10"/>
  <c r="AS40" i="10"/>
  <c r="AS41" i="10" s="1"/>
  <c r="AS42" i="10" s="1"/>
  <c r="AS43" i="10" s="1"/>
  <c r="AJ53" i="9"/>
  <c r="AK53" i="9" s="1"/>
  <c r="AI53" i="9"/>
  <c r="AN33" i="10"/>
  <c r="AL34" i="10"/>
  <c r="AL36" i="10" s="1"/>
  <c r="Y41" i="9"/>
  <c r="Y46" i="9"/>
  <c r="Z39" i="9"/>
  <c r="Z46" i="9" s="1"/>
  <c r="AH47" i="9"/>
  <c r="AJ40" i="9"/>
  <c r="AI40" i="9"/>
  <c r="AI47" i="9" s="1"/>
  <c r="X48" i="9"/>
  <c r="X42" i="9"/>
  <c r="AB32" i="9"/>
  <c r="Y17" i="9"/>
  <c r="AA17" i="9" s="1"/>
  <c r="AO35" i="10"/>
  <c r="AT35" i="10"/>
  <c r="AC18" i="10"/>
  <c r="AE41" i="9"/>
  <c r="AF39" i="9"/>
  <c r="AE46" i="9"/>
  <c r="AM34" i="10"/>
  <c r="AM36" i="10" s="1"/>
  <c r="AA13" i="9"/>
  <c r="K42" i="9"/>
  <c r="Y47" i="9"/>
  <c r="Z40" i="9"/>
  <c r="Z47" i="9" s="1"/>
  <c r="W17" i="9"/>
  <c r="AE17" i="10"/>
  <c r="AF17" i="10" s="1"/>
  <c r="AG17" i="10" s="1"/>
  <c r="AH17" i="10" s="1"/>
  <c r="AI17" i="10" s="1"/>
  <c r="AJ17" i="10" s="1"/>
  <c r="AK17" i="10" s="1"/>
  <c r="AD16" i="10"/>
  <c r="AD18" i="10" s="1"/>
  <c r="Q54" i="9"/>
  <c r="S52" i="9"/>
  <c r="R54" i="9"/>
  <c r="S2" i="10"/>
  <c r="P3" i="10"/>
  <c r="P4" i="10" s="1"/>
  <c r="S34" i="9"/>
  <c r="U33" i="9"/>
  <c r="T33" i="9"/>
  <c r="CQ204" i="5"/>
  <c r="AP202" i="5"/>
  <c r="CR202" i="5" s="1"/>
  <c r="AN202" i="5"/>
  <c r="AN204" i="5" s="1"/>
  <c r="AO202" i="5" s="1"/>
  <c r="AO204" i="5" s="1"/>
  <c r="AP204" i="5" s="1"/>
  <c r="P221" i="5"/>
  <c r="CH5" i="5"/>
  <c r="CI2" i="5"/>
  <c r="CO110" i="5"/>
  <c r="AG187" i="5"/>
  <c r="W192" i="5"/>
  <c r="W155" i="5"/>
  <c r="U72" i="5"/>
  <c r="Q183" i="5"/>
  <c r="U178" i="5"/>
  <c r="X176" i="5"/>
  <c r="V176" i="5"/>
  <c r="V177" i="5" s="1"/>
  <c r="BI217" i="5"/>
  <c r="BJ217" i="5" s="1"/>
  <c r="BK217" i="5" s="1"/>
  <c r="CX217" i="5"/>
  <c r="R44" i="5"/>
  <c r="U44" i="5"/>
  <c r="T192" i="5"/>
  <c r="T155" i="5"/>
  <c r="V192" i="5"/>
  <c r="V155" i="5"/>
  <c r="S140" i="5"/>
  <c r="S76" i="5"/>
  <c r="S84" i="5"/>
  <c r="S62" i="5"/>
  <c r="S59" i="5"/>
  <c r="O140" i="5"/>
  <c r="O76" i="5"/>
  <c r="O84" i="5"/>
  <c r="O62" i="5"/>
  <c r="O59" i="5"/>
  <c r="CW106" i="5"/>
  <c r="N51" i="5"/>
  <c r="N43" i="5"/>
  <c r="Q44" i="5" s="1"/>
  <c r="P5" i="5"/>
  <c r="X183" i="5"/>
  <c r="CL183" i="5" s="1"/>
  <c r="CL182" i="5"/>
  <c r="AG186" i="5"/>
  <c r="CO186" i="5" s="1"/>
  <c r="CO185" i="5"/>
  <c r="CW116" i="5"/>
  <c r="AR221" i="5"/>
  <c r="AR211" i="5"/>
  <c r="Y21" i="9"/>
  <c r="CO68" i="5"/>
  <c r="BJ14" i="9" s="1"/>
  <c r="T5" i="5"/>
  <c r="O5" i="5"/>
  <c r="AT219" i="5"/>
  <c r="CS219" i="5"/>
  <c r="R148" i="5"/>
  <c r="R74" i="5"/>
  <c r="R52" i="5"/>
  <c r="R58" i="5"/>
  <c r="U52" i="5"/>
  <c r="AA191" i="5"/>
  <c r="CM191" i="5" s="1"/>
  <c r="CM125" i="5"/>
  <c r="V140" i="5"/>
  <c r="V84" i="5"/>
  <c r="V76" i="5"/>
  <c r="V59" i="5"/>
  <c r="V62" i="5"/>
  <c r="S75" i="5"/>
  <c r="AT278" i="5"/>
  <c r="P140" i="5"/>
  <c r="P84" i="5"/>
  <c r="P76" i="5"/>
  <c r="P62" i="5"/>
  <c r="CV114" i="5"/>
  <c r="AV118" i="5"/>
  <c r="CT118" i="5" s="1"/>
  <c r="CT113" i="5"/>
  <c r="CU117" i="5"/>
  <c r="BB117" i="5"/>
  <c r="Z2" i="5"/>
  <c r="W3" i="5"/>
  <c r="W4" i="5" s="1"/>
  <c r="CV115" i="5"/>
  <c r="R3" i="5"/>
  <c r="R4" i="5" s="1"/>
  <c r="U2" i="5"/>
  <c r="AI183" i="5"/>
  <c r="T140" i="5"/>
  <c r="T84" i="5"/>
  <c r="T62" i="5"/>
  <c r="T76" i="5"/>
  <c r="S192" i="5"/>
  <c r="S155" i="5"/>
  <c r="AG153" i="5"/>
  <c r="CO153" i="5" s="1"/>
  <c r="CO61" i="5"/>
  <c r="P192" i="5"/>
  <c r="P155" i="5"/>
  <c r="O192" i="5"/>
  <c r="O155" i="5"/>
  <c r="CV97" i="5"/>
  <c r="R183" i="5"/>
  <c r="V2" i="5"/>
  <c r="S3" i="5"/>
  <c r="S4" i="5" s="1"/>
  <c r="AC188" i="5"/>
  <c r="M51" i="5"/>
  <c r="M43" i="5"/>
  <c r="P44" i="5" s="1"/>
  <c r="AK52" i="5" l="1"/>
  <c r="R2" i="10"/>
  <c r="U2" i="10" s="1"/>
  <c r="AC35" i="5"/>
  <c r="AD35" i="5" s="1"/>
  <c r="AE35" i="5" s="1"/>
  <c r="AF35" i="5" s="1"/>
  <c r="AG35" i="5" s="1"/>
  <c r="AM162" i="5"/>
  <c r="AN163" i="5"/>
  <c r="AP163" i="5" s="1"/>
  <c r="CR163" i="5" s="1"/>
  <c r="L90" i="5"/>
  <c r="L91" i="5" s="1"/>
  <c r="S178" i="5"/>
  <c r="AJ153" i="5"/>
  <c r="CP153" i="5" s="1"/>
  <c r="AN43" i="5"/>
  <c r="AN51" i="5"/>
  <c r="AN140" i="5" s="1"/>
  <c r="W62" i="5"/>
  <c r="W70" i="5" s="1"/>
  <c r="W84" i="5"/>
  <c r="W142" i="5" s="1"/>
  <c r="W76" i="5"/>
  <c r="W77" i="5" s="1"/>
  <c r="W59" i="5"/>
  <c r="CP61" i="5"/>
  <c r="AA41" i="5"/>
  <c r="AA43" i="5" s="1"/>
  <c r="O77" i="5"/>
  <c r="Q76" i="5"/>
  <c r="T77" i="5" s="1"/>
  <c r="X41" i="5"/>
  <c r="Q84" i="5"/>
  <c r="Q142" i="5" s="1"/>
  <c r="T59" i="5"/>
  <c r="Q140" i="5"/>
  <c r="AG135" i="5"/>
  <c r="L86" i="5"/>
  <c r="O87" i="5" s="1"/>
  <c r="Q155" i="5"/>
  <c r="Q14" i="9"/>
  <c r="CP68" i="5"/>
  <c r="CN127" i="5"/>
  <c r="AY301" i="5"/>
  <c r="AL23" i="10"/>
  <c r="AM23" i="10" s="1"/>
  <c r="AN28" i="10" s="1"/>
  <c r="AO23" i="10" s="1"/>
  <c r="AP23" i="10" s="1"/>
  <c r="AP28" i="10" s="1"/>
  <c r="AQ28" i="10" s="1"/>
  <c r="BE301" i="5" s="1"/>
  <c r="CO125" i="5"/>
  <c r="AB43" i="5"/>
  <c r="AE44" i="5" s="1"/>
  <c r="AB51" i="5"/>
  <c r="AE52" i="5" s="1"/>
  <c r="CM127" i="5"/>
  <c r="AD37" i="5"/>
  <c r="AD41" i="5" s="1"/>
  <c r="AL17" i="10"/>
  <c r="AM17" i="10" s="1"/>
  <c r="AN17" i="10" s="1"/>
  <c r="AG191" i="5"/>
  <c r="CO191" i="5" s="1"/>
  <c r="CQ23" i="5"/>
  <c r="AK43" i="5"/>
  <c r="V77" i="5"/>
  <c r="AG127" i="5"/>
  <c r="CO127" i="5" s="1"/>
  <c r="P22" i="9"/>
  <c r="P24" i="9" s="1"/>
  <c r="CY217" i="5"/>
  <c r="BL217" i="5"/>
  <c r="BM217" i="5" s="1"/>
  <c r="BN217" i="5" s="1"/>
  <c r="CN27" i="5"/>
  <c r="BB13" i="5"/>
  <c r="AN31" i="10"/>
  <c r="AH52" i="5"/>
  <c r="AH74" i="5"/>
  <c r="AK50" i="5"/>
  <c r="AK57" i="5" s="1"/>
  <c r="AK58" i="5" s="1"/>
  <c r="AH58" i="5"/>
  <c r="AH62" i="5" s="1"/>
  <c r="AH140" i="5"/>
  <c r="AK84" i="5"/>
  <c r="AK142" i="5" s="1"/>
  <c r="AC37" i="5"/>
  <c r="AC41" i="5" s="1"/>
  <c r="AR37" i="5"/>
  <c r="AR35" i="5"/>
  <c r="N3" i="10"/>
  <c r="N4" i="10" s="1"/>
  <c r="Q2" i="10"/>
  <c r="CS31" i="5"/>
  <c r="AS32" i="5"/>
  <c r="CN164" i="5"/>
  <c r="AL154" i="5"/>
  <c r="AM154" i="5" s="1"/>
  <c r="CQ154" i="5" s="1"/>
  <c r="S22" i="9"/>
  <c r="S18" i="9"/>
  <c r="CP23" i="5"/>
  <c r="AJ27" i="5"/>
  <c r="AN66" i="5"/>
  <c r="AN108" i="5"/>
  <c r="CP32" i="5"/>
  <c r="CS23" i="5"/>
  <c r="AS27" i="5"/>
  <c r="DI10" i="5"/>
  <c r="DI8" i="5"/>
  <c r="Z14" i="9"/>
  <c r="CS68" i="5"/>
  <c r="AO154" i="5"/>
  <c r="AP154" i="5" s="1"/>
  <c r="CR154" i="5" s="1"/>
  <c r="V22" i="9"/>
  <c r="CN68" i="5"/>
  <c r="BI14" i="9" s="1"/>
  <c r="K14" i="9"/>
  <c r="AO37" i="5"/>
  <c r="AO35" i="5"/>
  <c r="AP35" i="5" s="1"/>
  <c r="AD153" i="5"/>
  <c r="CN153" i="5" s="1"/>
  <c r="CN61" i="5"/>
  <c r="AP153" i="5"/>
  <c r="CR153" i="5" s="1"/>
  <c r="CR61" i="5"/>
  <c r="AR154" i="5"/>
  <c r="AS154" i="5" s="1"/>
  <c r="CS154" i="5" s="1"/>
  <c r="Y22" i="9"/>
  <c r="Z22" i="9" s="1"/>
  <c r="S5" i="5"/>
  <c r="R5" i="5"/>
  <c r="AG188" i="5"/>
  <c r="AE18" i="10"/>
  <c r="CR23" i="5"/>
  <c r="AP27" i="5"/>
  <c r="AI37" i="5"/>
  <c r="AI41" i="5" s="1"/>
  <c r="AI35" i="5"/>
  <c r="CQ31" i="5"/>
  <c r="AM32" i="5"/>
  <c r="AM37" i="5" s="1"/>
  <c r="DI9" i="5"/>
  <c r="CR161" i="5"/>
  <c r="CO32" i="5"/>
  <c r="CQ68" i="5"/>
  <c r="T14" i="9"/>
  <c r="AF154" i="5"/>
  <c r="AG154" i="5" s="1"/>
  <c r="CO154" i="5" s="1"/>
  <c r="M22" i="9"/>
  <c r="CS61" i="5"/>
  <c r="AS153" i="5"/>
  <c r="CS153" i="5" s="1"/>
  <c r="AF37" i="5"/>
  <c r="AF41" i="5" s="1"/>
  <c r="CR31" i="5"/>
  <c r="AP32" i="5"/>
  <c r="AL37" i="5"/>
  <c r="AL41" i="5" s="1"/>
  <c r="AL35" i="5"/>
  <c r="AM35" i="5" s="1"/>
  <c r="AM153" i="5"/>
  <c r="CQ153" i="5" s="1"/>
  <c r="CQ61" i="5"/>
  <c r="CO23" i="5"/>
  <c r="AG27" i="5"/>
  <c r="CR68" i="5"/>
  <c r="W14" i="9"/>
  <c r="AC154" i="5"/>
  <c r="AD154" i="5" s="1"/>
  <c r="CN154" i="5" s="1"/>
  <c r="J22" i="9"/>
  <c r="K22" i="9" s="1"/>
  <c r="J18" i="9"/>
  <c r="K18" i="9" s="1"/>
  <c r="AN36" i="10"/>
  <c r="AT161" i="5"/>
  <c r="AT104" i="5"/>
  <c r="CU96" i="5"/>
  <c r="CT122" i="5"/>
  <c r="Z44" i="5"/>
  <c r="AE140" i="5"/>
  <c r="AE143" i="5" s="1"/>
  <c r="AF139" i="5" s="1"/>
  <c r="AE74" i="5"/>
  <c r="AE58" i="5"/>
  <c r="Z52" i="5"/>
  <c r="Z58" i="5"/>
  <c r="Z148" i="5"/>
  <c r="Z74" i="5"/>
  <c r="Y148" i="5"/>
  <c r="Y74" i="5"/>
  <c r="Y58" i="5"/>
  <c r="Y52" i="5"/>
  <c r="CS125" i="5"/>
  <c r="Y44" i="5"/>
  <c r="AH44" i="5"/>
  <c r="U34" i="9"/>
  <c r="U35" i="9" s="1"/>
  <c r="V33" i="9"/>
  <c r="J58" i="9"/>
  <c r="J65" i="9"/>
  <c r="K56" i="9"/>
  <c r="K58" i="9" s="1"/>
  <c r="AC32" i="9"/>
  <c r="AJ44" i="10"/>
  <c r="AI46" i="10"/>
  <c r="AI45" i="10"/>
  <c r="T34" i="9"/>
  <c r="S35" i="9"/>
  <c r="T35" i="9" s="1"/>
  <c r="S54" i="9"/>
  <c r="T54" i="9" s="1"/>
  <c r="U52" i="9"/>
  <c r="T52" i="9"/>
  <c r="AF46" i="9"/>
  <c r="AE16" i="10"/>
  <c r="AR35" i="10"/>
  <c r="AW35" i="10"/>
  <c r="Z17" i="9"/>
  <c r="Y48" i="9"/>
  <c r="Z48" i="9" s="1"/>
  <c r="Z41" i="9"/>
  <c r="AM53" i="9"/>
  <c r="AN53" i="9" s="1"/>
  <c r="AL53" i="9"/>
  <c r="AU40" i="10"/>
  <c r="AV40" i="10"/>
  <c r="AX41" i="10" s="1"/>
  <c r="AX42" i="10" s="1"/>
  <c r="AX43" i="10" s="1"/>
  <c r="AF41" i="9"/>
  <c r="AE48" i="9"/>
  <c r="AF48" i="9" s="1"/>
  <c r="AP35" i="10"/>
  <c r="S3" i="10"/>
  <c r="S4" i="10" s="1"/>
  <c r="V2" i="10"/>
  <c r="AK40" i="9"/>
  <c r="AJ47" i="9"/>
  <c r="AN34" i="10"/>
  <c r="AN37" i="10"/>
  <c r="AN51" i="10"/>
  <c r="AH45" i="10"/>
  <c r="AC13" i="9" s="1"/>
  <c r="AV161" i="5" s="1"/>
  <c r="CT161" i="5" s="1"/>
  <c r="AB13" i="9"/>
  <c r="AU161" i="5" s="1"/>
  <c r="R22" i="9"/>
  <c r="R18" i="9"/>
  <c r="T142" i="5"/>
  <c r="P142" i="5"/>
  <c r="R192" i="5"/>
  <c r="R155" i="5"/>
  <c r="CX116" i="5"/>
  <c r="BM106" i="5"/>
  <c r="BN106" i="5" s="1"/>
  <c r="CX106" i="5"/>
  <c r="S77" i="5"/>
  <c r="CI5" i="5"/>
  <c r="CJ2" i="5"/>
  <c r="CN182" i="5"/>
  <c r="AD183" i="5"/>
  <c r="CN183" i="5" s="1"/>
  <c r="W5" i="5"/>
  <c r="CV117" i="5"/>
  <c r="CW114" i="5"/>
  <c r="V142" i="5"/>
  <c r="V86" i="5"/>
  <c r="V87" i="5" s="1"/>
  <c r="V218" i="5" s="1"/>
  <c r="V85" i="5"/>
  <c r="R140" i="5"/>
  <c r="R84" i="5"/>
  <c r="R59" i="5"/>
  <c r="R76" i="5"/>
  <c r="R62" i="5"/>
  <c r="U59" i="5"/>
  <c r="AU219" i="5"/>
  <c r="AV219" i="5" s="1"/>
  <c r="AT218" i="5"/>
  <c r="O63" i="5"/>
  <c r="O70" i="5"/>
  <c r="U3" i="5"/>
  <c r="U4" i="5" s="1"/>
  <c r="X2" i="5"/>
  <c r="Z3" i="5"/>
  <c r="Z4" i="5" s="1"/>
  <c r="AC2" i="5"/>
  <c r="P78" i="5"/>
  <c r="P89" i="5"/>
  <c r="P70" i="5"/>
  <c r="AT169" i="5"/>
  <c r="AT142" i="5"/>
  <c r="AT85" i="5"/>
  <c r="V78" i="5"/>
  <c r="V89" i="5"/>
  <c r="V63" i="5"/>
  <c r="V70" i="5"/>
  <c r="N148" i="5"/>
  <c r="N74" i="5"/>
  <c r="Q75" i="5" s="1"/>
  <c r="N58" i="5"/>
  <c r="Q52" i="5"/>
  <c r="O142" i="5"/>
  <c r="O85" i="5"/>
  <c r="S89" i="5"/>
  <c r="S78" i="5"/>
  <c r="S63" i="5"/>
  <c r="S70" i="5"/>
  <c r="W176" i="5"/>
  <c r="W177" i="5" s="1"/>
  <c r="W178" i="5" s="1"/>
  <c r="V178" i="5"/>
  <c r="AA183" i="5"/>
  <c r="CM183" i="5" s="1"/>
  <c r="CM182" i="5"/>
  <c r="M148" i="5"/>
  <c r="M58" i="5"/>
  <c r="M74" i="5"/>
  <c r="P75" i="5" s="1"/>
  <c r="P52" i="5"/>
  <c r="V3" i="5"/>
  <c r="V4" i="5" s="1"/>
  <c r="Y2" i="5"/>
  <c r="CW97" i="5"/>
  <c r="T78" i="5"/>
  <c r="T89" i="5"/>
  <c r="T63" i="5"/>
  <c r="T70" i="5"/>
  <c r="CW115" i="5"/>
  <c r="Q78" i="5"/>
  <c r="Q70" i="5"/>
  <c r="R75" i="5"/>
  <c r="U75" i="5"/>
  <c r="CQ27" i="5"/>
  <c r="AR277" i="5"/>
  <c r="AR281" i="5" s="1"/>
  <c r="AR276" i="5"/>
  <c r="AR212" i="5"/>
  <c r="AS211" i="5"/>
  <c r="S142" i="5"/>
  <c r="S85" i="5"/>
  <c r="X177" i="5"/>
  <c r="CL176" i="5"/>
  <c r="CR204" i="5"/>
  <c r="AQ202" i="5"/>
  <c r="AQ204" i="5" s="1"/>
  <c r="AR202" i="5" s="1"/>
  <c r="AR204" i="5" s="1"/>
  <c r="AS204" i="5" s="1"/>
  <c r="AS202" i="5"/>
  <c r="CS202" i="5" s="1"/>
  <c r="CB154" i="5" l="1"/>
  <c r="CC154" i="5" s="1"/>
  <c r="DE154" i="5" s="1"/>
  <c r="R3" i="10"/>
  <c r="R4" i="10" s="1"/>
  <c r="X43" i="5"/>
  <c r="CL43" i="5" s="1"/>
  <c r="AP164" i="5"/>
  <c r="T22" i="9"/>
  <c r="AN44" i="5"/>
  <c r="AN74" i="5"/>
  <c r="AN75" i="5" s="1"/>
  <c r="AN52" i="5"/>
  <c r="CM41" i="5"/>
  <c r="AN58" i="5"/>
  <c r="AN84" i="5" s="1"/>
  <c r="AN85" i="5" s="1"/>
  <c r="W89" i="5"/>
  <c r="X89" i="5" s="1"/>
  <c r="CL89" i="5" s="1"/>
  <c r="W85" i="5"/>
  <c r="CL41" i="5"/>
  <c r="W63" i="5"/>
  <c r="W78" i="5"/>
  <c r="X78" i="5" s="1"/>
  <c r="Q86" i="5"/>
  <c r="T87" i="5" s="1"/>
  <c r="T218" i="5" s="1"/>
  <c r="X51" i="5"/>
  <c r="X148" i="5" s="1"/>
  <c r="T85" i="5"/>
  <c r="Q89" i="5"/>
  <c r="R89" i="5" s="1"/>
  <c r="AA51" i="5"/>
  <c r="AA148" i="5" s="1"/>
  <c r="AH76" i="5"/>
  <c r="CN37" i="5"/>
  <c r="AK44" i="5"/>
  <c r="AQ23" i="10"/>
  <c r="BB301" i="5"/>
  <c r="AB52" i="5"/>
  <c r="AB74" i="5"/>
  <c r="AB75" i="5" s="1"/>
  <c r="AB58" i="5"/>
  <c r="AB148" i="5" s="1"/>
  <c r="AB44" i="5"/>
  <c r="AG182" i="5"/>
  <c r="AG183" i="5" s="1"/>
  <c r="CO183" i="5" s="1"/>
  <c r="AH148" i="5"/>
  <c r="AH192" i="5" s="1"/>
  <c r="AO17" i="10"/>
  <c r="AP17" i="10" s="1"/>
  <c r="AQ17" i="10" s="1"/>
  <c r="AU218" i="5"/>
  <c r="AU221" i="5" s="1"/>
  <c r="CD13" i="5"/>
  <c r="CZ106" i="5"/>
  <c r="BO106" i="5"/>
  <c r="BP106" i="5" s="1"/>
  <c r="BQ106" i="5" s="1"/>
  <c r="AU35" i="10"/>
  <c r="AV35" i="10" s="1"/>
  <c r="AZ35" i="10"/>
  <c r="Q22" i="9"/>
  <c r="CZ217" i="5"/>
  <c r="BO217" i="5"/>
  <c r="BP217" i="5" s="1"/>
  <c r="BQ217" i="5" s="1"/>
  <c r="AH59" i="5"/>
  <c r="CY116" i="5"/>
  <c r="BM116" i="5"/>
  <c r="BN116" i="5" s="1"/>
  <c r="CV13" i="5"/>
  <c r="CK13" i="5"/>
  <c r="AK169" i="5"/>
  <c r="AK291" i="5" s="1"/>
  <c r="AK86" i="5"/>
  <c r="AK297" i="5" s="1"/>
  <c r="AL218" i="5"/>
  <c r="AL221" i="5" s="1"/>
  <c r="AK85" i="5"/>
  <c r="AK75" i="5"/>
  <c r="CY106" i="5"/>
  <c r="AH75" i="5"/>
  <c r="AC51" i="5"/>
  <c r="AC43" i="5"/>
  <c r="CO27" i="5"/>
  <c r="AG37" i="5"/>
  <c r="AO41" i="5"/>
  <c r="AQ39" i="5"/>
  <c r="CS32" i="5"/>
  <c r="Z5" i="5"/>
  <c r="AL43" i="5"/>
  <c r="AL50" i="5"/>
  <c r="AL84" i="5"/>
  <c r="AF43" i="5"/>
  <c r="AF51" i="5"/>
  <c r="N22" i="9"/>
  <c r="M24" i="9"/>
  <c r="CQ162" i="5"/>
  <c r="AM164" i="5"/>
  <c r="CQ32" i="5"/>
  <c r="AI51" i="5"/>
  <c r="AI43" i="5"/>
  <c r="AU207" i="5"/>
  <c r="AU210" i="5" s="1"/>
  <c r="AJ35" i="5"/>
  <c r="AJ37" i="5"/>
  <c r="CP27" i="5"/>
  <c r="CR32" i="5"/>
  <c r="U3" i="10"/>
  <c r="U4" i="10" s="1"/>
  <c r="X2" i="10"/>
  <c r="AP37" i="5"/>
  <c r="CR27" i="5"/>
  <c r="CS27" i="5"/>
  <c r="AS37" i="5"/>
  <c r="AS35" i="5"/>
  <c r="U12" i="9"/>
  <c r="AP66" i="5"/>
  <c r="Q3" i="10"/>
  <c r="Q4" i="10" s="1"/>
  <c r="T2" i="10"/>
  <c r="Y24" i="9"/>
  <c r="BD13" i="5"/>
  <c r="AW24" i="10"/>
  <c r="AW40" i="10" s="1"/>
  <c r="AT102" i="5"/>
  <c r="AT107" i="5" s="1"/>
  <c r="AV107" i="5" s="1"/>
  <c r="AA63" i="9"/>
  <c r="AA64" i="9" s="1"/>
  <c r="AT291" i="5"/>
  <c r="Y62" i="5"/>
  <c r="Y59" i="5"/>
  <c r="Y84" i="5"/>
  <c r="Y140" i="5"/>
  <c r="Y76" i="5"/>
  <c r="Y77" i="5" s="1"/>
  <c r="Y75" i="5"/>
  <c r="Z75" i="5"/>
  <c r="AE76" i="5"/>
  <c r="AE62" i="5"/>
  <c r="AH63" i="5" s="1"/>
  <c r="AE82" i="5"/>
  <c r="AG82" i="5" s="1"/>
  <c r="CO82" i="5" s="1"/>
  <c r="AE148" i="5"/>
  <c r="Y192" i="5"/>
  <c r="Y155" i="5"/>
  <c r="Z192" i="5"/>
  <c r="Z155" i="5"/>
  <c r="Z84" i="5"/>
  <c r="Z59" i="5"/>
  <c r="Z76" i="5"/>
  <c r="Z77" i="5" s="1"/>
  <c r="Z140" i="5"/>
  <c r="Z62" i="5"/>
  <c r="AK47" i="9"/>
  <c r="AM40" i="9"/>
  <c r="AL40" i="9"/>
  <c r="AL47" i="9" s="1"/>
  <c r="AC17" i="9"/>
  <c r="AO53" i="9"/>
  <c r="AP53" i="9"/>
  <c r="AQ53" i="9" s="1"/>
  <c r="AE32" i="9"/>
  <c r="T18" i="9"/>
  <c r="AR23" i="10"/>
  <c r="AS23" i="10" s="1"/>
  <c r="AT28" i="10" s="1"/>
  <c r="AT23" i="10"/>
  <c r="V3" i="10"/>
  <c r="V4" i="10" s="1"/>
  <c r="Y2" i="10"/>
  <c r="AV41" i="10"/>
  <c r="AV42" i="10" s="1"/>
  <c r="AV43" i="10" s="1"/>
  <c r="AU41" i="10"/>
  <c r="AU42" i="10" s="1"/>
  <c r="AU43" i="10" s="1"/>
  <c r="U54" i="9"/>
  <c r="V52" i="9"/>
  <c r="AJ46" i="10"/>
  <c r="AK46" i="10" s="1"/>
  <c r="AL44" i="10"/>
  <c r="AJ45" i="10"/>
  <c r="AE17" i="9"/>
  <c r="AF17" i="9" s="1"/>
  <c r="AS35" i="10"/>
  <c r="AG41" i="9"/>
  <c r="AG48" i="9" s="1"/>
  <c r="AH39" i="9"/>
  <c r="AG46" i="9"/>
  <c r="AD13" i="9"/>
  <c r="AW161" i="5" s="1"/>
  <c r="X33" i="9"/>
  <c r="W33" i="9"/>
  <c r="V34" i="9"/>
  <c r="S79" i="5"/>
  <c r="U78" i="5"/>
  <c r="V79" i="5"/>
  <c r="M192" i="5"/>
  <c r="M155" i="5"/>
  <c r="U89" i="5"/>
  <c r="N192" i="5"/>
  <c r="N155" i="5"/>
  <c r="V90" i="5"/>
  <c r="V72" i="5"/>
  <c r="O90" i="5"/>
  <c r="O91" i="5" s="1"/>
  <c r="O72" i="5"/>
  <c r="R63" i="5"/>
  <c r="R70" i="5"/>
  <c r="U63" i="5"/>
  <c r="AS277" i="5"/>
  <c r="AS281" i="5" s="1"/>
  <c r="AS276" i="5"/>
  <c r="CS211" i="5"/>
  <c r="AS212" i="5"/>
  <c r="Y3" i="5"/>
  <c r="Y4" i="5" s="1"/>
  <c r="AB2" i="5"/>
  <c r="CX114" i="5"/>
  <c r="Y176" i="5"/>
  <c r="Y177" i="5" s="1"/>
  <c r="X178" i="5"/>
  <c r="CL177" i="5"/>
  <c r="AA176" i="5"/>
  <c r="AM41" i="5"/>
  <c r="CQ37" i="5"/>
  <c r="T79" i="5"/>
  <c r="S90" i="5"/>
  <c r="S72" i="5"/>
  <c r="CN41" i="5"/>
  <c r="AD43" i="5"/>
  <c r="AB21" i="9"/>
  <c r="R78" i="5"/>
  <c r="AC3" i="5"/>
  <c r="AC4" i="5" s="1"/>
  <c r="AF2" i="5"/>
  <c r="AH290" i="5"/>
  <c r="AH293" i="5" s="1"/>
  <c r="AH78" i="5"/>
  <c r="AH89" i="5"/>
  <c r="AH70" i="5"/>
  <c r="U5" i="5"/>
  <c r="AT221" i="5"/>
  <c r="AA21" i="9"/>
  <c r="R77" i="5"/>
  <c r="U77" i="5"/>
  <c r="V221" i="5"/>
  <c r="X218" i="5"/>
  <c r="CM43" i="5"/>
  <c r="M140" i="5"/>
  <c r="M84" i="5"/>
  <c r="M62" i="5"/>
  <c r="M76" i="5"/>
  <c r="P77" i="5" s="1"/>
  <c r="P59" i="5"/>
  <c r="R142" i="5"/>
  <c r="R85" i="5"/>
  <c r="U85" i="5"/>
  <c r="AV202" i="5"/>
  <c r="CT202" i="5" s="1"/>
  <c r="CS204" i="5"/>
  <c r="AT202" i="5"/>
  <c r="AT204" i="5" s="1"/>
  <c r="AU202" i="5" s="1"/>
  <c r="AU204" i="5" s="1"/>
  <c r="AV204" i="5" s="1"/>
  <c r="Q90" i="5"/>
  <c r="Q72" i="5"/>
  <c r="CX115" i="5"/>
  <c r="T72" i="5"/>
  <c r="T90" i="5"/>
  <c r="V5" i="5"/>
  <c r="N140" i="5"/>
  <c r="N84" i="5"/>
  <c r="N76" i="5"/>
  <c r="Q77" i="5" s="1"/>
  <c r="N62" i="5"/>
  <c r="Q59" i="5"/>
  <c r="P72" i="5"/>
  <c r="P90" i="5"/>
  <c r="AY113" i="5"/>
  <c r="X3" i="5"/>
  <c r="X4" i="5" s="1"/>
  <c r="AA2" i="5"/>
  <c r="AW219" i="5"/>
  <c r="AX219" i="5" s="1"/>
  <c r="AY219" i="5" s="1"/>
  <c r="CT219" i="5"/>
  <c r="CW117" i="5"/>
  <c r="CL2" i="5"/>
  <c r="CJ5" i="5"/>
  <c r="AK148" i="5"/>
  <c r="AK62" i="5"/>
  <c r="AK76" i="5"/>
  <c r="AK59" i="5"/>
  <c r="W90" i="5"/>
  <c r="W72" i="5"/>
  <c r="X44" i="5" l="1"/>
  <c r="CL44" i="5" s="1"/>
  <c r="CR164" i="5"/>
  <c r="AA44" i="5"/>
  <c r="CM44" i="5" s="1"/>
  <c r="BH301" i="5"/>
  <c r="X52" i="5"/>
  <c r="AN86" i="5"/>
  <c r="AN87" i="5" s="1"/>
  <c r="CO182" i="5"/>
  <c r="AN142" i="5"/>
  <c r="AN169" i="5"/>
  <c r="AN291" i="5" s="1"/>
  <c r="AO218" i="5"/>
  <c r="AO221" i="5" s="1"/>
  <c r="AQ85" i="5"/>
  <c r="AN148" i="5"/>
  <c r="AN192" i="5" s="1"/>
  <c r="CL51" i="5"/>
  <c r="X58" i="5"/>
  <c r="X84" i="5" s="1"/>
  <c r="X74" i="5"/>
  <c r="AN62" i="5"/>
  <c r="AA74" i="5"/>
  <c r="AN59" i="5"/>
  <c r="AN76" i="5"/>
  <c r="AN77" i="5" s="1"/>
  <c r="AA52" i="5"/>
  <c r="W79" i="5"/>
  <c r="AA58" i="5"/>
  <c r="AA62" i="5" s="1"/>
  <c r="CM51" i="5"/>
  <c r="AK77" i="5"/>
  <c r="AV218" i="5"/>
  <c r="CT218" i="5" s="1"/>
  <c r="AB62" i="5"/>
  <c r="AB140" i="5"/>
  <c r="AB76" i="5"/>
  <c r="AB77" i="5" s="1"/>
  <c r="AE59" i="5"/>
  <c r="AB84" i="5"/>
  <c r="AB142" i="5" s="1"/>
  <c r="AB59" i="5"/>
  <c r="AE75" i="5"/>
  <c r="AV210" i="5"/>
  <c r="AH155" i="5"/>
  <c r="AR17" i="10"/>
  <c r="AS17" i="10" s="1"/>
  <c r="AT17" i="10" s="1"/>
  <c r="BR217" i="5"/>
  <c r="BS217" i="5" s="1"/>
  <c r="BT217" i="5" s="1"/>
  <c r="DA217" i="5"/>
  <c r="BE13" i="5"/>
  <c r="BR106" i="5"/>
  <c r="BS106" i="5" s="1"/>
  <c r="BT106" i="5" s="1"/>
  <c r="DA106" i="5"/>
  <c r="AU199" i="5"/>
  <c r="AL208" i="5"/>
  <c r="AL198" i="5" s="1"/>
  <c r="AU278" i="5"/>
  <c r="AU84" i="5"/>
  <c r="AU142" i="5" s="1"/>
  <c r="AR53" i="9"/>
  <c r="AS53" i="9"/>
  <c r="AT53" i="9" s="1"/>
  <c r="CZ116" i="5"/>
  <c r="BO116" i="5"/>
  <c r="BP116" i="5" s="1"/>
  <c r="BQ116" i="5" s="1"/>
  <c r="AX35" i="10"/>
  <c r="AY35" i="10" s="1"/>
  <c r="BC35" i="10"/>
  <c r="AK87" i="5"/>
  <c r="CY115" i="5"/>
  <c r="BM115" i="5"/>
  <c r="BN115" i="5" s="1"/>
  <c r="CY114" i="5"/>
  <c r="BM114" i="5"/>
  <c r="BN114" i="5" s="1"/>
  <c r="AC44" i="5"/>
  <c r="AC52" i="5"/>
  <c r="AD51" i="5"/>
  <c r="AC58" i="5"/>
  <c r="AC74" i="5"/>
  <c r="W91" i="5"/>
  <c r="BB96" i="5"/>
  <c r="CS37" i="5"/>
  <c r="AO51" i="5"/>
  <c r="AO43" i="5"/>
  <c r="AO44" i="5" s="1"/>
  <c r="CR66" i="5"/>
  <c r="W12" i="9"/>
  <c r="CR37" i="5"/>
  <c r="AP41" i="5"/>
  <c r="AJ41" i="5"/>
  <c r="CP37" i="5"/>
  <c r="AL57" i="5"/>
  <c r="AL58" i="5" s="1"/>
  <c r="AM50" i="5"/>
  <c r="AG41" i="5"/>
  <c r="CO37" i="5"/>
  <c r="AI52" i="5"/>
  <c r="AJ51" i="5"/>
  <c r="AI140" i="5"/>
  <c r="AL52" i="5"/>
  <c r="AI58" i="5"/>
  <c r="AI74" i="5"/>
  <c r="W2" i="10"/>
  <c r="T3" i="10"/>
  <c r="T4" i="10" s="1"/>
  <c r="AN152" i="5"/>
  <c r="U18" i="9"/>
  <c r="W18" i="9" s="1"/>
  <c r="U22" i="9"/>
  <c r="W22" i="9" s="1"/>
  <c r="AI44" i="5"/>
  <c r="AF44" i="5"/>
  <c r="X5" i="5"/>
  <c r="T91" i="5"/>
  <c r="AC5" i="5"/>
  <c r="AC21" i="9"/>
  <c r="AH77" i="5"/>
  <c r="AA2" i="10"/>
  <c r="X3" i="10"/>
  <c r="X4" i="10" s="1"/>
  <c r="CQ164" i="5"/>
  <c r="AF52" i="5"/>
  <c r="AF58" i="5"/>
  <c r="AG51" i="5"/>
  <c r="AF74" i="5"/>
  <c r="AF140" i="5"/>
  <c r="AL142" i="5"/>
  <c r="AL169" i="5"/>
  <c r="AL291" i="5" s="1"/>
  <c r="AN218" i="5"/>
  <c r="AM84" i="5"/>
  <c r="AL44" i="5"/>
  <c r="AR39" i="5"/>
  <c r="AS39" i="5" s="1"/>
  <c r="AQ133" i="5"/>
  <c r="AQ41" i="5"/>
  <c r="AG17" i="9"/>
  <c r="AY103" i="5"/>
  <c r="AQ33" i="10"/>
  <c r="AO34" i="10"/>
  <c r="AO36" i="10" s="1"/>
  <c r="AP34" i="10"/>
  <c r="AP36" i="10" s="1"/>
  <c r="AY107" i="5"/>
  <c r="CT107" i="5"/>
  <c r="AT71" i="5"/>
  <c r="AV104" i="5"/>
  <c r="AB63" i="9"/>
  <c r="AE78" i="5"/>
  <c r="AH79" i="5" s="1"/>
  <c r="AE290" i="5"/>
  <c r="AE293" i="5" s="1"/>
  <c r="AE70" i="5"/>
  <c r="AE89" i="5"/>
  <c r="AY122" i="5"/>
  <c r="Y290" i="5"/>
  <c r="Y70" i="5"/>
  <c r="Y78" i="5"/>
  <c r="Y89" i="5"/>
  <c r="Y63" i="5"/>
  <c r="AE192" i="5"/>
  <c r="AE155" i="5"/>
  <c r="S21" i="9"/>
  <c r="S24" i="9" s="1"/>
  <c r="Z89" i="5"/>
  <c r="Z63" i="5"/>
  <c r="Z290" i="5"/>
  <c r="Z293" i="5" s="1"/>
  <c r="Z70" i="5"/>
  <c r="Z78" i="5"/>
  <c r="Z86" i="5"/>
  <c r="Z85" i="5"/>
  <c r="Z142" i="5"/>
  <c r="AB192" i="5"/>
  <c r="AB155" i="5"/>
  <c r="Y142" i="5"/>
  <c r="Y85" i="5"/>
  <c r="Y86" i="5"/>
  <c r="W34" i="9"/>
  <c r="V35" i="9"/>
  <c r="W35" i="9" s="1"/>
  <c r="AM44" i="10"/>
  <c r="AL46" i="10"/>
  <c r="AL45" i="10"/>
  <c r="Y3" i="10"/>
  <c r="Y4" i="10" s="1"/>
  <c r="AB2" i="10"/>
  <c r="AN40" i="9"/>
  <c r="AM47" i="9"/>
  <c r="Y33" i="9"/>
  <c r="X34" i="9"/>
  <c r="X35" i="9" s="1"/>
  <c r="AH46" i="9"/>
  <c r="AH41" i="9"/>
  <c r="AI39" i="9"/>
  <c r="AW23" i="10"/>
  <c r="AU23" i="10"/>
  <c r="AV23" i="10" s="1"/>
  <c r="AS302" i="5"/>
  <c r="AK45" i="10"/>
  <c r="AF13" i="9" s="1"/>
  <c r="AE13" i="9"/>
  <c r="AX161" i="5" s="1"/>
  <c r="AY161" i="5" s="1"/>
  <c r="W52" i="9"/>
  <c r="V54" i="9"/>
  <c r="W54" i="9" s="1"/>
  <c r="X52" i="9"/>
  <c r="AF32" i="9"/>
  <c r="AG32" i="9" s="1"/>
  <c r="AA192" i="5"/>
  <c r="AA155" i="5"/>
  <c r="CM155" i="5" s="1"/>
  <c r="CM148" i="5"/>
  <c r="AY202" i="5"/>
  <c r="CU202" i="5" s="1"/>
  <c r="CT204" i="5"/>
  <c r="AW202" i="5"/>
  <c r="AW204" i="5" s="1"/>
  <c r="AX202" i="5" s="1"/>
  <c r="AX204" i="5" s="1"/>
  <c r="AY204" i="5" s="1"/>
  <c r="M142" i="5"/>
  <c r="P85" i="5"/>
  <c r="AD44" i="5"/>
  <c r="CN44" i="5" s="1"/>
  <c r="CN43" i="5"/>
  <c r="T221" i="5"/>
  <c r="U218" i="5"/>
  <c r="U221" i="5" s="1"/>
  <c r="R90" i="5"/>
  <c r="R72" i="5"/>
  <c r="X79" i="5"/>
  <c r="CL79" i="5" s="1"/>
  <c r="CL78" i="5"/>
  <c r="U79" i="5"/>
  <c r="CX117" i="5"/>
  <c r="CU113" i="5"/>
  <c r="AY118" i="5"/>
  <c r="CU118" i="5" s="1"/>
  <c r="N78" i="5"/>
  <c r="Q79" i="5" s="1"/>
  <c r="N89" i="5"/>
  <c r="N70" i="5"/>
  <c r="Q63" i="5"/>
  <c r="AF3" i="5"/>
  <c r="AF4" i="5" s="1"/>
  <c r="AI2" i="5"/>
  <c r="Y178" i="5"/>
  <c r="Z176" i="5"/>
  <c r="Z177" i="5" s="1"/>
  <c r="Z178" i="5" s="1"/>
  <c r="Y5" i="5"/>
  <c r="AT277" i="5"/>
  <c r="AT281" i="5" s="1"/>
  <c r="AT276" i="5"/>
  <c r="AT212" i="5"/>
  <c r="AK290" i="5"/>
  <c r="AK293" i="5" s="1"/>
  <c r="AK78" i="5"/>
  <c r="AK89" i="5"/>
  <c r="AK63" i="5"/>
  <c r="AK70" i="5"/>
  <c r="AD2" i="5"/>
  <c r="AA3" i="5"/>
  <c r="AA4" i="5" s="1"/>
  <c r="CL218" i="5"/>
  <c r="X221" i="5"/>
  <c r="CL221" i="5" s="1"/>
  <c r="AM43" i="5"/>
  <c r="CQ41" i="5"/>
  <c r="CM176" i="5"/>
  <c r="AA177" i="5"/>
  <c r="H74" i="9" s="1"/>
  <c r="CT199" i="5"/>
  <c r="V91" i="5"/>
  <c r="CM2" i="5"/>
  <c r="CL5" i="5"/>
  <c r="AK192" i="5"/>
  <c r="AK155" i="5"/>
  <c r="CU219" i="5"/>
  <c r="AZ219" i="5"/>
  <c r="BA219" i="5" s="1"/>
  <c r="BB219" i="5" s="1"/>
  <c r="N142" i="5"/>
  <c r="N86" i="5"/>
  <c r="Q87" i="5" s="1"/>
  <c r="Q218" i="5" s="1"/>
  <c r="Q85" i="5"/>
  <c r="M78" i="5"/>
  <c r="M89" i="5"/>
  <c r="M70" i="5"/>
  <c r="P63" i="5"/>
  <c r="AH90" i="5"/>
  <c r="AH72" i="5"/>
  <c r="S91" i="5"/>
  <c r="AE2" i="5"/>
  <c r="AB3" i="5"/>
  <c r="AB4" i="5" s="1"/>
  <c r="CS277" i="5"/>
  <c r="CS281" i="5" s="1"/>
  <c r="CS276" i="5"/>
  <c r="X192" i="5"/>
  <c r="X155" i="5"/>
  <c r="CL155" i="5" s="1"/>
  <c r="CL148" i="5"/>
  <c r="AN297" i="5" l="1"/>
  <c r="AN89" i="5"/>
  <c r="AQ87" i="5"/>
  <c r="AW28" i="10"/>
  <c r="BK301" i="5" s="1"/>
  <c r="AU17" i="10"/>
  <c r="AV17" i="10" s="1"/>
  <c r="AW17" i="10" s="1"/>
  <c r="DB106" i="5"/>
  <c r="BU106" i="5"/>
  <c r="BV106" i="5" s="1"/>
  <c r="BW106" i="5" s="1"/>
  <c r="DB217" i="5"/>
  <c r="BU217" i="5"/>
  <c r="BV217" i="5" s="1"/>
  <c r="BW217" i="5" s="1"/>
  <c r="AN70" i="5"/>
  <c r="AO208" i="5"/>
  <c r="AO198" i="5" s="1"/>
  <c r="AP218" i="5"/>
  <c r="AP221" i="5" s="1"/>
  <c r="CR221" i="5" s="1"/>
  <c r="AN78" i="5"/>
  <c r="X140" i="5"/>
  <c r="CL140" i="5" s="1"/>
  <c r="X59" i="5"/>
  <c r="X76" i="5"/>
  <c r="X77" i="5" s="1"/>
  <c r="CL77" i="5" s="1"/>
  <c r="CL58" i="5"/>
  <c r="X62" i="5"/>
  <c r="X75" i="5"/>
  <c r="CL74" i="5"/>
  <c r="AN63" i="5"/>
  <c r="AN290" i="5"/>
  <c r="AN293" i="5" s="1"/>
  <c r="CM74" i="5"/>
  <c r="AA75" i="5"/>
  <c r="AA76" i="5"/>
  <c r="CM76" i="5" s="1"/>
  <c r="AA140" i="5"/>
  <c r="CM140" i="5" s="1"/>
  <c r="AW207" i="5"/>
  <c r="AW197" i="5" s="1"/>
  <c r="AW198" i="5" s="1"/>
  <c r="AV221" i="5"/>
  <c r="CT221" i="5" s="1"/>
  <c r="CM58" i="5"/>
  <c r="AA84" i="5"/>
  <c r="AA142" i="5" s="1"/>
  <c r="CM142" i="5" s="1"/>
  <c r="AA59" i="5"/>
  <c r="AU169" i="5"/>
  <c r="AU291" i="5" s="1"/>
  <c r="AV278" i="5"/>
  <c r="AY207" i="5"/>
  <c r="AY197" i="5" s="1"/>
  <c r="CU197" i="5" s="1"/>
  <c r="CT210" i="5"/>
  <c r="CT278" i="5" s="1"/>
  <c r="AE77" i="5"/>
  <c r="AE63" i="5"/>
  <c r="AB78" i="5"/>
  <c r="AB70" i="5"/>
  <c r="AB290" i="5"/>
  <c r="AB293" i="5" s="1"/>
  <c r="AB86" i="5"/>
  <c r="AB87" i="5" s="1"/>
  <c r="AB63" i="5"/>
  <c r="AB218" i="5"/>
  <c r="AB85" i="5"/>
  <c r="AB89" i="5"/>
  <c r="AE85" i="5"/>
  <c r="AL210" i="5"/>
  <c r="AL278" i="5" s="1"/>
  <c r="AM208" i="5"/>
  <c r="CQ208" i="5" s="1"/>
  <c r="O89" i="5"/>
  <c r="BA35" i="10"/>
  <c r="BB35" i="10" s="1"/>
  <c r="BF35" i="10"/>
  <c r="BR116" i="5"/>
  <c r="BS116" i="5" s="1"/>
  <c r="BT116" i="5" s="1"/>
  <c r="DA116" i="5"/>
  <c r="AU85" i="5"/>
  <c r="AV84" i="5"/>
  <c r="AV142" i="5" s="1"/>
  <c r="CT142" i="5" s="1"/>
  <c r="AW218" i="5"/>
  <c r="AW221" i="5" s="1"/>
  <c r="CX97" i="5"/>
  <c r="AQ31" i="10"/>
  <c r="CZ115" i="5"/>
  <c r="BO115" i="5"/>
  <c r="BP115" i="5" s="1"/>
  <c r="BQ115" i="5" s="1"/>
  <c r="AU53" i="9"/>
  <c r="AV53" i="9"/>
  <c r="AW53" i="9" s="1"/>
  <c r="CZ114" i="5"/>
  <c r="BO114" i="5"/>
  <c r="BP114" i="5" s="1"/>
  <c r="BQ114" i="5" s="1"/>
  <c r="CY117" i="5"/>
  <c r="BM117" i="5"/>
  <c r="BN117" i="5" s="1"/>
  <c r="CN51" i="5"/>
  <c r="AD58" i="5"/>
  <c r="AD74" i="5"/>
  <c r="AD52" i="5"/>
  <c r="AC75" i="5"/>
  <c r="AC140" i="5"/>
  <c r="AC84" i="5"/>
  <c r="AC76" i="5"/>
  <c r="AC77" i="5" s="1"/>
  <c r="AC148" i="5"/>
  <c r="AC62" i="5"/>
  <c r="AC59" i="5"/>
  <c r="AB5" i="5"/>
  <c r="CV96" i="5"/>
  <c r="CU161" i="5"/>
  <c r="AR133" i="5"/>
  <c r="AQ134" i="5"/>
  <c r="AG58" i="5"/>
  <c r="CO51" i="5"/>
  <c r="AG140" i="5"/>
  <c r="CO140" i="5" s="1"/>
  <c r="AG52" i="5"/>
  <c r="AG74" i="5"/>
  <c r="AA3" i="10"/>
  <c r="AA4" i="10" s="1"/>
  <c r="AD2" i="10"/>
  <c r="CS39" i="5"/>
  <c r="AR41" i="5"/>
  <c r="AF76" i="5"/>
  <c r="AF59" i="5"/>
  <c r="AF62" i="5"/>
  <c r="AF148" i="5"/>
  <c r="AF84" i="5"/>
  <c r="W3" i="10"/>
  <c r="W4" i="10" s="1"/>
  <c r="Z2" i="10"/>
  <c r="CO41" i="5"/>
  <c r="AG43" i="5"/>
  <c r="AJ43" i="5"/>
  <c r="AM44" i="5" s="1"/>
  <c r="CQ44" i="5" s="1"/>
  <c r="CP41" i="5"/>
  <c r="AO140" i="5"/>
  <c r="AO74" i="5"/>
  <c r="AO52" i="5"/>
  <c r="AP51" i="5"/>
  <c r="AO58" i="5"/>
  <c r="AF5" i="5"/>
  <c r="AU71" i="5"/>
  <c r="AB64" i="9"/>
  <c r="AC64" i="9" s="1"/>
  <c r="AQ43" i="5"/>
  <c r="AQ51" i="5"/>
  <c r="CQ84" i="5"/>
  <c r="AM169" i="5"/>
  <c r="AM142" i="5"/>
  <c r="CQ142" i="5" s="1"/>
  <c r="AL75" i="5"/>
  <c r="AI75" i="5"/>
  <c r="AJ52" i="5"/>
  <c r="AJ58" i="5"/>
  <c r="CP51" i="5"/>
  <c r="AJ74" i="5"/>
  <c r="AM52" i="5"/>
  <c r="CQ50" i="5"/>
  <c r="AM57" i="5"/>
  <c r="AP43" i="5"/>
  <c r="CR41" i="5"/>
  <c r="AS41" i="5"/>
  <c r="AN221" i="5"/>
  <c r="AN208" i="5"/>
  <c r="AN198" i="5" s="1"/>
  <c r="AF75" i="5"/>
  <c r="AP152" i="5"/>
  <c r="CR152" i="5" s="1"/>
  <c r="AN155" i="5"/>
  <c r="AI76" i="5"/>
  <c r="AI148" i="5"/>
  <c r="AI59" i="5"/>
  <c r="AI84" i="5"/>
  <c r="AI62" i="5"/>
  <c r="AL59" i="5"/>
  <c r="AL62" i="5"/>
  <c r="AL148" i="5"/>
  <c r="AL76" i="5"/>
  <c r="AH17" i="9"/>
  <c r="AI17" i="9" s="1"/>
  <c r="CU103" i="5"/>
  <c r="AQ36" i="10"/>
  <c r="AQ37" i="10"/>
  <c r="AQ34" i="10"/>
  <c r="AQ51" i="10"/>
  <c r="AC66" i="9"/>
  <c r="AV71" i="5" s="1"/>
  <c r="CT104" i="5"/>
  <c r="AC63" i="9"/>
  <c r="BB107" i="5"/>
  <c r="CU107" i="5"/>
  <c r="CL192" i="5"/>
  <c r="Y87" i="5"/>
  <c r="AA86" i="5"/>
  <c r="Z87" i="5"/>
  <c r="Y72" i="5"/>
  <c r="Y90" i="5"/>
  <c r="CM192" i="5"/>
  <c r="Z79" i="5"/>
  <c r="Y293" i="5"/>
  <c r="Y294" i="5" s="1"/>
  <c r="CU122" i="5"/>
  <c r="V21" i="9"/>
  <c r="Z90" i="5"/>
  <c r="Z72" i="5"/>
  <c r="AL168" i="5"/>
  <c r="AL170" i="5" s="1"/>
  <c r="S45" i="9"/>
  <c r="AA89" i="5"/>
  <c r="CM89" i="5" s="1"/>
  <c r="AE72" i="5"/>
  <c r="AE90" i="5"/>
  <c r="AH91" i="5" s="1"/>
  <c r="Y79" i="5"/>
  <c r="AA78" i="5"/>
  <c r="X54" i="9"/>
  <c r="Y52" i="9"/>
  <c r="AA33" i="9"/>
  <c r="Z33" i="9"/>
  <c r="Y34" i="9"/>
  <c r="AE2" i="10"/>
  <c r="AB3" i="10"/>
  <c r="AB4" i="10" s="1"/>
  <c r="AO44" i="10"/>
  <c r="AM46" i="10"/>
  <c r="AN46" i="10" s="1"/>
  <c r="AM45" i="10"/>
  <c r="AE8" i="10"/>
  <c r="AE6" i="10"/>
  <c r="AE13" i="10"/>
  <c r="AS303" i="5" s="1"/>
  <c r="AI46" i="9"/>
  <c r="AO40" i="9"/>
  <c r="AO47" i="9" s="1"/>
  <c r="AN47" i="9"/>
  <c r="AP40" i="9"/>
  <c r="AU55" i="5"/>
  <c r="AH48" i="9"/>
  <c r="AI48" i="9" s="1"/>
  <c r="AI41" i="9"/>
  <c r="AG13" i="9"/>
  <c r="AZ161" i="5" s="1"/>
  <c r="CV219" i="5"/>
  <c r="BC219" i="5"/>
  <c r="BD219" i="5" s="1"/>
  <c r="BE219" i="5" s="1"/>
  <c r="CM5" i="5"/>
  <c r="CN2" i="5"/>
  <c r="CM177" i="5"/>
  <c r="AB176" i="5"/>
  <c r="AB177" i="5" s="1"/>
  <c r="AA178" i="5"/>
  <c r="AD176" i="5"/>
  <c r="AK79" i="5"/>
  <c r="M90" i="5"/>
  <c r="M72" i="5"/>
  <c r="AK90" i="5"/>
  <c r="AK72" i="5"/>
  <c r="X142" i="5"/>
  <c r="CL142" i="5" s="1"/>
  <c r="CL84" i="5"/>
  <c r="X85" i="5"/>
  <c r="AU277" i="5"/>
  <c r="AU281" i="5" s="1"/>
  <c r="AU276" i="5"/>
  <c r="AU212" i="5"/>
  <c r="AA5" i="5"/>
  <c r="AA290" i="5"/>
  <c r="CM62" i="5"/>
  <c r="AA70" i="5"/>
  <c r="AL2" i="5"/>
  <c r="AI3" i="5"/>
  <c r="AI4" i="5" s="1"/>
  <c r="N90" i="5"/>
  <c r="N72" i="5"/>
  <c r="CU204" i="5"/>
  <c r="AZ202" i="5"/>
  <c r="AZ204" i="5" s="1"/>
  <c r="BA202" i="5" s="1"/>
  <c r="BA204" i="5" s="1"/>
  <c r="BB204" i="5" s="1"/>
  <c r="BB202" i="5"/>
  <c r="CV202" i="5" s="1"/>
  <c r="AH2" i="5"/>
  <c r="AE3" i="5"/>
  <c r="AE4" i="5" s="1"/>
  <c r="O78" i="5"/>
  <c r="R79" i="5" s="1"/>
  <c r="P79" i="5"/>
  <c r="Q221" i="5"/>
  <c r="R218" i="5"/>
  <c r="R221" i="5" s="1"/>
  <c r="CQ43" i="5"/>
  <c r="CT167" i="5"/>
  <c r="AD3" i="5"/>
  <c r="AD4" i="5" s="1"/>
  <c r="AG2" i="5"/>
  <c r="R91" i="5"/>
  <c r="U91" i="5"/>
  <c r="AT292" i="5"/>
  <c r="CL76" i="5" l="1"/>
  <c r="AN72" i="5"/>
  <c r="AZ17" i="10"/>
  <c r="BA17" i="10" s="1"/>
  <c r="BB17" i="10" s="1"/>
  <c r="BC17" i="10" s="1"/>
  <c r="BD17" i="10" s="1"/>
  <c r="BE17" i="10" s="1"/>
  <c r="BF17" i="10" s="1"/>
  <c r="BG17" i="10" s="1"/>
  <c r="BH17" i="10" s="1"/>
  <c r="BI17" i="10" s="1"/>
  <c r="BJ17" i="10" s="1"/>
  <c r="BK17" i="10" s="1"/>
  <c r="BL17" i="10" s="1"/>
  <c r="BM17" i="10" s="1"/>
  <c r="BN17" i="10" s="1"/>
  <c r="BO17" i="10" s="1"/>
  <c r="AX17" i="10"/>
  <c r="AX16" i="10" s="1"/>
  <c r="AX18" i="10" s="1"/>
  <c r="AX23" i="10"/>
  <c r="AZ23" i="10"/>
  <c r="AO210" i="5"/>
  <c r="AO278" i="5" s="1"/>
  <c r="BD35" i="10"/>
  <c r="BE35" i="10" s="1"/>
  <c r="BI35" i="10"/>
  <c r="AY23" i="10"/>
  <c r="AY28" i="10" s="1"/>
  <c r="AZ28" i="10" s="1"/>
  <c r="BX217" i="5"/>
  <c r="BY217" i="5" s="1"/>
  <c r="BZ217" i="5" s="1"/>
  <c r="DC217" i="5"/>
  <c r="CR218" i="5"/>
  <c r="BX106" i="5"/>
  <c r="BY106" i="5" s="1"/>
  <c r="BZ106" i="5" s="1"/>
  <c r="DC106" i="5"/>
  <c r="DB116" i="5"/>
  <c r="BU116" i="5"/>
  <c r="CL62" i="5"/>
  <c r="AN79" i="5"/>
  <c r="AN90" i="5"/>
  <c r="X63" i="5"/>
  <c r="AA63" i="5"/>
  <c r="X70" i="5"/>
  <c r="AA77" i="5"/>
  <c r="CM77" i="5" s="1"/>
  <c r="CM84" i="5"/>
  <c r="AW210" i="5"/>
  <c r="AW84" i="5" s="1"/>
  <c r="CU207" i="5"/>
  <c r="AV169" i="5"/>
  <c r="AV291" i="5" s="1"/>
  <c r="AA85" i="5"/>
  <c r="AB72" i="5"/>
  <c r="AB79" i="5"/>
  <c r="AE79" i="5"/>
  <c r="AB297" i="5"/>
  <c r="AE87" i="5"/>
  <c r="AB90" i="5"/>
  <c r="AM198" i="5"/>
  <c r="CQ198" i="5" s="1"/>
  <c r="AL86" i="5"/>
  <c r="AL199" i="5"/>
  <c r="AW167" i="5"/>
  <c r="AD21" i="9" s="1"/>
  <c r="AX53" i="9"/>
  <c r="AY53" i="9"/>
  <c r="AZ53" i="9" s="1"/>
  <c r="BR114" i="5"/>
  <c r="BS114" i="5" s="1"/>
  <c r="BT114" i="5" s="1"/>
  <c r="DA114" i="5"/>
  <c r="BR115" i="5"/>
  <c r="BS115" i="5" s="1"/>
  <c r="BT115" i="5" s="1"/>
  <c r="DA115" i="5"/>
  <c r="CT84" i="5"/>
  <c r="AV85" i="5"/>
  <c r="CZ117" i="5"/>
  <c r="BO117" i="5"/>
  <c r="BP117" i="5" s="1"/>
  <c r="BQ117" i="5" s="1"/>
  <c r="AF77" i="5"/>
  <c r="AP208" i="5"/>
  <c r="CR208" i="5" s="1"/>
  <c r="AC89" i="5"/>
  <c r="AD89" i="5" s="1"/>
  <c r="CN89" i="5" s="1"/>
  <c r="AC78" i="5"/>
  <c r="AC63" i="5"/>
  <c r="AC290" i="5"/>
  <c r="AC70" i="5"/>
  <c r="AD75" i="5"/>
  <c r="CN74" i="5"/>
  <c r="AE218" i="5"/>
  <c r="AC218" i="5"/>
  <c r="AC169" i="5"/>
  <c r="AC85" i="5"/>
  <c r="AC86" i="5"/>
  <c r="AC142" i="5"/>
  <c r="AD84" i="5"/>
  <c r="AC155" i="5"/>
  <c r="AC156" i="5" s="1"/>
  <c r="AC192" i="5"/>
  <c r="AD76" i="5"/>
  <c r="AD59" i="5"/>
  <c r="AD148" i="5"/>
  <c r="AD62" i="5"/>
  <c r="AD140" i="5"/>
  <c r="CN140" i="5" s="1"/>
  <c r="CN58" i="5"/>
  <c r="AI77" i="5"/>
  <c r="AL77" i="5"/>
  <c r="AE5" i="5"/>
  <c r="AL155" i="5"/>
  <c r="AM155" i="5" s="1"/>
  <c r="CQ155" i="5" s="1"/>
  <c r="AL192" i="5"/>
  <c r="U21" i="9"/>
  <c r="U24" i="9" s="1"/>
  <c r="AS43" i="5"/>
  <c r="CS41" i="5"/>
  <c r="CQ57" i="5"/>
  <c r="AM58" i="5"/>
  <c r="AQ44" i="5"/>
  <c r="CO43" i="5"/>
  <c r="DI37" i="5" s="1"/>
  <c r="AG44" i="5"/>
  <c r="CO44" i="5" s="1"/>
  <c r="AF155" i="5"/>
  <c r="AF192" i="5"/>
  <c r="AR43" i="5"/>
  <c r="AR44" i="5" s="1"/>
  <c r="AR51" i="5"/>
  <c r="AD3" i="10"/>
  <c r="AD4" i="10" s="1"/>
  <c r="AG2" i="10"/>
  <c r="AB178" i="5"/>
  <c r="I74" i="9"/>
  <c r="AL78" i="5"/>
  <c r="AL70" i="5"/>
  <c r="AL290" i="5"/>
  <c r="AL293" i="5" s="1"/>
  <c r="AL89" i="5"/>
  <c r="AM89" i="5" s="1"/>
  <c r="CQ89" i="5" s="1"/>
  <c r="AL63" i="5"/>
  <c r="AI192" i="5"/>
  <c r="AI155" i="5"/>
  <c r="AJ155" i="5" s="1"/>
  <c r="CP155" i="5" s="1"/>
  <c r="AJ62" i="5"/>
  <c r="CP58" i="5"/>
  <c r="AJ76" i="5"/>
  <c r="AJ148" i="5"/>
  <c r="AJ59" i="5"/>
  <c r="AO75" i="5"/>
  <c r="AF63" i="5"/>
  <c r="AF89" i="5"/>
  <c r="AG89" i="5" s="1"/>
  <c r="CO89" i="5" s="1"/>
  <c r="AF70" i="5"/>
  <c r="AF290" i="5"/>
  <c r="AF78" i="5"/>
  <c r="AS133" i="5"/>
  <c r="AI78" i="5"/>
  <c r="AI63" i="5"/>
  <c r="AI89" i="5"/>
  <c r="AJ89" i="5" s="1"/>
  <c r="CP89" i="5" s="1"/>
  <c r="AI290" i="5"/>
  <c r="AI70" i="5"/>
  <c r="AO84" i="5"/>
  <c r="AO86" i="5" s="1"/>
  <c r="AO59" i="5"/>
  <c r="AO148" i="5"/>
  <c r="AO76" i="5"/>
  <c r="AO77" i="5" s="1"/>
  <c r="AO62" i="5"/>
  <c r="AJ44" i="5"/>
  <c r="CP44" i="5" s="1"/>
  <c r="CP43" i="5"/>
  <c r="AG75" i="5"/>
  <c r="CO74" i="5"/>
  <c r="AG148" i="5"/>
  <c r="AG59" i="5"/>
  <c r="AG76" i="5"/>
  <c r="CO58" i="5"/>
  <c r="AG62" i="5"/>
  <c r="AI86" i="5"/>
  <c r="AI85" i="5"/>
  <c r="AJ84" i="5"/>
  <c r="AL85" i="5"/>
  <c r="AK218" i="5"/>
  <c r="AI169" i="5"/>
  <c r="AI142" i="5"/>
  <c r="AP44" i="5"/>
  <c r="CR44" i="5" s="1"/>
  <c r="CR43" i="5"/>
  <c r="AJ75" i="5"/>
  <c r="CP74" i="5"/>
  <c r="AM75" i="5"/>
  <c r="AM291" i="5"/>
  <c r="CQ169" i="5"/>
  <c r="AQ58" i="5"/>
  <c r="AQ52" i="5"/>
  <c r="AQ140" i="5"/>
  <c r="AQ141" i="5" s="1"/>
  <c r="AQ74" i="5"/>
  <c r="AP140" i="5"/>
  <c r="CR140" i="5" s="1"/>
  <c r="CR51" i="5"/>
  <c r="AP52" i="5"/>
  <c r="AP58" i="5"/>
  <c r="AP74" i="5"/>
  <c r="Z3" i="10"/>
  <c r="Z4" i="10" s="1"/>
  <c r="AC2" i="10"/>
  <c r="AF85" i="5"/>
  <c r="AF86" i="5"/>
  <c r="AF142" i="5"/>
  <c r="AF169" i="5"/>
  <c r="AF291" i="5" s="1"/>
  <c r="AH218" i="5"/>
  <c r="AG84" i="5"/>
  <c r="BB103" i="5"/>
  <c r="AJ17" i="9"/>
  <c r="CW13" i="5"/>
  <c r="CT71" i="5"/>
  <c r="CV107" i="5"/>
  <c r="AD63" i="9"/>
  <c r="AD64" i="9" s="1"/>
  <c r="AK91" i="5"/>
  <c r="CO167" i="5"/>
  <c r="S49" i="9"/>
  <c r="S60" i="9"/>
  <c r="Y295" i="5"/>
  <c r="Z289" i="5"/>
  <c r="Z294" i="5" s="1"/>
  <c r="Z295" i="5" s="1"/>
  <c r="Y218" i="5"/>
  <c r="AE170" i="5"/>
  <c r="L21" i="9"/>
  <c r="N21" i="9" s="1"/>
  <c r="N24" i="9" s="1"/>
  <c r="J21" i="9"/>
  <c r="J24" i="9" s="1"/>
  <c r="AC168" i="5" s="1"/>
  <c r="AA79" i="5"/>
  <c r="CM79" i="5" s="1"/>
  <c r="CM78" i="5"/>
  <c r="I21" i="9"/>
  <c r="Z218" i="5"/>
  <c r="Z221" i="5" s="1"/>
  <c r="Z91" i="5"/>
  <c r="V24" i="9"/>
  <c r="AT55" i="5"/>
  <c r="AV47" i="5"/>
  <c r="Y91" i="5"/>
  <c r="AA297" i="5"/>
  <c r="AA87" i="5"/>
  <c r="CM86" i="5"/>
  <c r="AO46" i="10"/>
  <c r="AP44" i="10"/>
  <c r="AO45" i="10"/>
  <c r="Y54" i="9"/>
  <c r="Z54" i="9" s="1"/>
  <c r="AA52" i="9"/>
  <c r="Z52" i="9"/>
  <c r="AN45" i="10"/>
  <c r="AI13" i="9" s="1"/>
  <c r="AH13" i="9"/>
  <c r="BA161" i="5" s="1"/>
  <c r="Z34" i="9"/>
  <c r="Y35" i="9"/>
  <c r="AJ41" i="9"/>
  <c r="AJ48" i="9" s="1"/>
  <c r="AJ46" i="9"/>
  <c r="AE3" i="10"/>
  <c r="AE4" i="10" s="1"/>
  <c r="AH2" i="10"/>
  <c r="AI32" i="9"/>
  <c r="AJ32" i="9" s="1"/>
  <c r="AP47" i="9"/>
  <c r="AB33" i="9"/>
  <c r="AA35" i="9"/>
  <c r="AG3" i="5"/>
  <c r="AG4" i="5" s="1"/>
  <c r="AJ2" i="5"/>
  <c r="AH3" i="5"/>
  <c r="AH4" i="5" s="1"/>
  <c r="AK2" i="5"/>
  <c r="N91" i="5"/>
  <c r="Q91" i="5"/>
  <c r="BB113" i="5"/>
  <c r="CR167" i="5"/>
  <c r="CV204" i="5"/>
  <c r="BC202" i="5"/>
  <c r="BC204" i="5" s="1"/>
  <c r="BD202" i="5" s="1"/>
  <c r="BD204" i="5" s="1"/>
  <c r="BE204" i="5" s="1"/>
  <c r="BE202" i="5"/>
  <c r="CW202" i="5" s="1"/>
  <c r="AI5" i="5"/>
  <c r="AA293" i="5"/>
  <c r="AA294" i="5" s="1"/>
  <c r="AV277" i="5"/>
  <c r="AV281" i="5" s="1"/>
  <c r="AV276" i="5"/>
  <c r="AV212" i="5"/>
  <c r="CT211" i="5"/>
  <c r="BF219" i="5"/>
  <c r="BG219" i="5" s="1"/>
  <c r="BH219" i="5" s="1"/>
  <c r="CW219" i="5"/>
  <c r="AU292" i="5"/>
  <c r="AV130" i="5"/>
  <c r="AD5" i="5"/>
  <c r="AL3" i="5"/>
  <c r="AL4" i="5" s="1"/>
  <c r="AO2" i="5"/>
  <c r="CM70" i="5"/>
  <c r="AA90" i="5"/>
  <c r="AA72" i="5"/>
  <c r="M91" i="5"/>
  <c r="P91" i="5"/>
  <c r="CN176" i="5"/>
  <c r="CN5" i="5"/>
  <c r="CO2" i="5"/>
  <c r="AO199" i="5" l="1"/>
  <c r="AP210" i="5"/>
  <c r="DD106" i="5"/>
  <c r="CA106" i="5"/>
  <c r="CB106" i="5" s="1"/>
  <c r="CC106" i="5" s="1"/>
  <c r="DE106" i="5" s="1"/>
  <c r="DD217" i="5"/>
  <c r="CA217" i="5"/>
  <c r="AS51" i="5"/>
  <c r="CS51" i="5" s="1"/>
  <c r="BN301" i="5"/>
  <c r="BC23" i="10"/>
  <c r="BA23" i="10"/>
  <c r="BA28" i="10" s="1"/>
  <c r="BB23" i="10" s="1"/>
  <c r="BB28" i="10" s="1"/>
  <c r="BC28" i="10" s="1"/>
  <c r="BA53" i="9"/>
  <c r="BB53" i="9"/>
  <c r="BC53" i="9" s="1"/>
  <c r="BG35" i="10"/>
  <c r="BH35" i="10" s="1"/>
  <c r="BL35" i="10"/>
  <c r="DB115" i="5"/>
  <c r="BU115" i="5"/>
  <c r="BV115" i="5" s="1"/>
  <c r="BW115" i="5" s="1"/>
  <c r="DB114" i="5"/>
  <c r="BU114" i="5"/>
  <c r="BV114" i="5" s="1"/>
  <c r="BW114" i="5" s="1"/>
  <c r="BV116" i="5"/>
  <c r="BW116" i="5" s="1"/>
  <c r="DC116" i="5" s="1"/>
  <c r="AN91" i="5"/>
  <c r="CL70" i="5"/>
  <c r="X90" i="5"/>
  <c r="AX207" i="5"/>
  <c r="AX197" i="5" s="1"/>
  <c r="X72" i="5"/>
  <c r="CL72" i="5" s="1"/>
  <c r="AW278" i="5"/>
  <c r="AB91" i="5"/>
  <c r="AW211" i="5"/>
  <c r="AW276" i="5" s="1"/>
  <c r="CT169" i="5"/>
  <c r="AL297" i="5"/>
  <c r="AM86" i="5"/>
  <c r="AE91" i="5"/>
  <c r="AL87" i="5"/>
  <c r="DG50" i="5"/>
  <c r="BR117" i="5"/>
  <c r="BS117" i="5" s="1"/>
  <c r="BT117" i="5" s="1"/>
  <c r="DA117" i="5"/>
  <c r="BB161" i="5"/>
  <c r="CV161" i="5" s="1"/>
  <c r="W21" i="9"/>
  <c r="W24" i="9" s="1"/>
  <c r="AP168" i="5" s="1"/>
  <c r="CR168" i="5" s="1"/>
  <c r="AT40" i="9"/>
  <c r="AS47" i="9"/>
  <c r="AP198" i="5"/>
  <c r="CR198" i="5" s="1"/>
  <c r="AC170" i="5"/>
  <c r="AC208" i="5"/>
  <c r="AC221" i="5"/>
  <c r="AD218" i="5"/>
  <c r="AC297" i="5"/>
  <c r="AD86" i="5"/>
  <c r="AC87" i="5"/>
  <c r="AE221" i="5"/>
  <c r="AE208" i="5"/>
  <c r="AG218" i="5"/>
  <c r="AC72" i="5"/>
  <c r="AC90" i="5"/>
  <c r="AC79" i="5"/>
  <c r="AD78" i="5"/>
  <c r="AD155" i="5"/>
  <c r="CN155" i="5" s="1"/>
  <c r="AD192" i="5"/>
  <c r="CN148" i="5"/>
  <c r="CN76" i="5"/>
  <c r="AD77" i="5"/>
  <c r="CN77" i="5" s="1"/>
  <c r="AD156" i="5"/>
  <c r="AD70" i="5"/>
  <c r="CN62" i="5"/>
  <c r="AD290" i="5"/>
  <c r="AD63" i="5"/>
  <c r="AD142" i="5"/>
  <c r="CN142" i="5" s="1"/>
  <c r="CN84" i="5"/>
  <c r="AD85" i="5"/>
  <c r="AC291" i="5"/>
  <c r="AC293" i="5" s="1"/>
  <c r="AD169" i="5"/>
  <c r="AF293" i="5"/>
  <c r="BB122" i="5"/>
  <c r="AH5" i="5"/>
  <c r="AG5" i="5"/>
  <c r="AG142" i="5"/>
  <c r="CO142" i="5" s="1"/>
  <c r="AG85" i="5"/>
  <c r="CO84" i="5"/>
  <c r="AG169" i="5"/>
  <c r="AG86" i="5"/>
  <c r="AF297" i="5"/>
  <c r="AF87" i="5"/>
  <c r="AQ75" i="5"/>
  <c r="AM85" i="5"/>
  <c r="CP84" i="5"/>
  <c r="AJ85" i="5"/>
  <c r="AG77" i="5"/>
  <c r="CO77" i="5" s="1"/>
  <c r="CO76" i="5"/>
  <c r="AO78" i="5"/>
  <c r="AO290" i="5"/>
  <c r="AO70" i="5"/>
  <c r="AO89" i="5"/>
  <c r="AP89" i="5" s="1"/>
  <c r="CR89" i="5" s="1"/>
  <c r="AO63" i="5"/>
  <c r="AQ218" i="5"/>
  <c r="AR85" i="5"/>
  <c r="AP84" i="5"/>
  <c r="AO85" i="5"/>
  <c r="AO169" i="5"/>
  <c r="AO291" i="5" s="1"/>
  <c r="AO142" i="5"/>
  <c r="CS133" i="5"/>
  <c r="AJ192" i="5"/>
  <c r="CP148" i="5"/>
  <c r="AJ218" i="5"/>
  <c r="AH221" i="5"/>
  <c r="AH208" i="5"/>
  <c r="AI291" i="5"/>
  <c r="AI293" i="5" s="1"/>
  <c r="AJ169" i="5"/>
  <c r="AS159" i="5"/>
  <c r="AI72" i="5"/>
  <c r="AI90" i="5"/>
  <c r="AJ78" i="5"/>
  <c r="AI79" i="5"/>
  <c r="AJ77" i="5"/>
  <c r="CP77" i="5" s="1"/>
  <c r="CP76" i="5"/>
  <c r="AG3" i="10"/>
  <c r="AG4" i="10" s="1"/>
  <c r="AJ2" i="10"/>
  <c r="AC3" i="10"/>
  <c r="AC4" i="10" s="1"/>
  <c r="AF2" i="10"/>
  <c r="CR74" i="5"/>
  <c r="AP75" i="5"/>
  <c r="AM218" i="5"/>
  <c r="AK221" i="5"/>
  <c r="R21" i="9"/>
  <c r="AJ86" i="5"/>
  <c r="AI297" i="5"/>
  <c r="AI87" i="5"/>
  <c r="AG70" i="5"/>
  <c r="AG63" i="5"/>
  <c r="CO62" i="5"/>
  <c r="AG290" i="5"/>
  <c r="AG192" i="5"/>
  <c r="CO148" i="5"/>
  <c r="AO192" i="5"/>
  <c r="AO155" i="5"/>
  <c r="AP155" i="5" s="1"/>
  <c r="CR155" i="5" s="1"/>
  <c r="AF90" i="5"/>
  <c r="AF72" i="5"/>
  <c r="AL90" i="5"/>
  <c r="AL72" i="5"/>
  <c r="DJ38" i="5"/>
  <c r="DI38" i="5"/>
  <c r="CQ58" i="5"/>
  <c r="AM62" i="5"/>
  <c r="AM148" i="5"/>
  <c r="AM76" i="5"/>
  <c r="AM59" i="5"/>
  <c r="CS43" i="5"/>
  <c r="AS44" i="5"/>
  <c r="CS44" i="5" s="1"/>
  <c r="AP76" i="5"/>
  <c r="CR58" i="5"/>
  <c r="AP148" i="5"/>
  <c r="AP62" i="5"/>
  <c r="AP59" i="5"/>
  <c r="AS52" i="5"/>
  <c r="AS140" i="5"/>
  <c r="AQ62" i="5"/>
  <c r="AQ82" i="5"/>
  <c r="AQ148" i="5"/>
  <c r="AQ59" i="5"/>
  <c r="AQ76" i="5"/>
  <c r="AQ77" i="5" s="1"/>
  <c r="AG78" i="5"/>
  <c r="AF79" i="5"/>
  <c r="CP62" i="5"/>
  <c r="AJ63" i="5"/>
  <c r="AJ70" i="5"/>
  <c r="AJ290" i="5"/>
  <c r="AL79" i="5"/>
  <c r="AM78" i="5"/>
  <c r="AR140" i="5"/>
  <c r="AR58" i="5"/>
  <c r="AR74" i="5"/>
  <c r="AR52" i="5"/>
  <c r="AF156" i="5"/>
  <c r="AG155" i="5"/>
  <c r="CO155" i="5" s="1"/>
  <c r="AN168" i="5"/>
  <c r="AN170" i="5" s="1"/>
  <c r="U45" i="9"/>
  <c r="AK17" i="9"/>
  <c r="AL17" i="9" s="1"/>
  <c r="CV103" i="5"/>
  <c r="BF13" i="5"/>
  <c r="AT33" i="10"/>
  <c r="AT31" i="10" s="1"/>
  <c r="AR34" i="10"/>
  <c r="AR36" i="10" s="1"/>
  <c r="BG13" i="5"/>
  <c r="AS34" i="10"/>
  <c r="AS36" i="10" s="1"/>
  <c r="AW71" i="5"/>
  <c r="AY104" i="5"/>
  <c r="AE63" i="9"/>
  <c r="AX71" i="5" s="1"/>
  <c r="CW107" i="5"/>
  <c r="Y221" i="5"/>
  <c r="AA218" i="5"/>
  <c r="CN167" i="5"/>
  <c r="BI21" i="9" s="1"/>
  <c r="CM297" i="5"/>
  <c r="V45" i="9"/>
  <c r="AO168" i="5"/>
  <c r="K21" i="9"/>
  <c r="K24" i="9" s="1"/>
  <c r="AD168" i="5" s="1"/>
  <c r="CN168" i="5" s="1"/>
  <c r="I24" i="9"/>
  <c r="CM72" i="5"/>
  <c r="CM87" i="5"/>
  <c r="CT47" i="5"/>
  <c r="AV55" i="5"/>
  <c r="CT55" i="5" s="1"/>
  <c r="AK41" i="9"/>
  <c r="AK46" i="9"/>
  <c r="AS162" i="5"/>
  <c r="CS162" i="5" s="1"/>
  <c r="AH3" i="10"/>
  <c r="AH4" i="10" s="1"/>
  <c r="AK2" i="10"/>
  <c r="AP46" i="10"/>
  <c r="AQ46" i="10" s="1"/>
  <c r="AR44" i="10"/>
  <c r="AP45" i="10"/>
  <c r="AC33" i="9"/>
  <c r="AD33" i="9"/>
  <c r="Z35" i="9"/>
  <c r="AA54" i="9"/>
  <c r="AB52" i="9"/>
  <c r="AR40" i="9"/>
  <c r="AR47" i="9" s="1"/>
  <c r="AQ47" i="9"/>
  <c r="AK32" i="9"/>
  <c r="AJ13" i="9"/>
  <c r="BC161" i="5" s="1"/>
  <c r="AB289" i="5"/>
  <c r="AA295" i="5"/>
  <c r="AO3" i="5"/>
  <c r="AO4" i="5" s="1"/>
  <c r="AR2" i="5"/>
  <c r="AO297" i="5"/>
  <c r="AR87" i="5"/>
  <c r="AO87" i="5"/>
  <c r="AP86" i="5"/>
  <c r="CT277" i="5"/>
  <c r="CT281" i="5" s="1"/>
  <c r="CT276" i="5"/>
  <c r="BH202" i="5"/>
  <c r="CX202" i="5" s="1"/>
  <c r="BF202" i="5"/>
  <c r="BF204" i="5" s="1"/>
  <c r="BG202" i="5" s="1"/>
  <c r="BG204" i="5" s="1"/>
  <c r="BH204" i="5" s="1"/>
  <c r="CW204" i="5"/>
  <c r="AM2" i="5"/>
  <c r="AJ3" i="5"/>
  <c r="AJ4" i="5" s="1"/>
  <c r="AV292" i="5"/>
  <c r="CT130" i="5"/>
  <c r="CM90" i="5"/>
  <c r="AP278" i="5"/>
  <c r="CR210" i="5"/>
  <c r="AS207" i="5"/>
  <c r="AQ207" i="5"/>
  <c r="AQ197" i="5" s="1"/>
  <c r="AP199" i="5"/>
  <c r="CR199" i="5" s="1"/>
  <c r="AK3" i="5"/>
  <c r="AK4" i="5" s="1"/>
  <c r="AN2" i="5"/>
  <c r="AX84" i="5"/>
  <c r="CP2" i="5"/>
  <c r="CO5" i="5"/>
  <c r="AL5" i="5"/>
  <c r="BI219" i="5"/>
  <c r="BJ219" i="5" s="1"/>
  <c r="BK219" i="5" s="1"/>
  <c r="CX219" i="5"/>
  <c r="CV113" i="5"/>
  <c r="BB118" i="5"/>
  <c r="CV118" i="5" s="1"/>
  <c r="BJ35" i="10" l="1"/>
  <c r="BK35" i="10" s="1"/>
  <c r="BO35" i="10"/>
  <c r="BM35" i="10" s="1"/>
  <c r="BN35" i="10" s="1"/>
  <c r="BJ21" i="9"/>
  <c r="CB217" i="5"/>
  <c r="CC217" i="5" s="1"/>
  <c r="DE217" i="5" s="1"/>
  <c r="AS58" i="5"/>
  <c r="CS58" i="5" s="1"/>
  <c r="AS74" i="5"/>
  <c r="AA91" i="5"/>
  <c r="CM91" i="5" s="1"/>
  <c r="AM87" i="5"/>
  <c r="CQ87" i="5" s="1"/>
  <c r="BF23" i="10"/>
  <c r="BQ301" i="5"/>
  <c r="CL90" i="5"/>
  <c r="X91" i="5"/>
  <c r="CL91" i="5" s="1"/>
  <c r="BE53" i="9"/>
  <c r="BF53" i="9" s="1"/>
  <c r="BD53" i="9"/>
  <c r="BD23" i="10"/>
  <c r="BD28" i="10" s="1"/>
  <c r="BE23" i="10" s="1"/>
  <c r="BE28" i="10" s="1"/>
  <c r="BF28" i="10" s="1"/>
  <c r="BX115" i="5"/>
  <c r="BY115" i="5" s="1"/>
  <c r="BZ115" i="5" s="1"/>
  <c r="DC115" i="5"/>
  <c r="BX114" i="5"/>
  <c r="BY114" i="5" s="1"/>
  <c r="BZ114" i="5" s="1"/>
  <c r="DC114" i="5"/>
  <c r="BX116" i="5"/>
  <c r="DB117" i="5"/>
  <c r="BU117" i="5"/>
  <c r="BV117" i="5" s="1"/>
  <c r="BW117" i="5" s="1"/>
  <c r="AW212" i="5"/>
  <c r="AW277" i="5"/>
  <c r="AW281" i="5" s="1"/>
  <c r="CQ86" i="5"/>
  <c r="CQ297" i="5" s="1"/>
  <c r="AM297" i="5"/>
  <c r="CY97" i="5"/>
  <c r="CY219" i="5"/>
  <c r="BL219" i="5"/>
  <c r="BM219" i="5" s="1"/>
  <c r="BN219" i="5" s="1"/>
  <c r="AT47" i="9"/>
  <c r="AV40" i="9"/>
  <c r="AU40" i="9"/>
  <c r="AU47" i="9" s="1"/>
  <c r="AO170" i="5"/>
  <c r="AP170" i="5" s="1"/>
  <c r="CW96" i="5"/>
  <c r="AK63" i="9"/>
  <c r="AK64" i="9" s="1"/>
  <c r="AL64" i="9" s="1"/>
  <c r="AC91" i="5"/>
  <c r="AE210" i="5"/>
  <c r="AG208" i="5"/>
  <c r="AE198" i="5"/>
  <c r="AD221" i="5"/>
  <c r="CN221" i="5" s="1"/>
  <c r="CN218" i="5"/>
  <c r="CN156" i="5"/>
  <c r="AD175" i="5"/>
  <c r="CN192" i="5"/>
  <c r="AG221" i="5"/>
  <c r="CO221" i="5" s="1"/>
  <c r="CO218" i="5"/>
  <c r="AD291" i="5"/>
  <c r="AD293" i="5" s="1"/>
  <c r="CN169" i="5"/>
  <c r="AD79" i="5"/>
  <c r="CN79" i="5" s="1"/>
  <c r="CN78" i="5"/>
  <c r="AD87" i="5"/>
  <c r="AD297" i="5"/>
  <c r="CN86" i="5"/>
  <c r="CN70" i="5"/>
  <c r="AD72" i="5"/>
  <c r="AD90" i="5"/>
  <c r="AD208" i="5"/>
  <c r="AC198" i="5"/>
  <c r="CV122" i="5"/>
  <c r="AJ5" i="5"/>
  <c r="AC175" i="5"/>
  <c r="AC177" i="5" s="1"/>
  <c r="J74" i="9" s="1"/>
  <c r="CQ78" i="5"/>
  <c r="AM79" i="5"/>
  <c r="CQ79" i="5" s="1"/>
  <c r="AQ155" i="5"/>
  <c r="AQ192" i="5"/>
  <c r="AS75" i="5"/>
  <c r="CS74" i="5"/>
  <c r="CR76" i="5"/>
  <c r="AP77" i="5"/>
  <c r="CR77" i="5" s="1"/>
  <c r="AL91" i="5"/>
  <c r="AF91" i="5"/>
  <c r="CO192" i="5"/>
  <c r="CP86" i="5"/>
  <c r="AJ297" i="5"/>
  <c r="AJ87" i="5"/>
  <c r="AM221" i="5"/>
  <c r="CQ221" i="5" s="1"/>
  <c r="CQ218" i="5"/>
  <c r="AI91" i="5"/>
  <c r="AJ291" i="5"/>
  <c r="AJ293" i="5" s="1"/>
  <c r="CP169" i="5"/>
  <c r="AO90" i="5"/>
  <c r="AO72" i="5"/>
  <c r="AR75" i="5"/>
  <c r="AJ90" i="5"/>
  <c r="CP70" i="5"/>
  <c r="AJ72" i="5"/>
  <c r="AP290" i="5"/>
  <c r="CR62" i="5"/>
  <c r="AP70" i="5"/>
  <c r="AP63" i="5"/>
  <c r="CQ76" i="5"/>
  <c r="AM77" i="5"/>
  <c r="CQ77" i="5" s="1"/>
  <c r="AG72" i="5"/>
  <c r="CO70" i="5"/>
  <c r="AG90" i="5"/>
  <c r="CP218" i="5"/>
  <c r="AJ221" i="5"/>
  <c r="CP221" i="5" s="1"/>
  <c r="X21" i="9"/>
  <c r="AS218" i="5"/>
  <c r="AQ221" i="5"/>
  <c r="AO293" i="5"/>
  <c r="AG297" i="5"/>
  <c r="CO86" i="5"/>
  <c r="AG87" i="5"/>
  <c r="AF13" i="10"/>
  <c r="AF19" i="10"/>
  <c r="AR82" i="5"/>
  <c r="AS82" i="5" s="1"/>
  <c r="CS82" i="5" s="1"/>
  <c r="AR59" i="5"/>
  <c r="AR76" i="5"/>
  <c r="AR77" i="5" s="1"/>
  <c r="AR62" i="5"/>
  <c r="AR148" i="5"/>
  <c r="AG79" i="5"/>
  <c r="CO79" i="5" s="1"/>
  <c r="CO78" i="5"/>
  <c r="AQ78" i="5"/>
  <c r="AQ63" i="5"/>
  <c r="AQ290" i="5"/>
  <c r="AQ293" i="5" s="1"/>
  <c r="AQ70" i="5"/>
  <c r="AQ89" i="5"/>
  <c r="CS140" i="5"/>
  <c r="AP192" i="5"/>
  <c r="CR148" i="5"/>
  <c r="CQ148" i="5"/>
  <c r="AM192" i="5"/>
  <c r="R24" i="9"/>
  <c r="T21" i="9"/>
  <c r="T24" i="9" s="1"/>
  <c r="AM168" i="5" s="1"/>
  <c r="CQ168" i="5" s="1"/>
  <c r="AI2" i="10"/>
  <c r="AF3" i="10"/>
  <c r="AF4" i="10" s="1"/>
  <c r="AM2" i="10"/>
  <c r="AJ3" i="10"/>
  <c r="AJ4" i="10" s="1"/>
  <c r="CP78" i="5"/>
  <c r="AJ79" i="5"/>
  <c r="CP79" i="5" s="1"/>
  <c r="CS159" i="5"/>
  <c r="AH198" i="5"/>
  <c r="AJ208" i="5"/>
  <c r="CP192" i="5"/>
  <c r="AO79" i="5"/>
  <c r="AP78" i="5"/>
  <c r="AG291" i="5"/>
  <c r="AG293" i="5" s="1"/>
  <c r="CO169" i="5"/>
  <c r="AO5" i="5"/>
  <c r="Y18" i="9"/>
  <c r="AR168" i="5" s="1"/>
  <c r="AR170" i="5" s="1"/>
  <c r="AR162" i="5"/>
  <c r="AR163" i="5" s="1"/>
  <c r="AS163" i="5" s="1"/>
  <c r="CS163" i="5" s="1"/>
  <c r="U60" i="9"/>
  <c r="U49" i="9"/>
  <c r="AG156" i="5"/>
  <c r="AR141" i="5"/>
  <c r="AS141" i="5" s="1"/>
  <c r="CS141" i="5" s="1"/>
  <c r="AS59" i="5"/>
  <c r="AS148" i="5"/>
  <c r="AS76" i="5"/>
  <c r="AS62" i="5"/>
  <c r="AM63" i="5"/>
  <c r="AM70" i="5"/>
  <c r="AM290" i="5"/>
  <c r="AM293" i="5" s="1"/>
  <c r="CQ62" i="5"/>
  <c r="O21" i="9"/>
  <c r="CP167" i="5"/>
  <c r="CR84" i="5"/>
  <c r="AP142" i="5"/>
  <c r="CR142" i="5" s="1"/>
  <c r="AP85" i="5"/>
  <c r="AP169" i="5"/>
  <c r="AS85" i="5"/>
  <c r="AT36" i="10"/>
  <c r="AM17" i="9"/>
  <c r="AX211" i="5"/>
  <c r="AX276" i="5" s="1"/>
  <c r="BH13" i="5"/>
  <c r="AT37" i="10"/>
  <c r="AT34" i="10"/>
  <c r="CU104" i="5"/>
  <c r="AF63" i="9"/>
  <c r="AF66" i="9"/>
  <c r="AY71" i="5" s="1"/>
  <c r="CU71" i="5" s="1"/>
  <c r="CX107" i="5"/>
  <c r="CT10" i="5"/>
  <c r="CR278" i="5"/>
  <c r="AD170" i="5"/>
  <c r="CN170" i="5" s="1"/>
  <c r="V49" i="9"/>
  <c r="V60" i="9"/>
  <c r="W45" i="9"/>
  <c r="CM218" i="5"/>
  <c r="AA221" i="5"/>
  <c r="CM221" i="5" s="1"/>
  <c r="AB168" i="5"/>
  <c r="AB170" i="5" s="1"/>
  <c r="I45" i="9"/>
  <c r="AB54" i="9"/>
  <c r="AC54" i="9" s="1"/>
  <c r="AD52" i="9"/>
  <c r="AC52" i="9"/>
  <c r="AR46" i="10"/>
  <c r="AS44" i="10"/>
  <c r="AR45" i="10"/>
  <c r="AK3" i="10"/>
  <c r="AK4" i="10" s="1"/>
  <c r="AN2" i="10"/>
  <c r="AB35" i="9"/>
  <c r="AB59" i="9"/>
  <c r="AC59" i="9" s="1"/>
  <c r="Y59" i="9"/>
  <c r="Z59" i="9" s="1"/>
  <c r="V59" i="9"/>
  <c r="W59" i="9" s="1"/>
  <c r="J59" i="9"/>
  <c r="K59" i="9" s="1"/>
  <c r="P59" i="9"/>
  <c r="Q59" i="9" s="1"/>
  <c r="M59" i="9"/>
  <c r="N59" i="9" s="1"/>
  <c r="S59" i="9"/>
  <c r="T59" i="9" s="1"/>
  <c r="AL46" i="9"/>
  <c r="AL32" i="9"/>
  <c r="AM32" i="9" s="1"/>
  <c r="AB81" i="10"/>
  <c r="AT12" i="5"/>
  <c r="AE33" i="9"/>
  <c r="AD35" i="9"/>
  <c r="AT162" i="5"/>
  <c r="AT163" i="5" s="1"/>
  <c r="AK48" i="9"/>
  <c r="AL48" i="9" s="1"/>
  <c r="AL41" i="9"/>
  <c r="AQ45" i="10"/>
  <c r="AL13" i="9" s="1"/>
  <c r="AK13" i="9"/>
  <c r="BD161" i="5" s="1"/>
  <c r="AG13" i="10"/>
  <c r="CP5" i="5"/>
  <c r="CQ2" i="5"/>
  <c r="AN3" i="5"/>
  <c r="AN4" i="5" s="1"/>
  <c r="AQ2" i="5"/>
  <c r="AW292" i="5"/>
  <c r="AP2" i="5"/>
  <c r="AM3" i="5"/>
  <c r="AM4" i="5" s="1"/>
  <c r="CS207" i="5"/>
  <c r="AS197" i="5"/>
  <c r="CS197" i="5" s="1"/>
  <c r="AP297" i="5"/>
  <c r="CR86" i="5"/>
  <c r="AP87" i="5"/>
  <c r="AS87" i="5"/>
  <c r="AX278" i="5"/>
  <c r="AY210" i="5"/>
  <c r="AK5" i="5"/>
  <c r="AU2" i="5"/>
  <c r="AR3" i="5"/>
  <c r="AR5" i="5" s="1"/>
  <c r="BK202" i="5"/>
  <c r="CY202" i="5" s="1"/>
  <c r="CX204" i="5"/>
  <c r="BI202" i="5"/>
  <c r="BI204" i="5" s="1"/>
  <c r="BJ202" i="5" s="1"/>
  <c r="BJ204" i="5" s="1"/>
  <c r="BK204" i="5" s="1"/>
  <c r="AB294" i="5"/>
  <c r="AD289" i="5"/>
  <c r="BG53" i="9" l="1"/>
  <c r="BH53" i="9"/>
  <c r="BI53" i="9" s="1"/>
  <c r="BJ53" i="9" s="1"/>
  <c r="DD114" i="5"/>
  <c r="CA114" i="5"/>
  <c r="CB114" i="5" s="1"/>
  <c r="CC114" i="5" s="1"/>
  <c r="DE114" i="5" s="1"/>
  <c r="DD115" i="5"/>
  <c r="CA115" i="5"/>
  <c r="CB115" i="5" s="1"/>
  <c r="CC115" i="5" s="1"/>
  <c r="DE115" i="5" s="1"/>
  <c r="BI23" i="10"/>
  <c r="BT301" i="5"/>
  <c r="BM97" i="5"/>
  <c r="BG23" i="10"/>
  <c r="BG28" i="10" s="1"/>
  <c r="BH23" i="10" s="1"/>
  <c r="BH28" i="10" s="1"/>
  <c r="BI28" i="10" s="1"/>
  <c r="CX13" i="5"/>
  <c r="BX117" i="5"/>
  <c r="BY117" i="5" s="1"/>
  <c r="BZ117" i="5" s="1"/>
  <c r="DC117" i="5"/>
  <c r="BY116" i="5"/>
  <c r="BZ116" i="5" s="1"/>
  <c r="AX212" i="5"/>
  <c r="BE161" i="5"/>
  <c r="CW161" i="5" s="1"/>
  <c r="AV162" i="5"/>
  <c r="CY204" i="5"/>
  <c r="BN202" i="5"/>
  <c r="CZ202" i="5" s="1"/>
  <c r="BL202" i="5"/>
  <c r="BL204" i="5" s="1"/>
  <c r="BM202" i="5" s="1"/>
  <c r="BM204" i="5" s="1"/>
  <c r="BN204" i="5" s="1"/>
  <c r="AV47" i="9"/>
  <c r="AW40" i="9"/>
  <c r="AY40" i="9" s="1"/>
  <c r="AV41" i="9"/>
  <c r="AV48" i="9" s="1"/>
  <c r="BO219" i="5"/>
  <c r="BP219" i="5" s="1"/>
  <c r="BQ219" i="5" s="1"/>
  <c r="CZ219" i="5"/>
  <c r="AC178" i="5"/>
  <c r="AL63" i="9"/>
  <c r="CN72" i="5"/>
  <c r="CN208" i="5"/>
  <c r="AD198" i="5"/>
  <c r="CN198" i="5" s="1"/>
  <c r="CN175" i="5"/>
  <c r="AD177" i="5"/>
  <c r="CN90" i="5"/>
  <c r="AD91" i="5"/>
  <c r="CN91" i="5" s="1"/>
  <c r="CN297" i="5"/>
  <c r="CN87" i="5"/>
  <c r="AF207" i="5"/>
  <c r="AF197" i="5" s="1"/>
  <c r="AE278" i="5"/>
  <c r="AE199" i="5"/>
  <c r="AD294" i="5"/>
  <c r="AD295" i="5" s="1"/>
  <c r="AG198" i="5"/>
  <c r="CO198" i="5" s="1"/>
  <c r="CO208" i="5"/>
  <c r="AN5" i="5"/>
  <c r="CW122" i="5"/>
  <c r="AP171" i="5"/>
  <c r="CR171" i="5" s="1"/>
  <c r="CS76" i="5"/>
  <c r="AS77" i="5"/>
  <c r="CS77" i="5" s="1"/>
  <c r="AP2" i="10"/>
  <c r="AM3" i="10"/>
  <c r="AM4" i="10" s="1"/>
  <c r="X24" i="9"/>
  <c r="Z21" i="9"/>
  <c r="Z24" i="9" s="1"/>
  <c r="CO72" i="5"/>
  <c r="AO91" i="5"/>
  <c r="Z18" i="9"/>
  <c r="W49" i="9"/>
  <c r="CR169" i="5"/>
  <c r="AP291" i="5"/>
  <c r="AP293" i="5" s="1"/>
  <c r="CS148" i="5"/>
  <c r="AS192" i="5"/>
  <c r="CR78" i="5"/>
  <c r="AP79" i="5"/>
  <c r="CR79" i="5" s="1"/>
  <c r="CQ192" i="5"/>
  <c r="AQ79" i="5"/>
  <c r="CO87" i="5"/>
  <c r="CO90" i="5"/>
  <c r="AG91" i="5"/>
  <c r="CO91" i="5" s="1"/>
  <c r="AP90" i="5"/>
  <c r="AP72" i="5"/>
  <c r="CR70" i="5"/>
  <c r="CP72" i="5"/>
  <c r="CQ167" i="5"/>
  <c r="O24" i="9"/>
  <c r="Q21" i="9"/>
  <c r="Q24" i="9" s="1"/>
  <c r="Y45" i="9"/>
  <c r="Y49" i="9" s="1"/>
  <c r="AM72" i="5"/>
  <c r="AM90" i="5"/>
  <c r="CQ70" i="5"/>
  <c r="CO156" i="5"/>
  <c r="CR192" i="5"/>
  <c r="AQ90" i="5"/>
  <c r="AQ72" i="5"/>
  <c r="AR192" i="5"/>
  <c r="AR155" i="5"/>
  <c r="AS155" i="5" s="1"/>
  <c r="CS155" i="5" s="1"/>
  <c r="CP297" i="5"/>
  <c r="CS62" i="5"/>
  <c r="AS70" i="5"/>
  <c r="AS63" i="5"/>
  <c r="AS290" i="5"/>
  <c r="AR143" i="5"/>
  <c r="AJ198" i="5"/>
  <c r="CP198" i="5" s="1"/>
  <c r="CP208" i="5"/>
  <c r="AS164" i="5"/>
  <c r="AI3" i="10"/>
  <c r="AI4" i="10" s="1"/>
  <c r="AL2" i="10"/>
  <c r="R45" i="9"/>
  <c r="AK168" i="5"/>
  <c r="AK170" i="5" s="1"/>
  <c r="AM170" i="5" s="1"/>
  <c r="AM171" i="5" s="1"/>
  <c r="AS143" i="5"/>
  <c r="AR290" i="5"/>
  <c r="AR70" i="5"/>
  <c r="AR63" i="5"/>
  <c r="AR78" i="5"/>
  <c r="AS78" i="5" s="1"/>
  <c r="AR89" i="5"/>
  <c r="AS89" i="5" s="1"/>
  <c r="CS89" i="5" s="1"/>
  <c r="CO297" i="5"/>
  <c r="CS218" i="5"/>
  <c r="CS167" i="5"/>
  <c r="AS221" i="5"/>
  <c r="CS221" i="5" s="1"/>
  <c r="AJ91" i="5"/>
  <c r="CP91" i="5" s="1"/>
  <c r="CP90" i="5"/>
  <c r="CP87" i="5"/>
  <c r="AN17" i="9"/>
  <c r="AO17" i="9" s="1"/>
  <c r="AY211" i="5"/>
  <c r="AY212" i="5" s="1"/>
  <c r="AX277" i="5"/>
  <c r="AX281" i="5" s="1"/>
  <c r="AG63" i="9"/>
  <c r="AG64" i="9" s="1"/>
  <c r="CR297" i="5"/>
  <c r="CS87" i="5"/>
  <c r="CR87" i="5"/>
  <c r="K45" i="9"/>
  <c r="I60" i="9"/>
  <c r="I49" i="9"/>
  <c r="K49" i="9" s="1"/>
  <c r="AN32" i="9"/>
  <c r="AQ2" i="10"/>
  <c r="AN3" i="10"/>
  <c r="AN4" i="10" s="1"/>
  <c r="AE52" i="9"/>
  <c r="AD54" i="9"/>
  <c r="AB82" i="10"/>
  <c r="AF8" i="10"/>
  <c r="AF16" i="10"/>
  <c r="AF18" i="10" s="1"/>
  <c r="AC35" i="9"/>
  <c r="AM13" i="9"/>
  <c r="BF161" i="5" s="1"/>
  <c r="AC81" i="10"/>
  <c r="AH10" i="10"/>
  <c r="AG33" i="9"/>
  <c r="AF33" i="9"/>
  <c r="AM41" i="9"/>
  <c r="AM48" i="9" s="1"/>
  <c r="AM46" i="9"/>
  <c r="AS46" i="10"/>
  <c r="AT46" i="10" s="1"/>
  <c r="AU44" i="10"/>
  <c r="AS45" i="10"/>
  <c r="AC289" i="5"/>
  <c r="AC294" i="5" s="1"/>
  <c r="AC295" i="5" s="1"/>
  <c r="AB295" i="5"/>
  <c r="CQ5" i="5"/>
  <c r="CR2" i="5"/>
  <c r="AT2" i="5"/>
  <c r="AQ3" i="5"/>
  <c r="AQ4" i="5" s="1"/>
  <c r="AS3" i="5"/>
  <c r="AS4" i="5" s="1"/>
  <c r="AR4" i="5"/>
  <c r="AY278" i="5"/>
  <c r="CU199" i="5"/>
  <c r="CU210" i="5"/>
  <c r="AZ207" i="5"/>
  <c r="BB207" i="5"/>
  <c r="AM5" i="5"/>
  <c r="AX2" i="5"/>
  <c r="AU3" i="5"/>
  <c r="AU4" i="5" s="1"/>
  <c r="AP3" i="5"/>
  <c r="AP4" i="5" s="1"/>
  <c r="AS2" i="5"/>
  <c r="DD117" i="5" l="1"/>
  <c r="CA117" i="5"/>
  <c r="CB117" i="5" s="1"/>
  <c r="CC117" i="5" s="1"/>
  <c r="DE117" i="5" s="1"/>
  <c r="DD116" i="5"/>
  <c r="CA116" i="5"/>
  <c r="CB116" i="5" s="1"/>
  <c r="CC116" i="5" s="1"/>
  <c r="DE116" i="5" s="1"/>
  <c r="BL23" i="10"/>
  <c r="BW301" i="5"/>
  <c r="BJ23" i="10"/>
  <c r="BJ28" i="10" s="1"/>
  <c r="BK23" i="10" s="1"/>
  <c r="BK28" i="10" s="1"/>
  <c r="BL28" i="10" s="1"/>
  <c r="BN97" i="5"/>
  <c r="AS168" i="5"/>
  <c r="CS168" i="5" s="1"/>
  <c r="BR219" i="5"/>
  <c r="BS219" i="5" s="1"/>
  <c r="BT219" i="5" s="1"/>
  <c r="DA219" i="5"/>
  <c r="AY47" i="9"/>
  <c r="AZ40" i="9"/>
  <c r="BB40" i="9" s="1"/>
  <c r="AY41" i="9"/>
  <c r="AY48" i="9" s="1"/>
  <c r="AE289" i="5"/>
  <c r="AE294" i="5" s="1"/>
  <c r="AU162" i="5"/>
  <c r="AU163" i="5" s="1"/>
  <c r="AV163" i="5" s="1"/>
  <c r="CT163" i="5" s="1"/>
  <c r="AW47" i="9"/>
  <c r="AX40" i="9"/>
  <c r="AX47" i="9" s="1"/>
  <c r="AW41" i="9"/>
  <c r="BQ202" i="5"/>
  <c r="DA202" i="5" s="1"/>
  <c r="BO202" i="5"/>
  <c r="BO204" i="5" s="1"/>
  <c r="BP202" i="5" s="1"/>
  <c r="BP204" i="5" s="1"/>
  <c r="BQ204" i="5" s="1"/>
  <c r="DA204" i="5" s="1"/>
  <c r="CZ204" i="5"/>
  <c r="CW103" i="5"/>
  <c r="K74" i="9"/>
  <c r="AD178" i="5"/>
  <c r="CN177" i="5"/>
  <c r="AE176" i="5"/>
  <c r="AE177" i="5" s="1"/>
  <c r="AG176" i="5"/>
  <c r="CO176" i="5" s="1"/>
  <c r="AQ5" i="5"/>
  <c r="AY277" i="5"/>
  <c r="AY281" i="5" s="1"/>
  <c r="AY276" i="5"/>
  <c r="CQ171" i="5"/>
  <c r="CS78" i="5"/>
  <c r="AS79" i="5"/>
  <c r="CS79" i="5" s="1"/>
  <c r="AS72" i="5"/>
  <c r="AS90" i="5"/>
  <c r="CS70" i="5"/>
  <c r="CQ72" i="5"/>
  <c r="CS192" i="5"/>
  <c r="AP3" i="10"/>
  <c r="AP4" i="10" s="1"/>
  <c r="AS2" i="10"/>
  <c r="AV302" i="5"/>
  <c r="AH19" i="10"/>
  <c r="AR72" i="5"/>
  <c r="AR90" i="5"/>
  <c r="T45" i="9"/>
  <c r="R60" i="9"/>
  <c r="R49" i="9"/>
  <c r="T49" i="9" s="1"/>
  <c r="AP5" i="5"/>
  <c r="DG24" i="5"/>
  <c r="AO2" i="10"/>
  <c r="AL3" i="10"/>
  <c r="AL4" i="10" s="1"/>
  <c r="CS164" i="5"/>
  <c r="AQ91" i="5"/>
  <c r="CR72" i="5"/>
  <c r="AR79" i="5"/>
  <c r="CS143" i="5"/>
  <c r="AT139" i="5"/>
  <c r="AV139" i="5" s="1"/>
  <c r="CT139" i="5" s="1"/>
  <c r="CQ90" i="5"/>
  <c r="AM91" i="5"/>
  <c r="CQ91" i="5" s="1"/>
  <c r="AH168" i="5"/>
  <c r="AH170" i="5" s="1"/>
  <c r="O45" i="9"/>
  <c r="CR90" i="5"/>
  <c r="AP91" i="5"/>
  <c r="CR91" i="5" s="1"/>
  <c r="X26" i="9"/>
  <c r="AQ168" i="5"/>
  <c r="AQ170" i="5" s="1"/>
  <c r="AS170" i="5" s="1"/>
  <c r="X45" i="9"/>
  <c r="AP17" i="9"/>
  <c r="BI13" i="5"/>
  <c r="AW33" i="10"/>
  <c r="AU34" i="10"/>
  <c r="AU36" i="10" s="1"/>
  <c r="BJ13" i="5"/>
  <c r="AV34" i="10"/>
  <c r="AV36" i="10" s="1"/>
  <c r="CU211" i="5"/>
  <c r="CU277" i="5" s="1"/>
  <c r="CU281" i="5" s="1"/>
  <c r="AU12" i="5"/>
  <c r="AG19" i="10"/>
  <c r="AZ71" i="5"/>
  <c r="BB104" i="5"/>
  <c r="AH63" i="9"/>
  <c r="CT162" i="5"/>
  <c r="CU278" i="5"/>
  <c r="AE35" i="9"/>
  <c r="AE59" i="9"/>
  <c r="AF59" i="9" s="1"/>
  <c r="AX44" i="10"/>
  <c r="AU46" i="10"/>
  <c r="AU45" i="10"/>
  <c r="AN41" i="9"/>
  <c r="AN46" i="9"/>
  <c r="AE54" i="9"/>
  <c r="AF54" i="9" s="1"/>
  <c r="AG52" i="9"/>
  <c r="AF52" i="9"/>
  <c r="AQ3" i="10"/>
  <c r="AQ4" i="10" s="1"/>
  <c r="AT2" i="10"/>
  <c r="AO32" i="9"/>
  <c r="AP32" i="9" s="1"/>
  <c r="AT45" i="10"/>
  <c r="AO13" i="9" s="1"/>
  <c r="BH161" i="5" s="1"/>
  <c r="CX161" i="5" s="1"/>
  <c r="AN13" i="9"/>
  <c r="BG161" i="5" s="1"/>
  <c r="AH33" i="9"/>
  <c r="AH34" i="9" s="1"/>
  <c r="AI34" i="9" s="1"/>
  <c r="AG35" i="9"/>
  <c r="AH8" i="10"/>
  <c r="AC82" i="10"/>
  <c r="AG8" i="10"/>
  <c r="AG16" i="10"/>
  <c r="AH16" i="10" s="1"/>
  <c r="AH12" i="10"/>
  <c r="AH13" i="10" s="1"/>
  <c r="AV303" i="5" s="1"/>
  <c r="AI13" i="10"/>
  <c r="BE118" i="5"/>
  <c r="CW118" i="5" s="1"/>
  <c r="CW113" i="5"/>
  <c r="AT3" i="5"/>
  <c r="AT4" i="5" s="1"/>
  <c r="AW2" i="5"/>
  <c r="AS5" i="5"/>
  <c r="AV2" i="5"/>
  <c r="AU5" i="5"/>
  <c r="CV207" i="5"/>
  <c r="CV197" i="5"/>
  <c r="AX3" i="5"/>
  <c r="AX4" i="5" s="1"/>
  <c r="BA2" i="5"/>
  <c r="CR5" i="5"/>
  <c r="CS2" i="5"/>
  <c r="CT2" i="5" s="1"/>
  <c r="CU2" i="5" s="1"/>
  <c r="CV2" i="5" s="1"/>
  <c r="CW2" i="5" s="1"/>
  <c r="CX2" i="5" s="1"/>
  <c r="CY2" i="5" s="1"/>
  <c r="CZ2" i="5" s="1"/>
  <c r="DA2" i="5" s="1"/>
  <c r="DB2" i="5" s="1"/>
  <c r="DC2" i="5" s="1"/>
  <c r="DD2" i="5" s="1"/>
  <c r="DE2" i="5" s="1"/>
  <c r="BZ301" i="5" l="1"/>
  <c r="BM23" i="10"/>
  <c r="BM28" i="10" s="1"/>
  <c r="BN23" i="10" s="1"/>
  <c r="BN28" i="10" s="1"/>
  <c r="BO28" i="10" s="1"/>
  <c r="CC301" i="5" s="1"/>
  <c r="BO23" i="10"/>
  <c r="BO97" i="5"/>
  <c r="CZ97" i="5"/>
  <c r="BC40" i="9"/>
  <c r="BB47" i="9"/>
  <c r="BB41" i="9"/>
  <c r="BB48" i="9" s="1"/>
  <c r="DB219" i="5"/>
  <c r="BU219" i="5"/>
  <c r="BV219" i="5" s="1"/>
  <c r="BW219" i="5" s="1"/>
  <c r="AS171" i="5"/>
  <c r="CS171" i="5" s="1"/>
  <c r="AZ47" i="9"/>
  <c r="BA40" i="9"/>
  <c r="BA47" i="9" s="1"/>
  <c r="AZ41" i="9"/>
  <c r="AG289" i="5"/>
  <c r="AG294" i="5" s="1"/>
  <c r="AG295" i="5" s="1"/>
  <c r="BT202" i="5"/>
  <c r="DB202" i="5" s="1"/>
  <c r="BR202" i="5"/>
  <c r="BR204" i="5" s="1"/>
  <c r="BS202" i="5" s="1"/>
  <c r="BS204" i="5" s="1"/>
  <c r="BT204" i="5" s="1"/>
  <c r="AM63" i="9"/>
  <c r="AM64" i="9" s="1"/>
  <c r="BA71" i="5"/>
  <c r="AH64" i="9"/>
  <c r="AI64" i="9" s="1"/>
  <c r="CX96" i="5"/>
  <c r="BH122" i="5"/>
  <c r="AY44" i="10"/>
  <c r="AX46" i="10"/>
  <c r="AX45" i="10"/>
  <c r="AS13" i="9" s="1"/>
  <c r="BL161" i="5" s="1"/>
  <c r="AW48" i="9"/>
  <c r="AX48" i="9" s="1"/>
  <c r="AX41" i="9"/>
  <c r="AZ84" i="5"/>
  <c r="AF176" i="5"/>
  <c r="AE95" i="5"/>
  <c r="AE178" i="5" s="1"/>
  <c r="AR2" i="10"/>
  <c r="AO3" i="10"/>
  <c r="AO4" i="10" s="1"/>
  <c r="DG25" i="5"/>
  <c r="DG27" i="5"/>
  <c r="AR91" i="5"/>
  <c r="X49" i="9"/>
  <c r="Z45" i="9"/>
  <c r="AS3" i="10"/>
  <c r="AS4" i="10" s="1"/>
  <c r="AV2" i="10"/>
  <c r="AS91" i="5"/>
  <c r="CS91" i="5" s="1"/>
  <c r="CS90" i="5"/>
  <c r="O49" i="9"/>
  <c r="O60" i="9"/>
  <c r="AV159" i="5"/>
  <c r="CT159" i="5" s="1"/>
  <c r="CS72" i="5"/>
  <c r="X60" i="9"/>
  <c r="Y11" i="9"/>
  <c r="X58" i="9"/>
  <c r="AQ17" i="9"/>
  <c r="AS17" i="9" s="1"/>
  <c r="AW36" i="10"/>
  <c r="BK13" i="5"/>
  <c r="AW37" i="10"/>
  <c r="AW34" i="10"/>
  <c r="CU276" i="5"/>
  <c r="CV104" i="5"/>
  <c r="AI63" i="9"/>
  <c r="AI66" i="9"/>
  <c r="BB71" i="5" s="1"/>
  <c r="CV71" i="5" s="1"/>
  <c r="AV12" i="5"/>
  <c r="AT8" i="5"/>
  <c r="AJ33" i="9"/>
  <c r="AJ34" i="9" s="1"/>
  <c r="AI33" i="9"/>
  <c r="AQ32" i="9"/>
  <c r="AP13" i="9"/>
  <c r="AD81" i="10"/>
  <c r="AG18" i="10"/>
  <c r="AH18" i="10" s="1"/>
  <c r="AG54" i="9"/>
  <c r="AH52" i="9"/>
  <c r="AF35" i="9"/>
  <c r="AT3" i="10"/>
  <c r="AT4" i="10" s="1"/>
  <c r="AW2" i="10"/>
  <c r="AO46" i="9"/>
  <c r="AW162" i="5"/>
  <c r="AO41" i="9"/>
  <c r="AN48" i="9"/>
  <c r="AO48" i="9" s="1"/>
  <c r="AV46" i="10"/>
  <c r="AW46" i="10" s="1"/>
  <c r="AV45" i="10"/>
  <c r="AJ13" i="10"/>
  <c r="AZ278" i="5"/>
  <c r="BA207" i="5"/>
  <c r="BA197" i="5"/>
  <c r="BA3" i="5"/>
  <c r="BA4" i="5" s="1"/>
  <c r="BD2" i="5"/>
  <c r="AW3" i="5"/>
  <c r="AW4" i="5" s="1"/>
  <c r="AZ2" i="5"/>
  <c r="AF289" i="5"/>
  <c r="AF294" i="5" s="1"/>
  <c r="AF295" i="5" s="1"/>
  <c r="AE295" i="5"/>
  <c r="AV3" i="5"/>
  <c r="AV4" i="5" s="1"/>
  <c r="AY2" i="5"/>
  <c r="AX5" i="5"/>
  <c r="AT5" i="5"/>
  <c r="BP97" i="5" l="1"/>
  <c r="CY13" i="5"/>
  <c r="BX219" i="5"/>
  <c r="BY219" i="5" s="1"/>
  <c r="BZ219" i="5" s="1"/>
  <c r="DC219" i="5"/>
  <c r="BE40" i="9"/>
  <c r="BC41" i="9"/>
  <c r="BD40" i="9"/>
  <c r="BD47" i="9" s="1"/>
  <c r="BC47" i="9"/>
  <c r="DB204" i="5"/>
  <c r="BW202" i="5"/>
  <c r="DC202" i="5" s="1"/>
  <c r="BU202" i="5"/>
  <c r="BU204" i="5" s="1"/>
  <c r="BV202" i="5" s="1"/>
  <c r="BV204" i="5" s="1"/>
  <c r="BW204" i="5" s="1"/>
  <c r="DC204" i="5" s="1"/>
  <c r="AH289" i="5"/>
  <c r="AH294" i="5" s="1"/>
  <c r="BA41" i="9"/>
  <c r="AZ48" i="9"/>
  <c r="BA48" i="9" s="1"/>
  <c r="AY33" i="10"/>
  <c r="CX122" i="5"/>
  <c r="AN63" i="9"/>
  <c r="AN64" i="9" s="1"/>
  <c r="AO64" i="9" s="1"/>
  <c r="AV164" i="5"/>
  <c r="CT164" i="5" s="1"/>
  <c r="AT17" i="9"/>
  <c r="AW3" i="10"/>
  <c r="AW4" i="10" s="1"/>
  <c r="AZ2" i="10"/>
  <c r="AV3" i="10"/>
  <c r="AV4" i="10" s="1"/>
  <c r="AY2" i="10"/>
  <c r="AY46" i="10"/>
  <c r="AZ46" i="10" s="1"/>
  <c r="BA44" i="10"/>
  <c r="AY45" i="10"/>
  <c r="AE185" i="5"/>
  <c r="L74" i="9"/>
  <c r="AE99" i="5"/>
  <c r="AE110" i="5" s="1"/>
  <c r="AW163" i="5"/>
  <c r="AW12" i="5"/>
  <c r="Y58" i="9"/>
  <c r="Y38" i="9"/>
  <c r="X57" i="9"/>
  <c r="Z49" i="9"/>
  <c r="AR3" i="10"/>
  <c r="AR4" i="10" s="1"/>
  <c r="AU2" i="10"/>
  <c r="AR17" i="9"/>
  <c r="CT12" i="5"/>
  <c r="AT68" i="5"/>
  <c r="AT61" i="5"/>
  <c r="AI52" i="9"/>
  <c r="AH54" i="9"/>
  <c r="AI54" i="9" s="1"/>
  <c r="AJ52" i="9"/>
  <c r="AR32" i="9"/>
  <c r="AT32" i="9" s="1"/>
  <c r="AU32" i="9" s="1"/>
  <c r="AV32" i="9" s="1"/>
  <c r="AW32" i="9" s="1"/>
  <c r="AX32" i="9" s="1"/>
  <c r="AY32" i="9" s="1"/>
  <c r="AZ32" i="9" s="1"/>
  <c r="BA32" i="9" s="1"/>
  <c r="BB32" i="9" s="1"/>
  <c r="BC32" i="9" s="1"/>
  <c r="BD32" i="9" s="1"/>
  <c r="BE32" i="9" s="1"/>
  <c r="BF32" i="9" s="1"/>
  <c r="BG32" i="9" s="1"/>
  <c r="BH32" i="9" s="1"/>
  <c r="AK33" i="9"/>
  <c r="AK34" i="9" s="1"/>
  <c r="AJ35" i="9"/>
  <c r="AD82" i="10"/>
  <c r="AI16" i="10"/>
  <c r="AE81" i="10"/>
  <c r="AJ14" i="10"/>
  <c r="AK10" i="10"/>
  <c r="AP41" i="9"/>
  <c r="AP48" i="9" s="1"/>
  <c r="AH59" i="9"/>
  <c r="AI59" i="9" s="1"/>
  <c r="AH35" i="9"/>
  <c r="AW45" i="10"/>
  <c r="AR13" i="9" s="1"/>
  <c r="AQ13" i="9"/>
  <c r="BJ161" i="5" s="1"/>
  <c r="BK161" i="5" s="1"/>
  <c r="AV5" i="5"/>
  <c r="BC2" i="5"/>
  <c r="AZ3" i="5"/>
  <c r="AZ4" i="5" s="1"/>
  <c r="BD3" i="5"/>
  <c r="BD4" i="5" s="1"/>
  <c r="BG2" i="5"/>
  <c r="BA208" i="5"/>
  <c r="BB2" i="5"/>
  <c r="AY3" i="5"/>
  <c r="AY4" i="5" s="1"/>
  <c r="AW5" i="5"/>
  <c r="AZ277" i="5"/>
  <c r="AZ281" i="5" s="1"/>
  <c r="AZ276" i="5"/>
  <c r="BA5" i="5"/>
  <c r="BI32" i="9" l="1"/>
  <c r="DD219" i="5"/>
  <c r="CA219" i="5"/>
  <c r="CB219" i="5" s="1"/>
  <c r="CC219" i="5" s="1"/>
  <c r="DE219" i="5" s="1"/>
  <c r="BQ97" i="5"/>
  <c r="BE47" i="9"/>
  <c r="BF40" i="9"/>
  <c r="BH40" i="9" s="1"/>
  <c r="BE41" i="9"/>
  <c r="BE48" i="9" s="1"/>
  <c r="BC48" i="9"/>
  <c r="BD48" i="9" s="1"/>
  <c r="BD41" i="9"/>
  <c r="CY161" i="5"/>
  <c r="AJ289" i="5"/>
  <c r="AJ294" i="5" s="1"/>
  <c r="AK289" i="5" s="1"/>
  <c r="BZ202" i="5"/>
  <c r="DD202" i="5" s="1"/>
  <c r="BX202" i="5"/>
  <c r="BX204" i="5" s="1"/>
  <c r="BY202" i="5" s="1"/>
  <c r="BY204" i="5" s="1"/>
  <c r="BZ204" i="5" s="1"/>
  <c r="AO63" i="9"/>
  <c r="CX103" i="5"/>
  <c r="AY3" i="10"/>
  <c r="AY4" i="10" s="1"/>
  <c r="BB2" i="10"/>
  <c r="AT13" i="9"/>
  <c r="BM161" i="5" s="1"/>
  <c r="BN161" i="5" s="1"/>
  <c r="AZ45" i="10"/>
  <c r="AU13" i="9" s="1"/>
  <c r="AU17" i="9"/>
  <c r="AV17" i="9"/>
  <c r="BM163" i="5"/>
  <c r="AU3" i="10"/>
  <c r="AU4" i="10" s="1"/>
  <c r="AX2" i="10"/>
  <c r="BB44" i="10"/>
  <c r="BD44" i="10" s="1"/>
  <c r="BA46" i="10"/>
  <c r="BA45" i="10"/>
  <c r="AZ3" i="10"/>
  <c r="AZ4" i="10" s="1"/>
  <c r="BC2" i="10"/>
  <c r="BB198" i="5"/>
  <c r="AZ33" i="10"/>
  <c r="BL13" i="5"/>
  <c r="AX34" i="10"/>
  <c r="AX36" i="10" s="1"/>
  <c r="BM13" i="5"/>
  <c r="AY34" i="10"/>
  <c r="AY36" i="10" s="1"/>
  <c r="AE191" i="5"/>
  <c r="AE135" i="5"/>
  <c r="AE127" i="5"/>
  <c r="AE182" i="5" s="1"/>
  <c r="AE187" i="5"/>
  <c r="AE186" i="5"/>
  <c r="AH186" i="5"/>
  <c r="AX12" i="5"/>
  <c r="AJ19" i="10"/>
  <c r="Y60" i="9"/>
  <c r="Y42" i="9"/>
  <c r="Z38" i="9"/>
  <c r="AI19" i="10"/>
  <c r="BD5" i="5"/>
  <c r="BC71" i="5"/>
  <c r="BD71" i="5"/>
  <c r="AU8" i="5"/>
  <c r="CT9" i="5"/>
  <c r="AA14" i="9"/>
  <c r="AT154" i="5" s="1"/>
  <c r="AK8" i="10"/>
  <c r="AY302" i="5"/>
  <c r="AT153" i="5"/>
  <c r="AI35" i="9"/>
  <c r="AL33" i="9"/>
  <c r="AL34" i="9" s="1"/>
  <c r="AM33" i="9"/>
  <c r="AM34" i="9" s="1"/>
  <c r="AJ54" i="9"/>
  <c r="AK52" i="9"/>
  <c r="AQ41" i="9"/>
  <c r="AQ46" i="9"/>
  <c r="AE82" i="10"/>
  <c r="AK12" i="10"/>
  <c r="AK13" i="10" s="1"/>
  <c r="AJ16" i="10"/>
  <c r="AK16" i="10" s="1"/>
  <c r="AI18" i="10"/>
  <c r="AH295" i="5"/>
  <c r="AI289" i="5"/>
  <c r="AI294" i="5" s="1"/>
  <c r="AI295" i="5" s="1"/>
  <c r="BJ2" i="5"/>
  <c r="BM2" i="5" s="1"/>
  <c r="BP2" i="5" s="1"/>
  <c r="BS2" i="5" s="1"/>
  <c r="BV2" i="5" s="1"/>
  <c r="BG3" i="5"/>
  <c r="BG4" i="5" s="1"/>
  <c r="BF2" i="5"/>
  <c r="BC3" i="5"/>
  <c r="BC4" i="5" s="1"/>
  <c r="BH118" i="5"/>
  <c r="CX118" i="5" s="1"/>
  <c r="CX113" i="5"/>
  <c r="BB3" i="5"/>
  <c r="BB4" i="5" s="1"/>
  <c r="BE2" i="5"/>
  <c r="AZ5" i="5"/>
  <c r="BI40" i="9" l="1"/>
  <c r="BH47" i="9"/>
  <c r="BH41" i="9"/>
  <c r="BH48" i="9" s="1"/>
  <c r="BJ32" i="9"/>
  <c r="CZ161" i="5"/>
  <c r="DD204" i="5"/>
  <c r="CC202" i="5"/>
  <c r="DE202" i="5" s="1"/>
  <c r="CA202" i="5"/>
  <c r="CA204" i="5" s="1"/>
  <c r="CB202" i="5" s="1"/>
  <c r="CB204" i="5" s="1"/>
  <c r="CC204" i="5" s="1"/>
  <c r="DE204" i="5" s="1"/>
  <c r="DA97" i="5"/>
  <c r="BR97" i="5"/>
  <c r="BS97" i="5" s="1"/>
  <c r="BT97" i="5" s="1"/>
  <c r="BF41" i="9"/>
  <c r="BF47" i="9"/>
  <c r="BG40" i="9"/>
  <c r="BG47" i="9" s="1"/>
  <c r="AJ295" i="5"/>
  <c r="BY2" i="5"/>
  <c r="CB2" i="5" s="1"/>
  <c r="BV3" i="5"/>
  <c r="BV4" i="5" s="1"/>
  <c r="BE44" i="10"/>
  <c r="BG44" i="10" s="1"/>
  <c r="BD45" i="10"/>
  <c r="AY13" i="9" s="1"/>
  <c r="BD46" i="10"/>
  <c r="BC3" i="10"/>
  <c r="BC4" i="10" s="1"/>
  <c r="BF2" i="10"/>
  <c r="BB3" i="10"/>
  <c r="BB4" i="10" s="1"/>
  <c r="BE2" i="10"/>
  <c r="CY96" i="5"/>
  <c r="BS3" i="5"/>
  <c r="BS4" i="5" s="1"/>
  <c r="AP63" i="9"/>
  <c r="AP64" i="9" s="1"/>
  <c r="BP3" i="5"/>
  <c r="BP4" i="5" s="1"/>
  <c r="BB46" i="10"/>
  <c r="BC46" i="10" s="1"/>
  <c r="BB45" i="10"/>
  <c r="AW13" i="9" s="1"/>
  <c r="BP161" i="5" s="1"/>
  <c r="AW17" i="9"/>
  <c r="BO163" i="5"/>
  <c r="AV13" i="9"/>
  <c r="BO161" i="5" s="1"/>
  <c r="BA2" i="10"/>
  <c r="AX3" i="10"/>
  <c r="AX4" i="10" s="1"/>
  <c r="BM3" i="5"/>
  <c r="BM4" i="5" s="1"/>
  <c r="CV198" i="5"/>
  <c r="AR46" i="9"/>
  <c r="BB208" i="5"/>
  <c r="CV208" i="5" s="1"/>
  <c r="AZ36" i="10"/>
  <c r="BN13" i="5"/>
  <c r="CZ13" i="5" s="1"/>
  <c r="AZ37" i="10"/>
  <c r="AZ34" i="10"/>
  <c r="AE188" i="5"/>
  <c r="AH188" i="5"/>
  <c r="AH183" i="5"/>
  <c r="AE183" i="5"/>
  <c r="CU159" i="5"/>
  <c r="CU10" i="5"/>
  <c r="DF10" i="5" s="1"/>
  <c r="AK14" i="10"/>
  <c r="AK19" i="10" s="1"/>
  <c r="Z42" i="9"/>
  <c r="Z57" i="9" s="1"/>
  <c r="Y57" i="9"/>
  <c r="BG5" i="5"/>
  <c r="AY303" i="5"/>
  <c r="CW104" i="5"/>
  <c r="AL66" i="9"/>
  <c r="BE71" i="5" s="1"/>
  <c r="CW71" i="5" s="1"/>
  <c r="AU68" i="5"/>
  <c r="AU61" i="5"/>
  <c r="AV61" i="5" s="1"/>
  <c r="CT11" i="5"/>
  <c r="AV8" i="5"/>
  <c r="AY12" i="5"/>
  <c r="AZ162" i="5"/>
  <c r="AZ163" i="5" s="1"/>
  <c r="AX162" i="5"/>
  <c r="AX163" i="5" s="1"/>
  <c r="AY163" i="5" s="1"/>
  <c r="CU163" i="5" s="1"/>
  <c r="AR41" i="9"/>
  <c r="AQ48" i="9"/>
  <c r="AR48" i="9" s="1"/>
  <c r="AK59" i="9"/>
  <c r="AL59" i="9" s="1"/>
  <c r="AK35" i="9"/>
  <c r="AN33" i="9"/>
  <c r="AN34" i="9" s="1"/>
  <c r="AM35" i="9"/>
  <c r="AJ18" i="10"/>
  <c r="AK18" i="10" s="1"/>
  <c r="AK54" i="9"/>
  <c r="AL54" i="9" s="1"/>
  <c r="AM52" i="9"/>
  <c r="AL52" i="9"/>
  <c r="AF81" i="10"/>
  <c r="BF3" i="5"/>
  <c r="BF4" i="5" s="1"/>
  <c r="BI2" i="5"/>
  <c r="BL2" i="5" s="1"/>
  <c r="BO2" i="5" s="1"/>
  <c r="BR2" i="5" s="1"/>
  <c r="BU2" i="5" s="1"/>
  <c r="BB5" i="5"/>
  <c r="AK294" i="5"/>
  <c r="AM289" i="5"/>
  <c r="AM294" i="5" s="1"/>
  <c r="BE3" i="5"/>
  <c r="BE4" i="5" s="1"/>
  <c r="BH2" i="5"/>
  <c r="BC5" i="5"/>
  <c r="BJ4" i="5"/>
  <c r="BI47" i="9" l="1"/>
  <c r="BI41" i="9"/>
  <c r="BJ40" i="9"/>
  <c r="BJ47" i="9" s="1"/>
  <c r="CB3" i="5"/>
  <c r="CB4" i="5" s="1"/>
  <c r="CB5" i="5"/>
  <c r="BU97" i="5"/>
  <c r="BV97" i="5" s="1"/>
  <c r="BW97" i="5" s="1"/>
  <c r="DB97" i="5"/>
  <c r="BF48" i="9"/>
  <c r="BG48" i="9" s="1"/>
  <c r="BG41" i="9"/>
  <c r="BE3" i="10"/>
  <c r="BE4" i="10" s="1"/>
  <c r="BH2" i="10"/>
  <c r="BF3" i="10"/>
  <c r="BF4" i="10" s="1"/>
  <c r="BI2" i="10"/>
  <c r="BM96" i="5"/>
  <c r="CY122" i="5"/>
  <c r="BG46" i="10"/>
  <c r="BG45" i="10"/>
  <c r="BB13" i="9" s="1"/>
  <c r="BH44" i="10"/>
  <c r="BU3" i="5"/>
  <c r="BU4" i="5" s="1"/>
  <c r="BX2" i="5"/>
  <c r="CA2" i="5" s="1"/>
  <c r="BV5" i="5"/>
  <c r="BY3" i="5"/>
  <c r="BY4" i="5" s="1"/>
  <c r="BM5" i="5"/>
  <c r="BS5" i="5"/>
  <c r="BR161" i="5"/>
  <c r="AY22" i="9"/>
  <c r="BA3" i="10"/>
  <c r="BA4" i="10" s="1"/>
  <c r="BD2" i="10"/>
  <c r="BE45" i="10"/>
  <c r="BE46" i="10"/>
  <c r="BF46" i="10" s="1"/>
  <c r="BP163" i="5"/>
  <c r="BQ163" i="5" s="1"/>
  <c r="DA163" i="5" s="1"/>
  <c r="AY17" i="9"/>
  <c r="BP5" i="5"/>
  <c r="BB37" i="10"/>
  <c r="BB33" i="10" s="1"/>
  <c r="BR3" i="5"/>
  <c r="BR4" i="5" s="1"/>
  <c r="AQ63" i="9"/>
  <c r="AQ64" i="9" s="1"/>
  <c r="AR64" i="9" s="1"/>
  <c r="AT64" i="9" s="1"/>
  <c r="AU64" i="9" s="1"/>
  <c r="AV64" i="9" s="1"/>
  <c r="AW64" i="9" s="1"/>
  <c r="AX64" i="9" s="1"/>
  <c r="AY64" i="9" s="1"/>
  <c r="AZ64" i="9" s="1"/>
  <c r="BA64" i="9" s="1"/>
  <c r="BB64" i="9" s="1"/>
  <c r="BC64" i="9" s="1"/>
  <c r="BD64" i="9" s="1"/>
  <c r="BE64" i="9" s="1"/>
  <c r="BF64" i="9" s="1"/>
  <c r="BG64" i="9" s="1"/>
  <c r="BH64" i="9" s="1"/>
  <c r="BI64" i="9" s="1"/>
  <c r="BJ64" i="9" s="1"/>
  <c r="BC45" i="10"/>
  <c r="AX13" i="9" s="1"/>
  <c r="BQ161" i="5" s="1"/>
  <c r="DA161" i="5" s="1"/>
  <c r="BO3" i="5"/>
  <c r="BO4" i="5" s="1"/>
  <c r="AX17" i="9"/>
  <c r="BL3" i="5"/>
  <c r="BL4" i="5" s="1"/>
  <c r="AL14" i="10"/>
  <c r="AL19" i="10" s="1"/>
  <c r="AL16" i="10"/>
  <c r="AL18" i="10" s="1"/>
  <c r="AS46" i="9"/>
  <c r="AS41" i="9"/>
  <c r="AS48" i="9" s="1"/>
  <c r="BB210" i="5"/>
  <c r="BA84" i="5"/>
  <c r="BA278" i="5"/>
  <c r="AY162" i="5"/>
  <c r="AY164" i="5" s="1"/>
  <c r="CU164" i="5" s="1"/>
  <c r="AZ12" i="5"/>
  <c r="AU153" i="5"/>
  <c r="AW8" i="5"/>
  <c r="AV68" i="5"/>
  <c r="AC14" i="9" s="1"/>
  <c r="AB14" i="9"/>
  <c r="AU154" i="5" s="1"/>
  <c r="AV154" i="5" s="1"/>
  <c r="CT154" i="5" s="1"/>
  <c r="CT61" i="5"/>
  <c r="AV153" i="5"/>
  <c r="CT153" i="5" s="1"/>
  <c r="CU12" i="5"/>
  <c r="CT14" i="5"/>
  <c r="CT8" i="5"/>
  <c r="AF82" i="10"/>
  <c r="AM54" i="9"/>
  <c r="AN52" i="9"/>
  <c r="AG81" i="10"/>
  <c r="AN10" i="10"/>
  <c r="AP33" i="9"/>
  <c r="AP34" i="9" s="1"/>
  <c r="AO33" i="9"/>
  <c r="AO34" i="9" s="1"/>
  <c r="AL35" i="9"/>
  <c r="BF5" i="5"/>
  <c r="BJ5" i="5"/>
  <c r="BK2" i="5"/>
  <c r="BN2" i="5" s="1"/>
  <c r="BQ2" i="5" s="1"/>
  <c r="BT2" i="5" s="1"/>
  <c r="BW2" i="5" s="1"/>
  <c r="BH3" i="5"/>
  <c r="BH4" i="5" s="1"/>
  <c r="AN289" i="5"/>
  <c r="AM295" i="5"/>
  <c r="BI4" i="5"/>
  <c r="AK295" i="5"/>
  <c r="AL289" i="5"/>
  <c r="AL294" i="5" s="1"/>
  <c r="AL295" i="5" s="1"/>
  <c r="BJ41" i="9" l="1"/>
  <c r="BI48" i="9"/>
  <c r="BJ48" i="9" s="1"/>
  <c r="CA3" i="5"/>
  <c r="CA4" i="5" s="1"/>
  <c r="CA5" i="5"/>
  <c r="BX97" i="5"/>
  <c r="BY97" i="5" s="1"/>
  <c r="BZ97" i="5" s="1"/>
  <c r="DC97" i="5"/>
  <c r="BI3" i="10"/>
  <c r="BI4" i="10" s="1"/>
  <c r="BL2" i="10"/>
  <c r="BU5" i="5"/>
  <c r="BH3" i="10"/>
  <c r="BH4" i="10" s="1"/>
  <c r="BK2" i="10"/>
  <c r="BD3" i="10"/>
  <c r="BD4" i="10" s="1"/>
  <c r="BG2" i="10"/>
  <c r="BY5" i="5"/>
  <c r="BN96" i="5"/>
  <c r="BH46" i="10"/>
  <c r="BI46" i="10" s="1"/>
  <c r="BJ44" i="10"/>
  <c r="BH45" i="10"/>
  <c r="BU161" i="5"/>
  <c r="BB22" i="9"/>
  <c r="BX3" i="5"/>
  <c r="BX4" i="5" s="1"/>
  <c r="BZ2" i="5"/>
  <c r="CC2" i="5" s="1"/>
  <c r="BW3" i="5"/>
  <c r="BW4" i="5" s="1"/>
  <c r="BR5" i="5"/>
  <c r="AZ13" i="9"/>
  <c r="BF45" i="10"/>
  <c r="BA13" i="9" s="1"/>
  <c r="BT161" i="5" s="1"/>
  <c r="DB161" i="5" s="1"/>
  <c r="AY24" i="9"/>
  <c r="BR163" i="5"/>
  <c r="AZ17" i="9"/>
  <c r="BB17" i="9" s="1"/>
  <c r="BA33" i="10"/>
  <c r="BC33" i="10" s="1"/>
  <c r="BT3" i="5"/>
  <c r="BT4" i="5" s="1"/>
  <c r="AR63" i="9"/>
  <c r="CY103" i="5"/>
  <c r="BB302" i="5"/>
  <c r="BL5" i="5"/>
  <c r="BQ3" i="5"/>
  <c r="BQ4" i="5" s="1"/>
  <c r="BO5" i="5"/>
  <c r="BP13" i="5"/>
  <c r="BB34" i="10"/>
  <c r="BB36" i="10" s="1"/>
  <c r="BN3" i="5"/>
  <c r="BN4" i="5" s="1"/>
  <c r="CU162" i="5"/>
  <c r="BA12" i="5"/>
  <c r="AM14" i="10"/>
  <c r="AM19" i="10" s="1"/>
  <c r="AM16" i="10"/>
  <c r="AM18" i="10" s="1"/>
  <c r="AT41" i="9"/>
  <c r="AT46" i="9"/>
  <c r="AU46" i="9"/>
  <c r="BA276" i="5"/>
  <c r="BA277" i="5"/>
  <c r="BA281" i="5" s="1"/>
  <c r="CV210" i="5"/>
  <c r="BE207" i="5"/>
  <c r="BC207" i="5"/>
  <c r="CV199" i="5"/>
  <c r="BB278" i="5"/>
  <c r="BM113" i="5"/>
  <c r="AW68" i="5"/>
  <c r="AD14" i="9" s="1"/>
  <c r="AW154" i="5" s="1"/>
  <c r="AW61" i="5"/>
  <c r="AW153" i="5" s="1"/>
  <c r="BF71" i="5"/>
  <c r="BG71" i="5"/>
  <c r="CT68" i="5"/>
  <c r="AT18" i="5"/>
  <c r="AU18" i="5"/>
  <c r="DF12" i="5"/>
  <c r="CT4" i="5"/>
  <c r="AQ33" i="9"/>
  <c r="AP35" i="9"/>
  <c r="AG82" i="10"/>
  <c r="AN12" i="10"/>
  <c r="AN13" i="10" s="1"/>
  <c r="AN54" i="9"/>
  <c r="AO54" i="9" s="1"/>
  <c r="AP52" i="9"/>
  <c r="AO52" i="9"/>
  <c r="AO13" i="10"/>
  <c r="AN35" i="9"/>
  <c r="AN59" i="9"/>
  <c r="AO59" i="9" s="1"/>
  <c r="AN294" i="5"/>
  <c r="AP289" i="5"/>
  <c r="AP294" i="5" s="1"/>
  <c r="CY113" i="5"/>
  <c r="BK118" i="5"/>
  <c r="CY118" i="5" s="1"/>
  <c r="BI5" i="5"/>
  <c r="BK4" i="5"/>
  <c r="BH5" i="5"/>
  <c r="BK3" i="10" l="1"/>
  <c r="BK4" i="10" s="1"/>
  <c r="BN2" i="10"/>
  <c r="BN3" i="10" s="1"/>
  <c r="BN4" i="10" s="1"/>
  <c r="BL3" i="10"/>
  <c r="BL4" i="10" s="1"/>
  <c r="BO2" i="10"/>
  <c r="BO3" i="10" s="1"/>
  <c r="BO4" i="10" s="1"/>
  <c r="CC3" i="5"/>
  <c r="CC4" i="5" s="1"/>
  <c r="CC5" i="5"/>
  <c r="DD97" i="5"/>
  <c r="CA97" i="5"/>
  <c r="CB97" i="5" s="1"/>
  <c r="CC97" i="5" s="1"/>
  <c r="DE97" i="5" s="1"/>
  <c r="BX5" i="5"/>
  <c r="BM122" i="5"/>
  <c r="BG3" i="10"/>
  <c r="BG4" i="10" s="1"/>
  <c r="BJ2" i="10"/>
  <c r="BW5" i="5"/>
  <c r="BU163" i="5"/>
  <c r="BC17" i="9"/>
  <c r="BD17" i="9" s="1"/>
  <c r="CZ96" i="5"/>
  <c r="BO96" i="5"/>
  <c r="BB24" i="9"/>
  <c r="BC13" i="9"/>
  <c r="BI45" i="10"/>
  <c r="BJ46" i="10"/>
  <c r="BJ45" i="10"/>
  <c r="BE13" i="9" s="1"/>
  <c r="BK44" i="10"/>
  <c r="BM44" i="10" s="1"/>
  <c r="BZ3" i="5"/>
  <c r="BZ4" i="5" s="1"/>
  <c r="BO13" i="5"/>
  <c r="BT5" i="5"/>
  <c r="BS161" i="5"/>
  <c r="AZ22" i="9"/>
  <c r="BA17" i="9"/>
  <c r="BS163" i="5"/>
  <c r="BT163" i="5" s="1"/>
  <c r="DB163" i="5" s="1"/>
  <c r="BA34" i="10"/>
  <c r="BA36" i="10" s="1"/>
  <c r="BC36" i="10" s="1"/>
  <c r="AS63" i="9"/>
  <c r="BM103" i="5"/>
  <c r="BQ13" i="5"/>
  <c r="DA13" i="5" s="1"/>
  <c r="BC37" i="10"/>
  <c r="BC34" i="10"/>
  <c r="AQ34" i="9"/>
  <c r="AS33" i="9"/>
  <c r="BQ5" i="5"/>
  <c r="BN5" i="5"/>
  <c r="AT48" i="9"/>
  <c r="AU48" i="9" s="1"/>
  <c r="AU41" i="9"/>
  <c r="CV278" i="5"/>
  <c r="BB277" i="5"/>
  <c r="BB281" i="5" s="1"/>
  <c r="BB276" i="5"/>
  <c r="CV211" i="5"/>
  <c r="CW207" i="5"/>
  <c r="CW197" i="5"/>
  <c r="BN113" i="5"/>
  <c r="BO113" i="5" s="1"/>
  <c r="BM118" i="5"/>
  <c r="CV159" i="5"/>
  <c r="BK5" i="5"/>
  <c r="BB303" i="5"/>
  <c r="CX104" i="5"/>
  <c r="AO66" i="9"/>
  <c r="BH71" i="5" s="1"/>
  <c r="CX71" i="5" s="1"/>
  <c r="AN19" i="10"/>
  <c r="BB12" i="5"/>
  <c r="AT23" i="5"/>
  <c r="AT19" i="5"/>
  <c r="AU19" i="5"/>
  <c r="AV18" i="5"/>
  <c r="AO35" i="9"/>
  <c r="AN18" i="10"/>
  <c r="AR33" i="9"/>
  <c r="AR34" i="9" s="1"/>
  <c r="AP13" i="10"/>
  <c r="AN16" i="10"/>
  <c r="AQ52" i="9"/>
  <c r="AS52" i="9" s="1"/>
  <c r="AP54" i="9"/>
  <c r="BC162" i="5"/>
  <c r="BA162" i="5"/>
  <c r="BA163" i="5" s="1"/>
  <c r="BB163" i="5" s="1"/>
  <c r="CV163" i="5" s="1"/>
  <c r="AP295" i="5"/>
  <c r="AQ289" i="5"/>
  <c r="AO289" i="5"/>
  <c r="AO294" i="5" s="1"/>
  <c r="AO295" i="5" s="1"/>
  <c r="AN295" i="5"/>
  <c r="BJ3" i="10" l="1"/>
  <c r="BJ4" i="10" s="1"/>
  <c r="BM2" i="10"/>
  <c r="BM3" i="10" s="1"/>
  <c r="BM4" i="10" s="1"/>
  <c r="BM46" i="10"/>
  <c r="BN44" i="10"/>
  <c r="BM45" i="10"/>
  <c r="BH13" i="9" s="1"/>
  <c r="BP96" i="5"/>
  <c r="BN122" i="5"/>
  <c r="BZ5" i="5"/>
  <c r="BE17" i="9"/>
  <c r="BV163" i="5"/>
  <c r="BW163" i="5" s="1"/>
  <c r="DC163" i="5" s="1"/>
  <c r="BD13" i="9"/>
  <c r="BW161" i="5" s="1"/>
  <c r="DC161" i="5" s="1"/>
  <c r="BC22" i="9"/>
  <c r="BV161" i="5"/>
  <c r="BX161" i="5"/>
  <c r="BE22" i="9"/>
  <c r="BK46" i="10"/>
  <c r="BL46" i="10" s="1"/>
  <c r="BK45" i="10"/>
  <c r="AZ24" i="9"/>
  <c r="BA22" i="9"/>
  <c r="BA24" i="9" s="1"/>
  <c r="BE37" i="10"/>
  <c r="BE33" i="10" s="1"/>
  <c r="AT63" i="9"/>
  <c r="BN103" i="5"/>
  <c r="BC163" i="5"/>
  <c r="BC12" i="5"/>
  <c r="AO14" i="10"/>
  <c r="AO19" i="10" s="1"/>
  <c r="AO16" i="10"/>
  <c r="AO18" i="10" s="1"/>
  <c r="AS54" i="9"/>
  <c r="AT52" i="9"/>
  <c r="BP113" i="5"/>
  <c r="BO118" i="5"/>
  <c r="AT33" i="9"/>
  <c r="AS34" i="9"/>
  <c r="AS35" i="9" s="1"/>
  <c r="BB162" i="5"/>
  <c r="CV162" i="5" s="1"/>
  <c r="CV277" i="5"/>
  <c r="CV281" i="5" s="1"/>
  <c r="CV276" i="5"/>
  <c r="BC278" i="5"/>
  <c r="BC279" i="5" s="1"/>
  <c r="BC280" i="5" s="1"/>
  <c r="BD207" i="5"/>
  <c r="BC211" i="5"/>
  <c r="BC84" i="5"/>
  <c r="CZ113" i="5"/>
  <c r="BN118" i="5"/>
  <c r="CZ118" i="5" s="1"/>
  <c r="CV10" i="5"/>
  <c r="CU14" i="5"/>
  <c r="AU21" i="5"/>
  <c r="AV21" i="5" s="1"/>
  <c r="AV23" i="5" s="1"/>
  <c r="AV19" i="5"/>
  <c r="CT19" i="5" s="1"/>
  <c r="CT18" i="5"/>
  <c r="AT27" i="5"/>
  <c r="CK12" i="5"/>
  <c r="CD12" i="5"/>
  <c r="CV12" i="5"/>
  <c r="AQ35" i="9"/>
  <c r="AQ59" i="9"/>
  <c r="AR59" i="9" s="1"/>
  <c r="BE302" i="5"/>
  <c r="AQ10" i="10"/>
  <c r="AQ54" i="9"/>
  <c r="AR54" i="9" s="1"/>
  <c r="AR52" i="9"/>
  <c r="AS289" i="5"/>
  <c r="AQ294" i="5"/>
  <c r="BN46" i="10" l="1"/>
  <c r="BO46" i="10" s="1"/>
  <c r="BN45" i="10"/>
  <c r="CA161" i="5"/>
  <c r="BH22" i="9"/>
  <c r="BQ96" i="5"/>
  <c r="CZ122" i="5"/>
  <c r="BO122" i="5"/>
  <c r="BF17" i="9"/>
  <c r="BX163" i="5"/>
  <c r="BE24" i="9"/>
  <c r="BF13" i="9"/>
  <c r="BL45" i="10"/>
  <c r="BC24" i="9"/>
  <c r="BD22" i="9"/>
  <c r="BD24" i="9" s="1"/>
  <c r="BD33" i="10"/>
  <c r="BR13" i="5" s="1"/>
  <c r="BS13" i="5"/>
  <c r="BE34" i="10"/>
  <c r="BE36" i="10" s="1"/>
  <c r="AU63" i="9"/>
  <c r="BO103" i="5"/>
  <c r="CZ103" i="5"/>
  <c r="BD12" i="5"/>
  <c r="AP16" i="10"/>
  <c r="AP18" i="10" s="1"/>
  <c r="AP14" i="10"/>
  <c r="AP19" i="10" s="1"/>
  <c r="BB164" i="5"/>
  <c r="CV164" i="5" s="1"/>
  <c r="AT54" i="9"/>
  <c r="AU54" i="9" s="1"/>
  <c r="AV52" i="9"/>
  <c r="AU52" i="9"/>
  <c r="AU33" i="9"/>
  <c r="AU34" i="9" s="1"/>
  <c r="AV33" i="9"/>
  <c r="AT34" i="9"/>
  <c r="BQ113" i="5"/>
  <c r="DA113" i="5" s="1"/>
  <c r="BP118" i="5"/>
  <c r="BC277" i="5"/>
  <c r="BC281" i="5" s="1"/>
  <c r="BC276" i="5"/>
  <c r="BD210" i="5"/>
  <c r="BI71" i="5"/>
  <c r="BJ71" i="5"/>
  <c r="CV9" i="5"/>
  <c r="AX14" i="5"/>
  <c r="DF14" i="5"/>
  <c r="AW18" i="5"/>
  <c r="AW21" i="5" s="1"/>
  <c r="AV27" i="5"/>
  <c r="CT23" i="5"/>
  <c r="CT21" i="5"/>
  <c r="AU23" i="5"/>
  <c r="AR13" i="10"/>
  <c r="AR35" i="9"/>
  <c r="AQ12" i="10"/>
  <c r="AQ13" i="10" s="1"/>
  <c r="AR289" i="5"/>
  <c r="AQ295" i="5"/>
  <c r="BH24" i="9" l="1"/>
  <c r="BI13" i="9"/>
  <c r="BO45" i="10"/>
  <c r="BJ13" i="9" s="1"/>
  <c r="CC161" i="5" s="1"/>
  <c r="DE161" i="5" s="1"/>
  <c r="BY163" i="5"/>
  <c r="BZ163" i="5" s="1"/>
  <c r="DD163" i="5" s="1"/>
  <c r="BH17" i="9"/>
  <c r="BP122" i="5"/>
  <c r="DA96" i="5"/>
  <c r="BR96" i="5"/>
  <c r="BS96" i="5" s="1"/>
  <c r="BT96" i="5" s="1"/>
  <c r="BG17" i="9"/>
  <c r="BG13" i="9"/>
  <c r="BZ161" i="5" s="1"/>
  <c r="DD161" i="5" s="1"/>
  <c r="BF22" i="9"/>
  <c r="BY161" i="5"/>
  <c r="BD34" i="10"/>
  <c r="BD36" i="10" s="1"/>
  <c r="BF36" i="10" s="1"/>
  <c r="BF33" i="10"/>
  <c r="BF37" i="10" s="1"/>
  <c r="BG37" i="10" s="1"/>
  <c r="BE12" i="5"/>
  <c r="BQ118" i="5"/>
  <c r="DA118" i="5" s="1"/>
  <c r="BR113" i="5"/>
  <c r="AV63" i="9"/>
  <c r="BP103" i="5"/>
  <c r="AQ16" i="10"/>
  <c r="AW33" i="9"/>
  <c r="AY33" i="9" s="1"/>
  <c r="AV34" i="9"/>
  <c r="AV54" i="9"/>
  <c r="AW52" i="9"/>
  <c r="AY52" i="9" s="1"/>
  <c r="AT59" i="9"/>
  <c r="AU59" i="9" s="1"/>
  <c r="AT35" i="9"/>
  <c r="AU35" i="9" s="1"/>
  <c r="BD211" i="5"/>
  <c r="BD278" i="5"/>
  <c r="BD84" i="5"/>
  <c r="BD142" i="5" s="1"/>
  <c r="BM104" i="5"/>
  <c r="CW159" i="5"/>
  <c r="AW23" i="5"/>
  <c r="AW27" i="5" s="1"/>
  <c r="BE303" i="5"/>
  <c r="AR66" i="9"/>
  <c r="CY104" i="5"/>
  <c r="AW19" i="5"/>
  <c r="AU27" i="5"/>
  <c r="CT27" i="5"/>
  <c r="AQ19" i="10"/>
  <c r="AQ18" i="10"/>
  <c r="AS13" i="10"/>
  <c r="BF162" i="5"/>
  <c r="BF163" i="5" s="1"/>
  <c r="BD162" i="5"/>
  <c r="CB161" i="5" l="1"/>
  <c r="BI22" i="9"/>
  <c r="CA163" i="5"/>
  <c r="BI17" i="9"/>
  <c r="CB163" i="5" s="1"/>
  <c r="BJ17" i="9"/>
  <c r="BU96" i="5"/>
  <c r="BV96" i="5" s="1"/>
  <c r="BW96" i="5" s="1"/>
  <c r="DB96" i="5"/>
  <c r="BQ122" i="5"/>
  <c r="BK71" i="5"/>
  <c r="CY71" i="5" s="1"/>
  <c r="BF24" i="9"/>
  <c r="BG22" i="9"/>
  <c r="BG24" i="9" s="1"/>
  <c r="AZ52" i="9"/>
  <c r="BB52" i="9" s="1"/>
  <c r="AY54" i="9"/>
  <c r="AZ33" i="9"/>
  <c r="BB33" i="9" s="1"/>
  <c r="AY34" i="9"/>
  <c r="BF34" i="10"/>
  <c r="BT13" i="5"/>
  <c r="DB13" i="5" s="1"/>
  <c r="BF12" i="5"/>
  <c r="AR16" i="10"/>
  <c r="AR18" i="10" s="1"/>
  <c r="AR14" i="10"/>
  <c r="AR19" i="10" s="1"/>
  <c r="BE162" i="5"/>
  <c r="CW162" i="5" s="1"/>
  <c r="BD163" i="5"/>
  <c r="BE163" i="5" s="1"/>
  <c r="CW163" i="5" s="1"/>
  <c r="BR118" i="5"/>
  <c r="BS113" i="5"/>
  <c r="AW63" i="9"/>
  <c r="BQ103" i="5"/>
  <c r="AW54" i="9"/>
  <c r="AX54" i="9" s="1"/>
  <c r="AX52" i="9"/>
  <c r="AX33" i="9"/>
  <c r="AX34" i="9" s="1"/>
  <c r="AW34" i="9"/>
  <c r="BH207" i="5"/>
  <c r="CW199" i="5"/>
  <c r="BE278" i="5"/>
  <c r="CW210" i="5"/>
  <c r="BD277" i="5"/>
  <c r="BD281" i="5" s="1"/>
  <c r="BD276" i="5"/>
  <c r="BL71" i="5"/>
  <c r="BN104" i="5"/>
  <c r="BO104" i="5" s="1"/>
  <c r="AT66" i="9"/>
  <c r="BM71" i="5" s="1"/>
  <c r="CW12" i="5"/>
  <c r="BH302" i="5"/>
  <c r="AS10" i="10"/>
  <c r="AT10" i="10" s="1"/>
  <c r="CC163" i="5" l="1"/>
  <c r="DE163" i="5" s="1"/>
  <c r="BI24" i="9"/>
  <c r="BJ22" i="9"/>
  <c r="BJ24" i="9" s="1"/>
  <c r="DA103" i="5"/>
  <c r="BR122" i="5"/>
  <c r="BS122" i="5" s="1"/>
  <c r="BT122" i="5" s="1"/>
  <c r="DA122" i="5"/>
  <c r="BX96" i="5"/>
  <c r="BY96" i="5" s="1"/>
  <c r="BZ96" i="5" s="1"/>
  <c r="DC96" i="5"/>
  <c r="BC33" i="9"/>
  <c r="BB34" i="9"/>
  <c r="BC52" i="9"/>
  <c r="BB54" i="9"/>
  <c r="DJ13" i="5"/>
  <c r="BH37" i="10"/>
  <c r="BH33" i="10" s="1"/>
  <c r="BG33" i="10"/>
  <c r="AZ34" i="9"/>
  <c r="BA33" i="9"/>
  <c r="BA34" i="9" s="1"/>
  <c r="AZ54" i="9"/>
  <c r="BA54" i="9" s="1"/>
  <c r="BA52" i="9"/>
  <c r="BG12" i="5"/>
  <c r="AS14" i="10"/>
  <c r="AS19" i="10" s="1"/>
  <c r="AS16" i="10"/>
  <c r="AS18" i="10" s="1"/>
  <c r="BE164" i="5"/>
  <c r="CW164" i="5" s="1"/>
  <c r="BT113" i="5"/>
  <c r="BU113" i="5" s="1"/>
  <c r="BS118" i="5"/>
  <c r="AX63" i="9"/>
  <c r="BR103" i="5"/>
  <c r="BP104" i="5"/>
  <c r="AV66" i="9"/>
  <c r="CW278" i="5"/>
  <c r="BE276" i="5"/>
  <c r="CW211" i="5"/>
  <c r="BE277" i="5"/>
  <c r="BE281" i="5" s="1"/>
  <c r="BH197" i="5"/>
  <c r="CX197" i="5" s="1"/>
  <c r="CX207" i="5"/>
  <c r="CZ104" i="5"/>
  <c r="AU66" i="9"/>
  <c r="BN71" i="5" s="1"/>
  <c r="CZ71" i="5" s="1"/>
  <c r="AU13" i="10"/>
  <c r="AT12" i="10"/>
  <c r="AT13" i="10" s="1"/>
  <c r="BH303" i="5" s="1"/>
  <c r="DD96" i="5" l="1"/>
  <c r="CA96" i="5"/>
  <c r="CB96" i="5" s="1"/>
  <c r="CC96" i="5" s="1"/>
  <c r="DE96" i="5" s="1"/>
  <c r="DB122" i="5"/>
  <c r="BU122" i="5"/>
  <c r="BV122" i="5" s="1"/>
  <c r="BW122" i="5" s="1"/>
  <c r="BE52" i="9"/>
  <c r="BD52" i="9"/>
  <c r="BC54" i="9"/>
  <c r="BD54" i="9" s="1"/>
  <c r="BE33" i="9"/>
  <c r="BD33" i="9"/>
  <c r="BD34" i="9" s="1"/>
  <c r="BC34" i="9"/>
  <c r="BU13" i="5"/>
  <c r="BI33" i="10"/>
  <c r="BG34" i="10"/>
  <c r="BG36" i="10" s="1"/>
  <c r="BV13" i="5"/>
  <c r="BH34" i="10"/>
  <c r="BH36" i="10" s="1"/>
  <c r="BU118" i="5"/>
  <c r="BV113" i="5"/>
  <c r="AT16" i="10"/>
  <c r="BE10" i="5"/>
  <c r="CW10" i="5" s="1"/>
  <c r="BT118" i="5"/>
  <c r="DB118" i="5" s="1"/>
  <c r="DB113" i="5"/>
  <c r="BS103" i="5"/>
  <c r="AY63" i="9"/>
  <c r="AY66" i="9" s="1"/>
  <c r="BO71" i="5"/>
  <c r="BQ104" i="5"/>
  <c r="AW66" i="9"/>
  <c r="AX66" i="9" s="1"/>
  <c r="CW277" i="5"/>
  <c r="CW281" i="5" s="1"/>
  <c r="CW276" i="5"/>
  <c r="BF211" i="5"/>
  <c r="BG207" i="5"/>
  <c r="BF84" i="5"/>
  <c r="BF142" i="5" s="1"/>
  <c r="BF278" i="5"/>
  <c r="BH159" i="5"/>
  <c r="CX159" i="5" s="1"/>
  <c r="AT18" i="10"/>
  <c r="AT19" i="10"/>
  <c r="BH12" i="5"/>
  <c r="AU10" i="10"/>
  <c r="BH162" i="5"/>
  <c r="BG162" i="5"/>
  <c r="BG163" i="5" s="1"/>
  <c r="BH163" i="5" s="1"/>
  <c r="CX163" i="5" s="1"/>
  <c r="AV13" i="10"/>
  <c r="BX122" i="5" l="1"/>
  <c r="BY122" i="5" s="1"/>
  <c r="BZ122" i="5" s="1"/>
  <c r="DC122" i="5"/>
  <c r="BF33" i="9"/>
  <c r="BH33" i="9" s="1"/>
  <c r="BE34" i="9"/>
  <c r="BE35" i="9" s="1"/>
  <c r="BE54" i="9"/>
  <c r="BF52" i="9"/>
  <c r="BH52" i="9" s="1"/>
  <c r="BI12" i="5"/>
  <c r="AU14" i="10"/>
  <c r="AU19" i="10" s="1"/>
  <c r="AU16" i="10"/>
  <c r="AU18" i="10" s="1"/>
  <c r="BI36" i="10"/>
  <c r="BW13" i="5"/>
  <c r="DC13" i="5" s="1"/>
  <c r="BI37" i="10"/>
  <c r="BJ37" i="10" s="1"/>
  <c r="BI34" i="10"/>
  <c r="CX12" i="5"/>
  <c r="BW113" i="5"/>
  <c r="DC113" i="5" s="1"/>
  <c r="BV118" i="5"/>
  <c r="BE9" i="5"/>
  <c r="BR104" i="5"/>
  <c r="BS104" i="5" s="1"/>
  <c r="BT104" i="5" s="1"/>
  <c r="DA104" i="5"/>
  <c r="BR71" i="5"/>
  <c r="BT103" i="5"/>
  <c r="BU103" i="5" s="1"/>
  <c r="AZ63" i="9"/>
  <c r="AZ66" i="9" s="1"/>
  <c r="BQ71" i="5"/>
  <c r="DA71" i="5" s="1"/>
  <c r="BP71" i="5"/>
  <c r="BK302" i="5"/>
  <c r="BF277" i="5"/>
  <c r="BF281" i="5" s="1"/>
  <c r="BF276" i="5"/>
  <c r="CV14" i="5"/>
  <c r="AZ17" i="5"/>
  <c r="CX162" i="5"/>
  <c r="BH164" i="5"/>
  <c r="CX164" i="5" s="1"/>
  <c r="AV10" i="10"/>
  <c r="AW10" i="10" s="1"/>
  <c r="BI33" i="9" l="1"/>
  <c r="BH34" i="9"/>
  <c r="BH35" i="9" s="1"/>
  <c r="BI52" i="9"/>
  <c r="BH54" i="9"/>
  <c r="DD122" i="5"/>
  <c r="CA122" i="5"/>
  <c r="CB122" i="5" s="1"/>
  <c r="CC122" i="5" s="1"/>
  <c r="DE122" i="5" s="1"/>
  <c r="BG33" i="9"/>
  <c r="BG34" i="9" s="1"/>
  <c r="BF34" i="9"/>
  <c r="BG52" i="9"/>
  <c r="BF54" i="9"/>
  <c r="BG54" i="9" s="1"/>
  <c r="BJ12" i="5"/>
  <c r="AV14" i="10"/>
  <c r="AV19" i="10" s="1"/>
  <c r="AV16" i="10"/>
  <c r="AV18" i="10" s="1"/>
  <c r="BK37" i="10"/>
  <c r="BK33" i="10" s="1"/>
  <c r="BJ33" i="10"/>
  <c r="BV103" i="5"/>
  <c r="BB63" i="9"/>
  <c r="BB66" i="9" s="1"/>
  <c r="DB104" i="5"/>
  <c r="BU104" i="5"/>
  <c r="BV104" i="5" s="1"/>
  <c r="BW104" i="5" s="1"/>
  <c r="BX113" i="5"/>
  <c r="BW118" i="5"/>
  <c r="DC118" i="5" s="1"/>
  <c r="CW9" i="5"/>
  <c r="BH210" i="5"/>
  <c r="BS71" i="5"/>
  <c r="DB103" i="5"/>
  <c r="BA63" i="9"/>
  <c r="BA66" i="9"/>
  <c r="BG211" i="5"/>
  <c r="BG278" i="5"/>
  <c r="BG84" i="5"/>
  <c r="AX19" i="10"/>
  <c r="BA17" i="5"/>
  <c r="BC17" i="5"/>
  <c r="CW14" i="5"/>
  <c r="AW12" i="10"/>
  <c r="AW13" i="10" s="1"/>
  <c r="BK303" i="5" s="1"/>
  <c r="BJ52" i="9" l="1"/>
  <c r="BI54" i="9"/>
  <c r="BJ54" i="9"/>
  <c r="BJ33" i="9"/>
  <c r="BJ34" i="9" s="1"/>
  <c r="BI34" i="9"/>
  <c r="BF35" i="9"/>
  <c r="BG35" i="9" s="1"/>
  <c r="BF59" i="9"/>
  <c r="BG59" i="9" s="1"/>
  <c r="BX13" i="5"/>
  <c r="BJ34" i="10"/>
  <c r="BJ36" i="10" s="1"/>
  <c r="BL33" i="10"/>
  <c r="BY13" i="5"/>
  <c r="BK34" i="10"/>
  <c r="BK36" i="10" s="1"/>
  <c r="BH84" i="5"/>
  <c r="BG142" i="5"/>
  <c r="BX104" i="5"/>
  <c r="BY104" i="5" s="1"/>
  <c r="BZ104" i="5" s="1"/>
  <c r="DC104" i="5"/>
  <c r="BU71" i="5"/>
  <c r="BW103" i="5"/>
  <c r="BC63" i="9"/>
  <c r="BC66" i="9" s="1"/>
  <c r="BY113" i="5"/>
  <c r="BX118" i="5"/>
  <c r="BT71" i="5"/>
  <c r="DB71" i="5" s="1"/>
  <c r="CX10" i="5"/>
  <c r="AX10" i="10"/>
  <c r="CX210" i="5"/>
  <c r="BH211" i="5"/>
  <c r="BH278" i="5"/>
  <c r="BK207" i="5"/>
  <c r="CX199" i="5"/>
  <c r="BI207" i="5"/>
  <c r="BG277" i="5"/>
  <c r="BG281" i="5" s="1"/>
  <c r="BG276" i="5"/>
  <c r="BL162" i="5"/>
  <c r="BL12" i="5"/>
  <c r="BF17" i="5"/>
  <c r="BD17" i="5"/>
  <c r="AW19" i="10"/>
  <c r="BK12" i="5"/>
  <c r="BJ162" i="5"/>
  <c r="BJ163" i="5" s="1"/>
  <c r="AW16" i="10"/>
  <c r="AW18" i="10"/>
  <c r="BI35" i="9" l="1"/>
  <c r="BJ35" i="9" s="1"/>
  <c r="BI59" i="9"/>
  <c r="BJ59" i="9" s="1"/>
  <c r="BL163" i="5"/>
  <c r="BN163" i="5" s="1"/>
  <c r="CZ163" i="5" s="1"/>
  <c r="DD104" i="5"/>
  <c r="CA104" i="5"/>
  <c r="CB104" i="5" s="1"/>
  <c r="CC104" i="5" s="1"/>
  <c r="DE104" i="5" s="1"/>
  <c r="CY12" i="5"/>
  <c r="BK162" i="5"/>
  <c r="CY162" i="5" s="1"/>
  <c r="BZ13" i="5"/>
  <c r="DD13" i="5" s="1"/>
  <c r="BL37" i="10"/>
  <c r="BM37" i="10" s="1"/>
  <c r="BL34" i="10"/>
  <c r="BL36" i="10"/>
  <c r="BH142" i="5"/>
  <c r="BV71" i="5"/>
  <c r="BX103" i="5"/>
  <c r="DC103" i="5"/>
  <c r="BD63" i="9"/>
  <c r="BD66" i="9"/>
  <c r="BW71" i="5" s="1"/>
  <c r="DC71" i="5" s="1"/>
  <c r="BZ113" i="5"/>
  <c r="CA113" i="5" s="1"/>
  <c r="BY118" i="5"/>
  <c r="AY12" i="10"/>
  <c r="AZ16" i="10" s="1"/>
  <c r="CX278" i="5"/>
  <c r="CY207" i="5"/>
  <c r="CY197" i="5"/>
  <c r="BH277" i="5"/>
  <c r="BH281" i="5" s="1"/>
  <c r="BH276" i="5"/>
  <c r="CX211" i="5"/>
  <c r="BN302" i="5"/>
  <c r="AY10" i="10"/>
  <c r="AZ10" i="10" s="1"/>
  <c r="BI17" i="5"/>
  <c r="BL17" i="5" s="1"/>
  <c r="BG17" i="5"/>
  <c r="BN37" i="10" l="1"/>
  <c r="BN33" i="10" s="1"/>
  <c r="BM33" i="10"/>
  <c r="CB113" i="5"/>
  <c r="CA118" i="5"/>
  <c r="BZ118" i="5"/>
  <c r="DD118" i="5" s="1"/>
  <c r="DD113" i="5"/>
  <c r="BY103" i="5"/>
  <c r="BE63" i="9"/>
  <c r="BE66" i="9" s="1"/>
  <c r="BM12" i="5"/>
  <c r="BM17" i="5"/>
  <c r="BO17" i="5"/>
  <c r="AZ12" i="10"/>
  <c r="AZ13" i="10" s="1"/>
  <c r="BN303" i="5" s="1"/>
  <c r="BO162" i="5"/>
  <c r="BO164" i="5" s="1"/>
  <c r="BA12" i="10"/>
  <c r="BA10" i="10"/>
  <c r="AZ18" i="10"/>
  <c r="BI84" i="5"/>
  <c r="BI142" i="5" s="1"/>
  <c r="BI278" i="5"/>
  <c r="BI211" i="5"/>
  <c r="BJ207" i="5"/>
  <c r="CX277" i="5"/>
  <c r="CX281" i="5" s="1"/>
  <c r="CX276" i="5"/>
  <c r="BJ17" i="5"/>
  <c r="BM34" i="10" l="1"/>
  <c r="CA13" i="5"/>
  <c r="BM36" i="10"/>
  <c r="BO33" i="10"/>
  <c r="CB13" i="5"/>
  <c r="BN34" i="10"/>
  <c r="BN36" i="10" s="1"/>
  <c r="CC113" i="5"/>
  <c r="CB118" i="5"/>
  <c r="BX71" i="5"/>
  <c r="BZ103" i="5"/>
  <c r="CA103" i="5" s="1"/>
  <c r="BF63" i="9"/>
  <c r="BF66" i="9" s="1"/>
  <c r="CY10" i="5"/>
  <c r="BD12" i="10"/>
  <c r="BP17" i="5"/>
  <c r="BR17" i="5"/>
  <c r="AZ19" i="10"/>
  <c r="BN12" i="5"/>
  <c r="CZ12" i="5" s="1"/>
  <c r="CZ159" i="5"/>
  <c r="BB10" i="10"/>
  <c r="BC10" i="10" s="1"/>
  <c r="BB12" i="10"/>
  <c r="BQ302" i="5"/>
  <c r="BO12" i="5"/>
  <c r="BA16" i="10"/>
  <c r="BA18" i="10" s="1"/>
  <c r="BI277" i="5"/>
  <c r="BI281" i="5" s="1"/>
  <c r="BI276" i="5"/>
  <c r="BM162" i="5"/>
  <c r="CC13" i="5" l="1"/>
  <c r="DE13" i="5" s="1"/>
  <c r="BO37" i="10"/>
  <c r="BO34" i="10"/>
  <c r="BO36" i="10"/>
  <c r="BM164" i="5"/>
  <c r="BN162" i="5"/>
  <c r="BN164" i="5" s="1"/>
  <c r="CZ164" i="5" s="1"/>
  <c r="CC118" i="5"/>
  <c r="DE118" i="5" s="1"/>
  <c r="DE113" i="5"/>
  <c r="CB103" i="5"/>
  <c r="BH63" i="9"/>
  <c r="BH66" i="9" s="1"/>
  <c r="DD103" i="5"/>
  <c r="BG63" i="9"/>
  <c r="BY71" i="5"/>
  <c r="BG66" i="9"/>
  <c r="BZ71" i="5" s="1"/>
  <c r="DD71" i="5" s="1"/>
  <c r="BS17" i="5"/>
  <c r="BU17" i="5"/>
  <c r="BQ159" i="5"/>
  <c r="DA159" i="5" s="1"/>
  <c r="BR12" i="5"/>
  <c r="BD16" i="10"/>
  <c r="BD10" i="10"/>
  <c r="BP12" i="5"/>
  <c r="BB16" i="10"/>
  <c r="BC16" i="10" s="1"/>
  <c r="BC12" i="10"/>
  <c r="BJ278" i="5"/>
  <c r="BJ84" i="5"/>
  <c r="CZ162" i="5" l="1"/>
  <c r="CA71" i="5"/>
  <c r="CC103" i="5"/>
  <c r="BI63" i="9"/>
  <c r="BI66" i="9" s="1"/>
  <c r="CB71" i="5" s="1"/>
  <c r="BT159" i="5"/>
  <c r="DB159" i="5" s="1"/>
  <c r="BG12" i="10"/>
  <c r="BE12" i="10"/>
  <c r="BE16" i="10" s="1"/>
  <c r="BF16" i="10" s="1"/>
  <c r="BL218" i="5"/>
  <c r="BL167" i="5" s="1"/>
  <c r="AS21" i="9" s="1"/>
  <c r="BK84" i="5"/>
  <c r="BV17" i="5"/>
  <c r="BX17" i="5"/>
  <c r="BE10" i="10"/>
  <c r="BF10" i="10" s="1"/>
  <c r="BD18" i="10"/>
  <c r="BR162" i="5"/>
  <c r="BR164" i="5" s="1"/>
  <c r="AY18" i="9"/>
  <c r="BT302" i="5"/>
  <c r="BQ12" i="5"/>
  <c r="DA12" i="5" s="1"/>
  <c r="BC13" i="10"/>
  <c r="BQ303" i="5" s="1"/>
  <c r="BC19" i="10"/>
  <c r="BQ162" i="5"/>
  <c r="BP162" i="5"/>
  <c r="BP164" i="5" s="1"/>
  <c r="BB18" i="10"/>
  <c r="BC18" i="10" s="1"/>
  <c r="BJ276" i="5"/>
  <c r="BJ277" i="5"/>
  <c r="BJ281" i="5" s="1"/>
  <c r="BL207" i="5"/>
  <c r="BL208" i="5" s="1"/>
  <c r="BN208" i="5" s="1"/>
  <c r="CZ208" i="5" s="1"/>
  <c r="BN207" i="5"/>
  <c r="BK278" i="5"/>
  <c r="CY199" i="5"/>
  <c r="BL197" i="5"/>
  <c r="CY210" i="5"/>
  <c r="BM197" i="5" l="1"/>
  <c r="BM199" i="5" s="1"/>
  <c r="BN197" i="5"/>
  <c r="BL198" i="5"/>
  <c r="BN198" i="5" s="1"/>
  <c r="CZ198" i="5" s="1"/>
  <c r="BJ63" i="9"/>
  <c r="DE103" i="5"/>
  <c r="BJ66" i="9"/>
  <c r="CC71" i="5" s="1"/>
  <c r="DE71" i="5" s="1"/>
  <c r="BY17" i="5"/>
  <c r="CA17" i="5"/>
  <c r="CB17" i="5" s="1"/>
  <c r="BW159" i="5"/>
  <c r="DC159" i="5" s="1"/>
  <c r="BL221" i="5"/>
  <c r="BH12" i="10"/>
  <c r="BU12" i="5"/>
  <c r="BG16" i="10"/>
  <c r="BG18" i="10" s="1"/>
  <c r="BS12" i="5"/>
  <c r="BF12" i="10"/>
  <c r="BG10" i="10"/>
  <c r="AY45" i="9"/>
  <c r="BR168" i="5"/>
  <c r="BE18" i="10"/>
  <c r="BF18" i="10" s="1"/>
  <c r="BQ164" i="5"/>
  <c r="DA164" i="5" s="1"/>
  <c r="DA162" i="5"/>
  <c r="CY278" i="5"/>
  <c r="CY211" i="5"/>
  <c r="BK276" i="5"/>
  <c r="BK277" i="5"/>
  <c r="BK281" i="5" s="1"/>
  <c r="CZ207" i="5"/>
  <c r="CZ197" i="5"/>
  <c r="CY9" i="5"/>
  <c r="BN199" i="5" l="1"/>
  <c r="BZ159" i="5"/>
  <c r="DD159" i="5" s="1"/>
  <c r="BH10" i="10"/>
  <c r="BI10" i="10" s="1"/>
  <c r="BB18" i="9"/>
  <c r="BU162" i="5"/>
  <c r="BU164" i="5" s="1"/>
  <c r="BW302" i="5"/>
  <c r="BT12" i="5"/>
  <c r="DB12" i="5" s="1"/>
  <c r="BF19" i="10"/>
  <c r="BH16" i="10"/>
  <c r="BI16" i="10" s="1"/>
  <c r="BV12" i="5"/>
  <c r="BI12" i="10"/>
  <c r="BI19" i="10" s="1"/>
  <c r="BF13" i="10"/>
  <c r="BT303" i="5" s="1"/>
  <c r="BT162" i="5"/>
  <c r="AY49" i="9"/>
  <c r="BL211" i="5"/>
  <c r="BL84" i="5"/>
  <c r="BL278" i="5"/>
  <c r="BM207" i="5"/>
  <c r="CY276" i="5"/>
  <c r="CY277" i="5"/>
  <c r="CY281" i="5" s="1"/>
  <c r="BQ197" i="5" l="1"/>
  <c r="BQ199" i="5" s="1"/>
  <c r="BO197" i="5"/>
  <c r="BO199" i="5" s="1"/>
  <c r="BP197" i="5" s="1"/>
  <c r="BP199" i="5" s="1"/>
  <c r="BH18" i="10"/>
  <c r="BI18" i="10" s="1"/>
  <c r="DJ12" i="5"/>
  <c r="BW12" i="5"/>
  <c r="DC12" i="5" s="1"/>
  <c r="BI13" i="10"/>
  <c r="BW303" i="5" s="1"/>
  <c r="BB45" i="9"/>
  <c r="BU168" i="5"/>
  <c r="CZ10" i="5"/>
  <c r="BS162" i="5"/>
  <c r="BS164" i="5" s="1"/>
  <c r="AZ18" i="9"/>
  <c r="BT164" i="5"/>
  <c r="DB164" i="5" s="1"/>
  <c r="DB162" i="5"/>
  <c r="BL85" i="5"/>
  <c r="BM218" i="5"/>
  <c r="BL169" i="5"/>
  <c r="BL142" i="5"/>
  <c r="BM210" i="5"/>
  <c r="BL276" i="5"/>
  <c r="BL277" i="5"/>
  <c r="BL281" i="5" s="1"/>
  <c r="BT197" i="5" l="1"/>
  <c r="BT199" i="5" s="1"/>
  <c r="BR197" i="5"/>
  <c r="BR199" i="5" s="1"/>
  <c r="BS197" i="5" s="1"/>
  <c r="BS199" i="5" s="1"/>
  <c r="CC159" i="5"/>
  <c r="DE159" i="5" s="1"/>
  <c r="BL291" i="5"/>
  <c r="BJ12" i="10"/>
  <c r="BJ10" i="10"/>
  <c r="BW162" i="5"/>
  <c r="BB49" i="9"/>
  <c r="AZ45" i="9"/>
  <c r="BS168" i="5"/>
  <c r="BA18" i="9"/>
  <c r="BT168" i="5" s="1"/>
  <c r="DB168" i="5" s="1"/>
  <c r="BM167" i="5"/>
  <c r="BN218" i="5"/>
  <c r="BM221" i="5"/>
  <c r="BM211" i="5"/>
  <c r="BN210" i="5"/>
  <c r="BM84" i="5"/>
  <c r="BO218" i="5" s="1"/>
  <c r="BM278" i="5"/>
  <c r="BU197" i="5" l="1"/>
  <c r="BU199" i="5" s="1"/>
  <c r="BV197" i="5" s="1"/>
  <c r="BV199" i="5" s="1"/>
  <c r="BW197" i="5"/>
  <c r="BW199" i="5" s="1"/>
  <c r="BK10" i="10"/>
  <c r="BL10" i="10" s="1"/>
  <c r="BM12" i="10"/>
  <c r="BK12" i="10"/>
  <c r="BY12" i="5" s="1"/>
  <c r="AT21" i="9"/>
  <c r="AU21" i="9" s="1"/>
  <c r="BN167" i="5"/>
  <c r="CZ167" i="5" s="1"/>
  <c r="BX12" i="5"/>
  <c r="BJ16" i="10"/>
  <c r="BJ18" i="10" s="1"/>
  <c r="DC162" i="5"/>
  <c r="BW164" i="5"/>
  <c r="DC164" i="5" s="1"/>
  <c r="BC18" i="9"/>
  <c r="BV162" i="5"/>
  <c r="BV164" i="5" s="1"/>
  <c r="BZ302" i="5"/>
  <c r="BE18" i="9"/>
  <c r="BX162" i="5"/>
  <c r="BX164" i="5" s="1"/>
  <c r="AZ49" i="9"/>
  <c r="BA49" i="9" s="1"/>
  <c r="BA45" i="9"/>
  <c r="BO221" i="5"/>
  <c r="BO167" i="5"/>
  <c r="AV21" i="9" s="1"/>
  <c r="BQ207" i="5"/>
  <c r="BO207" i="5"/>
  <c r="BM276" i="5"/>
  <c r="BM277" i="5"/>
  <c r="BM281" i="5" s="1"/>
  <c r="BM85" i="5"/>
  <c r="BM169" i="5"/>
  <c r="BM142" i="5"/>
  <c r="BN142" i="5" s="1"/>
  <c r="CZ218" i="5"/>
  <c r="BN221" i="5"/>
  <c r="CZ221" i="5" s="1"/>
  <c r="CZ210" i="5"/>
  <c r="CZ199" i="5"/>
  <c r="BN211" i="5"/>
  <c r="BN84" i="5"/>
  <c r="BN278" i="5"/>
  <c r="BZ197" i="5" l="1"/>
  <c r="BZ199" i="5" s="1"/>
  <c r="BX197" i="5"/>
  <c r="BX199" i="5" s="1"/>
  <c r="BY197" i="5" s="1"/>
  <c r="BY199" i="5" s="1"/>
  <c r="BM10" i="10"/>
  <c r="BL12" i="10"/>
  <c r="BL19" i="10" s="1"/>
  <c r="BK16" i="10"/>
  <c r="BK18" i="10" s="1"/>
  <c r="BL18" i="10" s="1"/>
  <c r="BM16" i="10"/>
  <c r="CA12" i="5"/>
  <c r="BN12" i="10"/>
  <c r="BM291" i="5"/>
  <c r="BN169" i="5"/>
  <c r="BV168" i="5"/>
  <c r="BC45" i="9"/>
  <c r="BD18" i="9"/>
  <c r="BW168" i="5" s="1"/>
  <c r="DC168" i="5" s="1"/>
  <c r="BE45" i="9"/>
  <c r="BX168" i="5"/>
  <c r="BZ12" i="5"/>
  <c r="DD12" i="5" s="1"/>
  <c r="BL13" i="10"/>
  <c r="BZ303" i="5" s="1"/>
  <c r="CZ278" i="5"/>
  <c r="DA197" i="5"/>
  <c r="DA207" i="5"/>
  <c r="BO210" i="5"/>
  <c r="CZ211" i="5"/>
  <c r="BN277" i="5"/>
  <c r="BN281" i="5" s="1"/>
  <c r="BN276" i="5"/>
  <c r="CZ142" i="5"/>
  <c r="CZ84" i="5"/>
  <c r="CZ9" i="5"/>
  <c r="BL16" i="10" l="1"/>
  <c r="CA197" i="5"/>
  <c r="CA199" i="5" s="1"/>
  <c r="CB197" i="5" s="1"/>
  <c r="CB199" i="5" s="1"/>
  <c r="CC197" i="5"/>
  <c r="BO12" i="10"/>
  <c r="BN16" i="10"/>
  <c r="BN18" i="10" s="1"/>
  <c r="CB12" i="5"/>
  <c r="BM18" i="10"/>
  <c r="BO18" i="10" s="1"/>
  <c r="BO16" i="10"/>
  <c r="CC302" i="5"/>
  <c r="BN10" i="10"/>
  <c r="BO10" i="10" s="1"/>
  <c r="BH18" i="9"/>
  <c r="CA162" i="5"/>
  <c r="CA164" i="5" s="1"/>
  <c r="DA10" i="5"/>
  <c r="BZ162" i="5"/>
  <c r="BE49" i="9"/>
  <c r="BC49" i="9"/>
  <c r="BD49" i="9" s="1"/>
  <c r="BD45" i="9"/>
  <c r="BP207" i="5"/>
  <c r="BO278" i="5"/>
  <c r="BO211" i="5"/>
  <c r="BO84" i="5"/>
  <c r="BO142" i="5" s="1"/>
  <c r="BN291" i="5"/>
  <c r="CZ169" i="5"/>
  <c r="CZ276" i="5"/>
  <c r="CZ277" i="5"/>
  <c r="CZ281" i="5" s="1"/>
  <c r="CC199" i="5" l="1"/>
  <c r="DE199" i="5" s="1"/>
  <c r="DE197" i="5"/>
  <c r="CA168" i="5"/>
  <c r="BH45" i="9"/>
  <c r="BO13" i="10"/>
  <c r="CC303" i="5" s="1"/>
  <c r="CC12" i="5"/>
  <c r="DE12" i="5" s="1"/>
  <c r="BO19" i="10"/>
  <c r="DD162" i="5"/>
  <c r="BZ164" i="5"/>
  <c r="DD164" i="5" s="1"/>
  <c r="BY162" i="5"/>
  <c r="BY164" i="5" s="1"/>
  <c r="BF18" i="9"/>
  <c r="BP210" i="5"/>
  <c r="BO169" i="5"/>
  <c r="BO291" i="5" s="1"/>
  <c r="BO85" i="5"/>
  <c r="BP218" i="5"/>
  <c r="BO277" i="5"/>
  <c r="BO281" i="5" s="1"/>
  <c r="BO276" i="5"/>
  <c r="AT66" i="5"/>
  <c r="BH49" i="9" l="1"/>
  <c r="CC162" i="5"/>
  <c r="BF45" i="9"/>
  <c r="BY168" i="5"/>
  <c r="BG18" i="9"/>
  <c r="BZ168" i="5" s="1"/>
  <c r="DD168" i="5" s="1"/>
  <c r="DA9" i="5"/>
  <c r="BP278" i="5"/>
  <c r="BP211" i="5"/>
  <c r="BQ210" i="5"/>
  <c r="DA210" i="5" s="1"/>
  <c r="BP84" i="5"/>
  <c r="BR218" i="5" s="1"/>
  <c r="BP221" i="5"/>
  <c r="BQ218" i="5"/>
  <c r="DA218" i="5" s="1"/>
  <c r="BP167" i="5"/>
  <c r="AW21" i="9" s="1"/>
  <c r="AX21" i="9" s="1"/>
  <c r="AA12" i="9"/>
  <c r="DE162" i="5" l="1"/>
  <c r="CC164" i="5"/>
  <c r="DE164" i="5" s="1"/>
  <c r="BI18" i="9"/>
  <c r="CB162" i="5"/>
  <c r="CB164" i="5" s="1"/>
  <c r="DA278" i="5"/>
  <c r="BF49" i="9"/>
  <c r="BG49" i="9" s="1"/>
  <c r="BG45" i="9"/>
  <c r="DB10" i="5"/>
  <c r="DJ10" i="5" s="1"/>
  <c r="BT207" i="5"/>
  <c r="BR207" i="5"/>
  <c r="BR221" i="5"/>
  <c r="BR167" i="5"/>
  <c r="BP276" i="5"/>
  <c r="BP277" i="5"/>
  <c r="BP281" i="5" s="1"/>
  <c r="DA199" i="5"/>
  <c r="BQ278" i="5"/>
  <c r="BQ211" i="5"/>
  <c r="DA211" i="5" s="1"/>
  <c r="BQ84" i="5"/>
  <c r="DA84" i="5" s="1"/>
  <c r="BQ221" i="5"/>
  <c r="DA221" i="5" s="1"/>
  <c r="BQ167" i="5"/>
  <c r="DA167" i="5" s="1"/>
  <c r="BP169" i="5"/>
  <c r="BP291" i="5" s="1"/>
  <c r="BP85" i="5"/>
  <c r="BP142" i="5"/>
  <c r="BQ142" i="5" s="1"/>
  <c r="AA18" i="9"/>
  <c r="AA22" i="9"/>
  <c r="AT152" i="5"/>
  <c r="CB168" i="5" l="1"/>
  <c r="BI45" i="9"/>
  <c r="BJ18" i="9"/>
  <c r="CC168" i="5" s="1"/>
  <c r="DE168" i="5" s="1"/>
  <c r="DB197" i="5"/>
  <c r="DB207" i="5"/>
  <c r="DA276" i="5"/>
  <c r="DA277" i="5"/>
  <c r="DA281" i="5" s="1"/>
  <c r="BR210" i="5"/>
  <c r="DA142" i="5"/>
  <c r="BQ85" i="5"/>
  <c r="BQ169" i="5"/>
  <c r="BQ276" i="5"/>
  <c r="BQ277" i="5"/>
  <c r="BQ281" i="5" s="1"/>
  <c r="AA24" i="9"/>
  <c r="AA45" i="9" s="1"/>
  <c r="BI49" i="9" l="1"/>
  <c r="BJ49" i="9" s="1"/>
  <c r="BJ45" i="9"/>
  <c r="BQ291" i="5"/>
  <c r="DA169" i="5"/>
  <c r="BS207" i="5"/>
  <c r="BR211" i="5"/>
  <c r="BR278" i="5"/>
  <c r="BR84" i="5"/>
  <c r="BR142" i="5" s="1"/>
  <c r="AT168" i="5"/>
  <c r="AT170" i="5" s="1"/>
  <c r="AA49" i="9"/>
  <c r="AA60" i="9"/>
  <c r="AB11" i="9"/>
  <c r="DC10" i="5" l="1"/>
  <c r="BR276" i="5"/>
  <c r="BR277" i="5"/>
  <c r="BR281" i="5" s="1"/>
  <c r="BR169" i="5"/>
  <c r="BS218" i="5"/>
  <c r="BR85" i="5"/>
  <c r="BS210" i="5"/>
  <c r="AT123" i="5"/>
  <c r="AT125" i="5" s="1"/>
  <c r="AB38" i="9"/>
  <c r="DB9" i="5" l="1"/>
  <c r="DJ9" i="5" s="1"/>
  <c r="BR291" i="5"/>
  <c r="BR171" i="5"/>
  <c r="BS211" i="5"/>
  <c r="BT210" i="5"/>
  <c r="BS278" i="5"/>
  <c r="BS84" i="5"/>
  <c r="BS167" i="5"/>
  <c r="BS221" i="5"/>
  <c r="BT218" i="5"/>
  <c r="DB218" i="5" s="1"/>
  <c r="AA58" i="9"/>
  <c r="AA70" i="9"/>
  <c r="AC38" i="9"/>
  <c r="AB42" i="9"/>
  <c r="BS142" i="5" l="1"/>
  <c r="BT142" i="5" s="1"/>
  <c r="BU218" i="5"/>
  <c r="DB210" i="5"/>
  <c r="BU207" i="5"/>
  <c r="BW207" i="5"/>
  <c r="DB199" i="5"/>
  <c r="BT278" i="5"/>
  <c r="BT211" i="5"/>
  <c r="DB211" i="5" s="1"/>
  <c r="BT84" i="5"/>
  <c r="DB84" i="5" s="1"/>
  <c r="BS169" i="5"/>
  <c r="BS291" i="5" s="1"/>
  <c r="BS85" i="5"/>
  <c r="BS277" i="5"/>
  <c r="BS281" i="5" s="1"/>
  <c r="BS276" i="5"/>
  <c r="BT221" i="5"/>
  <c r="DB221" i="5" s="1"/>
  <c r="BT167" i="5"/>
  <c r="DB167" i="5" s="1"/>
  <c r="AT31" i="5"/>
  <c r="AT150" i="5"/>
  <c r="AC42" i="9"/>
  <c r="AT108" i="5"/>
  <c r="AT110" i="5" s="1"/>
  <c r="AT191" i="5" s="1"/>
  <c r="DB278" i="5" l="1"/>
  <c r="DD10" i="5"/>
  <c r="DC197" i="5"/>
  <c r="DC207" i="5"/>
  <c r="BU210" i="5"/>
  <c r="BU221" i="5"/>
  <c r="BU167" i="5"/>
  <c r="DB277" i="5"/>
  <c r="DB281" i="5" s="1"/>
  <c r="DB276" i="5"/>
  <c r="BT276" i="5"/>
  <c r="BT277" i="5"/>
  <c r="BT281" i="5" s="1"/>
  <c r="DB142" i="5"/>
  <c r="BT85" i="5"/>
  <c r="BT169" i="5"/>
  <c r="BS171" i="5"/>
  <c r="AT127" i="5"/>
  <c r="AV131" i="5"/>
  <c r="CT131" i="5" s="1"/>
  <c r="BV207" i="5" l="1"/>
  <c r="BU278" i="5"/>
  <c r="BU211" i="5"/>
  <c r="BU84" i="5"/>
  <c r="BT291" i="5"/>
  <c r="DB169" i="5"/>
  <c r="BT171" i="5"/>
  <c r="DB171" i="5" s="1"/>
  <c r="CU131" i="5"/>
  <c r="DC9" i="5" l="1"/>
  <c r="BU85" i="5"/>
  <c r="BU169" i="5"/>
  <c r="BU142" i="5"/>
  <c r="BV218" i="5"/>
  <c r="BU276" i="5"/>
  <c r="BU277" i="5"/>
  <c r="BU281" i="5" s="1"/>
  <c r="BV210" i="5"/>
  <c r="AU139" i="5"/>
  <c r="AT175" i="5"/>
  <c r="DE10" i="5" l="1"/>
  <c r="BW210" i="5"/>
  <c r="DC210" i="5" s="1"/>
  <c r="DC278" i="5" s="1"/>
  <c r="BV278" i="5"/>
  <c r="BV211" i="5"/>
  <c r="BV84" i="5"/>
  <c r="BV221" i="5"/>
  <c r="BV167" i="5"/>
  <c r="BW218" i="5"/>
  <c r="DC218" i="5" s="1"/>
  <c r="BU291" i="5"/>
  <c r="BU171" i="5"/>
  <c r="BW167" i="5" l="1"/>
  <c r="DC167" i="5" s="1"/>
  <c r="BW221" i="5"/>
  <c r="DC221" i="5" s="1"/>
  <c r="BX218" i="5"/>
  <c r="BV85" i="5"/>
  <c r="BV169" i="5"/>
  <c r="BV291" i="5" s="1"/>
  <c r="BV142" i="5"/>
  <c r="BW142" i="5" s="1"/>
  <c r="DC142" i="5" s="1"/>
  <c r="BV277" i="5"/>
  <c r="BV281" i="5" s="1"/>
  <c r="BV276" i="5"/>
  <c r="BZ207" i="5"/>
  <c r="BX207" i="5"/>
  <c r="BW278" i="5"/>
  <c r="BW211" i="5"/>
  <c r="DC211" i="5" s="1"/>
  <c r="DC199" i="5"/>
  <c r="BW84" i="5"/>
  <c r="DC84" i="5" s="1"/>
  <c r="DC277" i="5" l="1"/>
  <c r="DC281" i="5" s="1"/>
  <c r="DC276" i="5"/>
  <c r="DD197" i="5"/>
  <c r="DD207" i="5"/>
  <c r="BW85" i="5"/>
  <c r="BW169" i="5"/>
  <c r="BW171" i="5" s="1"/>
  <c r="DC171" i="5" s="1"/>
  <c r="BW276" i="5"/>
  <c r="BW277" i="5"/>
  <c r="BW281" i="5" s="1"/>
  <c r="BX221" i="5"/>
  <c r="BX167" i="5"/>
  <c r="BX210" i="5"/>
  <c r="BV171" i="5"/>
  <c r="DD9" i="5" l="1"/>
  <c r="BW291" i="5"/>
  <c r="DC169" i="5"/>
  <c r="BX211" i="5"/>
  <c r="BX278" i="5"/>
  <c r="BY207" i="5"/>
  <c r="BX84" i="5"/>
  <c r="AA78" i="9"/>
  <c r="AT30" i="5"/>
  <c r="AT32" i="5" s="1"/>
  <c r="AT35" i="5" s="1"/>
  <c r="DE9" i="5" l="1"/>
  <c r="BX142" i="5"/>
  <c r="BY218" i="5"/>
  <c r="BX85" i="5"/>
  <c r="BX169" i="5"/>
  <c r="BY210" i="5"/>
  <c r="BX277" i="5"/>
  <c r="BX281" i="5" s="1"/>
  <c r="BX276" i="5"/>
  <c r="AT37" i="5"/>
  <c r="AT39" i="5" s="1"/>
  <c r="AT149" i="5"/>
  <c r="BZ210" i="5" l="1"/>
  <c r="BY278" i="5"/>
  <c r="BY211" i="5"/>
  <c r="BY84" i="5"/>
  <c r="CA218" i="5" s="1"/>
  <c r="BX291" i="5"/>
  <c r="BX171" i="5"/>
  <c r="BY167" i="5"/>
  <c r="BY221" i="5"/>
  <c r="BZ218" i="5"/>
  <c r="DD218" i="5" s="1"/>
  <c r="AT41" i="5"/>
  <c r="AT133" i="5"/>
  <c r="AT151" i="5"/>
  <c r="CA167" i="5" l="1"/>
  <c r="CA221" i="5"/>
  <c r="DD210" i="5"/>
  <c r="DD278" i="5" s="1"/>
  <c r="CC207" i="5"/>
  <c r="DE207" i="5" s="1"/>
  <c r="CA207" i="5"/>
  <c r="CA210" i="5" s="1"/>
  <c r="BY169" i="5"/>
  <c r="BY291" i="5" s="1"/>
  <c r="BY85" i="5"/>
  <c r="BY142" i="5"/>
  <c r="BZ142" i="5" s="1"/>
  <c r="DD142" i="5" s="1"/>
  <c r="BY276" i="5"/>
  <c r="BY277" i="5"/>
  <c r="BY281" i="5" s="1"/>
  <c r="BZ221" i="5"/>
  <c r="DD221" i="5" s="1"/>
  <c r="BZ167" i="5"/>
  <c r="DD167" i="5" s="1"/>
  <c r="BZ278" i="5"/>
  <c r="BZ211" i="5"/>
  <c r="DD211" i="5" s="1"/>
  <c r="DD199" i="5"/>
  <c r="BZ84" i="5"/>
  <c r="DD84" i="5" s="1"/>
  <c r="AT92" i="5"/>
  <c r="AT51" i="5"/>
  <c r="AT43" i="5"/>
  <c r="AT44" i="5" s="1"/>
  <c r="AT182" i="5"/>
  <c r="AT134" i="5"/>
  <c r="CB207" i="5" l="1"/>
  <c r="CB210" i="5" s="1"/>
  <c r="CA211" i="5"/>
  <c r="CA278" i="5"/>
  <c r="CA84" i="5"/>
  <c r="AT74" i="5"/>
  <c r="DD277" i="5"/>
  <c r="DD281" i="5" s="1"/>
  <c r="DD276" i="5"/>
  <c r="BZ85" i="5"/>
  <c r="BZ169" i="5"/>
  <c r="BZ276" i="5"/>
  <c r="BZ277" i="5"/>
  <c r="BZ281" i="5" s="1"/>
  <c r="BY171" i="5"/>
  <c r="AT52" i="5"/>
  <c r="AT140" i="5"/>
  <c r="AT141" i="5" s="1"/>
  <c r="AV141" i="5" s="1"/>
  <c r="CT141" i="5" s="1"/>
  <c r="AT58" i="5"/>
  <c r="AT62" i="5" s="1"/>
  <c r="AT135" i="5"/>
  <c r="AT75" i="5" l="1"/>
  <c r="CA85" i="5"/>
  <c r="CA142" i="5"/>
  <c r="CB218" i="5"/>
  <c r="CA169" i="5"/>
  <c r="CA276" i="5"/>
  <c r="CA277" i="5"/>
  <c r="CA281" i="5" s="1"/>
  <c r="CB84" i="5"/>
  <c r="CB211" i="5"/>
  <c r="CC210" i="5"/>
  <c r="DE210" i="5" s="1"/>
  <c r="DE278" i="5" s="1"/>
  <c r="CB278" i="5"/>
  <c r="BZ291" i="5"/>
  <c r="DD169" i="5"/>
  <c r="BZ171" i="5"/>
  <c r="DD171" i="5" s="1"/>
  <c r="AT148" i="5"/>
  <c r="AT192" i="5" s="1"/>
  <c r="AT59" i="5"/>
  <c r="AT82" i="5"/>
  <c r="AT76" i="5"/>
  <c r="AT77" i="5" s="1"/>
  <c r="AT78" i="5"/>
  <c r="AT63" i="5"/>
  <c r="AT70" i="5"/>
  <c r="AT89" i="5"/>
  <c r="AT290" i="5"/>
  <c r="CB142" i="5" l="1"/>
  <c r="CB85" i="5"/>
  <c r="CB169" i="5"/>
  <c r="CB291" i="5" s="1"/>
  <c r="CA291" i="5"/>
  <c r="CA171" i="5"/>
  <c r="CC218" i="5"/>
  <c r="DE218" i="5" s="1"/>
  <c r="CB167" i="5"/>
  <c r="CB171" i="5" s="1"/>
  <c r="CB221" i="5"/>
  <c r="CC142" i="5"/>
  <c r="DE142" i="5" s="1"/>
  <c r="CC211" i="5"/>
  <c r="DE211" i="5" s="1"/>
  <c r="CC278" i="5"/>
  <c r="CC84" i="5"/>
  <c r="DE84" i="5" s="1"/>
  <c r="CB277" i="5"/>
  <c r="CB281" i="5" s="1"/>
  <c r="CB276" i="5"/>
  <c r="AT155" i="5"/>
  <c r="AT79" i="5"/>
  <c r="AT72" i="5"/>
  <c r="AT90" i="5"/>
  <c r="DE277" i="5" l="1"/>
  <c r="DE281" i="5" s="1"/>
  <c r="DE276" i="5"/>
  <c r="CC167" i="5"/>
  <c r="DE167" i="5" s="1"/>
  <c r="CC221" i="5"/>
  <c r="DE221" i="5" s="1"/>
  <c r="CC85" i="5"/>
  <c r="CC169" i="5"/>
  <c r="CC277" i="5"/>
  <c r="CC281" i="5" s="1"/>
  <c r="CC276" i="5"/>
  <c r="AT91" i="5"/>
  <c r="CC291" i="5" l="1"/>
  <c r="DE169" i="5"/>
  <c r="CC171" i="5"/>
  <c r="DE171" i="5" s="1"/>
  <c r="AB74" i="9" l="1"/>
  <c r="AC74" i="9"/>
  <c r="CT95" i="5"/>
  <c r="AV98" i="5"/>
  <c r="AV99" i="5" l="1"/>
  <c r="CT99" i="5" s="1"/>
  <c r="CT98" i="5"/>
  <c r="AU66" i="5" l="1"/>
  <c r="AV66" i="5" s="1"/>
  <c r="AV102" i="5"/>
  <c r="CT102" i="5" l="1"/>
  <c r="AC12" i="9"/>
  <c r="CT66" i="5"/>
  <c r="AB12" i="9"/>
  <c r="AW66" i="5"/>
  <c r="AB22" i="9" l="1"/>
  <c r="AB18" i="9"/>
  <c r="AU152" i="5"/>
  <c r="AV152" i="5" s="1"/>
  <c r="CT152" i="5" s="1"/>
  <c r="AD12" i="9"/>
  <c r="AY47" i="5"/>
  <c r="CU47" i="5" l="1"/>
  <c r="AC18" i="9"/>
  <c r="AC22" i="9"/>
  <c r="AC24" i="9" s="1"/>
  <c r="AB24" i="9"/>
  <c r="AD22" i="9"/>
  <c r="AD18" i="9"/>
  <c r="AW152" i="5"/>
  <c r="AD11" i="9" l="1"/>
  <c r="AU168" i="5"/>
  <c r="AU170" i="5" s="1"/>
  <c r="AV170" i="5" s="1"/>
  <c r="AB45" i="9"/>
  <c r="AV168" i="5"/>
  <c r="AD24" i="9"/>
  <c r="AD45" i="9" s="1"/>
  <c r="AD49" i="9" l="1"/>
  <c r="AU125" i="5"/>
  <c r="AV121" i="5"/>
  <c r="AC45" i="9"/>
  <c r="AB49" i="9"/>
  <c r="AB60" i="9"/>
  <c r="AV171" i="5"/>
  <c r="CT168" i="5"/>
  <c r="AX66" i="5"/>
  <c r="AD38" i="9"/>
  <c r="AD42" i="9" s="1"/>
  <c r="AF11" i="9"/>
  <c r="CT171" i="5" l="1"/>
  <c r="AC49" i="9"/>
  <c r="AD70" i="9"/>
  <c r="AD78" i="9" s="1"/>
  <c r="AE11" i="9"/>
  <c r="AD60" i="9"/>
  <c r="AE12" i="9"/>
  <c r="AY66" i="5"/>
  <c r="AV123" i="5"/>
  <c r="CT121" i="5"/>
  <c r="AE38" i="9" l="1"/>
  <c r="AB70" i="9"/>
  <c r="AC56" i="9"/>
  <c r="AC58" i="9" s="1"/>
  <c r="AB58" i="9"/>
  <c r="AV125" i="5"/>
  <c r="CT123" i="5"/>
  <c r="AD58" i="9"/>
  <c r="AX152" i="5"/>
  <c r="AY152" i="5" s="1"/>
  <c r="AW125" i="5"/>
  <c r="AF12" i="9"/>
  <c r="CU66" i="5"/>
  <c r="CU152" i="5" l="1"/>
  <c r="AE42" i="9"/>
  <c r="AF38" i="9"/>
  <c r="AC70" i="9"/>
  <c r="AU31" i="5"/>
  <c r="AU150" i="5"/>
  <c r="AW31" i="5"/>
  <c r="AW150" i="5"/>
  <c r="CT125" i="5"/>
  <c r="AF42" i="9" l="1"/>
  <c r="AY102" i="5"/>
  <c r="AV31" i="5"/>
  <c r="CT31" i="5" s="1"/>
  <c r="AV150" i="5"/>
  <c r="CT150" i="5" s="1"/>
  <c r="CU102" i="5" l="1"/>
  <c r="AZ66" i="5"/>
  <c r="BB47" i="5" l="1"/>
  <c r="AG12" i="9"/>
  <c r="CV47" i="5" l="1"/>
  <c r="AZ152" i="5"/>
  <c r="BA66" i="5" l="1"/>
  <c r="AH12" i="9" l="1"/>
  <c r="BB66" i="5"/>
  <c r="AI12" i="9" l="1"/>
  <c r="CV66" i="5"/>
  <c r="BA152" i="5"/>
  <c r="BB152" i="5" s="1"/>
  <c r="AW55" i="5" l="1"/>
  <c r="AV105" i="5"/>
  <c r="AX48" i="5" s="1"/>
  <c r="AU110" i="5"/>
  <c r="AV108" i="5" l="1"/>
  <c r="AV110" i="5" s="1"/>
  <c r="AV191" i="5" s="1"/>
  <c r="CT191" i="5" s="1"/>
  <c r="CT105" i="5"/>
  <c r="AU191" i="5"/>
  <c r="AU187" i="5"/>
  <c r="AU127" i="5"/>
  <c r="AY48" i="5"/>
  <c r="AY55" i="5" s="1"/>
  <c r="AX55" i="5"/>
  <c r="CT110" i="5" l="1"/>
  <c r="CT108" i="5"/>
  <c r="AV127" i="5"/>
  <c r="CT127" i="5" s="1"/>
  <c r="AV187" i="5"/>
  <c r="CU55" i="5"/>
  <c r="CT132" i="5"/>
  <c r="AW139" i="5"/>
  <c r="AY139" i="5" s="1"/>
  <c r="CU139" i="5" s="1"/>
  <c r="CT143" i="5"/>
  <c r="AV156" i="5"/>
  <c r="AU175" i="5"/>
  <c r="AV175" i="5" s="1"/>
  <c r="CT175" i="5" s="1"/>
  <c r="CT156" i="5" l="1"/>
  <c r="AV34" i="5"/>
  <c r="AU151" i="5"/>
  <c r="AC76" i="9"/>
  <c r="AC78" i="9" s="1"/>
  <c r="AB78" i="9"/>
  <c r="AU30" i="5"/>
  <c r="AU149" i="5" s="1"/>
  <c r="AV30" i="5" l="1"/>
  <c r="AV151" i="5"/>
  <c r="CT34" i="5"/>
  <c r="AU32" i="5"/>
  <c r="CT151" i="5" l="1"/>
  <c r="AV32" i="5"/>
  <c r="AV149" i="5"/>
  <c r="CT149" i="5" s="1"/>
  <c r="CT30" i="5"/>
  <c r="AU37" i="5"/>
  <c r="AU35" i="5"/>
  <c r="CT32" i="5" l="1"/>
  <c r="AV37" i="5"/>
  <c r="CT37" i="5" s="1"/>
  <c r="AV35" i="5"/>
  <c r="AU39" i="5"/>
  <c r="AV39" i="5" l="1"/>
  <c r="AU133" i="5"/>
  <c r="AU41" i="5"/>
  <c r="AU92" i="5" s="1"/>
  <c r="AV92" i="5" s="1"/>
  <c r="AU51" i="5" l="1"/>
  <c r="AU43" i="5"/>
  <c r="AU44" i="5" s="1"/>
  <c r="AV133" i="5"/>
  <c r="AU134" i="5"/>
  <c r="AU182" i="5"/>
  <c r="AV41" i="5"/>
  <c r="CT39" i="5"/>
  <c r="CT133" i="5" l="1"/>
  <c r="AV134" i="5"/>
  <c r="AV182" i="5"/>
  <c r="CT41" i="5"/>
  <c r="AV43" i="5"/>
  <c r="AU135" i="5"/>
  <c r="AU185" i="5"/>
  <c r="AU52" i="5"/>
  <c r="AU140" i="5"/>
  <c r="AU58" i="5"/>
  <c r="AV51" i="5"/>
  <c r="AU74" i="5"/>
  <c r="CT134" i="5" l="1"/>
  <c r="AV135" i="5"/>
  <c r="AV185" i="5"/>
  <c r="AV74" i="5"/>
  <c r="AV52" i="5"/>
  <c r="AV140" i="5"/>
  <c r="CT140" i="5" s="1"/>
  <c r="CT51" i="5"/>
  <c r="AV58" i="5"/>
  <c r="AV44" i="5"/>
  <c r="CT44" i="5" s="1"/>
  <c r="CT43" i="5"/>
  <c r="AU59" i="5"/>
  <c r="AU62" i="5"/>
  <c r="AU78" i="5" s="1"/>
  <c r="AU82" i="5"/>
  <c r="AU76" i="5"/>
  <c r="AU77" i="5" s="1"/>
  <c r="AU148" i="5"/>
  <c r="AU75" i="5"/>
  <c r="CT182" i="5"/>
  <c r="AV76" i="5" l="1"/>
  <c r="AV82" i="5"/>
  <c r="CT185" i="5"/>
  <c r="AU63" i="5"/>
  <c r="AU70" i="5"/>
  <c r="AU89" i="5"/>
  <c r="AV89" i="5" s="1"/>
  <c r="CT89" i="5" s="1"/>
  <c r="AU290" i="5"/>
  <c r="AU293" i="5" s="1"/>
  <c r="AU155" i="5"/>
  <c r="AV155" i="5" s="1"/>
  <c r="CT155" i="5" s="1"/>
  <c r="AU192" i="5"/>
  <c r="AV59" i="5"/>
  <c r="CT58" i="5"/>
  <c r="AV62" i="5"/>
  <c r="AV78" i="5" s="1"/>
  <c r="AV148" i="5"/>
  <c r="CT74" i="5"/>
  <c r="AV75" i="5"/>
  <c r="CT148" i="5" l="1"/>
  <c r="AV192" i="5"/>
  <c r="CT82" i="5"/>
  <c r="AV63" i="5"/>
  <c r="CT62" i="5"/>
  <c r="AV70" i="5"/>
  <c r="AV290" i="5"/>
  <c r="CT76" i="5"/>
  <c r="AV77" i="5"/>
  <c r="CT77" i="5" s="1"/>
  <c r="AU79" i="5"/>
  <c r="AU72" i="5"/>
  <c r="AU90" i="5"/>
  <c r="AV72" i="5" l="1"/>
  <c r="AV90" i="5"/>
  <c r="CT70" i="5"/>
  <c r="AU91" i="5"/>
  <c r="AV79" i="5"/>
  <c r="CT79" i="5" s="1"/>
  <c r="CT78" i="5"/>
  <c r="CT192" i="5"/>
  <c r="AV91" i="5" l="1"/>
  <c r="CT91" i="5" s="1"/>
  <c r="CT90" i="5"/>
  <c r="CT72" i="5"/>
  <c r="AW87" i="5" l="1"/>
  <c r="AW297" i="5"/>
  <c r="AY86" i="5"/>
  <c r="CU86" i="5" s="1"/>
  <c r="AX87" i="5"/>
  <c r="AX297" i="5"/>
  <c r="CU297" i="5" l="1"/>
  <c r="AY297" i="5"/>
  <c r="AY87" i="5"/>
  <c r="CU87" i="5" s="1"/>
  <c r="AW85" i="5"/>
  <c r="AW142" i="5"/>
  <c r="AW169" i="5"/>
  <c r="AX218" i="5"/>
  <c r="AY218" i="5" s="1"/>
  <c r="AW291" i="5" l="1"/>
  <c r="AW170" i="5"/>
  <c r="CU218" i="5"/>
  <c r="AY221" i="5"/>
  <c r="CU221" i="5" s="1"/>
  <c r="AX221" i="5"/>
  <c r="AX167" i="5"/>
  <c r="AY167" i="5" s="1"/>
  <c r="CU167" i="5" l="1"/>
  <c r="AE21" i="9"/>
  <c r="AF21" i="9" l="1"/>
  <c r="AX292" i="5"/>
  <c r="CU130" i="5" l="1"/>
  <c r="AY292" i="5"/>
  <c r="AG11" i="9" l="1"/>
  <c r="AY121" i="5" l="1"/>
  <c r="AX125" i="5"/>
  <c r="AG38" i="9"/>
  <c r="AG42" i="9" s="1"/>
  <c r="AI11" i="9"/>
  <c r="CU121" i="5" l="1"/>
  <c r="AY123" i="5"/>
  <c r="CU123" i="5" l="1"/>
  <c r="AY125" i="5"/>
  <c r="CU125" i="5" l="1"/>
  <c r="AY84" i="5"/>
  <c r="CU84" i="5" s="1"/>
  <c r="AX85" i="5"/>
  <c r="AX142" i="5"/>
  <c r="AX169" i="5"/>
  <c r="AZ218" i="5"/>
  <c r="AZ167" i="5" s="1"/>
  <c r="AX291" i="5" l="1"/>
  <c r="AY169" i="5"/>
  <c r="AZ221" i="5"/>
  <c r="AY85" i="5"/>
  <c r="AY142" i="5"/>
  <c r="CU142" i="5" s="1"/>
  <c r="AG21" i="9"/>
  <c r="AY291" i="5" l="1"/>
  <c r="CU169" i="5"/>
  <c r="AZ292" i="5"/>
  <c r="AZ125" i="5" l="1"/>
  <c r="AD74" i="9" l="1"/>
  <c r="AW30" i="5"/>
  <c r="AW32" i="5" s="1"/>
  <c r="AD75" i="9" l="1"/>
  <c r="AW149" i="5"/>
  <c r="AW35" i="5"/>
  <c r="AW37" i="5"/>
  <c r="AW39" i="5" s="1"/>
  <c r="AW41" i="5" s="1"/>
  <c r="AW43" i="5" s="1"/>
  <c r="AW151" i="5"/>
  <c r="AW92" i="5" l="1"/>
  <c r="AW51" i="5"/>
  <c r="AW110" i="5"/>
  <c r="AW44" i="5" l="1"/>
  <c r="AW58" i="5"/>
  <c r="AW74" i="5"/>
  <c r="AW75" i="5" s="1"/>
  <c r="AW52" i="5"/>
  <c r="AW140" i="5"/>
  <c r="AW127" i="5"/>
  <c r="AW182" i="5" s="1"/>
  <c r="AW191" i="5"/>
  <c r="AW187" i="5"/>
  <c r="AW82" i="5" l="1"/>
  <c r="AW76" i="5"/>
  <c r="AW77" i="5" s="1"/>
  <c r="AW134" i="5"/>
  <c r="AX139" i="5"/>
  <c r="AW183" i="5"/>
  <c r="AW59" i="5"/>
  <c r="AW148" i="5"/>
  <c r="AW155" i="5" s="1"/>
  <c r="AW62" i="5"/>
  <c r="AW185" i="5" l="1"/>
  <c r="AW135" i="5"/>
  <c r="AW89" i="5"/>
  <c r="AW78" i="5"/>
  <c r="AW70" i="5"/>
  <c r="AW290" i="5"/>
  <c r="AW293" i="5" s="1"/>
  <c r="AW63" i="5"/>
  <c r="AW192" i="5"/>
  <c r="AW79" i="5" l="1"/>
  <c r="AW72" i="5"/>
  <c r="AW90" i="5"/>
  <c r="AW91" i="5" s="1"/>
  <c r="AX176" i="5"/>
  <c r="AW178" i="5"/>
  <c r="AZ87" i="5"/>
  <c r="AZ297" i="5"/>
  <c r="BB86" i="5"/>
  <c r="BA87" i="5"/>
  <c r="BA297" i="5"/>
  <c r="BB87" i="5" l="1"/>
  <c r="CV87" i="5" s="1"/>
  <c r="BB297" i="5"/>
  <c r="CV86" i="5"/>
  <c r="BB84" i="5"/>
  <c r="BB142" i="5" s="1"/>
  <c r="CV142" i="5" s="1"/>
  <c r="AZ85" i="5"/>
  <c r="BA85" i="5"/>
  <c r="AZ142" i="5"/>
  <c r="BA142" i="5"/>
  <c r="AZ169" i="5"/>
  <c r="BA169" i="5"/>
  <c r="BA218" i="5"/>
  <c r="BA167" i="5" s="1"/>
  <c r="BB167" i="5" s="1"/>
  <c r="BC218" i="5"/>
  <c r="BB85" i="5" l="1"/>
  <c r="CV84" i="5"/>
  <c r="BA291" i="5"/>
  <c r="CV297" i="5"/>
  <c r="BB169" i="5"/>
  <c r="CV169" i="5" s="1"/>
  <c r="AZ291" i="5"/>
  <c r="BA221" i="5"/>
  <c r="BC221" i="5"/>
  <c r="BC167" i="5"/>
  <c r="AH21" i="9"/>
  <c r="BB218" i="5"/>
  <c r="BB291" i="5" l="1"/>
  <c r="BB221" i="5"/>
  <c r="CV221" i="5" s="1"/>
  <c r="CV218" i="5"/>
  <c r="BB130" i="5"/>
  <c r="BA292" i="5"/>
  <c r="AJ21" i="9"/>
  <c r="AI21" i="9"/>
  <c r="CV167" i="5" l="1"/>
  <c r="BB292" i="5"/>
  <c r="CV130" i="5"/>
  <c r="BC292" i="5" l="1"/>
  <c r="BC87" i="5" l="1"/>
  <c r="BC297" i="5"/>
  <c r="BE86" i="5"/>
  <c r="BD87" i="5"/>
  <c r="BD297" i="5"/>
  <c r="BE297" i="5" l="1"/>
  <c r="CW86" i="5"/>
  <c r="BE84" i="5"/>
  <c r="BE87" i="5"/>
  <c r="CW87" i="5" s="1"/>
  <c r="BH86" i="5"/>
  <c r="BF87" i="5"/>
  <c r="BG87" i="5"/>
  <c r="BF297" i="5"/>
  <c r="BG297" i="5"/>
  <c r="CW297" i="5" l="1"/>
  <c r="BH87" i="5"/>
  <c r="CX87" i="5" s="1"/>
  <c r="BH297" i="5"/>
  <c r="CX86" i="5"/>
  <c r="BK86" i="5"/>
  <c r="BI87" i="5"/>
  <c r="BJ87" i="5"/>
  <c r="BI297" i="5"/>
  <c r="BJ297" i="5"/>
  <c r="BK297" i="5" l="1"/>
  <c r="BK87" i="5"/>
  <c r="CY87" i="5" s="1"/>
  <c r="CY86" i="5"/>
  <c r="CX297" i="5"/>
  <c r="BN87" i="5"/>
  <c r="CZ87" i="5" s="1"/>
  <c r="BN85" i="5"/>
  <c r="CW84" i="5"/>
  <c r="CX84" i="5"/>
  <c r="BC85" i="5"/>
  <c r="BD85" i="5"/>
  <c r="BE85" i="5"/>
  <c r="BF85" i="5"/>
  <c r="BG85" i="5"/>
  <c r="BH85" i="5"/>
  <c r="BI85" i="5"/>
  <c r="BJ85" i="5"/>
  <c r="BC142" i="5"/>
  <c r="BE142" i="5"/>
  <c r="CW142" i="5" s="1"/>
  <c r="CX142" i="5"/>
  <c r="BJ142" i="5"/>
  <c r="BK142" i="5" s="1"/>
  <c r="BC169" i="5"/>
  <c r="BD169" i="5"/>
  <c r="BD291" i="5" s="1"/>
  <c r="BF169" i="5"/>
  <c r="BG169" i="5"/>
  <c r="BH169" i="5"/>
  <c r="CX169" i="5" s="1"/>
  <c r="BI169" i="5"/>
  <c r="BJ169" i="5"/>
  <c r="BD218" i="5"/>
  <c r="BF218" i="5"/>
  <c r="BF167" i="5" s="1"/>
  <c r="AM21" i="9" s="1"/>
  <c r="BG218" i="5"/>
  <c r="BG167" i="5" s="1"/>
  <c r="BI218" i="5"/>
  <c r="BI167" i="5" s="1"/>
  <c r="BJ218" i="5"/>
  <c r="BJ167" i="5" s="1"/>
  <c r="BK167" i="5" l="1"/>
  <c r="BJ291" i="5"/>
  <c r="BI291" i="5"/>
  <c r="BK169" i="5"/>
  <c r="CY169" i="5" s="1"/>
  <c r="BG291" i="5"/>
  <c r="BE169" i="5"/>
  <c r="CW169" i="5" s="1"/>
  <c r="BF291" i="5"/>
  <c r="CY297" i="5"/>
  <c r="CY84" i="5"/>
  <c r="CY142" i="5"/>
  <c r="BK85" i="5"/>
  <c r="BG221" i="5"/>
  <c r="BH291" i="5"/>
  <c r="BJ221" i="5"/>
  <c r="BH218" i="5"/>
  <c r="CX218" i="5" s="1"/>
  <c r="BI221" i="5"/>
  <c r="BC291" i="5"/>
  <c r="BF221" i="5"/>
  <c r="BD221" i="5"/>
  <c r="BD167" i="5"/>
  <c r="BE167" i="5" s="1"/>
  <c r="BE218" i="5"/>
  <c r="AP21" i="9"/>
  <c r="BK218" i="5"/>
  <c r="AN21" i="9"/>
  <c r="AQ21" i="9"/>
  <c r="BE291" i="5" l="1"/>
  <c r="BK291" i="5"/>
  <c r="BH167" i="5"/>
  <c r="CX167" i="5" s="1"/>
  <c r="BH221" i="5"/>
  <c r="CX221" i="5" s="1"/>
  <c r="AO21" i="9"/>
  <c r="CY218" i="5"/>
  <c r="BK221" i="5"/>
  <c r="CY221" i="5" s="1"/>
  <c r="CW218" i="5"/>
  <c r="BE221" i="5"/>
  <c r="CW221" i="5" s="1"/>
  <c r="AR21" i="9"/>
  <c r="AK21" i="9"/>
  <c r="CW167" i="5" l="1"/>
  <c r="BE130" i="5"/>
  <c r="BD292" i="5"/>
  <c r="AL21" i="9"/>
  <c r="CY167" i="5"/>
  <c r="CW130" i="5" l="1"/>
  <c r="BE292" i="5"/>
  <c r="BH130" i="5" l="1"/>
  <c r="BF292" i="5"/>
  <c r="BG292" i="5" l="1"/>
  <c r="CX130" i="5" l="1"/>
  <c r="BH292" i="5"/>
  <c r="BI292" i="5" l="1"/>
  <c r="BJ292" i="5" l="1"/>
  <c r="BM130" i="5" l="1"/>
  <c r="BN130" i="5" s="1"/>
  <c r="BL292" i="5"/>
  <c r="CY130" i="5"/>
  <c r="BK292" i="5"/>
  <c r="BM292" i="5" l="1"/>
  <c r="BO130" i="5"/>
  <c r="BO292" i="5" l="1"/>
  <c r="BP130" i="5"/>
  <c r="CZ130" i="5"/>
  <c r="BN292" i="5"/>
  <c r="BP292" i="5" l="1"/>
  <c r="BQ130" i="5"/>
  <c r="DA130" i="5" s="1"/>
  <c r="BQ292" i="5" l="1"/>
  <c r="BR130" i="5"/>
  <c r="BR292" i="5" l="1"/>
  <c r="BS130" i="5"/>
  <c r="AZ48" i="5"/>
  <c r="AY105" i="5"/>
  <c r="CU105" i="5" s="1"/>
  <c r="AX110" i="5"/>
  <c r="AX191" i="5" s="1"/>
  <c r="BT130" i="5" l="1"/>
  <c r="BU130" i="5" s="1"/>
  <c r="BS292" i="5"/>
  <c r="AX127" i="5"/>
  <c r="BA48" i="5"/>
  <c r="AY108" i="5"/>
  <c r="AZ55" i="5"/>
  <c r="BU292" i="5" l="1"/>
  <c r="BV130" i="5"/>
  <c r="BT292" i="5"/>
  <c r="DB130" i="5"/>
  <c r="CU108" i="5"/>
  <c r="BB48" i="5"/>
  <c r="BB55" i="5" s="1"/>
  <c r="BA55" i="5"/>
  <c r="BV292" i="5" l="1"/>
  <c r="BW130" i="5"/>
  <c r="DC130" i="5" s="1"/>
  <c r="CV55" i="5"/>
  <c r="CU132" i="5"/>
  <c r="AY143" i="5"/>
  <c r="CU143" i="5" s="1"/>
  <c r="BX130" i="5" l="1"/>
  <c r="BW292" i="5"/>
  <c r="AZ139" i="5"/>
  <c r="BB139" i="5" s="1"/>
  <c r="BX292" i="5" l="1"/>
  <c r="BY130" i="5"/>
  <c r="CV139" i="5"/>
  <c r="AY156" i="5"/>
  <c r="CU156" i="5" s="1"/>
  <c r="BZ130" i="5" l="1"/>
  <c r="CA130" i="5" s="1"/>
  <c r="BY292" i="5"/>
  <c r="AX95" i="5"/>
  <c r="AE74" i="9" s="1"/>
  <c r="AE75" i="9" s="1"/>
  <c r="AF75" i="9" s="1"/>
  <c r="AY177" i="5"/>
  <c r="AY95" i="5" s="1"/>
  <c r="CA292" i="5" l="1"/>
  <c r="CB130" i="5"/>
  <c r="BZ292" i="5"/>
  <c r="DD130" i="5"/>
  <c r="AX187" i="5"/>
  <c r="AX188" i="5" s="1"/>
  <c r="CU177" i="5"/>
  <c r="AX98" i="5"/>
  <c r="AY98" i="5" s="1"/>
  <c r="AY178" i="5"/>
  <c r="AX178" i="5"/>
  <c r="BB98" i="5"/>
  <c r="CV98" i="5" s="1"/>
  <c r="AZ176" i="5"/>
  <c r="AF74" i="9"/>
  <c r="CU95" i="5"/>
  <c r="BB176" i="5"/>
  <c r="AF76" i="9"/>
  <c r="AE56" i="9" s="1"/>
  <c r="AX30" i="5"/>
  <c r="CB292" i="5" l="1"/>
  <c r="CC130" i="5"/>
  <c r="AY99" i="5"/>
  <c r="CU99" i="5" s="1"/>
  <c r="CU98" i="5"/>
  <c r="AE70" i="9"/>
  <c r="AE58" i="9"/>
  <c r="AF56" i="9"/>
  <c r="AY30" i="5"/>
  <c r="CV176" i="5"/>
  <c r="AX149" i="5"/>
  <c r="CC292" i="5" l="1"/>
  <c r="DE130" i="5"/>
  <c r="AY110" i="5"/>
  <c r="CU110" i="5" s="1"/>
  <c r="AF70" i="9"/>
  <c r="AX31" i="5"/>
  <c r="AX32" i="5" s="1"/>
  <c r="AX150" i="5"/>
  <c r="AY150" i="5" s="1"/>
  <c r="CU150" i="5" s="1"/>
  <c r="AE78" i="9"/>
  <c r="AY149" i="5"/>
  <c r="CU149" i="5" s="1"/>
  <c r="CU30" i="5"/>
  <c r="AY187" i="5" l="1"/>
  <c r="AY188" i="5" s="1"/>
  <c r="AY191" i="5"/>
  <c r="CU191" i="5" s="1"/>
  <c r="AY127" i="5"/>
  <c r="CU127" i="5" s="1"/>
  <c r="CW98" i="5"/>
  <c r="AY31" i="5"/>
  <c r="AF78" i="9"/>
  <c r="AY34" i="5"/>
  <c r="CU34" i="5" s="1"/>
  <c r="AX151" i="5"/>
  <c r="AY151" i="5" s="1"/>
  <c r="CU31" i="5" l="1"/>
  <c r="AY32" i="5"/>
  <c r="CU32" i="5" s="1"/>
  <c r="CU151" i="5"/>
  <c r="CX98" i="5" l="1"/>
  <c r="AX175" i="5" l="1"/>
  <c r="CY98" i="5" l="1"/>
  <c r="AG74" i="9"/>
  <c r="AZ30" i="5"/>
  <c r="AZ149" i="5" s="1"/>
  <c r="BM98" i="5" l="1"/>
  <c r="AG75" i="9"/>
  <c r="AZ110" i="5"/>
  <c r="BN98" i="5" l="1"/>
  <c r="AZ187" i="5"/>
  <c r="AZ188" i="5" s="1"/>
  <c r="AZ191" i="5"/>
  <c r="AZ127" i="5"/>
  <c r="CZ98" i="5" l="1"/>
  <c r="BO98" i="5"/>
  <c r="BA139" i="5"/>
  <c r="BP98" i="5" l="1"/>
  <c r="BB131" i="5"/>
  <c r="AZ175" i="5"/>
  <c r="AZ177" i="5" s="1"/>
  <c r="BQ98" i="5" l="1"/>
  <c r="AZ178" i="5"/>
  <c r="BA176" i="5"/>
  <c r="BE131" i="5"/>
  <c r="CV131" i="5"/>
  <c r="BR98" i="5" l="1"/>
  <c r="BS98" i="5" s="1"/>
  <c r="BT98" i="5" s="1"/>
  <c r="DA98" i="5"/>
  <c r="CW131" i="5"/>
  <c r="BU98" i="5" l="1"/>
  <c r="BV98" i="5" s="1"/>
  <c r="BW98" i="5" s="1"/>
  <c r="DB98" i="5"/>
  <c r="AZ18" i="5"/>
  <c r="BX98" i="5" l="1"/>
  <c r="BY98" i="5" s="1"/>
  <c r="BZ98" i="5" s="1"/>
  <c r="DC98" i="5"/>
  <c r="AZ8" i="5"/>
  <c r="AZ68" i="5" s="1"/>
  <c r="AZ19" i="5"/>
  <c r="BA18" i="5"/>
  <c r="DD98" i="5" l="1"/>
  <c r="CA98" i="5"/>
  <c r="CB98" i="5" s="1"/>
  <c r="CC98" i="5" s="1"/>
  <c r="DE98" i="5" s="1"/>
  <c r="AZ61" i="5"/>
  <c r="AZ153" i="5" s="1"/>
  <c r="CV11" i="5"/>
  <c r="BA8" i="5"/>
  <c r="BA61" i="5" s="1"/>
  <c r="AG14" i="9"/>
  <c r="BB18" i="5"/>
  <c r="BC18" i="5"/>
  <c r="BC8" i="5"/>
  <c r="BB8" i="5" l="1"/>
  <c r="CK8" i="5" s="1"/>
  <c r="BA68" i="5"/>
  <c r="AH14" i="9" s="1"/>
  <c r="AZ154" i="5"/>
  <c r="AG22" i="9"/>
  <c r="AG24" i="9" s="1"/>
  <c r="AG18" i="9"/>
  <c r="BC61" i="5"/>
  <c r="BC153" i="5" s="1"/>
  <c r="BC68" i="5"/>
  <c r="AJ14" i="9" s="1"/>
  <c r="BC154" i="5" s="1"/>
  <c r="BB61" i="5"/>
  <c r="BA153" i="5"/>
  <c r="BB153" i="5" s="1"/>
  <c r="BC19" i="5"/>
  <c r="CV18" i="5"/>
  <c r="BE11" i="5"/>
  <c r="BE16" i="5" s="1"/>
  <c r="CV8" i="5" l="1"/>
  <c r="CD8" i="5"/>
  <c r="BB68" i="5"/>
  <c r="AI14" i="9" s="1"/>
  <c r="AG45" i="9"/>
  <c r="AG49" i="9" s="1"/>
  <c r="AZ168" i="5"/>
  <c r="AZ170" i="5" s="1"/>
  <c r="AH18" i="9"/>
  <c r="BA154" i="5"/>
  <c r="CV61" i="5"/>
  <c r="BD8" i="5"/>
  <c r="BE8" i="5" s="1"/>
  <c r="BD18" i="5"/>
  <c r="CV68" i="5" l="1"/>
  <c r="BB154" i="5"/>
  <c r="CV154" i="5" s="1"/>
  <c r="AG60" i="9"/>
  <c r="AH11" i="9"/>
  <c r="AH38" i="9" s="1"/>
  <c r="AG70" i="9"/>
  <c r="AG58" i="9"/>
  <c r="BE18" i="5"/>
  <c r="BD19" i="5"/>
  <c r="AI18" i="9"/>
  <c r="BD61" i="5"/>
  <c r="BD68" i="5"/>
  <c r="AH24" i="9"/>
  <c r="BA168" i="5" s="1"/>
  <c r="BA170" i="5" s="1"/>
  <c r="BB170" i="5" s="1"/>
  <c r="AI22" i="9"/>
  <c r="AI24" i="9" s="1"/>
  <c r="BF8" i="5"/>
  <c r="CW11" i="5"/>
  <c r="BB168" i="5" l="1"/>
  <c r="AH45" i="9"/>
  <c r="AH49" i="9" s="1"/>
  <c r="AJ11" i="9"/>
  <c r="AZ31" i="5"/>
  <c r="AZ32" i="5" s="1"/>
  <c r="AZ150" i="5"/>
  <c r="AG78" i="9"/>
  <c r="AH81" i="9" s="1"/>
  <c r="AH84" i="9" s="1"/>
  <c r="AI38" i="9"/>
  <c r="AH42" i="9"/>
  <c r="AI42" i="9" s="1"/>
  <c r="CW8" i="5"/>
  <c r="BF61" i="5"/>
  <c r="BF153" i="5" s="1"/>
  <c r="BF68" i="5"/>
  <c r="AM14" i="9" s="1"/>
  <c r="BF154" i="5" s="1"/>
  <c r="AK14" i="9"/>
  <c r="BD154" i="5" s="1"/>
  <c r="BE154" i="5" s="1"/>
  <c r="BE68" i="5"/>
  <c r="BE61" i="5"/>
  <c r="BD153" i="5"/>
  <c r="BE153" i="5" s="1"/>
  <c r="CW18" i="5"/>
  <c r="BE19" i="5"/>
  <c r="CW19" i="5" s="1"/>
  <c r="BG8" i="5" l="1"/>
  <c r="CX9" i="5"/>
  <c r="CW154" i="5"/>
  <c r="AI45" i="9"/>
  <c r="BB121" i="5"/>
  <c r="AH60" i="9"/>
  <c r="CW61" i="5"/>
  <c r="CW153" i="5"/>
  <c r="AI49" i="9"/>
  <c r="CV168" i="5"/>
  <c r="BB171" i="5"/>
  <c r="CV171" i="5" s="1"/>
  <c r="BI8" i="5"/>
  <c r="AL14" i="9"/>
  <c r="CW68" i="5"/>
  <c r="CX11" i="5"/>
  <c r="BG68" i="5"/>
  <c r="BG61" i="5"/>
  <c r="AJ38" i="9"/>
  <c r="AJ42" i="9" s="1"/>
  <c r="AL11" i="9"/>
  <c r="BH8" i="5" l="1"/>
  <c r="CX8" i="5"/>
  <c r="BI68" i="5"/>
  <c r="AP14" i="9" s="1"/>
  <c r="BI154" i="5" s="1"/>
  <c r="BA125" i="5"/>
  <c r="AZ151" i="5"/>
  <c r="AN14" i="9"/>
  <c r="BG154" i="5" s="1"/>
  <c r="BH154" i="5" s="1"/>
  <c r="CX154" i="5" s="1"/>
  <c r="BH68" i="5"/>
  <c r="CX14" i="5"/>
  <c r="BF18" i="5"/>
  <c r="AH70" i="9"/>
  <c r="AI56" i="9"/>
  <c r="AI58" i="9" s="1"/>
  <c r="AH58" i="9"/>
  <c r="BI61" i="5"/>
  <c r="BI153" i="5" s="1"/>
  <c r="BJ8" i="5"/>
  <c r="BJ68" i="5" s="1"/>
  <c r="BH61" i="5"/>
  <c r="BG153" i="5"/>
  <c r="CV121" i="5"/>
  <c r="BB123" i="5"/>
  <c r="BG14" i="5" l="1"/>
  <c r="BG18" i="5" s="1"/>
  <c r="BH18" i="5" s="1"/>
  <c r="CY11" i="5"/>
  <c r="BK8" i="5"/>
  <c r="BB125" i="5"/>
  <c r="CV123" i="5"/>
  <c r="CX61" i="5"/>
  <c r="BH153" i="5"/>
  <c r="CX153" i="5" s="1"/>
  <c r="BL8" i="5"/>
  <c r="AO14" i="9"/>
  <c r="CX68" i="5"/>
  <c r="BJ61" i="5"/>
  <c r="AI70" i="9"/>
  <c r="BA31" i="5"/>
  <c r="BA150" i="5"/>
  <c r="BB150" i="5" s="1"/>
  <c r="BF19" i="5"/>
  <c r="BL68" i="5" l="1"/>
  <c r="CY8" i="5"/>
  <c r="BO8" i="5"/>
  <c r="BO68" i="5" s="1"/>
  <c r="AV14" i="9" s="1"/>
  <c r="BO154" i="5" s="1"/>
  <c r="BG19" i="5"/>
  <c r="AQ14" i="9"/>
  <c r="BJ154" i="5" s="1"/>
  <c r="BK68" i="5"/>
  <c r="CV125" i="5"/>
  <c r="CZ11" i="5"/>
  <c r="BN8" i="5"/>
  <c r="CZ8" i="5" s="1"/>
  <c r="BK61" i="5"/>
  <c r="BJ153" i="5"/>
  <c r="BK153" i="5" s="1"/>
  <c r="BM8" i="5"/>
  <c r="BM68" i="5" s="1"/>
  <c r="BN68" i="5" s="1"/>
  <c r="CX18" i="5"/>
  <c r="BH19" i="5"/>
  <c r="CX19" i="5" s="1"/>
  <c r="BB31" i="5"/>
  <c r="CV31" i="5" s="1"/>
  <c r="BL61" i="5"/>
  <c r="BL153" i="5" s="1"/>
  <c r="AS14" i="9"/>
  <c r="BL154" i="5" s="1"/>
  <c r="BI18" i="5"/>
  <c r="CY14" i="5"/>
  <c r="BK154" i="5" l="1"/>
  <c r="CY154" i="5" s="1"/>
  <c r="BO61" i="5"/>
  <c r="BO153" i="5" s="1"/>
  <c r="BR8" i="5"/>
  <c r="BR68" i="5" s="1"/>
  <c r="BP8" i="5"/>
  <c r="BP68" i="5" s="1"/>
  <c r="BQ68" i="5" s="1"/>
  <c r="BJ18" i="5"/>
  <c r="BJ19" i="5" s="1"/>
  <c r="BM61" i="5"/>
  <c r="CY153" i="5"/>
  <c r="CY61" i="5"/>
  <c r="CZ14" i="5"/>
  <c r="BI19" i="5"/>
  <c r="AR14" i="9"/>
  <c r="CY68" i="5"/>
  <c r="BR61" i="5" l="1"/>
  <c r="BR153" i="5" s="1"/>
  <c r="BK18" i="5"/>
  <c r="CY18" i="5" s="1"/>
  <c r="DA11" i="5"/>
  <c r="BP61" i="5"/>
  <c r="BL18" i="5"/>
  <c r="BL19" i="5" s="1"/>
  <c r="BM14" i="5"/>
  <c r="BN61" i="5"/>
  <c r="BM153" i="5"/>
  <c r="BN153" i="5" s="1"/>
  <c r="AT14" i="9"/>
  <c r="BM154" i="5" s="1"/>
  <c r="BN154" i="5" s="1"/>
  <c r="BU8" i="5" l="1"/>
  <c r="BS8" i="5"/>
  <c r="BS68" i="5" s="1"/>
  <c r="BT68" i="5" s="1"/>
  <c r="BM18" i="5"/>
  <c r="CZ154" i="5"/>
  <c r="BK19" i="5"/>
  <c r="CY19" i="5" s="1"/>
  <c r="BQ61" i="5"/>
  <c r="BP153" i="5"/>
  <c r="BQ8" i="5"/>
  <c r="DA8" i="5" s="1"/>
  <c r="AW14" i="9"/>
  <c r="BP154" i="5" s="1"/>
  <c r="AU14" i="9"/>
  <c r="CZ68" i="5"/>
  <c r="CZ61" i="5"/>
  <c r="CZ153" i="5"/>
  <c r="BU68" i="5" l="1"/>
  <c r="BU61" i="5"/>
  <c r="BU153" i="5" s="1"/>
  <c r="BS61" i="5"/>
  <c r="DB68" i="5"/>
  <c r="BQ153" i="5"/>
  <c r="DA153" i="5" s="1"/>
  <c r="DA61" i="5"/>
  <c r="AX14" i="9"/>
  <c r="DA68" i="5"/>
  <c r="BO14" i="5"/>
  <c r="BO18" i="5" s="1"/>
  <c r="BO19" i="5" s="1"/>
  <c r="DA14" i="5"/>
  <c r="BM19" i="5"/>
  <c r="BN18" i="5"/>
  <c r="CZ18" i="5" s="1"/>
  <c r="BQ154" i="5"/>
  <c r="DA154" i="5" s="1"/>
  <c r="BX8" i="5" l="1"/>
  <c r="BV8" i="5"/>
  <c r="BS153" i="5"/>
  <c r="BT61" i="5"/>
  <c r="DB11" i="5"/>
  <c r="DB14" i="5"/>
  <c r="BT8" i="5"/>
  <c r="DB8" i="5" s="1"/>
  <c r="BP14" i="5"/>
  <c r="BP18" i="5" s="1"/>
  <c r="BP19" i="5" s="1"/>
  <c r="BN19" i="5"/>
  <c r="CZ19" i="5" s="1"/>
  <c r="CV150" i="5"/>
  <c r="CV152" i="5"/>
  <c r="CV153" i="5"/>
  <c r="DJ8" i="5" l="1"/>
  <c r="BX61" i="5"/>
  <c r="BX153" i="5" s="1"/>
  <c r="BX68" i="5"/>
  <c r="BV68" i="5"/>
  <c r="BW68" i="5" s="1"/>
  <c r="DC68" i="5" s="1"/>
  <c r="BV61" i="5"/>
  <c r="BR14" i="5"/>
  <c r="BT153" i="5"/>
  <c r="DB153" i="5" s="1"/>
  <c r="DB61" i="5"/>
  <c r="BQ18" i="5"/>
  <c r="BB102" i="5"/>
  <c r="BC66" i="5" s="1"/>
  <c r="AJ12" i="9" s="1"/>
  <c r="CA8" i="5" l="1"/>
  <c r="BV153" i="5"/>
  <c r="BW61" i="5"/>
  <c r="BY8" i="5"/>
  <c r="DC11" i="5"/>
  <c r="BW8" i="5"/>
  <c r="DC8" i="5" s="1"/>
  <c r="BR18" i="5"/>
  <c r="BR19" i="5" s="1"/>
  <c r="BU14" i="5"/>
  <c r="BS14" i="5"/>
  <c r="BS18" i="5" s="1"/>
  <c r="BS19" i="5" s="1"/>
  <c r="BE47" i="5"/>
  <c r="CW47" i="5" s="1"/>
  <c r="CV102" i="5"/>
  <c r="CU11" i="5"/>
  <c r="DF11" i="5" s="1"/>
  <c r="AX8" i="5"/>
  <c r="AX68" i="5" s="1"/>
  <c r="AE14" i="9" s="1"/>
  <c r="BQ19" i="5"/>
  <c r="DA19" i="5" s="1"/>
  <c r="DA18" i="5"/>
  <c r="BC152" i="5"/>
  <c r="AJ22" i="9"/>
  <c r="AJ18" i="9"/>
  <c r="CA61" i="5" l="1"/>
  <c r="CA153" i="5" s="1"/>
  <c r="CA68" i="5"/>
  <c r="BW153" i="5"/>
  <c r="DC153" i="5" s="1"/>
  <c r="DC61" i="5"/>
  <c r="BY61" i="5"/>
  <c r="BY68" i="5"/>
  <c r="BZ68" i="5" s="1"/>
  <c r="DD68" i="5" s="1"/>
  <c r="BU18" i="5"/>
  <c r="BV14" i="5"/>
  <c r="BV18" i="5" s="1"/>
  <c r="BX14" i="5"/>
  <c r="CA14" i="5" s="1"/>
  <c r="BT18" i="5"/>
  <c r="BT19" i="5" s="1"/>
  <c r="DB19" i="5" s="1"/>
  <c r="AY8" i="5"/>
  <c r="AX61" i="5"/>
  <c r="AY61" i="5" s="1"/>
  <c r="CU61" i="5" s="1"/>
  <c r="AY68" i="5"/>
  <c r="CU68" i="5" s="1"/>
  <c r="AX18" i="5"/>
  <c r="AE22" i="9"/>
  <c r="AX154" i="5"/>
  <c r="AY154" i="5" s="1"/>
  <c r="CU154" i="5" s="1"/>
  <c r="AE18" i="9"/>
  <c r="BD66" i="5"/>
  <c r="AJ24" i="9"/>
  <c r="CB8" i="5" l="1"/>
  <c r="CB14" i="5"/>
  <c r="CB18" i="5" s="1"/>
  <c r="CA18" i="5"/>
  <c r="BY153" i="5"/>
  <c r="BZ61" i="5"/>
  <c r="DD11" i="5"/>
  <c r="BZ8" i="5"/>
  <c r="DD8" i="5" s="1"/>
  <c r="BX18" i="5"/>
  <c r="BY14" i="5"/>
  <c r="BY18" i="5" s="1"/>
  <c r="BV19" i="5"/>
  <c r="BW18" i="5"/>
  <c r="BU19" i="5"/>
  <c r="CU9" i="5"/>
  <c r="DF9" i="5" s="1"/>
  <c r="DB18" i="5"/>
  <c r="AX153" i="5"/>
  <c r="AY153" i="5" s="1"/>
  <c r="CU153" i="5" s="1"/>
  <c r="AF14" i="9"/>
  <c r="AX21" i="5"/>
  <c r="AY21" i="5" s="1"/>
  <c r="BA19" i="5"/>
  <c r="AY18" i="5"/>
  <c r="AX19" i="5"/>
  <c r="CU8" i="5"/>
  <c r="AF18" i="9"/>
  <c r="AF22" i="9"/>
  <c r="AF24" i="9" s="1"/>
  <c r="AE24" i="9"/>
  <c r="AX168" i="5" s="1"/>
  <c r="BC168" i="5"/>
  <c r="AJ45" i="9"/>
  <c r="AK12" i="9"/>
  <c r="BE66" i="5"/>
  <c r="CB68" i="5" l="1"/>
  <c r="CC68" i="5" s="1"/>
  <c r="DE68" i="5" s="1"/>
  <c r="CB61" i="5"/>
  <c r="CA19" i="5"/>
  <c r="CC18" i="5"/>
  <c r="CB19" i="5"/>
  <c r="DD61" i="5"/>
  <c r="BZ153" i="5"/>
  <c r="DD153" i="5" s="1"/>
  <c r="BW19" i="5"/>
  <c r="DC19" i="5" s="1"/>
  <c r="DC18" i="5"/>
  <c r="BY19" i="5"/>
  <c r="BZ18" i="5"/>
  <c r="DD18" i="5" s="1"/>
  <c r="BX19" i="5"/>
  <c r="AX23" i="5"/>
  <c r="AX27" i="5" s="1"/>
  <c r="AX35" i="5" s="1"/>
  <c r="AY35" i="5" s="1"/>
  <c r="AY23" i="5"/>
  <c r="CU18" i="5"/>
  <c r="AY19" i="5"/>
  <c r="CU19" i="5" s="1"/>
  <c r="BB19" i="5"/>
  <c r="CV19" i="5" s="1"/>
  <c r="CU21" i="5"/>
  <c r="AZ21" i="5"/>
  <c r="AX170" i="5"/>
  <c r="AY170" i="5" s="1"/>
  <c r="AY168" i="5"/>
  <c r="BC170" i="5"/>
  <c r="AE45" i="9"/>
  <c r="AF26" i="9"/>
  <c r="AF58" i="9" s="1"/>
  <c r="DF8" i="5"/>
  <c r="AJ49" i="9"/>
  <c r="CW66" i="5"/>
  <c r="AL12" i="9"/>
  <c r="AK18" i="9"/>
  <c r="AK22" i="9"/>
  <c r="BD152" i="5"/>
  <c r="BE152" i="5" s="1"/>
  <c r="AK11" i="9"/>
  <c r="AJ60" i="9"/>
  <c r="CB153" i="5" l="1"/>
  <c r="CC61" i="5"/>
  <c r="DE11" i="5"/>
  <c r="CC8" i="5"/>
  <c r="DE8" i="5" s="1"/>
  <c r="CC19" i="5"/>
  <c r="DE19" i="5" s="1"/>
  <c r="DE18" i="5"/>
  <c r="AX37" i="5"/>
  <c r="AX39" i="5" s="1"/>
  <c r="AX41" i="5" s="1"/>
  <c r="AX43" i="5" s="1"/>
  <c r="AX44" i="5" s="1"/>
  <c r="BZ19" i="5"/>
  <c r="DD19" i="5" s="1"/>
  <c r="AZ23" i="5"/>
  <c r="AZ27" i="5" s="1"/>
  <c r="BA21" i="5"/>
  <c r="AY27" i="5"/>
  <c r="CU23" i="5"/>
  <c r="AY171" i="5"/>
  <c r="CU171" i="5" s="1"/>
  <c r="CU168" i="5"/>
  <c r="AE60" i="9"/>
  <c r="AF45" i="9"/>
  <c r="AE49" i="9"/>
  <c r="AF49" i="9" s="1"/>
  <c r="AK38" i="9"/>
  <c r="AK24" i="9"/>
  <c r="AL22" i="9"/>
  <c r="AL24" i="9" s="1"/>
  <c r="CW152" i="5"/>
  <c r="BC125" i="5"/>
  <c r="AL18" i="9"/>
  <c r="CC153" i="5" l="1"/>
  <c r="DE153" i="5" s="1"/>
  <c r="DE61" i="5"/>
  <c r="AY39" i="5"/>
  <c r="CU39" i="5" s="1"/>
  <c r="AX51" i="5"/>
  <c r="AY51" i="5" s="1"/>
  <c r="AX92" i="5"/>
  <c r="AY92" i="5" s="1"/>
  <c r="AX133" i="5"/>
  <c r="AX134" i="5" s="1"/>
  <c r="AX135" i="5" s="1"/>
  <c r="AX182" i="5"/>
  <c r="AX183" i="5" s="1"/>
  <c r="AY37" i="5"/>
  <c r="CU27" i="5"/>
  <c r="BA23" i="5"/>
  <c r="BA27" i="5" s="1"/>
  <c r="BB21" i="5"/>
  <c r="AZ37" i="5"/>
  <c r="AZ35" i="5"/>
  <c r="BD168" i="5"/>
  <c r="AM11" i="9"/>
  <c r="BE121" i="5"/>
  <c r="AL26" i="9" s="1"/>
  <c r="AJ70" i="9"/>
  <c r="AJ58" i="9"/>
  <c r="AK45" i="9"/>
  <c r="AK60" i="9" s="1"/>
  <c r="AK42" i="9"/>
  <c r="AL38" i="9"/>
  <c r="AY52" i="5" l="1"/>
  <c r="AX140" i="5"/>
  <c r="AX185" i="5"/>
  <c r="AX186" i="5" s="1"/>
  <c r="AY58" i="5"/>
  <c r="AY62" i="5" s="1"/>
  <c r="AX74" i="5"/>
  <c r="AX75" i="5" s="1"/>
  <c r="AX52" i="5"/>
  <c r="AX58" i="5"/>
  <c r="AX59" i="5" s="1"/>
  <c r="AX148" i="5"/>
  <c r="AY148" i="5" s="1"/>
  <c r="AY140" i="5"/>
  <c r="CU140" i="5" s="1"/>
  <c r="AY74" i="5"/>
  <c r="CU74" i="5" s="1"/>
  <c r="CU51" i="5"/>
  <c r="AY133" i="5"/>
  <c r="CU133" i="5" s="1"/>
  <c r="AZ39" i="5"/>
  <c r="CV21" i="5"/>
  <c r="BC21" i="5"/>
  <c r="BB23" i="5"/>
  <c r="AY41" i="5"/>
  <c r="CU37" i="5"/>
  <c r="BD170" i="5"/>
  <c r="BE170" i="5" s="1"/>
  <c r="BE168" i="5"/>
  <c r="CW168" i="5" s="1"/>
  <c r="AL42" i="9"/>
  <c r="BD125" i="5"/>
  <c r="BC150" i="5"/>
  <c r="BC31" i="5"/>
  <c r="AK49" i="9"/>
  <c r="AL49" i="9" s="1"/>
  <c r="AL45" i="9"/>
  <c r="AM38" i="9"/>
  <c r="AM42" i="9" s="1"/>
  <c r="AO11" i="9"/>
  <c r="AX62" i="5" l="1"/>
  <c r="AX78" i="5" s="1"/>
  <c r="AX76" i="5"/>
  <c r="AX77" i="5" s="1"/>
  <c r="AY59" i="5"/>
  <c r="AY76" i="5"/>
  <c r="AY82" i="5"/>
  <c r="CU82" i="5" s="1"/>
  <c r="AX155" i="5"/>
  <c r="AY155" i="5" s="1"/>
  <c r="CU155" i="5" s="1"/>
  <c r="CU58" i="5"/>
  <c r="AX192" i="5"/>
  <c r="AX82" i="5"/>
  <c r="AX63" i="5"/>
  <c r="AZ133" i="5"/>
  <c r="AZ134" i="5" s="1"/>
  <c r="AZ135" i="5" s="1"/>
  <c r="AY182" i="5"/>
  <c r="AY183" i="5" s="1"/>
  <c r="CU183" i="5" s="1"/>
  <c r="AY134" i="5"/>
  <c r="AY135" i="5" s="1"/>
  <c r="AY75" i="5"/>
  <c r="AX89" i="5"/>
  <c r="AY89" i="5" s="1"/>
  <c r="CU89" i="5" s="1"/>
  <c r="AX290" i="5"/>
  <c r="AX293" i="5" s="1"/>
  <c r="AZ41" i="5"/>
  <c r="AZ92" i="5" s="1"/>
  <c r="BE171" i="5"/>
  <c r="CW171" i="5" s="1"/>
  <c r="BB27" i="5"/>
  <c r="CV27" i="5" s="1"/>
  <c r="CV23" i="5"/>
  <c r="BD21" i="5"/>
  <c r="BC23" i="5"/>
  <c r="BC27" i="5" s="1"/>
  <c r="CU41" i="5"/>
  <c r="AY43" i="5"/>
  <c r="AX79" i="5"/>
  <c r="AY78" i="5"/>
  <c r="CU148" i="5"/>
  <c r="AY192" i="5"/>
  <c r="CU192" i="5" s="1"/>
  <c r="AY63" i="5"/>
  <c r="AY290" i="5"/>
  <c r="AY293" i="5" s="1"/>
  <c r="CU62" i="5"/>
  <c r="AY70" i="5"/>
  <c r="CU76" i="5"/>
  <c r="AY77" i="5"/>
  <c r="CU77" i="5" s="1"/>
  <c r="BE123" i="5"/>
  <c r="CW121" i="5"/>
  <c r="AX70" i="5" l="1"/>
  <c r="AX72" i="5" s="1"/>
  <c r="CU182" i="5"/>
  <c r="AZ185" i="5"/>
  <c r="AZ182" i="5"/>
  <c r="AZ183" i="5" s="1"/>
  <c r="AX90" i="5"/>
  <c r="AX91" i="5" s="1"/>
  <c r="AY185" i="5"/>
  <c r="CU185" i="5" s="1"/>
  <c r="CU134" i="5"/>
  <c r="AZ51" i="5"/>
  <c r="AZ43" i="5"/>
  <c r="AZ44" i="5" s="1"/>
  <c r="CU43" i="5"/>
  <c r="AY44" i="5"/>
  <c r="CU44" i="5" s="1"/>
  <c r="BE21" i="5"/>
  <c r="BD23" i="5"/>
  <c r="BD27" i="5" s="1"/>
  <c r="CU78" i="5"/>
  <c r="AY79" i="5"/>
  <c r="CU79" i="5" s="1"/>
  <c r="AY72" i="5"/>
  <c r="CU72" i="5" s="1"/>
  <c r="CU70" i="5"/>
  <c r="AY90" i="5"/>
  <c r="BH47" i="5"/>
  <c r="CX47" i="5" s="1"/>
  <c r="CW102" i="5"/>
  <c r="BF66" i="5"/>
  <c r="AM12" i="9" s="1"/>
  <c r="BE125" i="5"/>
  <c r="CW125" i="5" s="1"/>
  <c r="CW123" i="5"/>
  <c r="AK70" i="9"/>
  <c r="AK58" i="9"/>
  <c r="AL56" i="9"/>
  <c r="AL58" i="9" s="1"/>
  <c r="AZ58" i="5" l="1"/>
  <c r="AZ59" i="5" s="1"/>
  <c r="AZ186" i="5"/>
  <c r="AY186" i="5"/>
  <c r="CU186" i="5" s="1"/>
  <c r="AZ140" i="5"/>
  <c r="AZ74" i="5"/>
  <c r="AZ75" i="5" s="1"/>
  <c r="AZ52" i="5"/>
  <c r="BE23" i="5"/>
  <c r="CW21" i="5"/>
  <c r="BF21" i="5"/>
  <c r="AZ82" i="5"/>
  <c r="AZ62" i="5"/>
  <c r="AZ148" i="5"/>
  <c r="AZ76" i="5"/>
  <c r="AZ77" i="5" s="1"/>
  <c r="CU90" i="5"/>
  <c r="AY91" i="5"/>
  <c r="CU91" i="5" s="1"/>
  <c r="AM22" i="9"/>
  <c r="AM24" i="9" s="1"/>
  <c r="AM18" i="9"/>
  <c r="BF152" i="5"/>
  <c r="BG66" i="5" s="1"/>
  <c r="BD150" i="5"/>
  <c r="BE150" i="5" s="1"/>
  <c r="BD31" i="5"/>
  <c r="AL70" i="9"/>
  <c r="CW23" i="5" l="1"/>
  <c r="BE27" i="5"/>
  <c r="CW27" i="5" s="1"/>
  <c r="AZ155" i="5"/>
  <c r="AZ192" i="5"/>
  <c r="AZ290" i="5"/>
  <c r="AZ293" i="5" s="1"/>
  <c r="AZ70" i="5"/>
  <c r="AZ63" i="5"/>
  <c r="AZ78" i="5"/>
  <c r="AZ79" i="5" s="1"/>
  <c r="AZ89" i="5"/>
  <c r="BG21" i="5"/>
  <c r="BF23" i="5"/>
  <c r="BF27" i="5" s="1"/>
  <c r="AM45" i="9"/>
  <c r="AM49" i="9" s="1"/>
  <c r="BF168" i="5"/>
  <c r="BF170" i="5" s="1"/>
  <c r="BF125" i="5"/>
  <c r="AN12" i="9"/>
  <c r="BH66" i="5"/>
  <c r="CW150" i="5"/>
  <c r="BE31" i="5"/>
  <c r="CW31" i="5" s="1"/>
  <c r="BG23" i="5" l="1"/>
  <c r="BG27" i="5" s="1"/>
  <c r="BH21" i="5"/>
  <c r="AZ72" i="5"/>
  <c r="AZ90" i="5"/>
  <c r="AZ91" i="5" s="1"/>
  <c r="AN11" i="9"/>
  <c r="AN38" i="9" s="1"/>
  <c r="AN42" i="9" s="1"/>
  <c r="AM60" i="9"/>
  <c r="AM70" i="9"/>
  <c r="AM58" i="9"/>
  <c r="CX66" i="5"/>
  <c r="AO12" i="9"/>
  <c r="BG152" i="5"/>
  <c r="AN18" i="9"/>
  <c r="AN22" i="9"/>
  <c r="CX21" i="5" l="1"/>
  <c r="BI21" i="5"/>
  <c r="BH23" i="5"/>
  <c r="AO38" i="9"/>
  <c r="AN24" i="9"/>
  <c r="AN45" i="9" s="1"/>
  <c r="AO22" i="9"/>
  <c r="AO24" i="9" s="1"/>
  <c r="BF150" i="5"/>
  <c r="BF31" i="5"/>
  <c r="AO18" i="9"/>
  <c r="BH152" i="5"/>
  <c r="CX152" i="5" s="1"/>
  <c r="AO42" i="9"/>
  <c r="CX23" i="5" l="1"/>
  <c r="BH27" i="5"/>
  <c r="CX27" i="5" s="1"/>
  <c r="BI23" i="5"/>
  <c r="BI27" i="5" s="1"/>
  <c r="BJ21" i="5"/>
  <c r="BG168" i="5"/>
  <c r="BG170" i="5" s="1"/>
  <c r="BH170" i="5" s="1"/>
  <c r="AN26" i="9"/>
  <c r="BH168" i="5"/>
  <c r="AO26" i="9"/>
  <c r="AN49" i="9"/>
  <c r="AO45" i="9"/>
  <c r="BJ23" i="5" l="1"/>
  <c r="BJ27" i="5" s="1"/>
  <c r="BK21" i="5"/>
  <c r="AP11" i="9"/>
  <c r="AR11" i="9" s="1"/>
  <c r="AN60" i="9"/>
  <c r="BH121" i="5"/>
  <c r="BG125" i="5"/>
  <c r="BI66" i="5"/>
  <c r="AP12" i="9" s="1"/>
  <c r="BK47" i="5"/>
  <c r="CY47" i="5" s="1"/>
  <c r="CX102" i="5"/>
  <c r="AO49" i="9"/>
  <c r="CX168" i="5"/>
  <c r="BH171" i="5"/>
  <c r="CX171" i="5" s="1"/>
  <c r="BK23" i="5" l="1"/>
  <c r="BL21" i="5"/>
  <c r="CY21" i="5"/>
  <c r="AP38" i="9"/>
  <c r="AP42" i="9" s="1"/>
  <c r="AN70" i="9"/>
  <c r="AN58" i="9"/>
  <c r="AO56" i="9"/>
  <c r="AO58" i="9" s="1"/>
  <c r="AP18" i="9"/>
  <c r="AP22" i="9"/>
  <c r="BI152" i="5"/>
  <c r="CX121" i="5"/>
  <c r="BH123" i="5"/>
  <c r="BL23" i="5" l="1"/>
  <c r="BL27" i="5" s="1"/>
  <c r="BM21" i="5"/>
  <c r="BM23" i="5" s="1"/>
  <c r="BM27" i="5" s="1"/>
  <c r="BK27" i="5"/>
  <c r="CY27" i="5" s="1"/>
  <c r="CY23" i="5"/>
  <c r="BH125" i="5"/>
  <c r="CX125" i="5" s="1"/>
  <c r="CX123" i="5"/>
  <c r="AP24" i="9"/>
  <c r="BI168" i="5" s="1"/>
  <c r="BI170" i="5" s="1"/>
  <c r="BG150" i="5"/>
  <c r="BG31" i="5"/>
  <c r="AO70" i="9"/>
  <c r="BN21" i="5" l="1"/>
  <c r="CZ21" i="5" s="1"/>
  <c r="AP45" i="9"/>
  <c r="AP49" i="9" s="1"/>
  <c r="BJ66" i="5"/>
  <c r="BH31" i="5"/>
  <c r="CX31" i="5" s="1"/>
  <c r="BH150" i="5"/>
  <c r="CX150" i="5" s="1"/>
  <c r="BN23" i="5" l="1"/>
  <c r="BN27" i="5" s="1"/>
  <c r="CZ27" i="5" s="1"/>
  <c r="BO21" i="5"/>
  <c r="BO23" i="5" s="1"/>
  <c r="BO27" i="5" s="1"/>
  <c r="BI125" i="5"/>
  <c r="AQ11" i="9"/>
  <c r="AQ38" i="9" s="1"/>
  <c r="AP60" i="9"/>
  <c r="BK66" i="5"/>
  <c r="AQ12" i="9"/>
  <c r="BP21" i="5" l="1"/>
  <c r="BP23" i="5" s="1"/>
  <c r="BP27" i="5" s="1"/>
  <c r="CZ23" i="5"/>
  <c r="BJ152" i="5"/>
  <c r="BK152" i="5" s="1"/>
  <c r="AQ18" i="9"/>
  <c r="AQ22" i="9"/>
  <c r="AQ24" i="9" s="1"/>
  <c r="CY66" i="5"/>
  <c r="AR12" i="9"/>
  <c r="AP70" i="9"/>
  <c r="BI31" i="5" s="1"/>
  <c r="AP58" i="9"/>
  <c r="AQ42" i="9"/>
  <c r="AR38" i="9"/>
  <c r="BQ21" i="5" l="1"/>
  <c r="BR21" i="5" s="1"/>
  <c r="BJ168" i="5"/>
  <c r="BJ170" i="5" s="1"/>
  <c r="BK170" i="5" s="1"/>
  <c r="AR22" i="9"/>
  <c r="AR24" i="9" s="1"/>
  <c r="BI150" i="5"/>
  <c r="AR18" i="9"/>
  <c r="AR42" i="9"/>
  <c r="CY152" i="5"/>
  <c r="BK168" i="5" l="1"/>
  <c r="BQ23" i="5"/>
  <c r="DA23" i="5" s="1"/>
  <c r="DA21" i="5"/>
  <c r="BR23" i="5"/>
  <c r="BR27" i="5" s="1"/>
  <c r="BS21" i="5"/>
  <c r="BS23" i="5" s="1"/>
  <c r="BS27" i="5" s="1"/>
  <c r="AQ45" i="9"/>
  <c r="AR45" i="9" s="1"/>
  <c r="AR26" i="9"/>
  <c r="BQ27" i="5" l="1"/>
  <c r="DA27" i="5" s="1"/>
  <c r="BT21" i="5"/>
  <c r="DB21" i="5" s="1"/>
  <c r="AQ49" i="9"/>
  <c r="AQ60" i="9"/>
  <c r="AS11" i="9"/>
  <c r="AS38" i="9" s="1"/>
  <c r="AS42" i="9" s="1"/>
  <c r="BK121" i="5"/>
  <c r="BL66" i="5"/>
  <c r="AS12" i="9" s="1"/>
  <c r="CY102" i="5"/>
  <c r="CY168" i="5"/>
  <c r="BK171" i="5"/>
  <c r="CY171" i="5" s="1"/>
  <c r="BT23" i="5" l="1"/>
  <c r="BT27" i="5" s="1"/>
  <c r="DB27" i="5" s="1"/>
  <c r="BU21" i="5"/>
  <c r="BJ125" i="5"/>
  <c r="AR49" i="9"/>
  <c r="BN47" i="5"/>
  <c r="CZ47" i="5" s="1"/>
  <c r="AU11" i="9"/>
  <c r="AS18" i="9"/>
  <c r="AS22" i="9"/>
  <c r="BL152" i="5"/>
  <c r="DB23" i="5" l="1"/>
  <c r="BV21" i="5"/>
  <c r="BV23" i="5" s="1"/>
  <c r="BV27" i="5" s="1"/>
  <c r="BU23" i="5"/>
  <c r="BU27" i="5" s="1"/>
  <c r="BK123" i="5"/>
  <c r="CY123" i="5" s="1"/>
  <c r="CY121" i="5"/>
  <c r="AS24" i="9"/>
  <c r="BW21" i="5" l="1"/>
  <c r="DC21" i="5" s="1"/>
  <c r="BK125" i="5"/>
  <c r="CY125" i="5" s="1"/>
  <c r="AS45" i="9"/>
  <c r="AS60" i="9" s="1"/>
  <c r="AT11" i="9"/>
  <c r="BL168" i="5"/>
  <c r="BL170" i="5" s="1"/>
  <c r="BN170" i="5" s="1"/>
  <c r="BM66" i="5"/>
  <c r="BL125" i="5" l="1"/>
  <c r="BW23" i="5"/>
  <c r="BX21" i="5"/>
  <c r="AS49" i="9"/>
  <c r="AS56" i="9" s="1"/>
  <c r="AT12" i="9"/>
  <c r="BN66" i="5"/>
  <c r="AT38" i="9"/>
  <c r="BW27" i="5" l="1"/>
  <c r="DC27" i="5" s="1"/>
  <c r="DC23" i="5"/>
  <c r="BY21" i="5"/>
  <c r="BY23" i="5" s="1"/>
  <c r="BY27" i="5" s="1"/>
  <c r="BX23" i="5"/>
  <c r="BX27" i="5" s="1"/>
  <c r="CZ66" i="5"/>
  <c r="AU12" i="9"/>
  <c r="AT42" i="9"/>
  <c r="AU38" i="9"/>
  <c r="AS58" i="9"/>
  <c r="AT22" i="9"/>
  <c r="BM152" i="5"/>
  <c r="BN152" i="5" s="1"/>
  <c r="AT18" i="9"/>
  <c r="BZ21" i="5" l="1"/>
  <c r="AT24" i="9"/>
  <c r="BM168" i="5" s="1"/>
  <c r="BN168" i="5" s="1"/>
  <c r="AU22" i="9"/>
  <c r="AU24" i="9" s="1"/>
  <c r="AU18" i="9"/>
  <c r="BL150" i="5"/>
  <c r="BL31" i="5"/>
  <c r="AU42" i="9"/>
  <c r="CZ152" i="5"/>
  <c r="BM102" i="5"/>
  <c r="BZ23" i="5" l="1"/>
  <c r="CA21" i="5"/>
  <c r="DD21" i="5"/>
  <c r="BZ27" i="5"/>
  <c r="DD27" i="5" s="1"/>
  <c r="DD23" i="5"/>
  <c r="BM171" i="5"/>
  <c r="AT26" i="9"/>
  <c r="BM121" i="5" s="1"/>
  <c r="AT45" i="9"/>
  <c r="AT49" i="9" s="1"/>
  <c r="BN102" i="5"/>
  <c r="AU26" i="9"/>
  <c r="CB21" i="5" l="1"/>
  <c r="CB23" i="5" s="1"/>
  <c r="CB27" i="5" s="1"/>
  <c r="CA23" i="5"/>
  <c r="CA27" i="5" s="1"/>
  <c r="AV11" i="9"/>
  <c r="AX11" i="9" s="1"/>
  <c r="AT60" i="9"/>
  <c r="AU45" i="9"/>
  <c r="CZ168" i="5"/>
  <c r="BN171" i="5"/>
  <c r="CZ171" i="5" s="1"/>
  <c r="BN121" i="5"/>
  <c r="BM123" i="5"/>
  <c r="BO66" i="5"/>
  <c r="AV12" i="9" s="1"/>
  <c r="CZ102" i="5"/>
  <c r="AU49" i="9"/>
  <c r="AT56" i="9"/>
  <c r="CC21" i="5" l="1"/>
  <c r="CC23" i="5" s="1"/>
  <c r="BM125" i="5"/>
  <c r="BQ47" i="5"/>
  <c r="DA47" i="5" s="1"/>
  <c r="BN123" i="5"/>
  <c r="CZ121" i="5"/>
  <c r="AT70" i="9"/>
  <c r="AT58" i="9"/>
  <c r="AU56" i="9"/>
  <c r="AU58" i="9" s="1"/>
  <c r="BO152" i="5"/>
  <c r="AV18" i="9"/>
  <c r="AV22" i="9"/>
  <c r="DE21" i="5" l="1"/>
  <c r="CC27" i="5"/>
  <c r="DE27" i="5" s="1"/>
  <c r="DE23" i="5"/>
  <c r="AV24" i="9"/>
  <c r="AV26" i="9" s="1"/>
  <c r="AV31" i="9" s="1"/>
  <c r="CZ123" i="5"/>
  <c r="BN125" i="5"/>
  <c r="CZ125" i="5" s="1"/>
  <c r="BO102" i="5"/>
  <c r="BM150" i="5"/>
  <c r="BN150" i="5" s="1"/>
  <c r="BM31" i="5"/>
  <c r="AU70" i="9"/>
  <c r="AW31" i="9" l="1"/>
  <c r="AV35" i="9"/>
  <c r="AV38" i="9"/>
  <c r="AV42" i="9" s="1"/>
  <c r="BO168" i="5"/>
  <c r="BO171" i="5" s="1"/>
  <c r="AV45" i="9"/>
  <c r="AV60" i="9" s="1"/>
  <c r="AW11" i="9"/>
  <c r="BO121" i="5"/>
  <c r="BP66" i="5"/>
  <c r="CZ150" i="5"/>
  <c r="BN31" i="5"/>
  <c r="CZ31" i="5" s="1"/>
  <c r="AX31" i="9" l="1"/>
  <c r="AW35" i="9"/>
  <c r="AX35" i="9" s="1"/>
  <c r="AW59" i="9"/>
  <c r="AX59" i="9" s="1"/>
  <c r="BO123" i="5"/>
  <c r="BO125" i="5" s="1"/>
  <c r="AV49" i="9"/>
  <c r="AV56" i="9" s="1"/>
  <c r="AW12" i="9"/>
  <c r="BQ66" i="5"/>
  <c r="AW38" i="9"/>
  <c r="AX12" i="9" l="1"/>
  <c r="DA66" i="5"/>
  <c r="AV70" i="9"/>
  <c r="AV58" i="9"/>
  <c r="AW22" i="9"/>
  <c r="BP152" i="5"/>
  <c r="AW18" i="9"/>
  <c r="AX38" i="9"/>
  <c r="AW42" i="9"/>
  <c r="AX42" i="9" l="1"/>
  <c r="AW24" i="9"/>
  <c r="BP168" i="5" s="1"/>
  <c r="AX22" i="9"/>
  <c r="AX24" i="9" s="1"/>
  <c r="AX18" i="9"/>
  <c r="BQ152" i="5"/>
  <c r="DA152" i="5" s="1"/>
  <c r="BP102" i="5"/>
  <c r="BO31" i="5"/>
  <c r="BO150" i="5"/>
  <c r="BP171" i="5" l="1"/>
  <c r="BQ102" i="5"/>
  <c r="DA102" i="5" s="1"/>
  <c r="AW26" i="9"/>
  <c r="AY11" i="9" s="1"/>
  <c r="AW45" i="9"/>
  <c r="BQ168" i="5"/>
  <c r="AX26" i="9"/>
  <c r="BQ171" i="5" l="1"/>
  <c r="DA171" i="5" s="1"/>
  <c r="DA168" i="5"/>
  <c r="BR66" i="5"/>
  <c r="BT47" i="5"/>
  <c r="DB47" i="5" s="1"/>
  <c r="BR102" i="5"/>
  <c r="AY26" i="9"/>
  <c r="BA11" i="9"/>
  <c r="BA26" i="9" s="1"/>
  <c r="AW49" i="9"/>
  <c r="AX45" i="9"/>
  <c r="AW60" i="9"/>
  <c r="BP121" i="5"/>
  <c r="BR121" i="5" l="1"/>
  <c r="BR123" i="5" s="1"/>
  <c r="BR125" i="5" s="1"/>
  <c r="AY31" i="9"/>
  <c r="BS102" i="5"/>
  <c r="BS66" i="5"/>
  <c r="BT66" i="5" s="1"/>
  <c r="DB66" i="5" s="1"/>
  <c r="AZ11" i="9"/>
  <c r="BQ121" i="5"/>
  <c r="BP123" i="5"/>
  <c r="AX49" i="9"/>
  <c r="AW56" i="9"/>
  <c r="AZ31" i="9" l="1"/>
  <c r="AY35" i="9"/>
  <c r="AY38" i="9"/>
  <c r="BT102" i="5"/>
  <c r="BQ123" i="5"/>
  <c r="DA121" i="5"/>
  <c r="BP125" i="5"/>
  <c r="AZ38" i="9"/>
  <c r="AZ26" i="9"/>
  <c r="BB11" i="9" s="1"/>
  <c r="AW70" i="9"/>
  <c r="AW58" i="9"/>
  <c r="AX56" i="9"/>
  <c r="AX58" i="9" s="1"/>
  <c r="AY42" i="9" l="1"/>
  <c r="AY60" i="9"/>
  <c r="AY56" i="9"/>
  <c r="BA31" i="9"/>
  <c r="BB31" i="9" s="1"/>
  <c r="AZ35" i="9"/>
  <c r="BA35" i="9" s="1"/>
  <c r="AZ59" i="9"/>
  <c r="BA59" i="9" s="1"/>
  <c r="BB38" i="9"/>
  <c r="BB42" i="9" s="1"/>
  <c r="BD11" i="9"/>
  <c r="BD26" i="9" s="1"/>
  <c r="BB26" i="9"/>
  <c r="DB102" i="5"/>
  <c r="BW47" i="5"/>
  <c r="DC47" i="5" s="1"/>
  <c r="BU66" i="5"/>
  <c r="BU102" i="5"/>
  <c r="BS121" i="5"/>
  <c r="BS123" i="5" s="1"/>
  <c r="BS125" i="5" s="1"/>
  <c r="BQ125" i="5"/>
  <c r="DA125" i="5" s="1"/>
  <c r="DA123" i="5"/>
  <c r="BA38" i="9"/>
  <c r="AZ42" i="9"/>
  <c r="AZ60" i="9"/>
  <c r="BP31" i="5"/>
  <c r="BP150" i="5"/>
  <c r="AX70" i="9"/>
  <c r="BC31" i="9" l="1"/>
  <c r="BB35" i="9"/>
  <c r="AY58" i="9"/>
  <c r="AY70" i="9"/>
  <c r="BC11" i="9"/>
  <c r="BB60" i="9"/>
  <c r="BB56" i="9"/>
  <c r="BV102" i="5"/>
  <c r="BV66" i="5"/>
  <c r="BW66" i="5" s="1"/>
  <c r="DC66" i="5" s="1"/>
  <c r="BT121" i="5"/>
  <c r="BT123" i="5" s="1"/>
  <c r="BU121" i="5"/>
  <c r="BU123" i="5" s="1"/>
  <c r="BU125" i="5" s="1"/>
  <c r="AZ56" i="9"/>
  <c r="BA42" i="9"/>
  <c r="BQ150" i="5"/>
  <c r="DA150" i="5" s="1"/>
  <c r="BQ31" i="5"/>
  <c r="DA31" i="5" s="1"/>
  <c r="BR31" i="5" l="1"/>
  <c r="BR150" i="5"/>
  <c r="BD31" i="9"/>
  <c r="BC59" i="9"/>
  <c r="BD59" i="9" s="1"/>
  <c r="BC35" i="9"/>
  <c r="BD35" i="9" s="1"/>
  <c r="BB58" i="9"/>
  <c r="BB70" i="9"/>
  <c r="DB121" i="5"/>
  <c r="BC26" i="9"/>
  <c r="BC38" i="9"/>
  <c r="BW102" i="5"/>
  <c r="DC102" i="5" s="1"/>
  <c r="BT125" i="5"/>
  <c r="DB125" i="5" s="1"/>
  <c r="DB123" i="5"/>
  <c r="AZ70" i="9"/>
  <c r="AZ58" i="9"/>
  <c r="BA56" i="9"/>
  <c r="BA58" i="9" s="1"/>
  <c r="AH74" i="9"/>
  <c r="AH75" i="9" s="1"/>
  <c r="AI75" i="9" s="1"/>
  <c r="AI76" i="9"/>
  <c r="AI78" i="9" s="1"/>
  <c r="AH78" i="9"/>
  <c r="BA30" i="5"/>
  <c r="BA149" i="5" s="1"/>
  <c r="BB149" i="5" s="1"/>
  <c r="BD38" i="9" l="1"/>
  <c r="BC42" i="9"/>
  <c r="BE11" i="9"/>
  <c r="BC60" i="9"/>
  <c r="BX66" i="5"/>
  <c r="BZ47" i="5"/>
  <c r="DD47" i="5" s="1"/>
  <c r="BX102" i="5"/>
  <c r="BV121" i="5"/>
  <c r="BA32" i="5"/>
  <c r="BA35" i="5" s="1"/>
  <c r="BS31" i="5"/>
  <c r="BS150" i="5"/>
  <c r="BA70" i="9"/>
  <c r="BB30" i="5"/>
  <c r="CV30" i="5" s="1"/>
  <c r="BB34" i="5"/>
  <c r="BA151" i="5"/>
  <c r="BB151" i="5" s="1"/>
  <c r="CV149" i="5"/>
  <c r="BE38" i="9" l="1"/>
  <c r="BE42" i="9" s="1"/>
  <c r="BG11" i="9"/>
  <c r="BG26" i="9" s="1"/>
  <c r="BE26" i="9"/>
  <c r="BC56" i="9"/>
  <c r="BD42" i="9"/>
  <c r="BU31" i="5"/>
  <c r="BU150" i="5"/>
  <c r="BW121" i="5"/>
  <c r="BV123" i="5"/>
  <c r="BV125" i="5" s="1"/>
  <c r="BY102" i="5"/>
  <c r="BY66" i="5"/>
  <c r="BZ66" i="5" s="1"/>
  <c r="DD66" i="5" s="1"/>
  <c r="BA37" i="5"/>
  <c r="BA39" i="5" s="1"/>
  <c r="BT31" i="5"/>
  <c r="BT150" i="5"/>
  <c r="DB150" i="5" s="1"/>
  <c r="BB32" i="5"/>
  <c r="CV34" i="5"/>
  <c r="BZ102" i="5" l="1"/>
  <c r="BC58" i="9"/>
  <c r="BC70" i="9"/>
  <c r="BD70" i="9" s="1"/>
  <c r="BD56" i="9"/>
  <c r="BD58" i="9" s="1"/>
  <c r="BF11" i="9"/>
  <c r="BE60" i="9"/>
  <c r="BE56" i="9"/>
  <c r="BW123" i="5"/>
  <c r="DC121" i="5"/>
  <c r="BX121" i="5"/>
  <c r="BX123" i="5" s="1"/>
  <c r="BX125" i="5" s="1"/>
  <c r="DB31" i="5"/>
  <c r="BB35" i="5"/>
  <c r="CV151" i="5"/>
  <c r="CV32" i="5"/>
  <c r="BB37" i="5"/>
  <c r="CV37" i="5" s="1"/>
  <c r="BB39" i="5"/>
  <c r="BA133" i="5"/>
  <c r="BA41" i="5"/>
  <c r="DD102" i="5" l="1"/>
  <c r="CA66" i="5"/>
  <c r="CC47" i="5"/>
  <c r="DE47" i="5" s="1"/>
  <c r="CA102" i="5"/>
  <c r="BE58" i="9"/>
  <c r="BE70" i="9"/>
  <c r="BF38" i="9"/>
  <c r="BF26" i="9"/>
  <c r="BH11" i="9" s="1"/>
  <c r="BW125" i="5"/>
  <c r="DC125" i="5" s="1"/>
  <c r="DC123" i="5"/>
  <c r="BC48" i="5"/>
  <c r="BC55" i="5" s="1"/>
  <c r="BB105" i="5"/>
  <c r="BA110" i="5"/>
  <c r="BB133" i="5"/>
  <c r="BA43" i="5"/>
  <c r="BA44" i="5" s="1"/>
  <c r="BA92" i="5"/>
  <c r="BB92" i="5" s="1"/>
  <c r="BA51" i="5"/>
  <c r="CV39" i="5"/>
  <c r="BB41" i="5"/>
  <c r="BH38" i="9" l="1"/>
  <c r="BH42" i="9" s="1"/>
  <c r="BJ11" i="9"/>
  <c r="BJ26" i="9" s="1"/>
  <c r="BH26" i="9"/>
  <c r="CB66" i="5"/>
  <c r="CC66" i="5" s="1"/>
  <c r="DE66" i="5" s="1"/>
  <c r="CB102" i="5"/>
  <c r="CC102" i="5" s="1"/>
  <c r="DE102" i="5" s="1"/>
  <c r="BF60" i="9"/>
  <c r="BF42" i="9"/>
  <c r="BG38" i="9"/>
  <c r="BV31" i="5"/>
  <c r="BV150" i="5"/>
  <c r="BB51" i="5"/>
  <c r="BA140" i="5"/>
  <c r="BA141" i="5" s="1"/>
  <c r="BB141" i="5" s="1"/>
  <c r="CV141" i="5" s="1"/>
  <c r="BA74" i="5"/>
  <c r="BA75" i="5" s="1"/>
  <c r="BA58" i="5"/>
  <c r="BA52" i="5"/>
  <c r="CV133" i="5"/>
  <c r="BA191" i="5"/>
  <c r="BA187" i="5"/>
  <c r="BA188" i="5" s="1"/>
  <c r="BA127" i="5"/>
  <c r="BA182" i="5" s="1"/>
  <c r="BA183" i="5" s="1"/>
  <c r="CV41" i="5"/>
  <c r="BB43" i="5"/>
  <c r="BD48" i="5"/>
  <c r="CV105" i="5"/>
  <c r="BB108" i="5"/>
  <c r="CV108" i="5" s="1"/>
  <c r="BH60" i="9" l="1"/>
  <c r="BI11" i="9"/>
  <c r="CA121" i="5"/>
  <c r="CA123" i="5" s="1"/>
  <c r="CA125" i="5" s="1"/>
  <c r="BH56" i="9"/>
  <c r="BF56" i="9"/>
  <c r="BG42" i="9"/>
  <c r="BY121" i="5"/>
  <c r="BX31" i="5"/>
  <c r="BX150" i="5"/>
  <c r="BW150" i="5"/>
  <c r="DC150" i="5" s="1"/>
  <c r="BW31" i="5"/>
  <c r="DC31" i="5" s="1"/>
  <c r="CV43" i="5"/>
  <c r="BB44" i="5"/>
  <c r="CV44" i="5" s="1"/>
  <c r="BA59" i="5"/>
  <c r="BA148" i="5"/>
  <c r="BA155" i="5" s="1"/>
  <c r="BB155" i="5" s="1"/>
  <c r="CV155" i="5" s="1"/>
  <c r="BA62" i="5"/>
  <c r="BA76" i="5"/>
  <c r="BA77" i="5" s="1"/>
  <c r="BA82" i="5"/>
  <c r="BB143" i="5"/>
  <c r="BE48" i="5"/>
  <c r="BE55" i="5" s="1"/>
  <c r="CW55" i="5" s="1"/>
  <c r="BD55" i="5"/>
  <c r="BB74" i="5"/>
  <c r="BB52" i="5"/>
  <c r="BB140" i="5"/>
  <c r="CV140" i="5" s="1"/>
  <c r="BB58" i="5"/>
  <c r="CV51" i="5"/>
  <c r="BI38" i="9" l="1"/>
  <c r="BI26" i="9"/>
  <c r="BH58" i="9"/>
  <c r="BH70" i="9"/>
  <c r="BF58" i="9"/>
  <c r="BF70" i="9"/>
  <c r="BG70" i="9" s="1"/>
  <c r="BG56" i="9"/>
  <c r="BG58" i="9" s="1"/>
  <c r="BY123" i="5"/>
  <c r="BY125" i="5" s="1"/>
  <c r="BZ121" i="5"/>
  <c r="BB132" i="5"/>
  <c r="CV143" i="5"/>
  <c r="BC139" i="5"/>
  <c r="BE139" i="5" s="1"/>
  <c r="CW139" i="5" s="1"/>
  <c r="BA78" i="5"/>
  <c r="BA79" i="5" s="1"/>
  <c r="BA70" i="5"/>
  <c r="BA290" i="5"/>
  <c r="BA293" i="5" s="1"/>
  <c r="BA89" i="5"/>
  <c r="BB89" i="5" s="1"/>
  <c r="CV89" i="5" s="1"/>
  <c r="BA63" i="5"/>
  <c r="BB75" i="5"/>
  <c r="CV74" i="5"/>
  <c r="BA134" i="5"/>
  <c r="BB148" i="5"/>
  <c r="BA192" i="5"/>
  <c r="BB76" i="5"/>
  <c r="BB82" i="5"/>
  <c r="CV82" i="5" s="1"/>
  <c r="CV58" i="5"/>
  <c r="BB62" i="5"/>
  <c r="BB59" i="5"/>
  <c r="DH43" i="5"/>
  <c r="BI60" i="9" l="1"/>
  <c r="CB121" i="5"/>
  <c r="CA31" i="5"/>
  <c r="CA150" i="5"/>
  <c r="BI42" i="9"/>
  <c r="BJ38" i="9"/>
  <c r="BZ123" i="5"/>
  <c r="DD121" i="5"/>
  <c r="BB192" i="5"/>
  <c r="CV192" i="5" s="1"/>
  <c r="CV148" i="5"/>
  <c r="BB77" i="5"/>
  <c r="CV77" i="5" s="1"/>
  <c r="CV76" i="5"/>
  <c r="BB156" i="5"/>
  <c r="CV156" i="5" s="1"/>
  <c r="BA175" i="5"/>
  <c r="BA135" i="5"/>
  <c r="BA185" i="5"/>
  <c r="BB70" i="5"/>
  <c r="CV62" i="5"/>
  <c r="BB63" i="5"/>
  <c r="BB290" i="5"/>
  <c r="BB293" i="5" s="1"/>
  <c r="BB78" i="5"/>
  <c r="BA72" i="5"/>
  <c r="BA90" i="5"/>
  <c r="BA91" i="5" s="1"/>
  <c r="BB134" i="5"/>
  <c r="CV134" i="5" s="1"/>
  <c r="CV132" i="5"/>
  <c r="BI56" i="9" l="1"/>
  <c r="BJ42" i="9"/>
  <c r="CB123" i="5"/>
  <c r="CB125" i="5" s="1"/>
  <c r="CC121" i="5"/>
  <c r="BZ125" i="5"/>
  <c r="DD125" i="5" s="1"/>
  <c r="DD123" i="5"/>
  <c r="BY150" i="5"/>
  <c r="BY31" i="5"/>
  <c r="BA186" i="5"/>
  <c r="BB90" i="5"/>
  <c r="CV70" i="5"/>
  <c r="BB72" i="5"/>
  <c r="CV72" i="5" s="1"/>
  <c r="CV78" i="5"/>
  <c r="BB79" i="5"/>
  <c r="CV79" i="5" s="1"/>
  <c r="BB175" i="5"/>
  <c r="BA177" i="5"/>
  <c r="BA178" i="5" s="1"/>
  <c r="CC123" i="5" l="1"/>
  <c r="DE121" i="5"/>
  <c r="BI70" i="9"/>
  <c r="BI58" i="9"/>
  <c r="BJ56" i="9"/>
  <c r="BJ58" i="9" s="1"/>
  <c r="BZ31" i="5"/>
  <c r="DD31" i="5" s="1"/>
  <c r="BZ150" i="5"/>
  <c r="DD150" i="5" s="1"/>
  <c r="CV90" i="5"/>
  <c r="BB91" i="5"/>
  <c r="CV91" i="5" s="1"/>
  <c r="BB177" i="5"/>
  <c r="CV175" i="5"/>
  <c r="CC125" i="5" l="1"/>
  <c r="DE125" i="5" s="1"/>
  <c r="DE123" i="5"/>
  <c r="CB150" i="5"/>
  <c r="CB31" i="5"/>
  <c r="BJ70" i="9"/>
  <c r="CV177" i="5"/>
  <c r="BC176" i="5"/>
  <c r="BB178" i="5"/>
  <c r="BE176" i="5"/>
  <c r="CW176" i="5" s="1"/>
  <c r="CC31" i="5" l="1"/>
  <c r="DE31" i="5" s="1"/>
  <c r="CC150" i="5"/>
  <c r="DE150" i="5" s="1"/>
  <c r="BB99" i="5"/>
  <c r="AI74" i="9"/>
  <c r="BB185" i="5"/>
  <c r="CV95" i="5"/>
  <c r="CV185" i="5" l="1"/>
  <c r="BB186" i="5"/>
  <c r="CV186" i="5" s="1"/>
  <c r="CV99" i="5"/>
  <c r="BB110" i="5"/>
  <c r="BB127" i="5" l="1"/>
  <c r="BB135" i="5"/>
  <c r="BB191" i="5"/>
  <c r="CV191" i="5" s="1"/>
  <c r="CV110" i="5"/>
  <c r="BB187" i="5"/>
  <c r="BB188" i="5" s="1"/>
  <c r="CV127" i="5" l="1"/>
  <c r="BB182" i="5"/>
  <c r="BB183" i="5" l="1"/>
  <c r="CV183" i="5" s="1"/>
  <c r="CV182" i="5"/>
  <c r="AJ74" i="9" l="1"/>
  <c r="BC30" i="5"/>
  <c r="BC32" i="5" s="1"/>
  <c r="AJ75" i="9" l="1"/>
  <c r="BC35" i="5"/>
  <c r="BC37" i="5"/>
  <c r="BC39" i="5" s="1"/>
  <c r="BC41" i="5" s="1"/>
  <c r="BC149" i="5"/>
  <c r="BC151" i="5"/>
  <c r="AJ78" i="9"/>
  <c r="BC43" i="5" l="1"/>
  <c r="BC92" i="5"/>
  <c r="BC51" i="5"/>
  <c r="BC110" i="5"/>
  <c r="BC133" i="5"/>
  <c r="BC127" i="5" l="1"/>
  <c r="BC182" i="5" s="1"/>
  <c r="BC183" i="5" s="1"/>
  <c r="BC187" i="5"/>
  <c r="BC188" i="5" s="1"/>
  <c r="BC191" i="5"/>
  <c r="BC52" i="5"/>
  <c r="BC58" i="5"/>
  <c r="BC140" i="5"/>
  <c r="BC141" i="5" s="1"/>
  <c r="BC74" i="5"/>
  <c r="BC75" i="5" s="1"/>
  <c r="BC44" i="5"/>
  <c r="BD139" i="5" l="1"/>
  <c r="BC76" i="5"/>
  <c r="BC77" i="5" s="1"/>
  <c r="BC148" i="5"/>
  <c r="BC155" i="5" s="1"/>
  <c r="BC59" i="5"/>
  <c r="BC62" i="5"/>
  <c r="BC82" i="5"/>
  <c r="BC192" i="5" l="1"/>
  <c r="BC63" i="5"/>
  <c r="BC89" i="5"/>
  <c r="BC290" i="5"/>
  <c r="BC293" i="5" s="1"/>
  <c r="BC70" i="5"/>
  <c r="BC78" i="5"/>
  <c r="BC134" i="5"/>
  <c r="BC79" i="5" l="1"/>
  <c r="BC175" i="5"/>
  <c r="BC90" i="5"/>
  <c r="BC91" i="5" s="1"/>
  <c r="BC72" i="5"/>
  <c r="BC185" i="5"/>
  <c r="BC186" i="5" s="1"/>
  <c r="BC135" i="5"/>
  <c r="BC177" i="5" l="1"/>
  <c r="BD176" i="5" l="1"/>
  <c r="BC178" i="5"/>
  <c r="AK74" i="9" l="1"/>
  <c r="AK75" i="9" s="1"/>
  <c r="AL75" i="9" s="1"/>
  <c r="AL76" i="9" l="1"/>
  <c r="AL78" i="9" s="1"/>
  <c r="AK78" i="9"/>
  <c r="BD30" i="5"/>
  <c r="BE30" i="5" l="1"/>
  <c r="BE32" i="5" s="1"/>
  <c r="BD32" i="5"/>
  <c r="BD35" i="5" s="1"/>
  <c r="BD149" i="5"/>
  <c r="CW30" i="5" l="1"/>
  <c r="BE149" i="5"/>
  <c r="CW149" i="5" s="1"/>
  <c r="BD37" i="5"/>
  <c r="BD39" i="5" s="1"/>
  <c r="BE105" i="5" s="1"/>
  <c r="CW32" i="5"/>
  <c r="BD41" i="5" l="1"/>
  <c r="BD43" i="5" s="1"/>
  <c r="BD44" i="5" s="1"/>
  <c r="BD133" i="5"/>
  <c r="BE39" i="5"/>
  <c r="CW39" i="5" s="1"/>
  <c r="BD151" i="5"/>
  <c r="BE151" i="5" s="1"/>
  <c r="BE34" i="5"/>
  <c r="BE35" i="5" s="1"/>
  <c r="BF48" i="5"/>
  <c r="BD110" i="5"/>
  <c r="BD92" i="5" l="1"/>
  <c r="BE92" i="5" s="1"/>
  <c r="BD51" i="5"/>
  <c r="BE133" i="5"/>
  <c r="CW34" i="5"/>
  <c r="BE37" i="5"/>
  <c r="BG48" i="5"/>
  <c r="BE108" i="5"/>
  <c r="CW105" i="5"/>
  <c r="BD127" i="5"/>
  <c r="BD182" i="5" s="1"/>
  <c r="BD183" i="5" s="1"/>
  <c r="BD191" i="5"/>
  <c r="BD187" i="5"/>
  <c r="BD188" i="5" s="1"/>
  <c r="BF55" i="5"/>
  <c r="BE51" i="5" l="1"/>
  <c r="CW51" i="5" s="1"/>
  <c r="CW133" i="5"/>
  <c r="BD140" i="5"/>
  <c r="BD141" i="5" s="1"/>
  <c r="BD74" i="5"/>
  <c r="BD75" i="5" s="1"/>
  <c r="BD58" i="5"/>
  <c r="BD82" i="5" s="1"/>
  <c r="BD52" i="5"/>
  <c r="BE41" i="5"/>
  <c r="CW37" i="5"/>
  <c r="CW151" i="5"/>
  <c r="CW108" i="5"/>
  <c r="BE143" i="5"/>
  <c r="BG55" i="5"/>
  <c r="BH48" i="5"/>
  <c r="BH55" i="5" s="1"/>
  <c r="BE140" i="5" l="1"/>
  <c r="CW140" i="5" s="1"/>
  <c r="BE74" i="5"/>
  <c r="BE75" i="5" s="1"/>
  <c r="BE52" i="5"/>
  <c r="BE58" i="5"/>
  <c r="BE76" i="5" s="1"/>
  <c r="BD59" i="5"/>
  <c r="BD148" i="5"/>
  <c r="BE148" i="5" s="1"/>
  <c r="BD76" i="5"/>
  <c r="BD77" i="5" s="1"/>
  <c r="BD62" i="5"/>
  <c r="BD70" i="5" s="1"/>
  <c r="CW41" i="5"/>
  <c r="BE43" i="5"/>
  <c r="CX55" i="5"/>
  <c r="BD134" i="5"/>
  <c r="BE132" i="5"/>
  <c r="BF139" i="5"/>
  <c r="CW143" i="5"/>
  <c r="CW58" i="5" l="1"/>
  <c r="BE82" i="5"/>
  <c r="CW82" i="5" s="1"/>
  <c r="BE59" i="5"/>
  <c r="BE62" i="5"/>
  <c r="CW62" i="5" s="1"/>
  <c r="BD155" i="5"/>
  <c r="BE155" i="5" s="1"/>
  <c r="CW155" i="5" s="1"/>
  <c r="CW74" i="5"/>
  <c r="BD192" i="5"/>
  <c r="BD63" i="5"/>
  <c r="BD290" i="5"/>
  <c r="BD293" i="5" s="1"/>
  <c r="BD78" i="5"/>
  <c r="BE78" i="5" s="1"/>
  <c r="BD89" i="5"/>
  <c r="BE89" i="5" s="1"/>
  <c r="CW89" i="5" s="1"/>
  <c r="BE44" i="5"/>
  <c r="CW44" i="5" s="1"/>
  <c r="CW43" i="5"/>
  <c r="CW132" i="5"/>
  <c r="BE134" i="5"/>
  <c r="CW134" i="5" s="1"/>
  <c r="BE77" i="5"/>
  <c r="CW77" i="5" s="1"/>
  <c r="CW76" i="5"/>
  <c r="CW148" i="5"/>
  <c r="BE192" i="5"/>
  <c r="CW192" i="5" s="1"/>
  <c r="BD185" i="5"/>
  <c r="BD186" i="5" s="1"/>
  <c r="BD135" i="5"/>
  <c r="BH139" i="5"/>
  <c r="BD72" i="5"/>
  <c r="BD90" i="5"/>
  <c r="BD91" i="5" s="1"/>
  <c r="BE156" i="5"/>
  <c r="CW156" i="5" s="1"/>
  <c r="BD175" i="5"/>
  <c r="BE290" i="5" l="1"/>
  <c r="BE293" i="5" s="1"/>
  <c r="BE63" i="5"/>
  <c r="BE70" i="5"/>
  <c r="CW70" i="5" s="1"/>
  <c r="BD79" i="5"/>
  <c r="CW78" i="5"/>
  <c r="BE79" i="5"/>
  <c r="CW79" i="5" s="1"/>
  <c r="BE175" i="5"/>
  <c r="BD177" i="5"/>
  <c r="BD178" i="5" s="1"/>
  <c r="BE90" i="5"/>
  <c r="BE72" i="5"/>
  <c r="CW72" i="5" s="1"/>
  <c r="CX139" i="5"/>
  <c r="BE177" i="5" l="1"/>
  <c r="CW175" i="5"/>
  <c r="CW90" i="5"/>
  <c r="BE91" i="5"/>
  <c r="CW91" i="5" s="1"/>
  <c r="BE178" i="5" l="1"/>
  <c r="BF176" i="5"/>
  <c r="BH176" i="5"/>
  <c r="CW177" i="5"/>
  <c r="AL74" i="9" l="1"/>
  <c r="CW95" i="5"/>
  <c r="BE99" i="5"/>
  <c r="BE185" i="5"/>
  <c r="CX176" i="5"/>
  <c r="CW185" i="5" l="1"/>
  <c r="BE186" i="5"/>
  <c r="CW186" i="5" s="1"/>
  <c r="CW99" i="5"/>
  <c r="BE110" i="5"/>
  <c r="CW110" i="5" l="1"/>
  <c r="BE127" i="5"/>
  <c r="BE135" i="5"/>
  <c r="BE191" i="5"/>
  <c r="CW191" i="5" s="1"/>
  <c r="BE187" i="5"/>
  <c r="BE188" i="5" s="1"/>
  <c r="CW127" i="5" l="1"/>
  <c r="BE182" i="5"/>
  <c r="CW182" i="5" l="1"/>
  <c r="BE183" i="5"/>
  <c r="CW183" i="5" s="1"/>
  <c r="AM74" i="9" l="1"/>
  <c r="BF30" i="5"/>
  <c r="AM75" i="9" l="1"/>
  <c r="BF32" i="5"/>
  <c r="BF35" i="5" s="1"/>
  <c r="BF149" i="5"/>
  <c r="AM78" i="9"/>
  <c r="BF151" i="5" l="1"/>
  <c r="BF37" i="5" l="1"/>
  <c r="BF39" i="5" s="1"/>
  <c r="BF41" i="5" s="1"/>
  <c r="BF51" i="5" l="1"/>
  <c r="BF92" i="5"/>
  <c r="BF43" i="5"/>
  <c r="BF44" i="5" s="1"/>
  <c r="BF133" i="5"/>
  <c r="BF110" i="5"/>
  <c r="BF187" i="5" l="1"/>
  <c r="BF188" i="5" s="1"/>
  <c r="BF191" i="5"/>
  <c r="BF127" i="5"/>
  <c r="BF182" i="5" s="1"/>
  <c r="BF183" i="5" s="1"/>
  <c r="BF58" i="5"/>
  <c r="BF74" i="5"/>
  <c r="BF75" i="5" s="1"/>
  <c r="BF52" i="5"/>
  <c r="BF140" i="5"/>
  <c r="BF141" i="5" s="1"/>
  <c r="BF148" i="5" l="1"/>
  <c r="BF155" i="5" s="1"/>
  <c r="BF76" i="5"/>
  <c r="BF77" i="5" s="1"/>
  <c r="BF82" i="5"/>
  <c r="BF59" i="5"/>
  <c r="BF62" i="5"/>
  <c r="BG139" i="5"/>
  <c r="BF134" i="5"/>
  <c r="BF78" i="5" l="1"/>
  <c r="BF89" i="5"/>
  <c r="BF63" i="5"/>
  <c r="BF70" i="5"/>
  <c r="BF290" i="5"/>
  <c r="BF293" i="5" s="1"/>
  <c r="BF185" i="5"/>
  <c r="BF186" i="5" s="1"/>
  <c r="BF135" i="5"/>
  <c r="BF192" i="5"/>
  <c r="BF175" i="5" l="1"/>
  <c r="BF90" i="5"/>
  <c r="BF91" i="5" s="1"/>
  <c r="BF72" i="5"/>
  <c r="BF79" i="5"/>
  <c r="BF177" i="5" l="1"/>
  <c r="BF178" i="5" l="1"/>
  <c r="BG176" i="5"/>
  <c r="AN74" i="9" l="1"/>
  <c r="AN75" i="9" s="1"/>
  <c r="AO75" i="9" s="1"/>
  <c r="AO76" i="9"/>
  <c r="AO78" i="9" s="1"/>
  <c r="BH30" i="5" l="1"/>
  <c r="AN78" i="9"/>
  <c r="BG30" i="5"/>
  <c r="BG32" i="5" l="1"/>
  <c r="BG35" i="5" s="1"/>
  <c r="BG149" i="5"/>
  <c r="BH32" i="5"/>
  <c r="CX30" i="5"/>
  <c r="BH149" i="5"/>
  <c r="CX149" i="5" s="1"/>
  <c r="CX32" i="5" l="1"/>
  <c r="BG37" i="5"/>
  <c r="BG39" i="5" l="1"/>
  <c r="BH34" i="5"/>
  <c r="BG151" i="5"/>
  <c r="BH35" i="5" l="1"/>
  <c r="BN35" i="5" s="1"/>
  <c r="BP35" i="5" s="1"/>
  <c r="BQ35" i="5" s="1"/>
  <c r="BR35" i="5" s="1"/>
  <c r="BS35" i="5" s="1"/>
  <c r="BT35" i="5" s="1"/>
  <c r="BU35" i="5" s="1"/>
  <c r="BV35" i="5" s="1"/>
  <c r="BW35" i="5" s="1"/>
  <c r="BX35" i="5" s="1"/>
  <c r="BY35" i="5" s="1"/>
  <c r="BZ35" i="5" s="1"/>
  <c r="CA35" i="5" s="1"/>
  <c r="CB35" i="5" s="1"/>
  <c r="CC35" i="5" s="1"/>
  <c r="CX34" i="5"/>
  <c r="BH151" i="5"/>
  <c r="BH37" i="5"/>
  <c r="BH39" i="5"/>
  <c r="CX39" i="5" s="1"/>
  <c r="BG133" i="5"/>
  <c r="BG41" i="5"/>
  <c r="BI48" i="5" l="1"/>
  <c r="BG110" i="5"/>
  <c r="BH133" i="5"/>
  <c r="BH41" i="5"/>
  <c r="CX37" i="5"/>
  <c r="BG43" i="5"/>
  <c r="BG44" i="5" s="1"/>
  <c r="BG51" i="5"/>
  <c r="BG92" i="5"/>
  <c r="BH92" i="5" s="1"/>
  <c r="CX151" i="5"/>
  <c r="BH43" i="5" l="1"/>
  <c r="CX41" i="5"/>
  <c r="BG58" i="5"/>
  <c r="BH51" i="5"/>
  <c r="BG140" i="5"/>
  <c r="BG52" i="5"/>
  <c r="BG74" i="5"/>
  <c r="BG75" i="5" s="1"/>
  <c r="CX133" i="5"/>
  <c r="BG127" i="5"/>
  <c r="BG187" i="5"/>
  <c r="BG188" i="5" s="1"/>
  <c r="BG191" i="5"/>
  <c r="BJ48" i="5"/>
  <c r="BH108" i="5"/>
  <c r="CX105" i="5"/>
  <c r="BI55" i="5"/>
  <c r="BH132" i="5" l="1"/>
  <c r="CX132" i="5" s="1"/>
  <c r="BG141" i="5"/>
  <c r="BH141" i="5" s="1"/>
  <c r="CX141" i="5" s="1"/>
  <c r="BH58" i="5"/>
  <c r="CX51" i="5"/>
  <c r="BH52" i="5"/>
  <c r="BH74" i="5"/>
  <c r="BH140" i="5"/>
  <c r="CX108" i="5"/>
  <c r="BG182" i="5"/>
  <c r="BG183" i="5" s="1"/>
  <c r="BG62" i="5"/>
  <c r="BG82" i="5"/>
  <c r="BG148" i="5"/>
  <c r="BG155" i="5" s="1"/>
  <c r="BH155" i="5" s="1"/>
  <c r="CX155" i="5" s="1"/>
  <c r="BG59" i="5"/>
  <c r="BG76" i="5"/>
  <c r="BG77" i="5" s="1"/>
  <c r="BK48" i="5"/>
  <c r="BK55" i="5" s="1"/>
  <c r="BJ55" i="5"/>
  <c r="CX43" i="5"/>
  <c r="BH44" i="5"/>
  <c r="CX44" i="5" s="1"/>
  <c r="BG192" i="5" l="1"/>
  <c r="BH143" i="5"/>
  <c r="CX140" i="5"/>
  <c r="CX74" i="5"/>
  <c r="BH75" i="5"/>
  <c r="BG78" i="5"/>
  <c r="BG63" i="5"/>
  <c r="BG89" i="5"/>
  <c r="BH89" i="5" s="1"/>
  <c r="CX89" i="5" s="1"/>
  <c r="BG70" i="5"/>
  <c r="BG290" i="5"/>
  <c r="BG293" i="5" s="1"/>
  <c r="CY55" i="5"/>
  <c r="BH62" i="5"/>
  <c r="BH82" i="5"/>
  <c r="CX82" i="5" s="1"/>
  <c r="CX58" i="5"/>
  <c r="BH59" i="5"/>
  <c r="BH76" i="5"/>
  <c r="BH148" i="5"/>
  <c r="BG134" i="5"/>
  <c r="BH131" i="5"/>
  <c r="BG72" i="5" l="1"/>
  <c r="BG90" i="5"/>
  <c r="BG91" i="5" s="1"/>
  <c r="BH78" i="5"/>
  <c r="BG79" i="5"/>
  <c r="BI139" i="5"/>
  <c r="CX143" i="5"/>
  <c r="BH70" i="5"/>
  <c r="CX62" i="5"/>
  <c r="BH63" i="5"/>
  <c r="BH290" i="5"/>
  <c r="BH293" i="5" s="1"/>
  <c r="CX131" i="5"/>
  <c r="BH134" i="5"/>
  <c r="CX134" i="5" s="1"/>
  <c r="BG185" i="5"/>
  <c r="BG186" i="5" s="1"/>
  <c r="BG135" i="5"/>
  <c r="CX76" i="5"/>
  <c r="BH77" i="5"/>
  <c r="CX77" i="5" s="1"/>
  <c r="BH156" i="5"/>
  <c r="CX156" i="5" s="1"/>
  <c r="BG175" i="5"/>
  <c r="CX148" i="5"/>
  <c r="BH192" i="5"/>
  <c r="CX192" i="5" s="1"/>
  <c r="CX70" i="5" l="1"/>
  <c r="BH72" i="5"/>
  <c r="CX72" i="5" s="1"/>
  <c r="BH90" i="5"/>
  <c r="BK139" i="5"/>
  <c r="BH175" i="5"/>
  <c r="BG177" i="5"/>
  <c r="BG178" i="5" s="1"/>
  <c r="CX78" i="5"/>
  <c r="BH79" i="5"/>
  <c r="CX79" i="5" s="1"/>
  <c r="CX90" i="5" l="1"/>
  <c r="BH91" i="5"/>
  <c r="CX91" i="5" s="1"/>
  <c r="CX175" i="5"/>
  <c r="BH177" i="5"/>
  <c r="CY139" i="5"/>
  <c r="BH178" i="5" l="1"/>
  <c r="BI176" i="5"/>
  <c r="CX177" i="5"/>
  <c r="BK176" i="5"/>
  <c r="CY176" i="5" l="1"/>
  <c r="AO74" i="9"/>
  <c r="CX95" i="5"/>
  <c r="BH99" i="5"/>
  <c r="BH185" i="5"/>
  <c r="BH186" i="5" l="1"/>
  <c r="CX186" i="5" s="1"/>
  <c r="CX185" i="5"/>
  <c r="CX99" i="5"/>
  <c r="BH110" i="5"/>
  <c r="CX110" i="5" l="1"/>
  <c r="BH127" i="5"/>
  <c r="BH135" i="5"/>
  <c r="BH191" i="5"/>
  <c r="CX191" i="5" s="1"/>
  <c r="BH187" i="5"/>
  <c r="BH188" i="5" s="1"/>
  <c r="CX127" i="5" l="1"/>
  <c r="BH182" i="5"/>
  <c r="BH183" i="5" l="1"/>
  <c r="CX183" i="5" s="1"/>
  <c r="CX182" i="5"/>
  <c r="AP74" i="9" l="1"/>
  <c r="AP75" i="9" l="1"/>
  <c r="AP78" i="9" l="1"/>
  <c r="AQ78" i="9" s="1"/>
  <c r="CY107" i="5" l="1"/>
  <c r="BI35" i="5"/>
  <c r="BI149" i="5"/>
  <c r="BM107" i="5" l="1"/>
  <c r="BI37" i="5"/>
  <c r="BN107" i="5" l="1"/>
  <c r="BI39" i="5"/>
  <c r="BI41" i="5" s="1"/>
  <c r="BI151" i="5"/>
  <c r="BO107" i="5" l="1"/>
  <c r="CZ107" i="5"/>
  <c r="BI51" i="5"/>
  <c r="AH64" i="5" s="1"/>
  <c r="BI43" i="5"/>
  <c r="BI92" i="5"/>
  <c r="BP107" i="5" l="1"/>
  <c r="BI110" i="5"/>
  <c r="BI44" i="5"/>
  <c r="BI52" i="5"/>
  <c r="BI58" i="5"/>
  <c r="BI74" i="5"/>
  <c r="BI75" i="5" s="1"/>
  <c r="BI140" i="5"/>
  <c r="BQ107" i="5" l="1"/>
  <c r="BI62" i="5"/>
  <c r="BI76" i="5"/>
  <c r="BI77" i="5" s="1"/>
  <c r="BI82" i="5"/>
  <c r="BI59" i="5"/>
  <c r="BI148" i="5"/>
  <c r="BI127" i="5"/>
  <c r="BI191" i="5"/>
  <c r="BI187" i="5"/>
  <c r="BI188" i="5" s="1"/>
  <c r="DA107" i="5" l="1"/>
  <c r="BR107" i="5"/>
  <c r="BS107" i="5" s="1"/>
  <c r="BT107" i="5" s="1"/>
  <c r="BI192" i="5"/>
  <c r="BI155" i="5"/>
  <c r="BI63" i="5"/>
  <c r="BI70" i="5"/>
  <c r="BI89" i="5"/>
  <c r="BI78" i="5"/>
  <c r="BI290" i="5"/>
  <c r="DB107" i="5" l="1"/>
  <c r="BU107" i="5"/>
  <c r="BV107" i="5" s="1"/>
  <c r="BW107" i="5" s="1"/>
  <c r="BI175" i="5"/>
  <c r="BI79" i="5"/>
  <c r="BI72" i="5"/>
  <c r="BI90" i="5"/>
  <c r="BI91" i="5" s="1"/>
  <c r="BX107" i="5" l="1"/>
  <c r="BY107" i="5" s="1"/>
  <c r="BZ107" i="5" s="1"/>
  <c r="DC107" i="5"/>
  <c r="BI177" i="5"/>
  <c r="DD107" i="5" l="1"/>
  <c r="CA107" i="5"/>
  <c r="CB107" i="5" s="1"/>
  <c r="CC107" i="5" s="1"/>
  <c r="DE107" i="5" s="1"/>
  <c r="BJ176" i="5"/>
  <c r="BI178" i="5"/>
  <c r="BI182" i="5"/>
  <c r="BI183" i="5" s="1"/>
  <c r="BJ139" i="5"/>
  <c r="BI141" i="5"/>
  <c r="BI293" i="5"/>
  <c r="BI134" i="5" l="1"/>
  <c r="BI135" i="5" s="1"/>
  <c r="BI185" i="5"/>
  <c r="BI186" i="5" s="1"/>
  <c r="BK159" i="5"/>
  <c r="CY159" i="5" s="1"/>
  <c r="BI163" i="5"/>
  <c r="BK163" i="5" s="1"/>
  <c r="CY163" i="5" s="1"/>
  <c r="BK164" i="5" l="1"/>
  <c r="CY164" i="5" s="1"/>
  <c r="AQ74" i="9" l="1"/>
  <c r="AQ75" i="9" s="1"/>
  <c r="AR75" i="9" s="1"/>
  <c r="AU75" i="9" s="1"/>
  <c r="AV75" i="9" s="1"/>
  <c r="AW75" i="9" s="1"/>
  <c r="AX75" i="9" s="1"/>
  <c r="AY75" i="9" s="1"/>
  <c r="AZ75" i="9" s="1"/>
  <c r="BA75" i="9" s="1"/>
  <c r="BB75" i="9" s="1"/>
  <c r="BC75" i="9" s="1"/>
  <c r="BD75" i="9" s="1"/>
  <c r="BE75" i="9" s="1"/>
  <c r="BF75" i="9" s="1"/>
  <c r="BG75" i="9" s="1"/>
  <c r="BH75" i="9" s="1"/>
  <c r="BI75" i="9" s="1"/>
  <c r="BJ75" i="9" s="1"/>
  <c r="AR76" i="9" l="1"/>
  <c r="AR56" i="9" s="1"/>
  <c r="BJ30" i="5"/>
  <c r="AQ56" i="9" l="1"/>
  <c r="AR58" i="9"/>
  <c r="BJ149" i="5"/>
  <c r="BK30" i="5"/>
  <c r="AQ70" i="9" l="1"/>
  <c r="AQ58" i="9"/>
  <c r="CY30" i="5"/>
  <c r="BK149" i="5"/>
  <c r="CY149" i="5" s="1"/>
  <c r="AR70" i="9" l="1"/>
  <c r="BJ150" i="5"/>
  <c r="BJ31" i="5"/>
  <c r="BK34" i="5"/>
  <c r="BJ151" i="5"/>
  <c r="BK151" i="5" s="1"/>
  <c r="BJ32" i="5" l="1"/>
  <c r="BK150" i="5"/>
  <c r="CY150" i="5" s="1"/>
  <c r="CE150" i="5"/>
  <c r="BK31" i="5"/>
  <c r="AR78" i="9"/>
  <c r="CY34" i="5"/>
  <c r="BK105" i="5"/>
  <c r="CY31" i="5" l="1"/>
  <c r="BK32" i="5"/>
  <c r="BJ35" i="5"/>
  <c r="BJ37" i="5"/>
  <c r="BJ39" i="5" s="1"/>
  <c r="CE31" i="5"/>
  <c r="CY151" i="5"/>
  <c r="BL48" i="5"/>
  <c r="BJ110" i="5"/>
  <c r="BJ41" i="5" l="1"/>
  <c r="BK39" i="5"/>
  <c r="CY39" i="5" s="1"/>
  <c r="BJ133" i="5"/>
  <c r="BK35" i="5"/>
  <c r="CY32" i="5"/>
  <c r="BK37" i="5"/>
  <c r="BK132" i="5"/>
  <c r="BJ127" i="5"/>
  <c r="BJ187" i="5"/>
  <c r="BJ188" i="5" s="1"/>
  <c r="BJ191" i="5"/>
  <c r="BL55" i="5"/>
  <c r="CY105" i="5"/>
  <c r="BK108" i="5"/>
  <c r="BM48" i="5"/>
  <c r="CY37" i="5" l="1"/>
  <c r="BK41" i="5"/>
  <c r="BK133" i="5"/>
  <c r="BJ43" i="5"/>
  <c r="BJ44" i="5" s="1"/>
  <c r="BJ92" i="5"/>
  <c r="BK92" i="5" s="1"/>
  <c r="BJ51" i="5"/>
  <c r="AI64" i="5" s="1"/>
  <c r="CY108" i="5"/>
  <c r="BN48" i="5"/>
  <c r="BN55" i="5" s="1"/>
  <c r="BM55" i="5"/>
  <c r="BJ182" i="5"/>
  <c r="BJ183" i="5" s="1"/>
  <c r="BK131" i="5"/>
  <c r="BJ140" i="5" l="1"/>
  <c r="BJ141" i="5" s="1"/>
  <c r="BK141" i="5" s="1"/>
  <c r="CY141" i="5" s="1"/>
  <c r="BJ58" i="5"/>
  <c r="BJ52" i="5"/>
  <c r="BK51" i="5"/>
  <c r="AJ64" i="5" s="1"/>
  <c r="AK64" i="5" s="1"/>
  <c r="BJ74" i="5"/>
  <c r="BJ75" i="5" s="1"/>
  <c r="CY133" i="5"/>
  <c r="CY41" i="5"/>
  <c r="BK43" i="5"/>
  <c r="CZ55" i="5"/>
  <c r="CY132" i="5"/>
  <c r="CY143" i="5"/>
  <c r="BL139" i="5"/>
  <c r="BJ175" i="5"/>
  <c r="BK156" i="5"/>
  <c r="CY156" i="5" s="1"/>
  <c r="BJ134" i="5"/>
  <c r="BJ62" i="5" l="1"/>
  <c r="BJ59" i="5"/>
  <c r="BJ76" i="5"/>
  <c r="BJ77" i="5" s="1"/>
  <c r="BJ82" i="5"/>
  <c r="BJ148" i="5"/>
  <c r="BK74" i="5"/>
  <c r="CY51" i="5"/>
  <c r="BK52" i="5"/>
  <c r="BK140" i="5"/>
  <c r="CY140" i="5" s="1"/>
  <c r="BK58" i="5"/>
  <c r="BK44" i="5"/>
  <c r="CY44" i="5" s="1"/>
  <c r="CY43" i="5"/>
  <c r="CY131" i="5"/>
  <c r="BK134" i="5"/>
  <c r="CY134" i="5" s="1"/>
  <c r="BJ177" i="5"/>
  <c r="BJ178" i="5" s="1"/>
  <c r="BK175" i="5"/>
  <c r="BJ185" i="5"/>
  <c r="BJ186" i="5" s="1"/>
  <c r="BJ135" i="5"/>
  <c r="BN139" i="5"/>
  <c r="CY74" i="5" l="1"/>
  <c r="BK75" i="5"/>
  <c r="BJ155" i="5"/>
  <c r="BK155" i="5" s="1"/>
  <c r="CY155" i="5" s="1"/>
  <c r="BK148" i="5"/>
  <c r="BJ192" i="5"/>
  <c r="CY58" i="5"/>
  <c r="BK82" i="5"/>
  <c r="CY82" i="5" s="1"/>
  <c r="BK59" i="5"/>
  <c r="BK76" i="5"/>
  <c r="BK62" i="5"/>
  <c r="BJ70" i="5"/>
  <c r="BJ89" i="5"/>
  <c r="BK89" i="5" s="1"/>
  <c r="CY89" i="5" s="1"/>
  <c r="BJ290" i="5"/>
  <c r="BJ293" i="5" s="1"/>
  <c r="BJ78" i="5"/>
  <c r="BJ63" i="5"/>
  <c r="CZ139" i="5"/>
  <c r="BM131" i="5"/>
  <c r="BN131" i="5" s="1"/>
  <c r="CY175" i="5"/>
  <c r="BK177" i="5"/>
  <c r="BJ72" i="5" l="1"/>
  <c r="BJ90" i="5"/>
  <c r="BJ91" i="5" s="1"/>
  <c r="BK290" i="5"/>
  <c r="BK293" i="5" s="1"/>
  <c r="BK70" i="5"/>
  <c r="CY62" i="5"/>
  <c r="BK63" i="5"/>
  <c r="BJ79" i="5"/>
  <c r="BK78" i="5"/>
  <c r="CY148" i="5"/>
  <c r="BK192" i="5"/>
  <c r="CY192" i="5" s="1"/>
  <c r="BK77" i="5"/>
  <c r="CY77" i="5" s="1"/>
  <c r="CY76" i="5"/>
  <c r="BN176" i="5"/>
  <c r="CY177" i="5"/>
  <c r="BL176" i="5"/>
  <c r="CY78" i="5" l="1"/>
  <c r="BK79" i="5"/>
  <c r="CY79" i="5" s="1"/>
  <c r="CY70" i="5"/>
  <c r="BK72" i="5"/>
  <c r="CY72" i="5" s="1"/>
  <c r="BK90" i="5"/>
  <c r="CZ131" i="5"/>
  <c r="CY95" i="5"/>
  <c r="BK99" i="5"/>
  <c r="BK185" i="5"/>
  <c r="AR74" i="9"/>
  <c r="BK178" i="5"/>
  <c r="CZ176" i="5"/>
  <c r="CY90" i="5" l="1"/>
  <c r="BK91" i="5"/>
  <c r="CY91" i="5" s="1"/>
  <c r="CY185" i="5"/>
  <c r="BK186" i="5"/>
  <c r="CY186" i="5" s="1"/>
  <c r="CY99" i="5"/>
  <c r="BK110" i="5"/>
  <c r="BK135" i="5" l="1"/>
  <c r="CY110" i="5"/>
  <c r="BK127" i="5"/>
  <c r="BK191" i="5"/>
  <c r="CY191" i="5" s="1"/>
  <c r="BK187" i="5"/>
  <c r="BK188" i="5" s="1"/>
  <c r="BK182" i="5" l="1"/>
  <c r="CY127" i="5"/>
  <c r="BK183" i="5" l="1"/>
  <c r="CY183" i="5" s="1"/>
  <c r="CY182" i="5"/>
  <c r="AS74" i="9" l="1"/>
  <c r="AS75" i="9" s="1"/>
  <c r="BL30" i="5" l="1"/>
  <c r="BL32" i="5" l="1"/>
  <c r="BL35" i="5" s="1"/>
  <c r="BL149" i="5"/>
  <c r="BL37" i="5" l="1"/>
  <c r="BL39" i="5" l="1"/>
  <c r="BL151" i="5"/>
  <c r="BL41" i="5" l="1"/>
  <c r="BL43" i="5" l="1"/>
  <c r="BL92" i="5"/>
  <c r="BL51" i="5"/>
  <c r="BL110" i="5"/>
  <c r="BL187" i="5" l="1"/>
  <c r="BL188" i="5" s="1"/>
  <c r="BL191" i="5"/>
  <c r="BL127" i="5"/>
  <c r="BL182" i="5" s="1"/>
  <c r="BL183" i="5" s="1"/>
  <c r="BL52" i="5"/>
  <c r="BL74" i="5"/>
  <c r="BL75" i="5" s="1"/>
  <c r="BL140" i="5"/>
  <c r="BL58" i="5"/>
  <c r="BL44" i="5"/>
  <c r="BL62" i="5" l="1"/>
  <c r="BL76" i="5"/>
  <c r="BL77" i="5" s="1"/>
  <c r="BL82" i="5"/>
  <c r="BL148" i="5"/>
  <c r="BL155" i="5" s="1"/>
  <c r="BN155" i="5" s="1"/>
  <c r="CZ155" i="5" s="1"/>
  <c r="BL59" i="5"/>
  <c r="BM139" i="5"/>
  <c r="BL134" i="5" l="1"/>
  <c r="BL192" i="5"/>
  <c r="BL63" i="5"/>
  <c r="BL78" i="5"/>
  <c r="BL89" i="5"/>
  <c r="BL70" i="5"/>
  <c r="BL290" i="5"/>
  <c r="BL293" i="5" s="1"/>
  <c r="BL90" i="5" l="1"/>
  <c r="BL91" i="5" s="1"/>
  <c r="BL72" i="5"/>
  <c r="BL79" i="5"/>
  <c r="BL175" i="5"/>
  <c r="BL185" i="5"/>
  <c r="BL186" i="5" s="1"/>
  <c r="BL135" i="5"/>
  <c r="BL177" i="5" l="1"/>
  <c r="BM176" i="5" l="1"/>
  <c r="BL178" i="5"/>
  <c r="M18" i="9"/>
  <c r="N18" i="9" s="1"/>
  <c r="P18" i="9"/>
  <c r="Q18" i="9" s="1"/>
  <c r="M45" i="9"/>
  <c r="M60" i="9" s="1"/>
  <c r="N45" i="9"/>
  <c r="P45" i="9"/>
  <c r="Q45" i="9"/>
  <c r="M49" i="9"/>
  <c r="N49" i="9" s="1"/>
  <c r="I13" i="10"/>
  <c r="J13" i="10"/>
  <c r="K13" i="10"/>
  <c r="L13" i="10"/>
  <c r="M13" i="10"/>
  <c r="AE162" i="5"/>
  <c r="AE163" i="5" s="1"/>
  <c r="AF162" i="5"/>
  <c r="AF163" i="5" s="1"/>
  <c r="AG162" i="5"/>
  <c r="AI162" i="5"/>
  <c r="AJ162" i="5"/>
  <c r="CP162" i="5" s="1"/>
  <c r="AI163" i="5"/>
  <c r="AJ163" i="5"/>
  <c r="AJ164" i="5" s="1"/>
  <c r="CP164" i="5" s="1"/>
  <c r="CP163" i="5"/>
  <c r="AF168" i="5"/>
  <c r="AI168" i="5"/>
  <c r="AI170" i="5" s="1"/>
  <c r="AJ170" i="5" s="1"/>
  <c r="AJ168" i="5"/>
  <c r="AJ171" i="5" s="1"/>
  <c r="CP171" i="5" s="1"/>
  <c r="CP168" i="5"/>
  <c r="AF170" i="5"/>
  <c r="CO162" i="5" l="1"/>
  <c r="AG163" i="5"/>
  <c r="CO163" i="5" s="1"/>
  <c r="N26" i="9"/>
  <c r="N58" i="9" s="1"/>
  <c r="AG168" i="5"/>
  <c r="AF164" i="5"/>
  <c r="AF175" i="5" s="1"/>
  <c r="AF177" i="5" s="1"/>
  <c r="AF178" i="5" s="1"/>
  <c r="P49" i="9"/>
  <c r="Q49" i="9" s="1"/>
  <c r="P60" i="9"/>
  <c r="CO168" i="5" l="1"/>
  <c r="AG170" i="5"/>
  <c r="CO170" i="5" s="1"/>
  <c r="AG164" i="5"/>
  <c r="CO164" i="5" l="1"/>
  <c r="AG175" i="5"/>
  <c r="CO175" i="5" l="1"/>
  <c r="AG177" i="5"/>
  <c r="AH176" i="5" l="1"/>
  <c r="AH177" i="5" s="1"/>
  <c r="AJ176" i="5"/>
  <c r="AG178" i="5"/>
  <c r="CO177" i="5"/>
  <c r="AJ177" i="5" l="1"/>
  <c r="CP176" i="5"/>
  <c r="AI176" i="5"/>
  <c r="AI177" i="5" s="1"/>
  <c r="AI178" i="5" s="1"/>
  <c r="AH178" i="5"/>
  <c r="AJ95" i="5" l="1"/>
  <c r="AK176" i="5"/>
  <c r="AK177" i="5" s="1"/>
  <c r="AM176" i="5"/>
  <c r="CP177" i="5"/>
  <c r="AJ178" i="5"/>
  <c r="AM177" i="5" l="1"/>
  <c r="CQ176" i="5"/>
  <c r="AK95" i="5"/>
  <c r="AL176" i="5"/>
  <c r="AL177" i="5" s="1"/>
  <c r="AK178" i="5"/>
  <c r="AJ99" i="5"/>
  <c r="CP95" i="5"/>
  <c r="Q74" i="9"/>
  <c r="AJ185" i="5"/>
  <c r="CP185" i="5" l="1"/>
  <c r="AJ186" i="5"/>
  <c r="CP186" i="5" s="1"/>
  <c r="AJ110" i="5"/>
  <c r="CP99" i="5"/>
  <c r="AL95" i="5"/>
  <c r="AL178" i="5" s="1"/>
  <c r="R74" i="9"/>
  <c r="AK99" i="5"/>
  <c r="AK110" i="5" s="1"/>
  <c r="AK187" i="5"/>
  <c r="AK188" i="5" s="1"/>
  <c r="AK185" i="5"/>
  <c r="AK186" i="5" s="1"/>
  <c r="AM178" i="5"/>
  <c r="AM95" i="5"/>
  <c r="AN176" i="5"/>
  <c r="AN177" i="5" s="1"/>
  <c r="AP176" i="5"/>
  <c r="CR176" i="5" s="1"/>
  <c r="CQ177" i="5"/>
  <c r="AK127" i="5" l="1"/>
  <c r="AK182" i="5" s="1"/>
  <c r="AK183" i="5" s="1"/>
  <c r="AK135" i="5"/>
  <c r="AK191" i="5"/>
  <c r="AJ127" i="5"/>
  <c r="AJ135" i="5"/>
  <c r="CP110" i="5"/>
  <c r="AJ191" i="5"/>
  <c r="CP191" i="5" s="1"/>
  <c r="AJ187" i="5"/>
  <c r="AJ188" i="5" s="1"/>
  <c r="AL99" i="5"/>
  <c r="AL110" i="5" s="1"/>
  <c r="S74" i="9"/>
  <c r="S75" i="9" s="1"/>
  <c r="T75" i="9" s="1"/>
  <c r="AL187" i="5"/>
  <c r="AL188" i="5" s="1"/>
  <c r="AL185" i="5"/>
  <c r="AL186" i="5" s="1"/>
  <c r="R75" i="9"/>
  <c r="AN95" i="5"/>
  <c r="AO176" i="5"/>
  <c r="AO177" i="5" s="1"/>
  <c r="AM185" i="5"/>
  <c r="CQ95" i="5"/>
  <c r="AM99" i="5"/>
  <c r="T74" i="9"/>
  <c r="AM110" i="5" l="1"/>
  <c r="CQ99" i="5"/>
  <c r="CQ185" i="5"/>
  <c r="AM186" i="5"/>
  <c r="CQ186" i="5" s="1"/>
  <c r="AP177" i="5"/>
  <c r="AO95" i="5"/>
  <c r="AN185" i="5"/>
  <c r="AN186" i="5" s="1"/>
  <c r="AN99" i="5"/>
  <c r="AN110" i="5" s="1"/>
  <c r="U74" i="9"/>
  <c r="AN187" i="5"/>
  <c r="AN188" i="5" s="1"/>
  <c r="AL127" i="5"/>
  <c r="AL182" i="5" s="1"/>
  <c r="AL183" i="5" s="1"/>
  <c r="AL135" i="5"/>
  <c r="AL191" i="5"/>
  <c r="AJ182" i="5"/>
  <c r="CP127" i="5"/>
  <c r="AN178" i="5"/>
  <c r="AN127" i="5" l="1"/>
  <c r="AN182" i="5" s="1"/>
  <c r="AN183" i="5" s="1"/>
  <c r="AN135" i="5"/>
  <c r="AN191" i="5"/>
  <c r="AO185" i="5"/>
  <c r="AO186" i="5" s="1"/>
  <c r="AO99" i="5"/>
  <c r="AO110" i="5" s="1"/>
  <c r="V74" i="9"/>
  <c r="V75" i="9" s="1"/>
  <c r="W75" i="9" s="1"/>
  <c r="AO187" i="5"/>
  <c r="AO188" i="5" s="1"/>
  <c r="AP95" i="5"/>
  <c r="AP178" i="5"/>
  <c r="AQ176" i="5"/>
  <c r="AQ177" i="5" s="1"/>
  <c r="CR177" i="5"/>
  <c r="AS176" i="5"/>
  <c r="AO178" i="5"/>
  <c r="CP182" i="5"/>
  <c r="AJ183" i="5"/>
  <c r="CP183" i="5" s="1"/>
  <c r="U75" i="9"/>
  <c r="CQ110" i="5"/>
  <c r="AM127" i="5"/>
  <c r="AM135" i="5"/>
  <c r="AM191" i="5"/>
  <c r="CQ191" i="5" s="1"/>
  <c r="AM187" i="5"/>
  <c r="AM188" i="5" s="1"/>
  <c r="AQ95" i="5" l="1"/>
  <c r="AQ178" i="5"/>
  <c r="AR176" i="5"/>
  <c r="AR177" i="5" s="1"/>
  <c r="AP185" i="5"/>
  <c r="CR95" i="5"/>
  <c r="W74" i="9"/>
  <c r="AP99" i="5"/>
  <c r="AM182" i="5"/>
  <c r="CQ127" i="5"/>
  <c r="AO127" i="5"/>
  <c r="AO182" i="5" s="1"/>
  <c r="AO183" i="5" s="1"/>
  <c r="AO191" i="5"/>
  <c r="AO135" i="5"/>
  <c r="AS177" i="5"/>
  <c r="CS176" i="5"/>
  <c r="AM183" i="5" l="1"/>
  <c r="CQ183" i="5" s="1"/>
  <c r="CQ182" i="5"/>
  <c r="CR99" i="5"/>
  <c r="AP110" i="5"/>
  <c r="X75" i="9"/>
  <c r="Y75" i="9" s="1"/>
  <c r="Z75" i="9" s="1"/>
  <c r="CR185" i="5"/>
  <c r="AP186" i="5"/>
  <c r="CR186" i="5" s="1"/>
  <c r="AR95" i="5"/>
  <c r="AR178" i="5"/>
  <c r="AT176" i="5"/>
  <c r="AT177" i="5" s="1"/>
  <c r="AV176" i="5"/>
  <c r="AS178" i="5"/>
  <c r="AS95" i="5"/>
  <c r="CS177" i="5"/>
  <c r="X74" i="9"/>
  <c r="AQ185" i="5"/>
  <c r="AQ186" i="5" s="1"/>
  <c r="AQ99" i="5"/>
  <c r="AQ110" i="5" s="1"/>
  <c r="CT176" i="5" l="1"/>
  <c r="AV177" i="5"/>
  <c r="AU176" i="5"/>
  <c r="AU177" i="5" s="1"/>
  <c r="AU178" i="5" s="1"/>
  <c r="AT95" i="5"/>
  <c r="AT178" i="5"/>
  <c r="Y74" i="9"/>
  <c r="AR99" i="5"/>
  <c r="AR110" i="5" s="1"/>
  <c r="AQ191" i="5"/>
  <c r="AQ127" i="5"/>
  <c r="AQ182" i="5" s="1"/>
  <c r="AQ135" i="5"/>
  <c r="AQ187" i="5"/>
  <c r="AQ188" i="5" s="1"/>
  <c r="CR110" i="5"/>
  <c r="AP191" i="5"/>
  <c r="CR191" i="5" s="1"/>
  <c r="AP127" i="5"/>
  <c r="AP135" i="5"/>
  <c r="AP187" i="5"/>
  <c r="AP188" i="5" s="1"/>
  <c r="Z74" i="9"/>
  <c r="AS99" i="5"/>
  <c r="CS95" i="5"/>
  <c r="AT183" i="5" l="1"/>
  <c r="AQ183" i="5"/>
  <c r="CS99" i="5"/>
  <c r="AS110" i="5"/>
  <c r="AR191" i="5"/>
  <c r="AR127" i="5"/>
  <c r="AR187" i="5"/>
  <c r="CR127" i="5"/>
  <c r="AP182" i="5"/>
  <c r="AA74" i="9"/>
  <c r="AB75" i="9" s="1"/>
  <c r="AC75" i="9" s="1"/>
  <c r="AT98" i="5"/>
  <c r="AT187" i="5"/>
  <c r="AT185" i="5"/>
  <c r="AW176" i="5"/>
  <c r="AY176" i="5" s="1"/>
  <c r="CU176" i="5" s="1"/>
  <c r="AW173" i="5"/>
  <c r="CT177" i="5"/>
  <c r="AV178" i="5"/>
  <c r="AR188" i="5" l="1"/>
  <c r="AU188" i="5"/>
  <c r="AP183" i="5"/>
  <c r="CR183" i="5" s="1"/>
  <c r="CR182" i="5"/>
  <c r="AA75" i="9"/>
  <c r="AR131" i="5"/>
  <c r="AR182" i="5"/>
  <c r="AY173" i="5"/>
  <c r="AW175" i="5"/>
  <c r="AY175" i="5" s="1"/>
  <c r="CU175" i="5" s="1"/>
  <c r="AS127" i="5"/>
  <c r="AS191" i="5"/>
  <c r="CS191" i="5" s="1"/>
  <c r="CS110" i="5"/>
  <c r="AS187" i="5"/>
  <c r="AW186" i="5"/>
  <c r="AT186" i="5"/>
  <c r="AW188" i="5"/>
  <c r="AT188" i="5"/>
  <c r="AS182" i="5" l="1"/>
  <c r="CS127" i="5"/>
  <c r="AR183" i="5"/>
  <c r="AU183" i="5"/>
  <c r="AR134" i="5"/>
  <c r="AS131" i="5"/>
  <c r="AR293" i="5"/>
  <c r="AR294" i="5" s="1"/>
  <c r="AR295" i="5" s="1"/>
  <c r="AS188" i="5"/>
  <c r="AV188" i="5"/>
  <c r="AV293" i="5" l="1"/>
  <c r="AS134" i="5"/>
  <c r="CS131" i="5"/>
  <c r="AS293" i="5"/>
  <c r="AS294" i="5" s="1"/>
  <c r="AT293" i="5"/>
  <c r="AR185" i="5"/>
  <c r="AR135" i="5"/>
  <c r="AS183" i="5"/>
  <c r="CS183" i="5" s="1"/>
  <c r="AV183" i="5"/>
  <c r="CT183" i="5" s="1"/>
  <c r="CS182" i="5"/>
  <c r="AR186" i="5" l="1"/>
  <c r="AU186" i="5"/>
  <c r="AS295" i="5"/>
  <c r="AT289" i="5"/>
  <c r="CS134" i="5"/>
  <c r="AS185" i="5"/>
  <c r="AS135" i="5"/>
  <c r="AS186" i="5" l="1"/>
  <c r="CS186" i="5" s="1"/>
  <c r="CS185" i="5"/>
  <c r="AV186" i="5"/>
  <c r="CT186" i="5" s="1"/>
  <c r="AV289" i="5"/>
  <c r="AV294" i="5" s="1"/>
  <c r="AT294" i="5"/>
  <c r="AT295" i="5" l="1"/>
  <c r="AU289" i="5"/>
  <c r="AU294" i="5" s="1"/>
  <c r="AU295" i="5" s="1"/>
  <c r="AV295" i="5"/>
  <c r="AW289" i="5"/>
  <c r="AY289" i="5" l="1"/>
  <c r="AY294" i="5" s="1"/>
  <c r="AW294" i="5"/>
  <c r="AW295" i="5" l="1"/>
  <c r="AX289" i="5"/>
  <c r="AX294" i="5" s="1"/>
  <c r="AX295" i="5" s="1"/>
  <c r="AY295" i="5"/>
  <c r="AZ289" i="5"/>
  <c r="BB289" i="5" l="1"/>
  <c r="BB294" i="5" s="1"/>
  <c r="AZ294" i="5"/>
  <c r="BA289" i="5" l="1"/>
  <c r="BA294" i="5" s="1"/>
  <c r="BA295" i="5" s="1"/>
  <c r="AZ295" i="5"/>
  <c r="BC289" i="5"/>
  <c r="BB295" i="5"/>
  <c r="BE289" i="5" l="1"/>
  <c r="BE294" i="5" s="1"/>
  <c r="BC294" i="5"/>
  <c r="BD289" i="5" l="1"/>
  <c r="BD294" i="5" s="1"/>
  <c r="BD295" i="5" s="1"/>
  <c r="BC295" i="5"/>
  <c r="BF289" i="5"/>
  <c r="BE295" i="5"/>
  <c r="BH289" i="5" l="1"/>
  <c r="BH294" i="5" s="1"/>
  <c r="BF294" i="5"/>
  <c r="BG289" i="5" l="1"/>
  <c r="BG294" i="5" s="1"/>
  <c r="BG295" i="5" s="1"/>
  <c r="BF295" i="5"/>
  <c r="BH295" i="5"/>
  <c r="BI289" i="5"/>
  <c r="BI294" i="5" l="1"/>
  <c r="BK289" i="5"/>
  <c r="BK294" i="5" s="1"/>
  <c r="BK295" i="5" l="1"/>
  <c r="BL289" i="5"/>
  <c r="BI295" i="5"/>
  <c r="BJ289" i="5"/>
  <c r="BJ294" i="5" s="1"/>
  <c r="BJ295" i="5" s="1"/>
  <c r="BN289" i="5" l="1"/>
  <c r="BL294" i="5"/>
  <c r="BL295" i="5" l="1"/>
  <c r="BM289" i="5"/>
  <c r="AT74" i="9" l="1"/>
  <c r="AU74" i="9"/>
  <c r="AV74" i="9"/>
  <c r="AW74" i="9"/>
  <c r="AX74" i="9"/>
  <c r="AY74" i="9"/>
  <c r="AZ74" i="9"/>
  <c r="BA74" i="9"/>
  <c r="BB74" i="9"/>
  <c r="BC74" i="9"/>
  <c r="BD74" i="9"/>
  <c r="BE74" i="9"/>
  <c r="BF74" i="9"/>
  <c r="BG74" i="9"/>
  <c r="BH74" i="9"/>
  <c r="BI74" i="9"/>
  <c r="BJ74" i="9"/>
  <c r="AT76" i="9"/>
  <c r="AU76" i="9"/>
  <c r="AV76" i="9"/>
  <c r="AW76" i="9"/>
  <c r="AX76" i="9"/>
  <c r="AY76" i="9"/>
  <c r="AZ76" i="9"/>
  <c r="BA76" i="9"/>
  <c r="BB76" i="9"/>
  <c r="BC76" i="9"/>
  <c r="BD76" i="9"/>
  <c r="BE76" i="9"/>
  <c r="BF76" i="9"/>
  <c r="BG76" i="9"/>
  <c r="BH76" i="9"/>
  <c r="BI76" i="9"/>
  <c r="BJ76" i="9"/>
  <c r="AT78" i="9"/>
  <c r="AU78" i="9"/>
  <c r="AV78" i="9"/>
  <c r="AW78" i="9"/>
  <c r="AX78" i="9"/>
  <c r="AY78" i="9"/>
  <c r="AZ78" i="9"/>
  <c r="BA78" i="9"/>
  <c r="BB78" i="9"/>
  <c r="BC78" i="9"/>
  <c r="BD78" i="9"/>
  <c r="BE78" i="9"/>
  <c r="BF78" i="9"/>
  <c r="BG78" i="9"/>
  <c r="BH78" i="9"/>
  <c r="BI78" i="9"/>
  <c r="BJ78" i="9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CB30" i="5"/>
  <c r="CC30" i="5"/>
  <c r="CE30" i="5"/>
  <c r="CZ30" i="5"/>
  <c r="DA30" i="5"/>
  <c r="DB30" i="5"/>
  <c r="DC30" i="5"/>
  <c r="DD30" i="5"/>
  <c r="DE30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CB32" i="5"/>
  <c r="CC32" i="5"/>
  <c r="CE32" i="5"/>
  <c r="CZ32" i="5"/>
  <c r="DA32" i="5"/>
  <c r="DB32" i="5"/>
  <c r="DC32" i="5"/>
  <c r="DD32" i="5"/>
  <c r="DE32" i="5"/>
  <c r="BM34" i="5"/>
  <c r="BN34" i="5"/>
  <c r="BO34" i="5"/>
  <c r="BP34" i="5"/>
  <c r="BQ34" i="5"/>
  <c r="BR34" i="5"/>
  <c r="BS34" i="5"/>
  <c r="BT34" i="5"/>
  <c r="BU34" i="5"/>
  <c r="BV34" i="5"/>
  <c r="BW34" i="5"/>
  <c r="BX34" i="5"/>
  <c r="BY34" i="5"/>
  <c r="BZ34" i="5"/>
  <c r="CA34" i="5"/>
  <c r="CB34" i="5"/>
  <c r="CC34" i="5"/>
  <c r="CZ34" i="5"/>
  <c r="DA34" i="5"/>
  <c r="DB34" i="5"/>
  <c r="DC34" i="5"/>
  <c r="DD34" i="5"/>
  <c r="DE34" i="5"/>
  <c r="BM37" i="5"/>
  <c r="BN37" i="5"/>
  <c r="BO37" i="5"/>
  <c r="BP37" i="5"/>
  <c r="BQ37" i="5"/>
  <c r="BR37" i="5"/>
  <c r="BS37" i="5"/>
  <c r="BT37" i="5"/>
  <c r="BU37" i="5"/>
  <c r="BV37" i="5"/>
  <c r="BW37" i="5"/>
  <c r="BX37" i="5"/>
  <c r="BY37" i="5"/>
  <c r="BZ37" i="5"/>
  <c r="CA37" i="5"/>
  <c r="CB37" i="5"/>
  <c r="CC37" i="5"/>
  <c r="CZ37" i="5"/>
  <c r="DA37" i="5"/>
  <c r="DB37" i="5"/>
  <c r="DC37" i="5"/>
  <c r="DD37" i="5"/>
  <c r="DE37" i="5"/>
  <c r="BM39" i="5"/>
  <c r="BN39" i="5"/>
  <c r="BO39" i="5"/>
  <c r="BP39" i="5"/>
  <c r="BQ39" i="5"/>
  <c r="BR39" i="5"/>
  <c r="BS39" i="5"/>
  <c r="BT39" i="5"/>
  <c r="BU39" i="5"/>
  <c r="BV39" i="5"/>
  <c r="BW39" i="5"/>
  <c r="BX39" i="5"/>
  <c r="BY39" i="5"/>
  <c r="BZ39" i="5"/>
  <c r="CA39" i="5"/>
  <c r="CB39" i="5"/>
  <c r="CC39" i="5"/>
  <c r="CZ39" i="5"/>
  <c r="DA39" i="5"/>
  <c r="DB39" i="5"/>
  <c r="DC39" i="5"/>
  <c r="DD39" i="5"/>
  <c r="DE39" i="5"/>
  <c r="BM41" i="5"/>
  <c r="BN41" i="5"/>
  <c r="BO41" i="5"/>
  <c r="BP41" i="5"/>
  <c r="BQ41" i="5"/>
  <c r="BR41" i="5"/>
  <c r="BS41" i="5"/>
  <c r="BT41" i="5"/>
  <c r="BU41" i="5"/>
  <c r="BV41" i="5"/>
  <c r="BW41" i="5"/>
  <c r="BX41" i="5"/>
  <c r="BY41" i="5"/>
  <c r="BZ41" i="5"/>
  <c r="CA41" i="5"/>
  <c r="CB41" i="5"/>
  <c r="CC41" i="5"/>
  <c r="CZ41" i="5"/>
  <c r="DA41" i="5"/>
  <c r="DB41" i="5"/>
  <c r="DC41" i="5"/>
  <c r="DD41" i="5"/>
  <c r="DE41" i="5"/>
  <c r="BM43" i="5"/>
  <c r="BN43" i="5"/>
  <c r="BO43" i="5"/>
  <c r="BP43" i="5"/>
  <c r="BQ43" i="5"/>
  <c r="BR43" i="5"/>
  <c r="BS43" i="5"/>
  <c r="BT43" i="5"/>
  <c r="BU43" i="5"/>
  <c r="BV43" i="5"/>
  <c r="BW43" i="5"/>
  <c r="BX43" i="5"/>
  <c r="BY43" i="5"/>
  <c r="BZ43" i="5"/>
  <c r="CA43" i="5"/>
  <c r="CB43" i="5"/>
  <c r="CC43" i="5"/>
  <c r="CZ43" i="5"/>
  <c r="DA43" i="5"/>
  <c r="DB43" i="5"/>
  <c r="DC43" i="5"/>
  <c r="DD43" i="5"/>
  <c r="DE43" i="5"/>
  <c r="DI43" i="5"/>
  <c r="DJ43" i="5"/>
  <c r="BM44" i="5"/>
  <c r="BN44" i="5"/>
  <c r="BO44" i="5"/>
  <c r="BP44" i="5"/>
  <c r="BQ44" i="5"/>
  <c r="BR44" i="5"/>
  <c r="BS44" i="5"/>
  <c r="BT44" i="5"/>
  <c r="BU44" i="5"/>
  <c r="BV44" i="5"/>
  <c r="BW44" i="5"/>
  <c r="BX44" i="5"/>
  <c r="BY44" i="5"/>
  <c r="BZ44" i="5"/>
  <c r="CA44" i="5"/>
  <c r="CB44" i="5"/>
  <c r="CC44" i="5"/>
  <c r="CZ44" i="5"/>
  <c r="DA44" i="5"/>
  <c r="DB44" i="5"/>
  <c r="DC44" i="5"/>
  <c r="DD44" i="5"/>
  <c r="DE44" i="5"/>
  <c r="BO48" i="5"/>
  <c r="BP48" i="5"/>
  <c r="BQ48" i="5"/>
  <c r="BR48" i="5"/>
  <c r="BS48" i="5"/>
  <c r="BT48" i="5"/>
  <c r="BU48" i="5"/>
  <c r="BV48" i="5"/>
  <c r="BW48" i="5"/>
  <c r="BX48" i="5"/>
  <c r="BY48" i="5"/>
  <c r="BZ48" i="5"/>
  <c r="CA48" i="5"/>
  <c r="CB48" i="5"/>
  <c r="CC48" i="5"/>
  <c r="BM51" i="5"/>
  <c r="BN51" i="5"/>
  <c r="BO51" i="5"/>
  <c r="BP51" i="5"/>
  <c r="BQ51" i="5"/>
  <c r="BR51" i="5"/>
  <c r="BS51" i="5"/>
  <c r="BT51" i="5"/>
  <c r="BU51" i="5"/>
  <c r="BV51" i="5"/>
  <c r="BW51" i="5"/>
  <c r="BX51" i="5"/>
  <c r="BY51" i="5"/>
  <c r="BZ51" i="5"/>
  <c r="CA51" i="5"/>
  <c r="CB51" i="5"/>
  <c r="CC51" i="5"/>
  <c r="CZ51" i="5"/>
  <c r="DA51" i="5"/>
  <c r="DB51" i="5"/>
  <c r="DC51" i="5"/>
  <c r="DD51" i="5"/>
  <c r="DE51" i="5"/>
  <c r="BM52" i="5"/>
  <c r="BN52" i="5"/>
  <c r="BO52" i="5"/>
  <c r="BP52" i="5"/>
  <c r="BQ52" i="5"/>
  <c r="BR52" i="5"/>
  <c r="BS52" i="5"/>
  <c r="BT52" i="5"/>
  <c r="BU52" i="5"/>
  <c r="BV52" i="5"/>
  <c r="BW52" i="5"/>
  <c r="BX52" i="5"/>
  <c r="BY52" i="5"/>
  <c r="BZ52" i="5"/>
  <c r="CA52" i="5"/>
  <c r="CB52" i="5"/>
  <c r="CC52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DA55" i="5"/>
  <c r="DB55" i="5"/>
  <c r="DC55" i="5"/>
  <c r="DD55" i="5"/>
  <c r="DE55" i="5"/>
  <c r="BM58" i="5"/>
  <c r="BN58" i="5"/>
  <c r="BO58" i="5"/>
  <c r="BP58" i="5"/>
  <c r="BQ58" i="5"/>
  <c r="BR58" i="5"/>
  <c r="BS58" i="5"/>
  <c r="BT58" i="5"/>
  <c r="BU58" i="5"/>
  <c r="BV58" i="5"/>
  <c r="BW58" i="5"/>
  <c r="BX58" i="5"/>
  <c r="BY58" i="5"/>
  <c r="BZ58" i="5"/>
  <c r="CA58" i="5"/>
  <c r="CB58" i="5"/>
  <c r="CC58" i="5"/>
  <c r="CZ58" i="5"/>
  <c r="DA58" i="5"/>
  <c r="DB58" i="5"/>
  <c r="DC58" i="5"/>
  <c r="DD58" i="5"/>
  <c r="DE58" i="5"/>
  <c r="BM59" i="5"/>
  <c r="BN59" i="5"/>
  <c r="BO59" i="5"/>
  <c r="BP59" i="5"/>
  <c r="BQ59" i="5"/>
  <c r="BR59" i="5"/>
  <c r="BS59" i="5"/>
  <c r="BT59" i="5"/>
  <c r="BU59" i="5"/>
  <c r="BV59" i="5"/>
  <c r="BW59" i="5"/>
  <c r="BX59" i="5"/>
  <c r="BY59" i="5"/>
  <c r="BZ59" i="5"/>
  <c r="CA59" i="5"/>
  <c r="CB59" i="5"/>
  <c r="CC59" i="5"/>
  <c r="BM62" i="5"/>
  <c r="BN62" i="5"/>
  <c r="BO62" i="5"/>
  <c r="BP62" i="5"/>
  <c r="BQ62" i="5"/>
  <c r="BR62" i="5"/>
  <c r="BS62" i="5"/>
  <c r="BT62" i="5"/>
  <c r="BU62" i="5"/>
  <c r="BV62" i="5"/>
  <c r="BW62" i="5"/>
  <c r="BX62" i="5"/>
  <c r="BY62" i="5"/>
  <c r="BZ62" i="5"/>
  <c r="CA62" i="5"/>
  <c r="CB62" i="5"/>
  <c r="CC62" i="5"/>
  <c r="CZ62" i="5"/>
  <c r="DA62" i="5"/>
  <c r="DB62" i="5"/>
  <c r="DC62" i="5"/>
  <c r="DD62" i="5"/>
  <c r="DE62" i="5"/>
  <c r="BM63" i="5"/>
  <c r="BN63" i="5"/>
  <c r="BO63" i="5"/>
  <c r="BP63" i="5"/>
  <c r="BQ63" i="5"/>
  <c r="BR63" i="5"/>
  <c r="BS63" i="5"/>
  <c r="BT63" i="5"/>
  <c r="BU63" i="5"/>
  <c r="BV63" i="5"/>
  <c r="BW63" i="5"/>
  <c r="BX63" i="5"/>
  <c r="BY63" i="5"/>
  <c r="BZ63" i="5"/>
  <c r="CA63" i="5"/>
  <c r="CB63" i="5"/>
  <c r="CC63" i="5"/>
  <c r="BM70" i="5"/>
  <c r="BN70" i="5"/>
  <c r="BO70" i="5"/>
  <c r="BP70" i="5"/>
  <c r="BQ70" i="5"/>
  <c r="BR70" i="5"/>
  <c r="BS70" i="5"/>
  <c r="BT70" i="5"/>
  <c r="BU70" i="5"/>
  <c r="BV70" i="5"/>
  <c r="BW70" i="5"/>
  <c r="BX70" i="5"/>
  <c r="BY70" i="5"/>
  <c r="BZ70" i="5"/>
  <c r="CA70" i="5"/>
  <c r="CB70" i="5"/>
  <c r="CC70" i="5"/>
  <c r="CZ70" i="5"/>
  <c r="DA70" i="5"/>
  <c r="DB70" i="5"/>
  <c r="DC70" i="5"/>
  <c r="DD70" i="5"/>
  <c r="DE70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Z72" i="5"/>
  <c r="DA72" i="5"/>
  <c r="DB72" i="5"/>
  <c r="DC72" i="5"/>
  <c r="DD72" i="5"/>
  <c r="DE72" i="5"/>
  <c r="BM74" i="5"/>
  <c r="BN74" i="5"/>
  <c r="BO74" i="5"/>
  <c r="BP74" i="5"/>
  <c r="BQ74" i="5"/>
  <c r="BR74" i="5"/>
  <c r="BS74" i="5"/>
  <c r="BT74" i="5"/>
  <c r="BU74" i="5"/>
  <c r="BV74" i="5"/>
  <c r="BW74" i="5"/>
  <c r="BX74" i="5"/>
  <c r="BY74" i="5"/>
  <c r="BZ74" i="5"/>
  <c r="CA74" i="5"/>
  <c r="CB74" i="5"/>
  <c r="CC74" i="5"/>
  <c r="CZ74" i="5"/>
  <c r="DA74" i="5"/>
  <c r="DB74" i="5"/>
  <c r="DC74" i="5"/>
  <c r="DD74" i="5"/>
  <c r="DE74" i="5"/>
  <c r="BM75" i="5"/>
  <c r="BN75" i="5"/>
  <c r="BO75" i="5"/>
  <c r="BP75" i="5"/>
  <c r="BQ75" i="5"/>
  <c r="BR75" i="5"/>
  <c r="BS75" i="5"/>
  <c r="BT75" i="5"/>
  <c r="BU75" i="5"/>
  <c r="BV75" i="5"/>
  <c r="BW75" i="5"/>
  <c r="BX75" i="5"/>
  <c r="BY75" i="5"/>
  <c r="BZ75" i="5"/>
  <c r="CA75" i="5"/>
  <c r="CB75" i="5"/>
  <c r="CC75" i="5"/>
  <c r="BM76" i="5"/>
  <c r="BN76" i="5"/>
  <c r="BO76" i="5"/>
  <c r="BP76" i="5"/>
  <c r="BQ76" i="5"/>
  <c r="BR76" i="5"/>
  <c r="BS76" i="5"/>
  <c r="BT76" i="5"/>
  <c r="BU76" i="5"/>
  <c r="BV76" i="5"/>
  <c r="BW76" i="5"/>
  <c r="BX76" i="5"/>
  <c r="BY76" i="5"/>
  <c r="BZ76" i="5"/>
  <c r="CA76" i="5"/>
  <c r="CB76" i="5"/>
  <c r="CC76" i="5"/>
  <c r="CZ76" i="5"/>
  <c r="DA76" i="5"/>
  <c r="DB76" i="5"/>
  <c r="DC76" i="5"/>
  <c r="DD76" i="5"/>
  <c r="DE76" i="5"/>
  <c r="BM77" i="5"/>
  <c r="BN77" i="5"/>
  <c r="BO77" i="5"/>
  <c r="BP77" i="5"/>
  <c r="BQ77" i="5"/>
  <c r="BR77" i="5"/>
  <c r="BS77" i="5"/>
  <c r="BT77" i="5"/>
  <c r="BU77" i="5"/>
  <c r="BV77" i="5"/>
  <c r="BW77" i="5"/>
  <c r="BX77" i="5"/>
  <c r="BY77" i="5"/>
  <c r="BZ77" i="5"/>
  <c r="CA77" i="5"/>
  <c r="CB77" i="5"/>
  <c r="CC77" i="5"/>
  <c r="CZ77" i="5"/>
  <c r="DA77" i="5"/>
  <c r="DB77" i="5"/>
  <c r="DC77" i="5"/>
  <c r="DD77" i="5"/>
  <c r="DE77" i="5"/>
  <c r="BM78" i="5"/>
  <c r="BN78" i="5"/>
  <c r="BO78" i="5"/>
  <c r="BP78" i="5"/>
  <c r="BQ78" i="5"/>
  <c r="BR78" i="5"/>
  <c r="BS78" i="5"/>
  <c r="BT78" i="5"/>
  <c r="BU78" i="5"/>
  <c r="BV78" i="5"/>
  <c r="BW78" i="5"/>
  <c r="BX78" i="5"/>
  <c r="BY78" i="5"/>
  <c r="BZ78" i="5"/>
  <c r="CA78" i="5"/>
  <c r="CB78" i="5"/>
  <c r="CC78" i="5"/>
  <c r="CZ78" i="5"/>
  <c r="DA78" i="5"/>
  <c r="DB78" i="5"/>
  <c r="DC78" i="5"/>
  <c r="DD78" i="5"/>
  <c r="DE78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CB79" i="5"/>
  <c r="CC79" i="5"/>
  <c r="CZ79" i="5"/>
  <c r="DA79" i="5"/>
  <c r="DB79" i="5"/>
  <c r="DC79" i="5"/>
  <c r="DD79" i="5"/>
  <c r="DE79" i="5"/>
  <c r="BM82" i="5"/>
  <c r="BN82" i="5"/>
  <c r="BO82" i="5"/>
  <c r="BP82" i="5"/>
  <c r="BQ82" i="5"/>
  <c r="BR82" i="5"/>
  <c r="BS82" i="5"/>
  <c r="BT82" i="5"/>
  <c r="BU82" i="5"/>
  <c r="BV82" i="5"/>
  <c r="BW82" i="5"/>
  <c r="BX82" i="5"/>
  <c r="BY82" i="5"/>
  <c r="BZ82" i="5"/>
  <c r="CA82" i="5"/>
  <c r="CB82" i="5"/>
  <c r="CC82" i="5"/>
  <c r="CZ82" i="5"/>
  <c r="DA82" i="5"/>
  <c r="DB82" i="5"/>
  <c r="DC82" i="5"/>
  <c r="DD82" i="5"/>
  <c r="DE82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Z89" i="5"/>
  <c r="DA89" i="5"/>
  <c r="DB89" i="5"/>
  <c r="DC89" i="5"/>
  <c r="DD89" i="5"/>
  <c r="DE89" i="5"/>
  <c r="BM90" i="5"/>
  <c r="BN90" i="5"/>
  <c r="BO90" i="5"/>
  <c r="BP90" i="5"/>
  <c r="BQ90" i="5"/>
  <c r="BR90" i="5"/>
  <c r="BS90" i="5"/>
  <c r="BT90" i="5"/>
  <c r="BU90" i="5"/>
  <c r="BV90" i="5"/>
  <c r="BW90" i="5"/>
  <c r="BX90" i="5"/>
  <c r="BY90" i="5"/>
  <c r="BZ90" i="5"/>
  <c r="CA90" i="5"/>
  <c r="CB90" i="5"/>
  <c r="CC90" i="5"/>
  <c r="CZ90" i="5"/>
  <c r="DA90" i="5"/>
  <c r="DB90" i="5"/>
  <c r="DC90" i="5"/>
  <c r="DD90" i="5"/>
  <c r="DE90" i="5"/>
  <c r="BM91" i="5"/>
  <c r="BN91" i="5"/>
  <c r="BO91" i="5"/>
  <c r="BP91" i="5"/>
  <c r="BQ91" i="5"/>
  <c r="BR91" i="5"/>
  <c r="BS91" i="5"/>
  <c r="BT91" i="5"/>
  <c r="BU91" i="5"/>
  <c r="BV91" i="5"/>
  <c r="BW91" i="5"/>
  <c r="BX91" i="5"/>
  <c r="BY91" i="5"/>
  <c r="BZ91" i="5"/>
  <c r="CA91" i="5"/>
  <c r="CB91" i="5"/>
  <c r="CC91" i="5"/>
  <c r="CZ91" i="5"/>
  <c r="DA91" i="5"/>
  <c r="DB91" i="5"/>
  <c r="DC91" i="5"/>
  <c r="DD91" i="5"/>
  <c r="DE91" i="5"/>
  <c r="BM92" i="5"/>
  <c r="BN92" i="5"/>
  <c r="BO92" i="5"/>
  <c r="BP92" i="5"/>
  <c r="BQ92" i="5"/>
  <c r="BR92" i="5"/>
  <c r="BS92" i="5"/>
  <c r="BT92" i="5"/>
  <c r="BU92" i="5"/>
  <c r="BV92" i="5"/>
  <c r="BW92" i="5"/>
  <c r="BX92" i="5"/>
  <c r="BY92" i="5"/>
  <c r="BZ92" i="5"/>
  <c r="CA92" i="5"/>
  <c r="CB92" i="5"/>
  <c r="CC92" i="5"/>
  <c r="BM95" i="5"/>
  <c r="BN95" i="5"/>
  <c r="BO95" i="5"/>
  <c r="BP95" i="5"/>
  <c r="BQ95" i="5"/>
  <c r="BR95" i="5"/>
  <c r="BS95" i="5"/>
  <c r="BT95" i="5"/>
  <c r="BU95" i="5"/>
  <c r="BV95" i="5"/>
  <c r="BW95" i="5"/>
  <c r="BX95" i="5"/>
  <c r="BY95" i="5"/>
  <c r="BZ95" i="5"/>
  <c r="CA95" i="5"/>
  <c r="CB95" i="5"/>
  <c r="CC95" i="5"/>
  <c r="CZ95" i="5"/>
  <c r="DA95" i="5"/>
  <c r="DB95" i="5"/>
  <c r="DC95" i="5"/>
  <c r="DD95" i="5"/>
  <c r="DE95" i="5"/>
  <c r="BM99" i="5"/>
  <c r="BN99" i="5"/>
  <c r="BO99" i="5"/>
  <c r="BP99" i="5"/>
  <c r="BQ99" i="5"/>
  <c r="BR99" i="5"/>
  <c r="BS99" i="5"/>
  <c r="BT99" i="5"/>
  <c r="BU99" i="5"/>
  <c r="BV99" i="5"/>
  <c r="BW99" i="5"/>
  <c r="BX99" i="5"/>
  <c r="BY99" i="5"/>
  <c r="BZ99" i="5"/>
  <c r="CA99" i="5"/>
  <c r="CB99" i="5"/>
  <c r="CC99" i="5"/>
  <c r="CZ99" i="5"/>
  <c r="DA99" i="5"/>
  <c r="DB99" i="5"/>
  <c r="DC99" i="5"/>
  <c r="DD99" i="5"/>
  <c r="DE99" i="5"/>
  <c r="BM105" i="5"/>
  <c r="BN105" i="5"/>
  <c r="BO105" i="5"/>
  <c r="BP105" i="5"/>
  <c r="BQ105" i="5"/>
  <c r="BR105" i="5"/>
  <c r="BS105" i="5"/>
  <c r="BT105" i="5"/>
  <c r="BU105" i="5"/>
  <c r="BV105" i="5"/>
  <c r="BW105" i="5"/>
  <c r="BX105" i="5"/>
  <c r="BY105" i="5"/>
  <c r="BZ105" i="5"/>
  <c r="CA105" i="5"/>
  <c r="CB105" i="5"/>
  <c r="CC105" i="5"/>
  <c r="CZ105" i="5"/>
  <c r="DA105" i="5"/>
  <c r="DB105" i="5"/>
  <c r="DC105" i="5"/>
  <c r="DD105" i="5"/>
  <c r="DE105" i="5"/>
  <c r="BM108" i="5"/>
  <c r="BN108" i="5"/>
  <c r="BO108" i="5"/>
  <c r="BP108" i="5"/>
  <c r="BQ108" i="5"/>
  <c r="BR108" i="5"/>
  <c r="BS108" i="5"/>
  <c r="BT108" i="5"/>
  <c r="BU108" i="5"/>
  <c r="BV108" i="5"/>
  <c r="BW108" i="5"/>
  <c r="BX108" i="5"/>
  <c r="BY108" i="5"/>
  <c r="BZ108" i="5"/>
  <c r="CA108" i="5"/>
  <c r="CB108" i="5"/>
  <c r="CC108" i="5"/>
  <c r="CZ108" i="5"/>
  <c r="DA108" i="5"/>
  <c r="DB108" i="5"/>
  <c r="DC108" i="5"/>
  <c r="DD108" i="5"/>
  <c r="DE108" i="5"/>
  <c r="BM110" i="5"/>
  <c r="BN110" i="5"/>
  <c r="BO110" i="5"/>
  <c r="BP110" i="5"/>
  <c r="BQ110" i="5"/>
  <c r="BR110" i="5"/>
  <c r="BS110" i="5"/>
  <c r="BT110" i="5"/>
  <c r="BU110" i="5"/>
  <c r="BV110" i="5"/>
  <c r="BW110" i="5"/>
  <c r="BX110" i="5"/>
  <c r="BY110" i="5"/>
  <c r="BZ110" i="5"/>
  <c r="CA110" i="5"/>
  <c r="CB110" i="5"/>
  <c r="CC110" i="5"/>
  <c r="CZ110" i="5"/>
  <c r="DA110" i="5"/>
  <c r="DB110" i="5"/>
  <c r="DC110" i="5"/>
  <c r="DD110" i="5"/>
  <c r="DE110" i="5"/>
  <c r="BM127" i="5"/>
  <c r="BN127" i="5"/>
  <c r="BO127" i="5"/>
  <c r="BP127" i="5"/>
  <c r="BQ127" i="5"/>
  <c r="BR127" i="5"/>
  <c r="BS127" i="5"/>
  <c r="BT127" i="5"/>
  <c r="BU127" i="5"/>
  <c r="BV127" i="5"/>
  <c r="BW127" i="5"/>
  <c r="BX127" i="5"/>
  <c r="BY127" i="5"/>
  <c r="BZ127" i="5"/>
  <c r="CA127" i="5"/>
  <c r="CB127" i="5"/>
  <c r="CC127" i="5"/>
  <c r="CZ127" i="5"/>
  <c r="DA127" i="5"/>
  <c r="DB127" i="5"/>
  <c r="DC127" i="5"/>
  <c r="DD127" i="5"/>
  <c r="DE127" i="5"/>
  <c r="BO131" i="5"/>
  <c r="BP131" i="5"/>
  <c r="BQ131" i="5"/>
  <c r="BR131" i="5"/>
  <c r="BS131" i="5"/>
  <c r="BT131" i="5"/>
  <c r="BU131" i="5"/>
  <c r="BV131" i="5"/>
  <c r="BW131" i="5"/>
  <c r="BX131" i="5"/>
  <c r="BY131" i="5"/>
  <c r="BZ131" i="5"/>
  <c r="CA131" i="5"/>
  <c r="CB131" i="5"/>
  <c r="CC131" i="5"/>
  <c r="DA131" i="5"/>
  <c r="DB131" i="5"/>
  <c r="DC131" i="5"/>
  <c r="DD131" i="5"/>
  <c r="DE131" i="5"/>
  <c r="BM132" i="5"/>
  <c r="BN132" i="5"/>
  <c r="BO132" i="5"/>
  <c r="BP132" i="5"/>
  <c r="BQ132" i="5"/>
  <c r="BR132" i="5"/>
  <c r="BS132" i="5"/>
  <c r="BT132" i="5"/>
  <c r="BU132" i="5"/>
  <c r="BV132" i="5"/>
  <c r="BW132" i="5"/>
  <c r="BX132" i="5"/>
  <c r="BY132" i="5"/>
  <c r="BZ132" i="5"/>
  <c r="CA132" i="5"/>
  <c r="CB132" i="5"/>
  <c r="CC132" i="5"/>
  <c r="CZ132" i="5"/>
  <c r="DA132" i="5"/>
  <c r="DB132" i="5"/>
  <c r="DC132" i="5"/>
  <c r="DD132" i="5"/>
  <c r="DE132" i="5"/>
  <c r="BM133" i="5"/>
  <c r="BN133" i="5"/>
  <c r="BO133" i="5"/>
  <c r="BP133" i="5"/>
  <c r="BQ133" i="5"/>
  <c r="BR133" i="5"/>
  <c r="BS133" i="5"/>
  <c r="BT133" i="5"/>
  <c r="BU133" i="5"/>
  <c r="BV133" i="5"/>
  <c r="BW133" i="5"/>
  <c r="BX133" i="5"/>
  <c r="BY133" i="5"/>
  <c r="BZ133" i="5"/>
  <c r="CA133" i="5"/>
  <c r="CB133" i="5"/>
  <c r="CC133" i="5"/>
  <c r="CZ133" i="5"/>
  <c r="DA133" i="5"/>
  <c r="DB133" i="5"/>
  <c r="DC133" i="5"/>
  <c r="DD133" i="5"/>
  <c r="DE133" i="5"/>
  <c r="BM134" i="5"/>
  <c r="BN134" i="5"/>
  <c r="BO134" i="5"/>
  <c r="BP134" i="5"/>
  <c r="BQ134" i="5"/>
  <c r="BR134" i="5"/>
  <c r="BS134" i="5"/>
  <c r="BT134" i="5"/>
  <c r="BU134" i="5"/>
  <c r="BV134" i="5"/>
  <c r="BW134" i="5"/>
  <c r="BX134" i="5"/>
  <c r="BY134" i="5"/>
  <c r="BZ134" i="5"/>
  <c r="CA134" i="5"/>
  <c r="CB134" i="5"/>
  <c r="CC134" i="5"/>
  <c r="CZ134" i="5"/>
  <c r="DA134" i="5"/>
  <c r="DB134" i="5"/>
  <c r="DC134" i="5"/>
  <c r="DD134" i="5"/>
  <c r="DE134" i="5"/>
  <c r="BM135" i="5"/>
  <c r="BN135" i="5"/>
  <c r="BO135" i="5"/>
  <c r="BP135" i="5"/>
  <c r="BQ135" i="5"/>
  <c r="BR135" i="5"/>
  <c r="BS135" i="5"/>
  <c r="BT135" i="5"/>
  <c r="BU135" i="5"/>
  <c r="BV135" i="5"/>
  <c r="BW135" i="5"/>
  <c r="BX135" i="5"/>
  <c r="BY135" i="5"/>
  <c r="BZ135" i="5"/>
  <c r="CA135" i="5"/>
  <c r="CB135" i="5"/>
  <c r="CC135" i="5"/>
  <c r="BO139" i="5"/>
  <c r="BP139" i="5"/>
  <c r="BQ139" i="5"/>
  <c r="BR139" i="5"/>
  <c r="BS139" i="5"/>
  <c r="BT139" i="5"/>
  <c r="BU139" i="5"/>
  <c r="BV139" i="5"/>
  <c r="BW139" i="5"/>
  <c r="BX139" i="5"/>
  <c r="BY139" i="5"/>
  <c r="BZ139" i="5"/>
  <c r="CA139" i="5"/>
  <c r="CB139" i="5"/>
  <c r="CC139" i="5"/>
  <c r="DA139" i="5"/>
  <c r="DB139" i="5"/>
  <c r="DC139" i="5"/>
  <c r="DD139" i="5"/>
  <c r="DE139" i="5"/>
  <c r="BM140" i="5"/>
  <c r="BN140" i="5"/>
  <c r="BO140" i="5"/>
  <c r="BP140" i="5"/>
  <c r="BQ140" i="5"/>
  <c r="BR140" i="5"/>
  <c r="BS140" i="5"/>
  <c r="BT140" i="5"/>
  <c r="BU140" i="5"/>
  <c r="BV140" i="5"/>
  <c r="BW140" i="5"/>
  <c r="BX140" i="5"/>
  <c r="BY140" i="5"/>
  <c r="BZ140" i="5"/>
  <c r="CA140" i="5"/>
  <c r="CB140" i="5"/>
  <c r="CC140" i="5"/>
  <c r="CZ140" i="5"/>
  <c r="DA140" i="5"/>
  <c r="DB140" i="5"/>
  <c r="DC140" i="5"/>
  <c r="DD140" i="5"/>
  <c r="DE140" i="5"/>
  <c r="BM143" i="5"/>
  <c r="BN143" i="5"/>
  <c r="BO143" i="5"/>
  <c r="BP143" i="5"/>
  <c r="BQ143" i="5"/>
  <c r="BR143" i="5"/>
  <c r="BS143" i="5"/>
  <c r="BT143" i="5"/>
  <c r="BU143" i="5"/>
  <c r="BV143" i="5"/>
  <c r="BW143" i="5"/>
  <c r="BX143" i="5"/>
  <c r="BY143" i="5"/>
  <c r="BZ143" i="5"/>
  <c r="CA143" i="5"/>
  <c r="CB143" i="5"/>
  <c r="CC143" i="5"/>
  <c r="CZ143" i="5"/>
  <c r="DA143" i="5"/>
  <c r="DB143" i="5"/>
  <c r="DC143" i="5"/>
  <c r="DD143" i="5"/>
  <c r="DE143" i="5"/>
  <c r="BM148" i="5"/>
  <c r="BN148" i="5"/>
  <c r="BO148" i="5"/>
  <c r="BP148" i="5"/>
  <c r="BQ148" i="5"/>
  <c r="BR148" i="5"/>
  <c r="BS148" i="5"/>
  <c r="BT148" i="5"/>
  <c r="BU148" i="5"/>
  <c r="BV148" i="5"/>
  <c r="BW148" i="5"/>
  <c r="BX148" i="5"/>
  <c r="BY148" i="5"/>
  <c r="BZ148" i="5"/>
  <c r="CA148" i="5"/>
  <c r="CB148" i="5"/>
  <c r="CC148" i="5"/>
  <c r="CZ148" i="5"/>
  <c r="DA148" i="5"/>
  <c r="DB148" i="5"/>
  <c r="DC148" i="5"/>
  <c r="DD148" i="5"/>
  <c r="DE148" i="5"/>
  <c r="BM149" i="5"/>
  <c r="BN149" i="5"/>
  <c r="BO149" i="5"/>
  <c r="BP149" i="5"/>
  <c r="BQ149" i="5"/>
  <c r="BR149" i="5"/>
  <c r="BS149" i="5"/>
  <c r="BT149" i="5"/>
  <c r="BU149" i="5"/>
  <c r="BV149" i="5"/>
  <c r="BW149" i="5"/>
  <c r="BX149" i="5"/>
  <c r="BY149" i="5"/>
  <c r="BZ149" i="5"/>
  <c r="CA149" i="5"/>
  <c r="CB149" i="5"/>
  <c r="CC149" i="5"/>
  <c r="CE149" i="5"/>
  <c r="CZ149" i="5"/>
  <c r="DA149" i="5"/>
  <c r="DB149" i="5"/>
  <c r="DC149" i="5"/>
  <c r="DD149" i="5"/>
  <c r="DE149" i="5"/>
  <c r="BM151" i="5"/>
  <c r="BN151" i="5"/>
  <c r="BO151" i="5"/>
  <c r="BP151" i="5"/>
  <c r="BQ151" i="5"/>
  <c r="BR151" i="5"/>
  <c r="BS151" i="5"/>
  <c r="BT151" i="5"/>
  <c r="BU151" i="5"/>
  <c r="BV151" i="5"/>
  <c r="BW151" i="5"/>
  <c r="BX151" i="5"/>
  <c r="BY151" i="5"/>
  <c r="BZ151" i="5"/>
  <c r="CA151" i="5"/>
  <c r="CB151" i="5"/>
  <c r="CC151" i="5"/>
  <c r="CZ151" i="5"/>
  <c r="DA151" i="5"/>
  <c r="DB151" i="5"/>
  <c r="DC151" i="5"/>
  <c r="DD151" i="5"/>
  <c r="DE151" i="5"/>
  <c r="BM156" i="5"/>
  <c r="BN156" i="5"/>
  <c r="BO156" i="5"/>
  <c r="BP156" i="5"/>
  <c r="BQ156" i="5"/>
  <c r="BR156" i="5"/>
  <c r="BS156" i="5"/>
  <c r="BT156" i="5"/>
  <c r="BU156" i="5"/>
  <c r="BV156" i="5"/>
  <c r="BW156" i="5"/>
  <c r="BX156" i="5"/>
  <c r="BY156" i="5"/>
  <c r="BZ156" i="5"/>
  <c r="CA156" i="5"/>
  <c r="CB156" i="5"/>
  <c r="CC156" i="5"/>
  <c r="CZ156" i="5"/>
  <c r="DA156" i="5"/>
  <c r="DB156" i="5"/>
  <c r="DC156" i="5"/>
  <c r="DD156" i="5"/>
  <c r="DE156" i="5"/>
  <c r="BM175" i="5"/>
  <c r="BN175" i="5"/>
  <c r="BO175" i="5"/>
  <c r="BP175" i="5"/>
  <c r="BQ175" i="5"/>
  <c r="BR175" i="5"/>
  <c r="BS175" i="5"/>
  <c r="BT175" i="5"/>
  <c r="BU175" i="5"/>
  <c r="BV175" i="5"/>
  <c r="BW175" i="5"/>
  <c r="BX175" i="5"/>
  <c r="BY175" i="5"/>
  <c r="BZ175" i="5"/>
  <c r="CA175" i="5"/>
  <c r="CB175" i="5"/>
  <c r="CC175" i="5"/>
  <c r="CZ175" i="5"/>
  <c r="DA175" i="5"/>
  <c r="DB175" i="5"/>
  <c r="DC175" i="5"/>
  <c r="DD175" i="5"/>
  <c r="DE175" i="5"/>
  <c r="BO176" i="5"/>
  <c r="BP176" i="5"/>
  <c r="BQ176" i="5"/>
  <c r="BR176" i="5"/>
  <c r="BS176" i="5"/>
  <c r="BT176" i="5"/>
  <c r="BU176" i="5"/>
  <c r="BV176" i="5"/>
  <c r="BW176" i="5"/>
  <c r="BX176" i="5"/>
  <c r="BY176" i="5"/>
  <c r="BZ176" i="5"/>
  <c r="CA176" i="5"/>
  <c r="CB176" i="5"/>
  <c r="CC176" i="5"/>
  <c r="DA176" i="5"/>
  <c r="DB176" i="5"/>
  <c r="DC176" i="5"/>
  <c r="DD176" i="5"/>
  <c r="DE176" i="5"/>
  <c r="BM177" i="5"/>
  <c r="BN177" i="5"/>
  <c r="BO177" i="5"/>
  <c r="BP177" i="5"/>
  <c r="BQ177" i="5"/>
  <c r="BR177" i="5"/>
  <c r="BS177" i="5"/>
  <c r="BT177" i="5"/>
  <c r="BU177" i="5"/>
  <c r="BV177" i="5"/>
  <c r="BW177" i="5"/>
  <c r="BX177" i="5"/>
  <c r="BY177" i="5"/>
  <c r="BZ177" i="5"/>
  <c r="CA177" i="5"/>
  <c r="CB177" i="5"/>
  <c r="CC177" i="5"/>
  <c r="CZ177" i="5"/>
  <c r="DA177" i="5"/>
  <c r="DB177" i="5"/>
  <c r="DC177" i="5"/>
  <c r="DD177" i="5"/>
  <c r="DE177" i="5"/>
  <c r="BM178" i="5"/>
  <c r="BN178" i="5"/>
  <c r="BO178" i="5"/>
  <c r="BP178" i="5"/>
  <c r="BQ178" i="5"/>
  <c r="BR178" i="5"/>
  <c r="BS178" i="5"/>
  <c r="BT178" i="5"/>
  <c r="BU178" i="5"/>
  <c r="BV178" i="5"/>
  <c r="BW178" i="5"/>
  <c r="BX178" i="5"/>
  <c r="BY178" i="5"/>
  <c r="BZ178" i="5"/>
  <c r="CA178" i="5"/>
  <c r="CB178" i="5"/>
  <c r="CC178" i="5"/>
  <c r="BM182" i="5"/>
  <c r="BN182" i="5"/>
  <c r="BO182" i="5"/>
  <c r="BP182" i="5"/>
  <c r="BQ182" i="5"/>
  <c r="BR182" i="5"/>
  <c r="BS182" i="5"/>
  <c r="BT182" i="5"/>
  <c r="BU182" i="5"/>
  <c r="BV182" i="5"/>
  <c r="BW182" i="5"/>
  <c r="BX182" i="5"/>
  <c r="BY182" i="5"/>
  <c r="BZ182" i="5"/>
  <c r="CA182" i="5"/>
  <c r="CB182" i="5"/>
  <c r="CC182" i="5"/>
  <c r="CZ182" i="5"/>
  <c r="DA182" i="5"/>
  <c r="DB182" i="5"/>
  <c r="DC182" i="5"/>
  <c r="DD182" i="5"/>
  <c r="DE182" i="5"/>
  <c r="BM183" i="5"/>
  <c r="BN183" i="5"/>
  <c r="BO183" i="5"/>
  <c r="BP183" i="5"/>
  <c r="BQ183" i="5"/>
  <c r="BR183" i="5"/>
  <c r="BS183" i="5"/>
  <c r="BT183" i="5"/>
  <c r="BU183" i="5"/>
  <c r="BV183" i="5"/>
  <c r="BW183" i="5"/>
  <c r="BX183" i="5"/>
  <c r="BY183" i="5"/>
  <c r="BZ183" i="5"/>
  <c r="CA183" i="5"/>
  <c r="CB183" i="5"/>
  <c r="CC183" i="5"/>
  <c r="CZ183" i="5"/>
  <c r="DA183" i="5"/>
  <c r="DB183" i="5"/>
  <c r="DC183" i="5"/>
  <c r="DD183" i="5"/>
  <c r="DE183" i="5"/>
  <c r="BM185" i="5"/>
  <c r="BN185" i="5"/>
  <c r="BO185" i="5"/>
  <c r="BP185" i="5"/>
  <c r="BQ185" i="5"/>
  <c r="BR185" i="5"/>
  <c r="BS185" i="5"/>
  <c r="BT185" i="5"/>
  <c r="BU185" i="5"/>
  <c r="BV185" i="5"/>
  <c r="BW185" i="5"/>
  <c r="BX185" i="5"/>
  <c r="BY185" i="5"/>
  <c r="BZ185" i="5"/>
  <c r="CA185" i="5"/>
  <c r="CB185" i="5"/>
  <c r="CC185" i="5"/>
  <c r="CZ185" i="5"/>
  <c r="DA185" i="5"/>
  <c r="DB185" i="5"/>
  <c r="DC185" i="5"/>
  <c r="DD185" i="5"/>
  <c r="DE185" i="5"/>
  <c r="BM186" i="5"/>
  <c r="BN186" i="5"/>
  <c r="BO186" i="5"/>
  <c r="BP186" i="5"/>
  <c r="BQ186" i="5"/>
  <c r="BR186" i="5"/>
  <c r="BS186" i="5"/>
  <c r="BT186" i="5"/>
  <c r="BU186" i="5"/>
  <c r="BV186" i="5"/>
  <c r="BW186" i="5"/>
  <c r="BX186" i="5"/>
  <c r="BY186" i="5"/>
  <c r="BZ186" i="5"/>
  <c r="CA186" i="5"/>
  <c r="CB186" i="5"/>
  <c r="CC186" i="5"/>
  <c r="CZ186" i="5"/>
  <c r="DA186" i="5"/>
  <c r="DB186" i="5"/>
  <c r="DC186" i="5"/>
  <c r="DD186" i="5"/>
  <c r="DE186" i="5"/>
  <c r="BM187" i="5"/>
  <c r="BN187" i="5"/>
  <c r="BO187" i="5"/>
  <c r="BP187" i="5"/>
  <c r="BQ187" i="5"/>
  <c r="BR187" i="5"/>
  <c r="BS187" i="5"/>
  <c r="BT187" i="5"/>
  <c r="BU187" i="5"/>
  <c r="BV187" i="5"/>
  <c r="BW187" i="5"/>
  <c r="BX187" i="5"/>
  <c r="BY187" i="5"/>
  <c r="BZ187" i="5"/>
  <c r="CA187" i="5"/>
  <c r="CB187" i="5"/>
  <c r="CC187" i="5"/>
  <c r="BM188" i="5"/>
  <c r="BN188" i="5"/>
  <c r="BO188" i="5"/>
  <c r="BP188" i="5"/>
  <c r="BQ188" i="5"/>
  <c r="BR188" i="5"/>
  <c r="BS188" i="5"/>
  <c r="BT188" i="5"/>
  <c r="BU188" i="5"/>
  <c r="BV188" i="5"/>
  <c r="BW188" i="5"/>
  <c r="BX188" i="5"/>
  <c r="BY188" i="5"/>
  <c r="BZ188" i="5"/>
  <c r="CA188" i="5"/>
  <c r="CB188" i="5"/>
  <c r="CC188" i="5"/>
  <c r="BM191" i="5"/>
  <c r="BN191" i="5"/>
  <c r="BO191" i="5"/>
  <c r="BP191" i="5"/>
  <c r="BQ191" i="5"/>
  <c r="BR191" i="5"/>
  <c r="BS191" i="5"/>
  <c r="BT191" i="5"/>
  <c r="BU191" i="5"/>
  <c r="BV191" i="5"/>
  <c r="BW191" i="5"/>
  <c r="BX191" i="5"/>
  <c r="BY191" i="5"/>
  <c r="BZ191" i="5"/>
  <c r="CA191" i="5"/>
  <c r="CB191" i="5"/>
  <c r="CC191" i="5"/>
  <c r="CZ191" i="5"/>
  <c r="DA191" i="5"/>
  <c r="DB191" i="5"/>
  <c r="DC191" i="5"/>
  <c r="DD191" i="5"/>
  <c r="DE191" i="5"/>
  <c r="BM192" i="5"/>
  <c r="BN192" i="5"/>
  <c r="BO192" i="5"/>
  <c r="BP192" i="5"/>
  <c r="BQ192" i="5"/>
  <c r="BR192" i="5"/>
  <c r="BS192" i="5"/>
  <c r="BT192" i="5"/>
  <c r="BU192" i="5"/>
  <c r="BV192" i="5"/>
  <c r="BW192" i="5"/>
  <c r="BX192" i="5"/>
  <c r="BY192" i="5"/>
  <c r="BZ192" i="5"/>
  <c r="CA192" i="5"/>
  <c r="CB192" i="5"/>
  <c r="CC192" i="5"/>
  <c r="CZ192" i="5"/>
  <c r="DA192" i="5"/>
  <c r="DB192" i="5"/>
  <c r="DC192" i="5"/>
  <c r="DD192" i="5"/>
  <c r="DE192" i="5"/>
  <c r="BO289" i="5"/>
  <c r="BP289" i="5"/>
  <c r="BQ289" i="5"/>
  <c r="BR289" i="5"/>
  <c r="BS289" i="5"/>
  <c r="BT289" i="5"/>
  <c r="BU289" i="5"/>
  <c r="BV289" i="5"/>
  <c r="BW289" i="5"/>
  <c r="BX289" i="5"/>
  <c r="BY289" i="5"/>
  <c r="BZ289" i="5"/>
  <c r="CA289" i="5"/>
  <c r="CB289" i="5"/>
  <c r="CC289" i="5"/>
  <c r="BM290" i="5"/>
  <c r="BN290" i="5"/>
  <c r="BO290" i="5"/>
  <c r="BP290" i="5"/>
  <c r="BQ290" i="5"/>
  <c r="BR290" i="5"/>
  <c r="BS290" i="5"/>
  <c r="BT290" i="5"/>
  <c r="BU290" i="5"/>
  <c r="BV290" i="5"/>
  <c r="BW290" i="5"/>
  <c r="BX290" i="5"/>
  <c r="BY290" i="5"/>
  <c r="BZ290" i="5"/>
  <c r="CA290" i="5"/>
  <c r="CB290" i="5"/>
  <c r="CC290" i="5"/>
  <c r="BM293" i="5"/>
  <c r="BN293" i="5"/>
  <c r="BO293" i="5"/>
  <c r="BP293" i="5"/>
  <c r="BQ293" i="5"/>
  <c r="BR293" i="5"/>
  <c r="BS293" i="5"/>
  <c r="BT293" i="5"/>
  <c r="BU293" i="5"/>
  <c r="BV293" i="5"/>
  <c r="BW293" i="5"/>
  <c r="BX293" i="5"/>
  <c r="BY293" i="5"/>
  <c r="BZ293" i="5"/>
  <c r="CA293" i="5"/>
  <c r="CB293" i="5"/>
  <c r="CC293" i="5"/>
  <c r="BM294" i="5"/>
  <c r="BN294" i="5"/>
  <c r="BO294" i="5"/>
  <c r="BP294" i="5"/>
  <c r="BQ294" i="5"/>
  <c r="BR294" i="5"/>
  <c r="BS294" i="5"/>
  <c r="BT294" i="5"/>
  <c r="BU294" i="5"/>
  <c r="BV294" i="5"/>
  <c r="BW294" i="5"/>
  <c r="BX294" i="5"/>
  <c r="BY294" i="5"/>
  <c r="BZ294" i="5"/>
  <c r="CA294" i="5"/>
  <c r="CB294" i="5"/>
  <c r="CC294" i="5"/>
  <c r="BM295" i="5"/>
  <c r="BN295" i="5"/>
  <c r="BO295" i="5"/>
  <c r="BP295" i="5"/>
  <c r="BQ295" i="5"/>
  <c r="BR295" i="5"/>
  <c r="BS295" i="5"/>
  <c r="BT295" i="5"/>
  <c r="BU295" i="5"/>
  <c r="BV295" i="5"/>
  <c r="BW295" i="5"/>
  <c r="BX295" i="5"/>
  <c r="BY295" i="5"/>
  <c r="BZ295" i="5"/>
  <c r="CA295" i="5"/>
  <c r="CB295" i="5"/>
  <c r="CC29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Berry, Lauren (Research)</author>
    <author>Bloomberg Type S Account</author>
    <author>Baxter, Melinda - RSCH APAC</author>
    <author>Berry, Lauren - RSCH SYD</author>
    <author>Lauren Berry - ML Research Sydney</author>
    <author>jsanabri</author>
    <author>bhowitt</author>
    <author>swarwood</author>
  </authors>
  <commentList>
    <comment ref="BB8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15% growth</t>
        </r>
      </text>
    </comment>
    <comment ref="B9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Bloomberg Type S Account:</t>
        </r>
        <r>
          <rPr>
            <sz val="9"/>
            <color indexed="81"/>
            <rFont val="Tahoma"/>
            <family val="2"/>
          </rPr>
          <t xml:space="preserve">
includes fees paid as management</t>
        </r>
      </text>
    </comment>
    <comment ref="BD10" authorId="0" shapeId="0" xr:uid="{C18316B5-06C5-4B58-82F2-65FBBC8F0497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will be lower in 2H due to asset sales</t>
        </r>
      </text>
    </comment>
    <comment ref="B12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Bloomberg Type S Account:</t>
        </r>
        <r>
          <rPr>
            <sz val="9"/>
            <color indexed="81"/>
            <rFont val="Tahoma"/>
            <family val="2"/>
          </rPr>
          <t xml:space="preserve">
90bpts of AUM, 45bpts FUM, 35bpts prop services, 10bpts transaction fees )including performance fees)</t>
        </r>
      </text>
    </comment>
    <comment ref="BB12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nearly 20% growth
</t>
        </r>
      </text>
    </comment>
    <comment ref="B13" authorId="2" shapeId="0" xr:uid="{00000000-0006-0000-0500-000005000000}">
      <text>
        <r>
          <rPr>
            <b/>
            <sz val="9"/>
            <color indexed="81"/>
            <rFont val="Tahoma"/>
            <family val="2"/>
          </rPr>
          <t>Baxter, Melinda - RSCH APAC:</t>
        </r>
        <r>
          <rPr>
            <sz val="9"/>
            <color indexed="81"/>
            <rFont val="Tahoma"/>
            <family val="2"/>
          </rPr>
          <t xml:space="preserve">
dev manag fees, asset sales (primarily inventories), share of equity accounted development profits (before asset revaluation) </t>
        </r>
      </text>
    </comment>
    <comment ref="AG1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Bloomberg Type S Account:</t>
        </r>
        <r>
          <rPr>
            <sz val="9"/>
            <color indexed="81"/>
            <rFont val="Tahoma"/>
            <family val="2"/>
          </rPr>
          <t xml:space="preserve">
MOS guidance bit more than $230mn</t>
        </r>
      </text>
    </comment>
    <comment ref="BB13" authorId="0" shapeId="0" xr:uid="{00000000-0006-0000-0500-00000700000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just over 30% growth</t>
        </r>
      </text>
    </comment>
    <comment ref="AE14" authorId="3" shapeId="0" xr:uid="{00000000-0006-0000-0500-000008000000}">
      <text>
        <r>
          <rPr>
            <b/>
            <sz val="9"/>
            <color indexed="81"/>
            <rFont val="Tahoma"/>
            <family val="2"/>
          </rPr>
          <t>Berry, Lauren - RSCH SYD:</t>
        </r>
        <r>
          <rPr>
            <sz val="9"/>
            <color indexed="81"/>
            <rFont val="Tahoma"/>
            <family val="2"/>
          </rPr>
          <t xml:space="preserve">
Unallocated operating expenses on income statement (slide 10)
</t>
        </r>
      </text>
    </comment>
    <comment ref="BB14" authorId="0" shapeId="0" xr:uid="{00000000-0006-0000-0500-00000900000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around 350m</t>
        </r>
      </text>
    </comment>
    <comment ref="BH14" authorId="0" shapeId="0" xr:uid="{9D622D6B-726A-4524-B41B-B28914F5DF95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just over 400m</t>
        </r>
      </text>
    </comment>
    <comment ref="B25" authorId="2" shapeId="0" xr:uid="{00000000-0006-0000-0500-00000A000000}">
      <text>
        <r>
          <rPr>
            <b/>
            <sz val="9"/>
            <color indexed="81"/>
            <rFont val="Tahoma"/>
            <family val="2"/>
          </rPr>
          <t>Baxter, Melinda - RSCH APAC:</t>
        </r>
        <r>
          <rPr>
            <sz val="9"/>
            <color indexed="81"/>
            <rFont val="Tahoma"/>
            <family val="2"/>
          </rPr>
          <t xml:space="preserve">
adjustement for assets held in funds</t>
        </r>
      </text>
    </comment>
    <comment ref="AN39" authorId="4" shapeId="0" xr:uid="{00000000-0006-0000-0500-00000B000000}">
      <text>
        <r>
          <rPr>
            <b/>
            <sz val="9"/>
            <color indexed="81"/>
            <rFont val="Tahoma"/>
            <family val="2"/>
          </rPr>
          <t>Lauren Berry - ML Research Sydney:</t>
        </r>
        <r>
          <rPr>
            <sz val="9"/>
            <color indexed="81"/>
            <rFont val="Tahoma"/>
            <family val="2"/>
          </rPr>
          <t xml:space="preserve">
All Goodman PLUS repaid 2nd October 2017 for cost of $327m (funded via cash)</t>
        </r>
      </text>
    </comment>
    <comment ref="AE98" authorId="3" shapeId="0" xr:uid="{00000000-0006-0000-0500-00000C000000}">
      <text>
        <r>
          <rPr>
            <b/>
            <sz val="9"/>
            <color indexed="81"/>
            <rFont val="Tahoma"/>
            <family val="2"/>
          </rPr>
          <t>Berry, Lauren - RSCH SYD:</t>
        </r>
        <r>
          <rPr>
            <sz val="9"/>
            <color indexed="81"/>
            <rFont val="Tahoma"/>
            <family val="2"/>
          </rPr>
          <t xml:space="preserve">
Current tax receivables + other assets
</t>
        </r>
      </text>
    </comment>
    <comment ref="AE102" authorId="3" shapeId="0" xr:uid="{00000000-0006-0000-0500-00000D000000}">
      <text>
        <r>
          <rPr>
            <b/>
            <sz val="9"/>
            <color indexed="81"/>
            <rFont val="Tahoma"/>
            <family val="2"/>
          </rPr>
          <t>Berry, Lauren - RSCH SYD:</t>
        </r>
        <r>
          <rPr>
            <sz val="9"/>
            <color indexed="81"/>
            <rFont val="Tahoma"/>
            <family val="2"/>
          </rPr>
          <t xml:space="preserve">
Investment properties line - amt in construction in progress</t>
        </r>
      </text>
    </comment>
    <comment ref="AE103" authorId="3" shapeId="0" xr:uid="{00000000-0006-0000-0500-00000E000000}">
      <text>
        <r>
          <rPr>
            <b/>
            <sz val="9"/>
            <color indexed="81"/>
            <rFont val="Tahoma"/>
            <family val="2"/>
          </rPr>
          <t>Berry, Lauren - RSCH SYD:</t>
        </r>
        <r>
          <rPr>
            <sz val="9"/>
            <color indexed="81"/>
            <rFont val="Tahoma"/>
            <family val="2"/>
          </rPr>
          <t xml:space="preserve">
Inventories lined + assumed amount of land in equity accounted investments (was 1150)
</t>
        </r>
      </text>
    </comment>
    <comment ref="AE104" authorId="3" shapeId="0" xr:uid="{00000000-0006-0000-0500-00000F000000}">
      <text>
        <r>
          <rPr>
            <b/>
            <sz val="9"/>
            <color indexed="81"/>
            <rFont val="Tahoma"/>
            <family val="2"/>
          </rPr>
          <t>Berry, Lauren - RSCH SYD:</t>
        </r>
        <r>
          <rPr>
            <sz val="9"/>
            <color indexed="81"/>
            <rFont val="Tahoma"/>
            <family val="2"/>
          </rPr>
          <t xml:space="preserve">
Search for investment properties under development Note 8 in 4D
</t>
        </r>
      </text>
    </comment>
    <comment ref="AC105" authorId="2" shapeId="0" xr:uid="{00000000-0006-0000-0500-000010000000}">
      <text>
        <r>
          <rPr>
            <b/>
            <sz val="9"/>
            <color indexed="81"/>
            <rFont val="Tahoma"/>
            <family val="2"/>
          </rPr>
          <t>Baxter, Melinda - RSCH APAC:</t>
        </r>
        <r>
          <rPr>
            <sz val="9"/>
            <color indexed="81"/>
            <rFont val="Tahoma"/>
            <family val="2"/>
          </rPr>
          <t xml:space="preserve">
shift land from equity accounted investments to land balance so that its not double counted in NAV</t>
        </r>
      </text>
    </comment>
    <comment ref="AE105" authorId="3" shapeId="0" xr:uid="{00000000-0006-0000-0500-000011000000}">
      <text>
        <r>
          <rPr>
            <b/>
            <sz val="9"/>
            <color indexed="81"/>
            <rFont val="Tahoma"/>
            <family val="2"/>
          </rPr>
          <t>Berry, Lauren - RSCH SYD:</t>
        </r>
        <r>
          <rPr>
            <sz val="9"/>
            <color indexed="81"/>
            <rFont val="Tahoma"/>
            <family val="2"/>
          </rPr>
          <t xml:space="preserve">
Amount in 'investments accounted for using the equity method line' - land amount added to Land &amp; Inventories</t>
        </r>
      </text>
    </comment>
    <comment ref="AE107" authorId="3" shapeId="0" xr:uid="{00000000-0006-0000-0500-000012000000}">
      <text>
        <r>
          <rPr>
            <b/>
            <sz val="9"/>
            <color indexed="81"/>
            <rFont val="Tahoma"/>
            <family val="2"/>
          </rPr>
          <t>Berry, Lauren - RSCH SYD:</t>
        </r>
        <r>
          <rPr>
            <sz val="9"/>
            <color indexed="81"/>
            <rFont val="Tahoma"/>
            <family val="2"/>
          </rPr>
          <t xml:space="preserve">
Receivables + deferred tax assets + other financial assets + plant and equipment</t>
        </r>
      </text>
    </comment>
    <comment ref="AE115" authorId="3" shapeId="0" xr:uid="{00000000-0006-0000-0500-000013000000}">
      <text>
        <r>
          <rPr>
            <b/>
            <sz val="9"/>
            <color indexed="81"/>
            <rFont val="Tahoma"/>
            <family val="2"/>
          </rPr>
          <t>Berry, Lauren - RSCH SYD:</t>
        </r>
        <r>
          <rPr>
            <sz val="9"/>
            <color indexed="81"/>
            <rFont val="Tahoma"/>
            <family val="2"/>
          </rPr>
          <t xml:space="preserve">
Employee benefits and provisions</t>
        </r>
      </text>
    </comment>
    <comment ref="AE122" authorId="3" shapeId="0" xr:uid="{00000000-0006-0000-0500-000014000000}">
      <text>
        <r>
          <rPr>
            <b/>
            <sz val="9"/>
            <color indexed="81"/>
            <rFont val="Tahoma"/>
            <family val="2"/>
          </rPr>
          <t>Berry, Lauren - RSCH SYD:</t>
        </r>
        <r>
          <rPr>
            <sz val="9"/>
            <color indexed="81"/>
            <rFont val="Tahoma"/>
            <family val="2"/>
          </rPr>
          <t xml:space="preserve">
Payables, deferred tax liabilities, employee benefits and provisions</t>
        </r>
      </text>
    </comment>
    <comment ref="AE130" authorId="3" shapeId="0" xr:uid="{00000000-0006-0000-0500-000015000000}">
      <text>
        <r>
          <rPr>
            <b/>
            <sz val="9"/>
            <color indexed="81"/>
            <rFont val="Tahoma"/>
            <family val="2"/>
          </rPr>
          <t>Berry, Lauren - RSCH SYD:</t>
        </r>
        <r>
          <rPr>
            <sz val="9"/>
            <color indexed="81"/>
            <rFont val="Tahoma"/>
            <family val="2"/>
          </rPr>
          <t xml:space="preserve">
Add up issued capital for GL, GIT and GLHK</t>
        </r>
      </text>
    </comment>
    <comment ref="AE133" authorId="3" shapeId="0" xr:uid="{00000000-0006-0000-0500-000016000000}">
      <text>
        <r>
          <rPr>
            <b/>
            <sz val="9"/>
            <color indexed="81"/>
            <rFont val="Tahoma"/>
            <family val="2"/>
          </rPr>
          <t>Berry, Lauren - RSCH SYD:</t>
        </r>
        <r>
          <rPr>
            <sz val="9"/>
            <color indexed="81"/>
            <rFont val="Tahoma"/>
            <family val="2"/>
          </rPr>
          <t xml:space="preserve">
Other non-controlling interests</t>
        </r>
      </text>
    </comment>
    <comment ref="P211" authorId="5" shapeId="0" xr:uid="{00000000-0006-0000-0500-000017000000}">
      <text>
        <r>
          <rPr>
            <b/>
            <sz val="10"/>
            <color indexed="8"/>
            <rFont val="Tahoma"/>
            <family val="2"/>
          </rPr>
          <t>jsanabri:</t>
        </r>
        <r>
          <rPr>
            <sz val="10"/>
            <color indexed="8"/>
            <rFont val="Tahoma"/>
            <family val="2"/>
          </rPr>
          <t xml:space="preserve">
Presentation</t>
        </r>
      </text>
    </comment>
    <comment ref="Q211" authorId="6" shapeId="0" xr:uid="{00000000-0006-0000-0500-000018000000}">
      <text>
        <r>
          <rPr>
            <b/>
            <sz val="8"/>
            <color indexed="8"/>
            <rFont val="Tahoma"/>
            <family val="2"/>
          </rPr>
          <t>bhowitt:</t>
        </r>
        <r>
          <rPr>
            <sz val="8"/>
            <color indexed="8"/>
            <rFont val="Tahoma"/>
            <family val="2"/>
          </rPr>
          <t xml:space="preserve">
fully diliuted slide 9</t>
        </r>
      </text>
    </comment>
    <comment ref="S211" authorId="7" shapeId="0" xr:uid="{00000000-0006-0000-0500-000019000000}">
      <text>
        <r>
          <rPr>
            <b/>
            <sz val="8"/>
            <color indexed="8"/>
            <rFont val="Tahoma"/>
            <family val="2"/>
          </rPr>
          <t>swarwood:</t>
        </r>
        <r>
          <rPr>
            <sz val="8"/>
            <color indexed="8"/>
            <rFont val="Tahoma"/>
            <family val="2"/>
          </rPr>
          <t xml:space="preserve">
Implied given 5.6cps at 5,558.6 shares</t>
        </r>
      </text>
    </comment>
    <comment ref="V211" authorId="7" shapeId="0" xr:uid="{00000000-0006-0000-0500-00001A000000}">
      <text>
        <r>
          <rPr>
            <b/>
            <sz val="8"/>
            <color indexed="81"/>
            <rFont val="Tahoma"/>
            <family val="2"/>
          </rPr>
          <t>swarwood: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11" authorId="7" shapeId="0" xr:uid="{00000000-0006-0000-0500-00001B000000}">
      <text>
        <r>
          <rPr>
            <b/>
            <sz val="8"/>
            <color indexed="81"/>
            <rFont val="Tahoma"/>
            <family val="2"/>
          </rPr>
          <t>swarwood:</t>
        </r>
        <r>
          <rPr>
            <sz val="8"/>
            <color indexed="81"/>
            <rFont val="Tahoma"/>
            <family val="2"/>
          </rPr>
          <t xml:space="preserve">
Calculated given timing of placement </t>
        </r>
      </text>
    </comment>
    <comment ref="AK217" authorId="4" shapeId="0" xr:uid="{00000000-0006-0000-0500-00001C000000}">
      <text>
        <r>
          <rPr>
            <b/>
            <sz val="9"/>
            <color indexed="81"/>
            <rFont val="Tahoma"/>
            <family val="2"/>
          </rPr>
          <t>Lauren Berry - ML Research Sydney:</t>
        </r>
        <r>
          <rPr>
            <sz val="9"/>
            <color indexed="81"/>
            <rFont val="Tahoma"/>
            <family val="2"/>
          </rPr>
          <t xml:space="preserve">
Management incentives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Berry, Lauren - RSCH APAC</author>
    <author>Fun, Cole - RSCH OFFSHORE</author>
  </authors>
  <commentList>
    <comment ref="X23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Berry, Lauren - RSCH APAC:</t>
        </r>
        <r>
          <rPr>
            <sz val="9"/>
            <color indexed="81"/>
            <rFont val="Tahoma"/>
            <family val="2"/>
          </rPr>
          <t xml:space="preserve">
UK notes</t>
        </r>
      </text>
    </comment>
    <comment ref="A30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Fun, Cole - RSCH OFFSHORE:</t>
        </r>
        <r>
          <rPr>
            <sz val="9"/>
            <color indexed="81"/>
            <rFont val="Tahoma"/>
            <family val="2"/>
          </rPr>
          <t xml:space="preserve">
estimates based on slide 50 presentation
</t>
        </r>
      </text>
    </comment>
    <comment ref="J3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Fun, Cole - RSCH OFFSHORE:</t>
        </r>
        <r>
          <rPr>
            <sz val="9"/>
            <color indexed="81"/>
            <rFont val="Tahoma"/>
            <family val="2"/>
          </rPr>
          <t xml:space="preserve">
slide 50, 78% of debt is hedged for next 12 months preso slide </t>
        </r>
      </text>
    </comment>
    <comment ref="L31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94% debt hedged next 12mths, 4.27% weighted avg hedge rate</t>
        </r>
      </text>
    </comment>
    <comment ref="I39" authorId="1" shapeId="0" xr:uid="{00000000-0006-0000-0900-000005000000}">
      <text>
        <r>
          <rPr>
            <sz val="9"/>
            <color indexed="81"/>
            <rFont val="Tahoma"/>
            <family val="2"/>
          </rPr>
          <t>FY13 preso slide 49 "Current 'all in' net WACD 3.21%"</t>
        </r>
      </text>
    </comment>
    <comment ref="I52" authorId="1" shapeId="0" xr:uid="{00000000-0006-0000-0900-000006000000}">
      <text>
        <r>
          <rPr>
            <sz val="9"/>
            <color indexed="81"/>
            <rFont val="Tahoma"/>
            <family val="2"/>
          </rPr>
          <t>note 11 1H14 fianncial faciltiies; availaiable - utilised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Berry, Lauren (Research)</author>
    <author>Berry, Lauren - RSCH SYD</author>
    <author>Baxter, Melinda - RSCH APAC</author>
    <author>Lauren Berry - ML Research Sydney</author>
    <author>Bloomberg Type S Account</author>
    <author>Berry, Lauren - RSCH APAC</author>
    <author>Yang, Michelle</author>
    <author>Fun, Cole - RSCH OFFSHORE</author>
  </authors>
  <commentList>
    <comment ref="AG8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207m FY20</t>
        </r>
      </text>
    </comment>
    <comment ref="AJ8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FY21 will be 10-20m less than FY20 (207)</t>
        </r>
      </text>
    </comment>
    <comment ref="AL8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150ish for FY22
EDIT - 170</t>
        </r>
      </text>
    </comment>
    <comment ref="AR8" authorId="0" shapeId="0" xr:uid="{BFB8E192-D3B4-43AA-BEDD-B36A8D0135B6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Guidance at least 150m</t>
        </r>
      </text>
    </comment>
    <comment ref="AK10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over 60bn</t>
        </r>
      </text>
    </comment>
    <comment ref="Q12" authorId="1" shapeId="0" xr:uid="{00000000-0006-0000-0A00-000005000000}">
      <text>
        <r>
          <rPr>
            <sz val="9"/>
            <color indexed="81"/>
            <rFont val="Tahoma"/>
            <family val="2"/>
          </rPr>
          <t>Management income on Management slide 16</t>
        </r>
      </text>
    </comment>
    <comment ref="T12" authorId="2" shapeId="0" xr:uid="{00000000-0006-0000-0A00-000006000000}">
      <text>
        <r>
          <rPr>
            <sz val="9"/>
            <color indexed="81"/>
            <rFont val="Tahoma"/>
            <family val="2"/>
          </rPr>
          <t>25-30mn performance fee FY16, 20mn booked in 1H, hence expect ~10-15mn drop second half)</t>
        </r>
      </text>
    </comment>
    <comment ref="W13" authorId="3" shapeId="0" xr:uid="{00000000-0006-0000-0A00-000007000000}">
      <text>
        <r>
          <rPr>
            <b/>
            <sz val="9"/>
            <color indexed="81"/>
            <rFont val="Tahoma"/>
            <family val="2"/>
          </rPr>
          <t>Lauren Berry - ML Research Sydney:</t>
        </r>
        <r>
          <rPr>
            <sz val="9"/>
            <color indexed="81"/>
            <rFont val="Tahoma"/>
            <family val="2"/>
          </rPr>
          <t xml:space="preserve">
Increased due to higher likelihood of performance fees</t>
        </r>
      </text>
    </comment>
    <comment ref="X13" authorId="3" shapeId="0" xr:uid="{00000000-0006-0000-0A00-000008000000}">
      <text>
        <r>
          <rPr>
            <b/>
            <sz val="9"/>
            <color indexed="81"/>
            <rFont val="Tahoma"/>
            <family val="2"/>
          </rPr>
          <t>Lauren Berry - ML Research Sydney:</t>
        </r>
        <r>
          <rPr>
            <sz val="9"/>
            <color indexed="81"/>
            <rFont val="Tahoma"/>
            <family val="2"/>
          </rPr>
          <t xml:space="preserve">
Increased due to higher likelihood of performance fees</t>
        </r>
      </text>
    </comment>
    <comment ref="Y13" authorId="3" shapeId="0" xr:uid="{00000000-0006-0000-0A00-000009000000}">
      <text>
        <r>
          <rPr>
            <b/>
            <sz val="9"/>
            <color indexed="81"/>
            <rFont val="Tahoma"/>
            <family val="2"/>
          </rPr>
          <t>Lauren Berry - ML Research Sydney:</t>
        </r>
        <r>
          <rPr>
            <sz val="9"/>
            <color indexed="81"/>
            <rFont val="Tahoma"/>
            <family val="2"/>
          </rPr>
          <t xml:space="preserve">
Increased due to higher likelihood of performance fees</t>
        </r>
      </text>
    </comment>
    <comment ref="AK13" authorId="0" shapeId="0" xr:uid="{00000000-0006-0000-0A00-00000A00000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will be around 1%</t>
        </r>
      </text>
    </comment>
    <comment ref="Q24" authorId="1" shapeId="0" xr:uid="{00000000-0006-0000-0A00-00000B000000}">
      <text>
        <r>
          <rPr>
            <b/>
            <sz val="9"/>
            <color indexed="81"/>
            <rFont val="Tahoma"/>
            <family val="2"/>
          </rPr>
          <t>Berry, Lauren - RSCH SYD:</t>
        </r>
        <r>
          <rPr>
            <sz val="9"/>
            <color indexed="81"/>
            <rFont val="Tahoma"/>
            <family val="2"/>
          </rPr>
          <t xml:space="preserve">
Commitments</t>
        </r>
      </text>
    </comment>
    <comment ref="S28" authorId="4" shapeId="0" xr:uid="{00000000-0006-0000-0A00-00000C000000}">
      <text>
        <r>
          <rPr>
            <b/>
            <sz val="9"/>
            <color indexed="81"/>
            <rFont val="Tahoma"/>
            <family val="2"/>
          </rPr>
          <t>Bloomberg Type S Account:</t>
        </r>
        <r>
          <rPr>
            <sz val="9"/>
            <color indexed="81"/>
            <rFont val="Tahoma"/>
            <family val="2"/>
          </rPr>
          <t xml:space="preserve">
Greg comment should hit 3bn, MOS said through the period number more likey to be ~2.8bn</t>
        </r>
      </text>
    </comment>
    <comment ref="AC28" authorId="5" shapeId="0" xr:uid="{00000000-0006-0000-0A00-00000D000000}">
      <text>
        <r>
          <rPr>
            <b/>
            <sz val="9"/>
            <color indexed="81"/>
            <rFont val="Tahoma"/>
            <family val="2"/>
          </rPr>
          <t>Berry, Lauren - RSCH APAC:</t>
        </r>
        <r>
          <rPr>
            <sz val="9"/>
            <color indexed="81"/>
            <rFont val="Tahoma"/>
            <family val="2"/>
          </rPr>
          <t xml:space="preserve">
FX</t>
        </r>
      </text>
    </comment>
    <comment ref="AC29" authorId="6" shapeId="0" xr:uid="{00000000-0006-0000-0A00-00000E000000}">
      <text>
        <r>
          <rPr>
            <sz val="9"/>
            <color indexed="81"/>
            <rFont val="Tahoma"/>
            <family val="2"/>
          </rPr>
          <t>FX and other</t>
        </r>
      </text>
    </comment>
    <comment ref="AG29" authorId="0" shapeId="0" xr:uid="{00000000-0006-0000-0A00-00000F000000}">
      <text>
        <r>
          <rPr>
            <b/>
            <sz val="9"/>
            <color indexed="81"/>
            <rFont val="Tahoma"/>
            <family val="2"/>
          </rPr>
          <t>Berry, Lauren (Research):</t>
        </r>
        <r>
          <rPr>
            <sz val="9"/>
            <color indexed="81"/>
            <rFont val="Tahoma"/>
            <family val="2"/>
          </rPr>
          <t xml:space="preserve">
currency impact</t>
        </r>
      </text>
    </comment>
    <comment ref="S45" authorId="2" shapeId="0" xr:uid="{00000000-0006-0000-0A00-000010000000}">
      <text>
        <r>
          <rPr>
            <b/>
            <sz val="9"/>
            <color indexed="81"/>
            <rFont val="Tahoma"/>
            <family val="2"/>
          </rPr>
          <t>Baxter, Melinda - RSCH APAC:</t>
        </r>
        <r>
          <rPr>
            <sz val="9"/>
            <color indexed="81"/>
            <rFont val="Tahoma"/>
            <family val="2"/>
          </rPr>
          <t xml:space="preserve">
MATCH TO SLIDES - GMG's cost to complete (development)</t>
        </r>
      </text>
    </comment>
    <comment ref="H52" authorId="7" shapeId="0" xr:uid="{00000000-0006-0000-0A00-000011000000}">
      <text>
        <r>
          <rPr>
            <b/>
            <sz val="9"/>
            <color indexed="81"/>
            <rFont val="Tahoma"/>
            <family val="2"/>
          </rPr>
          <t>Fun, Cole - RSCH OFFSHORE:</t>
        </r>
        <r>
          <rPr>
            <sz val="9"/>
            <color indexed="81"/>
            <rFont val="Tahoma"/>
            <family val="2"/>
          </rPr>
          <t xml:space="preserve">
includes hong kong 27%</t>
        </r>
      </text>
    </comment>
  </commentList>
</comments>
</file>

<file path=xl/sharedStrings.xml><?xml version="1.0" encoding="utf-8"?>
<sst xmlns="http://schemas.openxmlformats.org/spreadsheetml/2006/main" count="1224" uniqueCount="811">
  <si>
    <t>Cornerstone</t>
  </si>
  <si>
    <t>Development EBITDA</t>
  </si>
  <si>
    <t>Development</t>
  </si>
  <si>
    <t>EBIT</t>
  </si>
  <si>
    <t>Management</t>
  </si>
  <si>
    <t>Minority interests</t>
  </si>
  <si>
    <t>1H14</t>
  </si>
  <si>
    <t>1H15</t>
  </si>
  <si>
    <t>1H16</t>
  </si>
  <si>
    <t>1H17</t>
  </si>
  <si>
    <t>NTA</t>
  </si>
  <si>
    <t>1H13A</t>
  </si>
  <si>
    <t>2H13A</t>
  </si>
  <si>
    <t>1H14A</t>
  </si>
  <si>
    <t>2H17E</t>
  </si>
  <si>
    <t>FY17E</t>
  </si>
  <si>
    <t>1H11A</t>
  </si>
  <si>
    <t>2H11A</t>
  </si>
  <si>
    <t>1H12A</t>
  </si>
  <si>
    <t>2H12A</t>
  </si>
  <si>
    <t>1H13</t>
  </si>
  <si>
    <t>2H13</t>
  </si>
  <si>
    <t>2H14</t>
  </si>
  <si>
    <t>2H15</t>
  </si>
  <si>
    <t>2H16</t>
  </si>
  <si>
    <t>2H17</t>
  </si>
  <si>
    <t>Split</t>
  </si>
  <si>
    <t>FY19</t>
  </si>
  <si>
    <t>NZ</t>
  </si>
  <si>
    <t>Europe</t>
  </si>
  <si>
    <t>UK</t>
  </si>
  <si>
    <t>Japan</t>
  </si>
  <si>
    <t>China</t>
  </si>
  <si>
    <t>Completions</t>
  </si>
  <si>
    <t>Cash</t>
  </si>
  <si>
    <t>Net assets</t>
  </si>
  <si>
    <t>Total Assets</t>
  </si>
  <si>
    <t>CPA</t>
  </si>
  <si>
    <t>FY20</t>
  </si>
  <si>
    <t>FY21</t>
  </si>
  <si>
    <t>FY22</t>
  </si>
  <si>
    <t>FY23</t>
  </si>
  <si>
    <t>FFO (cents)</t>
  </si>
  <si>
    <t>Net Interest Expense</t>
  </si>
  <si>
    <t>1H</t>
  </si>
  <si>
    <t>2H</t>
  </si>
  <si>
    <t>FY</t>
  </si>
  <si>
    <t>GMG Group</t>
  </si>
  <si>
    <t>$mn</t>
  </si>
  <si>
    <t>Income Statement</t>
  </si>
  <si>
    <t>Operating EBITDA (look-through)</t>
  </si>
  <si>
    <t>Investment (look-through)</t>
  </si>
  <si>
    <t>Invest</t>
  </si>
  <si>
    <t>Direct</t>
  </si>
  <si>
    <t>Look-through interest &amp; tax adjustment</t>
  </si>
  <si>
    <t>Corporate overheads (unallocated operating expenses)</t>
  </si>
  <si>
    <t>Operating EBITDA margin</t>
  </si>
  <si>
    <t>Growth</t>
  </si>
  <si>
    <t>D&amp;A</t>
  </si>
  <si>
    <t>Operating EBIT (look-through)</t>
  </si>
  <si>
    <t>LOOK-THROUGH INTEREST &amp; TAX ADJUSTMENT</t>
  </si>
  <si>
    <t xml:space="preserve">Operating EBIT </t>
  </si>
  <si>
    <t>INTEREST COSTS</t>
  </si>
  <si>
    <t>Interest and Other Income</t>
  </si>
  <si>
    <t>Interest Expense</t>
  </si>
  <si>
    <t>TAX BENEFIT / (EXPENSE)</t>
  </si>
  <si>
    <t>Tax rate</t>
  </si>
  <si>
    <t xml:space="preserve">   </t>
  </si>
  <si>
    <t>Operating Profit (pre minorities)</t>
  </si>
  <si>
    <t>MINORITIES</t>
  </si>
  <si>
    <t>Operating Profit (post minorities)</t>
  </si>
  <si>
    <t>Operating EPS (cents)</t>
  </si>
  <si>
    <t>Growth on pcp</t>
  </si>
  <si>
    <t>NON-OPERATING ITEMS</t>
  </si>
  <si>
    <t>Property valuations b/s</t>
  </si>
  <si>
    <t>Property valuations funds</t>
  </si>
  <si>
    <t>Derivative and fx mark to market</t>
  </si>
  <si>
    <t>Other non-cash or non-recurring items</t>
  </si>
  <si>
    <t>Reported Net profit</t>
  </si>
  <si>
    <t>Adjusted for:</t>
  </si>
  <si>
    <t>Underlying Net Profit</t>
  </si>
  <si>
    <t>Amortisation of Incentives</t>
  </si>
  <si>
    <t>FFO</t>
  </si>
  <si>
    <t>AFFO Adjustments</t>
  </si>
  <si>
    <t>Maintenance capex</t>
  </si>
  <si>
    <t>MC as % of investment properties</t>
  </si>
  <si>
    <t>Cash Incentives</t>
  </si>
  <si>
    <t>Incentives as % of investment properties</t>
  </si>
  <si>
    <t>PCA AFFO</t>
  </si>
  <si>
    <t>Capitalised interest</t>
  </si>
  <si>
    <t>MS Cashflow estimate</t>
  </si>
  <si>
    <t>Reported EPU (¢)</t>
  </si>
  <si>
    <t>Normalized EPU</t>
  </si>
  <si>
    <t>Distributions</t>
  </si>
  <si>
    <t>Payout Ratio (% of EPU)</t>
  </si>
  <si>
    <t>Total Distribution</t>
  </si>
  <si>
    <t>DPU (cents)</t>
  </si>
  <si>
    <t>Retained</t>
  </si>
  <si>
    <t>AFFO (cents)</t>
  </si>
  <si>
    <t>Balance Sheet</t>
  </si>
  <si>
    <t>Current Assets</t>
  </si>
  <si>
    <t>Receivables</t>
  </si>
  <si>
    <t>Inventories</t>
  </si>
  <si>
    <t>Other</t>
  </si>
  <si>
    <t>Total Current Assets</t>
  </si>
  <si>
    <t>Non Current Assets</t>
  </si>
  <si>
    <t>Invesment Properties</t>
  </si>
  <si>
    <t>Land &amp; Inventories</t>
  </si>
  <si>
    <t>Construction in Progress</t>
  </si>
  <si>
    <t>Equity accounted investments</t>
  </si>
  <si>
    <t>Intangibles</t>
  </si>
  <si>
    <t>Total Non Current Assets</t>
  </si>
  <si>
    <t>Current Liabilities</t>
  </si>
  <si>
    <t>Trade and Payables</t>
  </si>
  <si>
    <t>Current tax payables</t>
  </si>
  <si>
    <t>Provisions</t>
  </si>
  <si>
    <t>Interest-bearing liabilities</t>
  </si>
  <si>
    <t>Other liabilities</t>
  </si>
  <si>
    <t>Total Current Liabilities</t>
  </si>
  <si>
    <t>Non-current Liabilities</t>
  </si>
  <si>
    <t>Total Non-Current Liabilities</t>
  </si>
  <si>
    <t>Total Liabilities</t>
  </si>
  <si>
    <t>Equity</t>
  </si>
  <si>
    <t>Contributed Equity</t>
  </si>
  <si>
    <t>Reserves</t>
  </si>
  <si>
    <t>Retained profits</t>
  </si>
  <si>
    <t>Total equity</t>
  </si>
  <si>
    <t xml:space="preserve">Check </t>
  </si>
  <si>
    <t>Retained Earnings</t>
  </si>
  <si>
    <t>Opening balance at the beginning of the period</t>
  </si>
  <si>
    <t>Net profit for period</t>
  </si>
  <si>
    <t>Transfer from reserves</t>
  </si>
  <si>
    <t>Distributions paid/provided for</t>
  </si>
  <si>
    <t>Closing balance at the end of period</t>
  </si>
  <si>
    <t>Cash Flow Statement</t>
  </si>
  <si>
    <t>Cash Flow from Operating Activities</t>
  </si>
  <si>
    <t>Interest Income Received</t>
  </si>
  <si>
    <t>Borrowing costs paid</t>
  </si>
  <si>
    <t>Taxes</t>
  </si>
  <si>
    <t>Maintenance Capex</t>
  </si>
  <si>
    <t>Incentives Amortised</t>
  </si>
  <si>
    <t>Incentives Paid</t>
  </si>
  <si>
    <t>Other operating activities</t>
  </si>
  <si>
    <t>Net Cash Flow from Operating Activities</t>
  </si>
  <si>
    <t>Cash Flow from Investing Activities</t>
  </si>
  <si>
    <t>Acquisitions of direct assets</t>
  </si>
  <si>
    <t>Disposals of investment properties + land</t>
  </si>
  <si>
    <t>Development CapEx</t>
  </si>
  <si>
    <t>Equity contribution to funds</t>
  </si>
  <si>
    <t>Other investing activities</t>
  </si>
  <si>
    <t>Net Cash Flow from Investing Activities</t>
  </si>
  <si>
    <t>Cash flow from financing activities</t>
  </si>
  <si>
    <t>Proceeds from equity issuance</t>
  </si>
  <si>
    <t>Net proceeds from borrowings</t>
  </si>
  <si>
    <t>Distributions paid</t>
  </si>
  <si>
    <t>Other financing activities</t>
  </si>
  <si>
    <t>Net Cash Flow from Financing Activities</t>
  </si>
  <si>
    <t>Effect of Fx changes</t>
  </si>
  <si>
    <t xml:space="preserve">Net Increase/(decrease) in cash </t>
  </si>
  <si>
    <t>Beginning period cash</t>
  </si>
  <si>
    <t>Ending Period Cash</t>
  </si>
  <si>
    <t>Analysis</t>
  </si>
  <si>
    <t>Adj to gearng</t>
  </si>
  <si>
    <t>Gearing  (net debt/equity)</t>
  </si>
  <si>
    <t>Gearing (net debt/assets)</t>
  </si>
  <si>
    <t>Covenants</t>
  </si>
  <si>
    <t>Loan to value ratio (&lt;45%)</t>
  </si>
  <si>
    <t>Interest Cover Ratio (&gt;2.0x)</t>
  </si>
  <si>
    <t>Share Count</t>
  </si>
  <si>
    <t xml:space="preserve">     </t>
  </si>
  <si>
    <t># of shares used in EPS Calculation</t>
  </si>
  <si>
    <t># shares at the beginning of the period</t>
  </si>
  <si>
    <t>Weighted avg shares from equity issuance</t>
  </si>
  <si>
    <t>Weighted # of shares at the end of the period</t>
  </si>
  <si>
    <t># of shares used in DPS calculation</t>
  </si>
  <si>
    <t>Shares from equity issuance</t>
  </si>
  <si>
    <t>Actual # of shares at the end of the period</t>
  </si>
  <si>
    <t># of shares outstanding</t>
  </si>
  <si>
    <t>Weighted average stock options</t>
  </si>
  <si>
    <t>Weighted Average Fully Diluted Stock</t>
  </si>
  <si>
    <t>weighted average securities / profit and loss slide</t>
  </si>
  <si>
    <t>Equity Raisings</t>
  </si>
  <si>
    <t>EPS calculation</t>
  </si>
  <si>
    <t>DRP</t>
  </si>
  <si>
    <t>Participation Rate</t>
  </si>
  <si>
    <t># shares</t>
  </si>
  <si>
    <t>Price per share</t>
  </si>
  <si>
    <t>Record date</t>
  </si>
  <si>
    <t>Weighted avg # shares per - half period</t>
  </si>
  <si>
    <t>Weighted avg # shares per annum</t>
  </si>
  <si>
    <t>Performance Fee</t>
  </si>
  <si>
    <t>Record Date</t>
  </si>
  <si>
    <t>Weighted avg # shares</t>
  </si>
  <si>
    <t>Placement 1</t>
  </si>
  <si>
    <t>PPP</t>
  </si>
  <si>
    <t>DPS calculation</t>
  </si>
  <si>
    <t>For MW</t>
  </si>
  <si>
    <t>Weighted average Basic shares</t>
  </si>
  <si>
    <t>Weighted average Diluted shares</t>
  </si>
  <si>
    <t>Period end basic shares</t>
  </si>
  <si>
    <t>Current Basic shares</t>
  </si>
  <si>
    <t>Current Diluted shares</t>
  </si>
  <si>
    <t>Share count for FFO/AFFO</t>
  </si>
  <si>
    <t>Statutory Tax rate</t>
  </si>
  <si>
    <t>Unrecorded Goodwill</t>
  </si>
  <si>
    <t>ND</t>
  </si>
  <si>
    <t>Depreciation CFS</t>
  </si>
  <si>
    <t>Changes in Shareholders'Equity</t>
  </si>
  <si>
    <t xml:space="preserve">Opening Shareholders' equity </t>
  </si>
  <si>
    <t>Net Income</t>
  </si>
  <si>
    <t>Dividend paid</t>
  </si>
  <si>
    <t>Change in Share Capital</t>
  </si>
  <si>
    <t>Other changes in AOCI</t>
  </si>
  <si>
    <t xml:space="preserve">Closing Shareholders' equity </t>
  </si>
  <si>
    <t>Check</t>
  </si>
  <si>
    <t>Dividend per share for Boomerang</t>
  </si>
  <si>
    <t>Key Earnings drivers</t>
  </si>
  <si>
    <t>Ending WIP (A$m)</t>
  </si>
  <si>
    <t>External AUM (A$m)</t>
  </si>
  <si>
    <t>All-in Management Fee (%)</t>
  </si>
  <si>
    <t>FY15E</t>
  </si>
  <si>
    <t>FY16E</t>
  </si>
  <si>
    <t>Total</t>
  </si>
  <si>
    <t>FY24</t>
  </si>
  <si>
    <t>FY25</t>
  </si>
  <si>
    <t>FY26</t>
  </si>
  <si>
    <t>FY27</t>
  </si>
  <si>
    <t>FY28</t>
  </si>
  <si>
    <t>FY29</t>
  </si>
  <si>
    <t>FY30</t>
  </si>
  <si>
    <t>1H18</t>
  </si>
  <si>
    <t>2H18</t>
  </si>
  <si>
    <t>1H19</t>
  </si>
  <si>
    <t>2H19</t>
  </si>
  <si>
    <t>1H20</t>
  </si>
  <si>
    <t>2H20</t>
  </si>
  <si>
    <t>DEBT CALCULATIONS</t>
  </si>
  <si>
    <t>2H11</t>
  </si>
  <si>
    <t>1H12</t>
  </si>
  <si>
    <t>2H12</t>
  </si>
  <si>
    <t>1H21</t>
  </si>
  <si>
    <t>2H21</t>
  </si>
  <si>
    <t>1H22</t>
  </si>
  <si>
    <t>2H22</t>
  </si>
  <si>
    <t>1H23</t>
  </si>
  <si>
    <t>2H23</t>
  </si>
  <si>
    <t>1H24</t>
  </si>
  <si>
    <t>2H24</t>
  </si>
  <si>
    <t>Debt Facility Assumptions</t>
  </si>
  <si>
    <t>Opening Balance</t>
  </si>
  <si>
    <t>Development Capex</t>
  </si>
  <si>
    <t>Change in equity requirement for funds</t>
  </si>
  <si>
    <t>Total Drawdown</t>
  </si>
  <si>
    <t>Divestment of direct assets</t>
  </si>
  <si>
    <t>Equity Issuance</t>
  </si>
  <si>
    <t>Cash Funded Capex and Incentives</t>
  </si>
  <si>
    <t>Debt repayment</t>
  </si>
  <si>
    <t>Total Repayments</t>
  </si>
  <si>
    <t>Total Debt @ Period End</t>
  </si>
  <si>
    <t>Interest Calculation Schedule</t>
  </si>
  <si>
    <t>Hedged Debt</t>
  </si>
  <si>
    <t>Total Hedged Debt</t>
  </si>
  <si>
    <t>Average Base Rate</t>
  </si>
  <si>
    <t>Assumed Margin / Fees</t>
  </si>
  <si>
    <t>Total all-in Fixed Debt Rate</t>
  </si>
  <si>
    <t>Total Fixed Interest</t>
  </si>
  <si>
    <t>Floating Debt</t>
  </si>
  <si>
    <t>Total Floating Debt</t>
  </si>
  <si>
    <t>Assumed Margin</t>
  </si>
  <si>
    <t>Total all-in Floating Debt Rate</t>
  </si>
  <si>
    <t>Total Floating Interest</t>
  </si>
  <si>
    <t>Drawn Down in the Period</t>
  </si>
  <si>
    <t>Total Debt Drawn Down</t>
  </si>
  <si>
    <t>Total Interest on Drawn Down (50% = Spend evenly through period)</t>
  </si>
  <si>
    <t>Line Fees</t>
  </si>
  <si>
    <t>Assumed Undrawn Capacity</t>
  </si>
  <si>
    <t>Assumed Line Fees</t>
  </si>
  <si>
    <t>Net Cash Line Fees</t>
  </si>
  <si>
    <t>TOTAL CASH INTEREST COST</t>
  </si>
  <si>
    <t>Average all in borrowing cost</t>
  </si>
  <si>
    <t>Weighted avg IR on hedged debt</t>
  </si>
  <si>
    <t>Check if total debt accounted for</t>
  </si>
  <si>
    <t>Capitalised Interest Calculation</t>
  </si>
  <si>
    <t>Land&amp;WIP</t>
  </si>
  <si>
    <t>Assumed Rate</t>
  </si>
  <si>
    <t>Interest Capitalised</t>
  </si>
  <si>
    <t>Amortisation of Debt Establishment Fees</t>
  </si>
  <si>
    <t>TOTAL INTEREST EXPENSE</t>
  </si>
  <si>
    <t>Interest Revenue Calculation</t>
  </si>
  <si>
    <t>Cash Balance</t>
  </si>
  <si>
    <t>Interest rate on cash at bank</t>
  </si>
  <si>
    <t>TOTAL INTEREST REVENUE</t>
  </si>
  <si>
    <t>NET INTEREST EXPENSE</t>
  </si>
  <si>
    <t>1H10A</t>
  </si>
  <si>
    <t>2H10A</t>
  </si>
  <si>
    <t>FY10A</t>
  </si>
  <si>
    <t>FY11A</t>
  </si>
  <si>
    <t>FY12A</t>
  </si>
  <si>
    <t>FY13A</t>
  </si>
  <si>
    <t>2H14E</t>
  </si>
  <si>
    <t>FY14E</t>
  </si>
  <si>
    <t>1H15E</t>
  </si>
  <si>
    <t>2H15E</t>
  </si>
  <si>
    <t>1H16E</t>
  </si>
  <si>
    <t>2H16E</t>
  </si>
  <si>
    <t>1H17E</t>
  </si>
  <si>
    <t>MANAGEMENT FEES</t>
  </si>
  <si>
    <t>EXTERNAL ASSETS UNDER MANAGEMENT</t>
  </si>
  <si>
    <t>Highlights slide</t>
  </si>
  <si>
    <t>Total AUM</t>
  </si>
  <si>
    <t>External FUM</t>
  </si>
  <si>
    <t>Management Revenue</t>
  </si>
  <si>
    <t>Mgmt Fees Implied</t>
  </si>
  <si>
    <t>MANAGEMENT FEE INCOME</t>
  </si>
  <si>
    <t>Management Expenses</t>
  </si>
  <si>
    <t>Management EBITDA Margin</t>
  </si>
  <si>
    <t>Management EBITDA</t>
  </si>
  <si>
    <t>DEVELOPMENT FEES</t>
  </si>
  <si>
    <t>DEVELOPMENT WIP</t>
  </si>
  <si>
    <t>Starting WIP</t>
  </si>
  <si>
    <t>New Commencements</t>
  </si>
  <si>
    <t>Growth in Commitments</t>
  </si>
  <si>
    <t>Growth in Completions</t>
  </si>
  <si>
    <t>End WIP</t>
  </si>
  <si>
    <t>Mathamathical (diff is currency)</t>
  </si>
  <si>
    <t>DEVELOPMENT FEE INCOME</t>
  </si>
  <si>
    <t>Development Revenue</t>
  </si>
  <si>
    <t>Development Expenses</t>
  </si>
  <si>
    <t>Development EBITDA Margin</t>
  </si>
  <si>
    <t>Average Margin</t>
  </si>
  <si>
    <t>DEVELOPMENT CAPEX (GMG balance sheet)</t>
  </si>
  <si>
    <t>Average Commitment</t>
  </si>
  <si>
    <t>Total CapEx</t>
  </si>
  <si>
    <t>Deduction of Land, margin and presold projects</t>
  </si>
  <si>
    <t>Ownership Interest</t>
  </si>
  <si>
    <t xml:space="preserve">Development CapEX (on balance sheet) </t>
  </si>
  <si>
    <t>DEVELOPMENT WIP - % SPLIT BY GEOGRAPHY</t>
  </si>
  <si>
    <t xml:space="preserve">Australia </t>
  </si>
  <si>
    <t>China/HK</t>
  </si>
  <si>
    <t>Brazil</t>
  </si>
  <si>
    <t>North America</t>
  </si>
  <si>
    <t>DEVELOPMENT WIP - $ SPLIT BY GEOGRAPHY</t>
  </si>
  <si>
    <t>HY16</t>
  </si>
  <si>
    <t>HY17</t>
  </si>
  <si>
    <t>HY18</t>
  </si>
  <si>
    <t>HY19</t>
  </si>
  <si>
    <t>HY20e</t>
  </si>
  <si>
    <t>2H20e</t>
  </si>
  <si>
    <t>HY21e</t>
  </si>
  <si>
    <t>2H21e</t>
  </si>
  <si>
    <t>HY22e</t>
  </si>
  <si>
    <t>2H22e</t>
  </si>
  <si>
    <t>External AUM $bn (LHS)</t>
  </si>
  <si>
    <t>Mgmt fee $m (RHS)</t>
  </si>
  <si>
    <t>Goodman Group</t>
  </si>
  <si>
    <t>AUD</t>
  </si>
  <si>
    <t>GMG.AX</t>
  </si>
  <si>
    <t>1H25</t>
  </si>
  <si>
    <t>2H25</t>
  </si>
  <si>
    <t>FY31</t>
  </si>
  <si>
    <t>2-3% growth in expenses</t>
  </si>
  <si>
    <t>Int cost 30m higher for FX</t>
  </si>
  <si>
    <t>FY21A</t>
  </si>
  <si>
    <t>1H26</t>
  </si>
  <si>
    <t>2H26</t>
  </si>
  <si>
    <t>FY23A</t>
  </si>
  <si>
    <t>1H27</t>
  </si>
  <si>
    <t>2H27</t>
  </si>
  <si>
    <t>1H28</t>
  </si>
  <si>
    <t>2H28</t>
  </si>
  <si>
    <t>1H29</t>
  </si>
  <si>
    <t>2H29</t>
  </si>
  <si>
    <t>1H30</t>
  </si>
  <si>
    <t>2H30</t>
  </si>
  <si>
    <t>Analyst Certification</t>
  </si>
  <si>
    <t>.</t>
  </si>
  <si>
    <t>Important Regulatory Disclosures on Subject Companies</t>
  </si>
  <si>
    <t>1H31</t>
  </si>
  <si>
    <t>2H31</t>
  </si>
  <si>
    <t xml:space="preserve">1 Austin Road West </t>
  </si>
  <si>
    <t xml:space="preserve">Kowloon </t>
  </si>
  <si>
    <t xml:space="preserve">Hong Kong </t>
  </si>
  <si>
    <t>Tel: +852 2848 5200</t>
  </si>
  <si>
    <t>Authors: Simon Chan,Lauren Berry</t>
  </si>
  <si>
    <t>Date: 20 Feb 2026</t>
  </si>
  <si>
    <t>Ticker: GMG.AX</t>
  </si>
  <si>
    <t>Stock Rating: Overweight</t>
  </si>
  <si>
    <t>Industry: Australia Property</t>
  </si>
  <si>
    <t>Industry View: In-Line</t>
  </si>
  <si>
    <t>Price as of 20 Feb 2026: 29.82</t>
  </si>
  <si>
    <t>Target Price: 41.50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</si>
  <si>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</si>
  <si>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</si>
  <si>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</si>
  <si>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</si>
  <si>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</si>
  <si>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</si>
  <si>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</si>
  <si>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The information and opinions in Morgan Stanley Research were prepared or are disseminated by Morgan</t>
  </si>
  <si>
    <t>Stanley Asia Limited (which accepts the responsibility for its contents) and/or Morgan Stanley Asia</t>
  </si>
  <si>
    <t>(Singapore) Pte. (Registration number 199206298Z) and/or Morgan Stanley Asia (Singapore) Securities Pte</t>
  </si>
  <si>
    <t>Ltd (Registration number 200008434H), regulated by the Monetary Authority of Singapore (which accepts</t>
  </si>
  <si>
    <t>legal responsibility for its contents and should be contacted with respect to any matters arising from,</t>
  </si>
  <si>
    <t>or in connection with, Morgan Stanley Research), and/or Morgan Stanley Taiwan Limited and/or Morgan</t>
  </si>
  <si>
    <t>Stanley &amp; Co International plc, Seoul Branch, and/or Morgan Stanley Australia Limited (A.B.N. 67 003 734</t>
  </si>
  <si>
    <t>576, holder of Australian financial services license No. 233742, which accepts responsibility for its</t>
  </si>
  <si>
    <t>contents), and/or Morgan Stanley Wealth Management Australia Pty Ltd (A.B.N. 19 009 145 555, holder of</t>
  </si>
  <si>
    <t>Australian financial services license No. 240813, which accepts responsibility for its contents), and/or</t>
  </si>
  <si>
    <t>Morgan Stanley India Company Private Limited having Corporate Identification No (CIN)</t>
  </si>
  <si>
    <t>U22990MH1998PTC115305, regulated by the Securities and Exchange Board of India (“SEBI”) and holder of</t>
  </si>
  <si>
    <t>licenses as a Research Analyst (SEBI Registration No. INH000001105); Stock Broker (SEBI Stock Broker</t>
  </si>
  <si>
    <t>Registration No. INZ000244438), Merchant Banker (SEBI Registration No. INM000011203), and depository</t>
  </si>
  <si>
    <t>participant with National Securities Depository Limited (SEBI Registration No. IN-DP-NSDL-567-2021)</t>
  </si>
  <si>
    <t>having registered office at Altimus, Level 39 &amp; 40, Pandurang Budhkar Marg, Worli, Mumbai 400018, India;</t>
  </si>
  <si>
    <t>Telephone no. +91-22-61181000; Compliance Officer Details: Mr. Tejarshi Hardas, Tel. No.:</t>
  </si>
  <si>
    <t>+91-22-61181000 or Email: tejarshi.hardas@morganstanley.com; Grievance officer details: Mr. Tejarshi</t>
  </si>
  <si>
    <t>Hardas, Tel. No.: +91-22-61181000 or Email: msic-compliance@morganstanley.com which accepts the</t>
  </si>
  <si>
    <t>responsibility for its contents and should be contacted with respect to any matters arising from, or in</t>
  </si>
  <si>
    <t>connection with, Morgan Stanley Research, and their affiliates (collectively, "Morgan Stanley"). Morgan</t>
  </si>
  <si>
    <t>Stanley India Company Private Limited (MSICPL) may use AI tools in providing research services. All</t>
  </si>
  <si>
    <t>recommendations contained herein are made by the duly qualified research analysts.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</si>
  <si>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</si>
  <si>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</si>
  <si>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www.morganstanley.com/eqr/disclosures/webapp/generalresearch, or contact your investment representative</t>
  </si>
  <si>
    <t>or Morgan Stanley Research at 1585 Broadway, (Attention: Research Management), New York, NY, 10036 USA.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</si>
  <si>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</si>
  <si>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</si>
  <si>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</si>
  <si>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</si>
  <si>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</si>
  <si>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</si>
  <si>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</si>
  <si>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</si>
  <si>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</si>
  <si>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Simon Chan.</t>
  </si>
  <si>
    <t>Global Research Conflict Management Policy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</si>
  <si>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</si>
  <si>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</si>
  <si>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</si>
  <si>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Within the last 12 months, Morgan Stanley managed or co-managed a public offering (or 144A offering) of</t>
  </si>
  <si>
    <t>securities of Goodman Group.</t>
  </si>
  <si>
    <t>Within the last 12 months, Morgan Stanley has received compensation for investment banking services from</t>
  </si>
  <si>
    <t>Goodman Group.</t>
  </si>
  <si>
    <t>In the next 3 months, Morgan Stanley expects to receive or intends to seek compensation for investment</t>
  </si>
  <si>
    <t>banking services from Goodman Group.</t>
  </si>
  <si>
    <t>Within the last 12 months, Morgan Stanley has received compensation for products and services other than</t>
  </si>
  <si>
    <t>investment banking services from Goodman Group.</t>
  </si>
  <si>
    <t>Within the last 12 months, Morgan Stanley has provided or is providing investment banking services to,</t>
  </si>
  <si>
    <t>or has an investment banking client relationship with, the following company: Goodman Group.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</si>
  <si>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</si>
  <si>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</si>
  <si>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Goodman Group.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</si>
  <si>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</si>
  <si>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</si>
  <si>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</si>
  <si>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</si>
  <si>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</si>
  <si>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particular trading desks.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</si>
  <si>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</si>
  <si>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</si>
  <si>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</si>
  <si>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</si>
  <si>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</si>
  <si>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</si>
  <si>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</si>
  <si>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Certain disclosures listed above are also for compliance with applicable regulations in non-US</t>
  </si>
  <si>
    <t>jurisdictions.</t>
  </si>
  <si>
    <t>STOCK RATINGS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</si>
  <si>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</si>
  <si>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</si>
  <si>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</si>
  <si>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</si>
  <si>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</si>
  <si>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</si>
  <si>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</t>
  </si>
  <si>
    <t>upon as investment advice. An investor's decision to buy or sell a stock should depend on individual</t>
  </si>
  <si>
    <t>circumstances (such as the investor's existing holdings) and other considerations.</t>
  </si>
  <si>
    <t>Global Stock Ratings Distribution</t>
  </si>
  <si>
    <t>(as of January 31, 2026)</t>
  </si>
  <si>
    <t>The Stock Ratings described below apply to Morgan Stanley's Fundamental Equity Research and do not apply</t>
  </si>
  <si>
    <t>to Debt Research produced by the Firm.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</si>
  <si>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</si>
  <si>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</si>
  <si>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</si>
  <si>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</si>
  <si>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</si>
  <si>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</si>
  <si>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</si>
  <si>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Coverage Universe</t>
  </si>
  <si>
    <t>Investment Banking Clients (IBC)</t>
  </si>
  <si>
    <t>Other Material Investment Services Clients (MISC)</t>
  </si>
  <si>
    <t>Stock Rating Category</t>
  </si>
  <si>
    <t>Count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</si>
  <si>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</si>
  <si>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</si>
  <si>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</si>
  <si>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</si>
  <si>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</si>
  <si>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</si>
  <si>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</si>
  <si>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</si>
  <si>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</si>
  <si>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</si>
  <si>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</si>
  <si>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</si>
  <si>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Analyst Stock Ratings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</si>
  <si>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</si>
  <si>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</si>
  <si>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</si>
  <si>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</si>
  <si>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</si>
  <si>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</si>
  <si>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</si>
  <si>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</si>
  <si>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</si>
  <si>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</si>
  <si>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</si>
  <si>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</si>
  <si>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</si>
  <si>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Analyst Industry Views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</si>
  <si>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</si>
  <si>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</si>
  <si>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</si>
  <si>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</si>
  <si>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</si>
  <si>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</si>
  <si>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</si>
  <si>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</si>
  <si>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</si>
  <si>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Stock Price, Price Target and Rating History (See Rating Definitions)</t>
  </si>
  <si>
    <t>Important Disclosures for Morgan Stanley Smith Barney LLC Customers</t>
  </si>
  <si>
    <t>Important disclosures regarding any material conflict of interest that can reasonably be expected to</t>
  </si>
  <si>
    <t>have influenced Morgan Stanley Smith Barney LLC's choice of a third-party research provider or the</t>
  </si>
  <si>
    <t>subject company of a third-party research report, are available on the Morgan Stanley Wealth Management</t>
  </si>
  <si>
    <t>disclosure website at www.morganstanley.com/online/researchdisclosures. For Morgan Stanley specific</t>
  </si>
  <si>
    <t>disclosures, you may refer to https://www.morganstanley.com/eqr/disclosures/webapp/generalresearch.</t>
  </si>
  <si>
    <t>Each Morgan Stanley research report is reviewed and approved on behalf of Morgan Stanley Smith Barney</t>
  </si>
  <si>
    <t>LLC. This review and approval is conducted by the same person who reviews the research report on behalf</t>
  </si>
  <si>
    <t>of Morgan Stanley. This could create a conflict of interest.</t>
  </si>
  <si>
    <t>Other Important Disclosures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</si>
  <si>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</si>
  <si>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</si>
  <si>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</si>
  <si>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</si>
  <si>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</si>
  <si>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</si>
  <si>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</si>
  <si>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</si>
  <si>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</si>
  <si>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</si>
  <si>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</si>
  <si>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</si>
  <si>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</si>
  <si>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</si>
  <si>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</si>
  <si>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</si>
  <si>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</si>
  <si>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</si>
  <si>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</si>
  <si>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</si>
  <si>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</si>
  <si>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</si>
  <si>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</si>
  <si>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</si>
  <si>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</si>
  <si>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</si>
  <si>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</si>
  <si>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</si>
  <si>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</si>
  <si>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</si>
  <si>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 Please use the provided link to review the Terms and</t>
  </si>
  <si>
    <t>Conditions and Most Important Terms and Conditions for Morgan Stanley India Company Private Limited</t>
  </si>
  <si>
    <t>(https://www.morganstanley.com/assets/pdfs/about-us-global-offices/india/Terms_and_conditions.pdf) and</t>
  </si>
  <si>
    <t>the following link to review the audit report</t>
  </si>
  <si>
    <t>(https://www.morganstanley.com/assets/pdfs/about-us-global-offices/india/Research_Audit_Report.pdf).</t>
  </si>
  <si>
    <t>If you do not agree to our Terms of Use and/or if you do not wish to provide your consent to Morgan</t>
  </si>
  <si>
    <t>Stanley processing your personal data or using cookies please do not access our research.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</si>
  <si>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</si>
  <si>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</si>
  <si>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</si>
  <si>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</si>
  <si>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</si>
  <si>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</si>
  <si>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</si>
  <si>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</si>
  <si>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</si>
  <si>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</si>
  <si>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</si>
  <si>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</si>
  <si>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</si>
  <si>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</si>
  <si>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</si>
  <si>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</si>
  <si>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</si>
  <si>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</si>
  <si>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</si>
  <si>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</si>
  <si>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</si>
  <si>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</si>
  <si>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</si>
  <si>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</si>
  <si>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</si>
  <si>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</si>
  <si>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</si>
  <si>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</si>
  <si>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</si>
  <si>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</si>
  <si>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</si>
  <si>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</si>
  <si>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</si>
  <si>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</si>
  <si>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</si>
  <si>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</si>
  <si>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</si>
  <si>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</si>
  <si>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</si>
  <si>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</si>
  <si>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</si>
  <si>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may make investment decisions that are inconsistent with the recommendations or views in</t>
  </si>
  <si>
    <t>this report.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</si>
  <si>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</si>
  <si>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</si>
  <si>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</si>
  <si>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</si>
  <si>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</si>
  <si>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</si>
  <si>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</si>
  <si>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</si>
  <si>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</si>
  <si>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</si>
  <si>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</si>
  <si>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</si>
  <si>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</si>
  <si>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Certain information in Morgan Stanley Research was sourced by employees of the Shanghai Representative</t>
  </si>
  <si>
    <t>Office of Morgan Stanley Asia Limited for the use of Morgan Stanley Asia Limited.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</si>
  <si>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</si>
  <si>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</si>
  <si>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</si>
  <si>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</si>
  <si>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</si>
  <si>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</si>
  <si>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</si>
  <si>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</si>
  <si>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</si>
  <si>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</si>
  <si>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</si>
  <si>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</si>
  <si>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</si>
  <si>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</si>
  <si>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</si>
  <si>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</si>
  <si>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</si>
  <si>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</si>
  <si>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</si>
  <si>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</si>
  <si>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</si>
  <si>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</si>
  <si>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</si>
  <si>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</si>
  <si>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</si>
  <si>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</si>
  <si>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</si>
  <si>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</si>
  <si>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</si>
  <si>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</si>
  <si>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</si>
  <si>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Altimus, Level 39 &amp; 40, Pandurang Budhkar Marg, Worli, Mumbai 400018, India; Telephone no.</t>
  </si>
  <si>
    <t>+91-22-61181000; Compliance Officer Details: Mr. Tejarshi Hardas, Tel. No.: +91-22-61181000 or Email:</t>
  </si>
  <si>
    <t>tejarshi.hardas@morganstanley.com; Grievance officer details: Mr. Tejarshi Hardas, Tel. No.:</t>
  </si>
  <si>
    <t>+91-22-61181000 or Email: msic-compliance@morganstanley.com. Morgan Stanley India Company Private</t>
  </si>
  <si>
    <t>Limited (MSICPL) may use AI tools in providing research services. All recommendations contained herein</t>
  </si>
  <si>
    <t>are made by the duly qualified research analysts; in Canada by Morgan Stanley Canada Limited; in Germany</t>
  </si>
  <si>
    <t>and the 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</si>
  <si>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</si>
  <si>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</si>
  <si>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</si>
  <si>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</si>
  <si>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</si>
  <si>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</si>
  <si>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</si>
  <si>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</si>
  <si>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</si>
  <si>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</si>
  <si>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</si>
  <si>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</si>
  <si>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</si>
  <si>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</si>
  <si>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</si>
  <si>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</si>
  <si>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The information in Morgan Stanley Research is being communicated by Morgan Stanley &amp; Co. International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</si>
  <si>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</si>
  <si>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</si>
  <si>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</si>
  <si>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</si>
  <si>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</si>
  <si>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</si>
  <si>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</si>
  <si>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</si>
  <si>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</si>
  <si>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</si>
  <si>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</si>
  <si>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</si>
  <si>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</si>
  <si>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</si>
  <si>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</si>
  <si>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</si>
  <si>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</si>
  <si>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</si>
  <si>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</si>
  <si>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</si>
  <si>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</si>
  <si>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Morgan Stanley Research, or any portion thereof may not be reprinted, sold or redistributed without the</t>
  </si>
  <si>
    <t>written consent of Morgan Stanley.</t>
  </si>
  <si>
    <t>Indicators and trackers referenced in Morgan Stanley Research may not be used as, or treated as, a</t>
  </si>
  <si>
    <t>benchmark under Regulation EU 2016/1011, or any other similar framework.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</si>
  <si>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</si>
  <si>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</si>
  <si>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</si>
  <si>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</si>
  <si>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Morgan Stanley may hold, from time to time, material financial and commercial interests regarding the</t>
  </si>
  <si>
    <t>company subject to the Research report.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</si>
  <si>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</si>
  <si>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</si>
  <si>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</si>
  <si>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</si>
  <si>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© Copyright 2026 Morgan Stanley</t>
  </si>
  <si>
    <t>MacroVersion</t>
  </si>
  <si>
    <t>6.10</t>
  </si>
  <si>
    <t>PublishDate</t>
  </si>
  <si>
    <t>02/20/26 08:42</t>
  </si>
  <si>
    <t>Discipline</t>
  </si>
  <si>
    <t>Research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</si>
  <si>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</si>
  <si>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</si>
  <si>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</si>
  <si>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</si>
  <si>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</si>
  <si>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</si>
  <si>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</si>
  <si>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</si>
  <si>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</si>
  <si>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Overweight / In-Line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</si>
  <si>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</si>
  <si>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</si>
  <si>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</si>
  <si>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</si>
  <si>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</si>
  <si>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</si>
  <si>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</si>
  <si>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</si>
  <si>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Regular Update</t>
  </si>
  <si>
    <t>Authors</t>
  </si>
  <si>
    <t>MSA03VWW, MSA09VBC</t>
  </si>
  <si>
    <t>Tickers</t>
  </si>
  <si>
    <t>CUSIP</t>
  </si>
  <si>
    <t>RIC</t>
  </si>
  <si>
    <t>SEDOL</t>
  </si>
  <si>
    <t>B03FYZ4</t>
  </si>
  <si>
    <t>Current Stock Price</t>
  </si>
  <si>
    <t>29.82</t>
  </si>
  <si>
    <t>Currency</t>
  </si>
  <si>
    <t>PathName</t>
  </si>
  <si>
    <t>L:\USERS\Property\Simon and Lauren\GMG PREP Feb26 RESULT.xlsm</t>
  </si>
  <si>
    <t>Distribution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</si>
  <si>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</si>
  <si>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</si>
  <si>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</si>
  <si>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</si>
  <si>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</si>
  <si>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</si>
  <si>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</si>
  <si>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</si>
  <si>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</si>
  <si>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</si>
  <si>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</si>
  <si>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</si>
  <si>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</si>
  <si>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</si>
  <si>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AsiaPacific</t>
  </si>
  <si>
    <t>ObjectType</t>
  </si>
  <si>
    <t>excel</t>
  </si>
  <si>
    <t>LanguageCode</t>
  </si>
  <si>
    <t>en-US</t>
  </si>
  <si>
    <t>SubmitterUserId</t>
  </si>
  <si>
    <t>berrylau</t>
  </si>
  <si>
    <t>IndustryId</t>
  </si>
  <si>
    <t>1900000169</t>
  </si>
  <si>
    <t>TickerRegion</t>
  </si>
  <si>
    <t>5</t>
  </si>
  <si>
    <t>AdditionalInstructions</t>
  </si>
  <si>
    <t>*Estimated</t>
  </si>
  <si>
    <t>OwnerTeam</t>
  </si>
  <si>
    <t>I888888941</t>
  </si>
  <si>
    <t>[BRO MSA]</t>
  </si>
  <si>
    <t>[DOCDAT 2026-02-20]</t>
  </si>
  <si>
    <t>[DOCTIME 08:42]</t>
  </si>
  <si>
    <t>[PSYM GMG.AX(Reuters) (None)]</t>
  </si>
  <si>
    <t>[COU Australia]</t>
  </si>
  <si>
    <t>[PRODUCT MODEL]</t>
  </si>
  <si>
    <t>[ANA MSA09VBC]</t>
  </si>
  <si>
    <t>[HL GMG.AX Model]</t>
  </si>
  <si>
    <t>[IND Property]</t>
  </si>
  <si>
    <t>[EMAIL_ALERT YES]</t>
  </si>
  <si>
    <t>[PANA  MSA03VWW]</t>
  </si>
  <si>
    <t>[DISCIPLINE Company]</t>
  </si>
  <si>
    <t>[SUPPRESSED NO]</t>
  </si>
  <si>
    <t>This workbook contains formulas which intentionally use circular reference calculation. These calculations can be resolved as intended by the originating analyst by applying the following settings in the File &gt;&gt; Options &gt;&gt; Formulas:</t>
  </si>
  <si>
    <t>1) Select the Enable iterative calculation check box</t>
  </si>
  <si>
    <t>2) Set Maximum Iterations = 100</t>
  </si>
  <si>
    <t>3) Set Maximum Change = 0.001</t>
  </si>
  <si>
    <t>Failure to apply these settings can result in incorrect calculation or unexpected termination of your Microsoft Excel session.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</si>
</sst>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0.0%"/>
    <numFmt numFmtId="167" formatCode="#,##0.0"/>
    <numFmt numFmtId="168" formatCode="0.0"/>
    <numFmt numFmtId="169" formatCode="#,##0.00_%_);\(#,##0.00\)_%;#,##0.00_%_);@_%_)"/>
    <numFmt numFmtId="170" formatCode="_ * #,##0.00_ ;_ * \-#,##0.00_ ;_ * &quot;-&quot;??_ ;_ @_ "/>
    <numFmt numFmtId="171" formatCode="_-* #,##0.0_-;\-* #,##0.0_-;_-* &quot;-&quot;??_-;_-@_-"/>
    <numFmt numFmtId="172" formatCode="#,##0.0;[Red]\-#,##0.0;\-"/>
    <numFmt numFmtId="173" formatCode="0.000"/>
    <numFmt numFmtId="174" formatCode="0.0000"/>
    <numFmt numFmtId="175" formatCode="[$$]#,##0.0_);\([$$]#,##0.0\);[$$]#,##0.0_);@_)"/>
    <numFmt numFmtId="176" formatCode="#,##0.0_);\(#,##0.0\)"/>
    <numFmt numFmtId="177" formatCode="[$$-540A]#,##0.0_);\([$$-540A]#,##0.0\)"/>
    <numFmt numFmtId="178" formatCode="#,##0.0_);\(#,##0.0\);#,##0.0_);@_)"/>
    <numFmt numFmtId="179" formatCode="[$$-540A]#,##0.00_);\([$$-540A]#,##0.00\)"/>
    <numFmt numFmtId="180" formatCode="[$$-540A]#,##0.000_);\([$$-540A]#,##0.000\)"/>
    <numFmt numFmtId="181" formatCode="#,##0.00000000000000_);\(#,##0.00000000000000\)"/>
    <numFmt numFmtId="182" formatCode="#,##0.000000000000"/>
    <numFmt numFmtId="183" formatCode="#,##0.00_);\(#,##0.00\);#,##0.00_);@_)"/>
    <numFmt numFmtId="184" formatCode="#,##0.000_);\(#,##0.000\)"/>
    <numFmt numFmtId="185" formatCode="#,##0.00000_);\(#,##0.00000\);#,##0.00000_);@_)"/>
    <numFmt numFmtId="186" formatCode="_-* #,##0_-;\-* #,##0_-;_-* &quot;-&quot;??_-;_-@_-"/>
    <numFmt numFmtId="187" formatCode="0.0000%"/>
    <numFmt numFmtId="188" formatCode="0.000%"/>
    <numFmt numFmtId="189" formatCode="#,##0.0_);\(#,##0.0\);\-"/>
    <numFmt numFmtId="190" formatCode="0.0%_);\(0.0%\);0.0%_);@_)"/>
    <numFmt numFmtId="191" formatCode="#,##0_);\(#,##0\);\-"/>
    <numFmt numFmtId="192" formatCode="0.00000"/>
    <numFmt numFmtId="193" formatCode="d/mm/yy;@"/>
  </numFmts>
  <fonts count="63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color theme="1"/>
      <name val="Arial Narrow"/>
      <family val="2"/>
    </font>
    <font>
      <b/>
      <sz val="10"/>
      <color theme="1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Helv"/>
      <charset val="204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Connections"/>
      <family val="2"/>
    </font>
    <font>
      <sz val="8"/>
      <name val="Palatino"/>
      <family val="1"/>
    </font>
    <font>
      <sz val="8"/>
      <color theme="1"/>
      <name val="Arial"/>
      <family val="2"/>
    </font>
    <font>
      <u/>
      <sz val="10"/>
      <color theme="10"/>
      <name val="Arial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b/>
      <sz val="11"/>
      <color rgb="FFFFFFFF"/>
      <name val="Connections"/>
      <family val="2"/>
    </font>
    <font>
      <b/>
      <sz val="10"/>
      <color rgb="FFFFFFFF"/>
      <name val="Connections"/>
      <family val="2"/>
    </font>
    <font>
      <i/>
      <sz val="8"/>
      <name val="Times New Roman"/>
      <family val="1"/>
    </font>
    <font>
      <sz val="12"/>
      <name val="바탕체"/>
      <family val="3"/>
    </font>
    <font>
      <b/>
      <sz val="9"/>
      <color rgb="FF00377B"/>
      <name val="Arial Narrow"/>
      <family val="2"/>
    </font>
    <font>
      <b/>
      <sz val="10"/>
      <color indexed="8"/>
      <name val="Arial Narrow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b/>
      <sz val="10"/>
      <color indexed="17"/>
      <name val="Arial Narrow"/>
      <family val="2"/>
    </font>
    <font>
      <sz val="10"/>
      <color theme="0"/>
      <name val="Arial Narrow"/>
      <family val="2"/>
    </font>
    <font>
      <b/>
      <sz val="10"/>
      <color indexed="9"/>
      <name val="Arial Narrow"/>
      <family val="2"/>
    </font>
    <font>
      <i/>
      <sz val="10"/>
      <color indexed="8"/>
      <name val="Arial Narrow"/>
      <family val="2"/>
    </font>
    <font>
      <sz val="10"/>
      <color rgb="FF0000FF"/>
      <name val="Arial Narrow"/>
      <family val="2"/>
    </font>
    <font>
      <b/>
      <i/>
      <sz val="10"/>
      <color indexed="8"/>
      <name val="Arial Narrow"/>
      <family val="2"/>
    </font>
    <font>
      <sz val="10"/>
      <name val="Arial Narrow"/>
      <family val="2"/>
    </font>
    <font>
      <sz val="8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indexed="9"/>
      <name val="Arial Narrow"/>
      <family val="2"/>
    </font>
    <font>
      <i/>
      <sz val="10"/>
      <name val="Arial Narrow"/>
      <family val="2"/>
    </font>
    <font>
      <i/>
      <sz val="10"/>
      <color rgb="FF0000FF"/>
      <name val="Arial Narrow"/>
      <family val="2"/>
    </font>
    <font>
      <sz val="10"/>
      <color rgb="FFFF00FF"/>
      <name val="Arial Narrow"/>
      <family val="2"/>
    </font>
    <font>
      <i/>
      <sz val="10"/>
      <color rgb="FFFF00FF"/>
      <name val="Arial Narrow"/>
      <family val="2"/>
    </font>
    <font>
      <b/>
      <sz val="10"/>
      <color rgb="FF0000FF"/>
      <name val="Arial Narrow"/>
      <family val="2"/>
    </font>
    <font>
      <sz val="10"/>
      <color theme="1"/>
      <name val="Arial Narrow"/>
      <family val="2"/>
    </font>
    <font>
      <b/>
      <i/>
      <sz val="10"/>
      <color indexed="55"/>
      <name val="Arial Narrow"/>
      <family val="2"/>
    </font>
    <font>
      <sz val="10"/>
      <color indexed="10"/>
      <name val="Arial Narrow"/>
      <family val="2"/>
    </font>
    <font>
      <sz val="10"/>
      <color rgb="FFFF0000"/>
      <name val="Arial Narrow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b/>
      <sz val="8"/>
      <color indexed="8"/>
      <name val="Tahoma"/>
      <family val="2"/>
    </font>
    <font>
      <sz val="8"/>
      <color indexed="8"/>
      <name val="Tahoma"/>
      <family val="2"/>
    </font>
    <font>
      <sz val="11"/>
      <color theme="1"/>
      <name val="Arial"/>
      <family val="2"/>
    </font>
    <font>
      <sz val="10"/>
      <color rgb="FF0000FF"/>
      <name val="Arial"/>
      <family val="2"/>
    </font>
    <font>
      <i/>
      <sz val="10"/>
      <color theme="0" tint="-0.34998626667073579"/>
      <name val="Arial Narrow"/>
      <family val="2"/>
    </font>
    <font>
      <sz val="10"/>
      <color rgb="FFE61E20"/>
      <name val="Arial Narrow"/>
      <family val="2"/>
    </font>
    <font>
      <i/>
      <sz val="10"/>
      <color theme="1"/>
      <name val="Arial Narrow"/>
      <family val="2"/>
    </font>
    <font>
      <b/>
      <sz val="10"/>
      <color rgb="FFFF0000"/>
      <name val="Arial Narrow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12"/>
      <color rgb="FF000080"/>
      <name val="Arial"/>
      <family val="2"/>
    </font>
    <font>
      <sz val="14"/>
      <color rgb="FF000000"/>
      <name val="Arial"/>
      <family val="2"/>
    </font>
    <font>
      <b/>
      <u/>
      <sz val="14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DD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EFE8E1"/>
        <bgColor indexed="64"/>
      </patternFill>
    </fill>
    <fill>
      <patternFill patternType="solid">
        <fgColor rgb="FF6EBAE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16365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1F46C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65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/>
      <top style="medium">
        <color rgb="FF6081AB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5">
    <xf numFmtId="0" fontId="0" fillId="0" borderId="0"/>
    <xf numFmtId="9" fontId="2" fillId="0" borderId="0" applyFont="0" applyFill="0" applyBorder="0" applyAlignment="0" applyProtection="0"/>
    <xf numFmtId="0" fontId="2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9" fillId="0" borderId="0"/>
    <xf numFmtId="0" fontId="9" fillId="0" borderId="0"/>
    <xf numFmtId="0" fontId="10" fillId="0" borderId="0"/>
    <xf numFmtId="0" fontId="11" fillId="0" borderId="0">
      <protection locked="0"/>
    </xf>
    <xf numFmtId="0" fontId="12" fillId="2" borderId="2">
      <protection locked="0"/>
    </xf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9" fontId="13" fillId="0" borderId="0" applyFont="0" applyFill="0" applyBorder="0" applyAlignment="0" applyProtection="0">
      <alignment horizontal="right"/>
    </xf>
    <xf numFmtId="164" fontId="14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3" borderId="2"/>
    <xf numFmtId="0" fontId="12" fillId="4" borderId="2"/>
    <xf numFmtId="0" fontId="15" fillId="0" borderId="0" applyNumberFormat="0" applyFill="0" applyBorder="0" applyAlignment="0" applyProtection="0"/>
    <xf numFmtId="0" fontId="12" fillId="4" borderId="2"/>
    <xf numFmtId="17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4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/>
    <xf numFmtId="0" fontId="7" fillId="0" borderId="0"/>
    <xf numFmtId="0" fontId="11" fillId="0" borderId="0"/>
    <xf numFmtId="0" fontId="11" fillId="0" borderId="0"/>
    <xf numFmtId="0" fontId="16" fillId="0" borderId="0">
      <alignment vertical="center"/>
    </xf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2" fillId="5" borderId="2"/>
    <xf numFmtId="0" fontId="12" fillId="0" borderId="2">
      <protection locked="0"/>
    </xf>
    <xf numFmtId="0" fontId="7" fillId="6" borderId="0" applyNumberFormat="0" applyFont="0" applyBorder="0" applyAlignment="0" applyProtection="0"/>
    <xf numFmtId="0" fontId="7" fillId="6" borderId="0" applyNumberFormat="0" applyFont="0" applyBorder="0" applyAlignment="0" applyProtection="0"/>
    <xf numFmtId="0" fontId="17" fillId="0" borderId="0"/>
    <xf numFmtId="0" fontId="17" fillId="0" borderId="3">
      <alignment horizontal="centerContinuous"/>
    </xf>
    <xf numFmtId="0" fontId="18" fillId="7" borderId="2">
      <alignment wrapText="1"/>
    </xf>
    <xf numFmtId="0" fontId="19" fillId="7" borderId="2">
      <alignment wrapText="1"/>
    </xf>
    <xf numFmtId="0" fontId="20" fillId="0" borderId="3"/>
    <xf numFmtId="0" fontId="21" fillId="0" borderId="0"/>
  </cellStyleXfs>
  <cellXfs count="392">
    <xf numFmtId="0" fontId="0" fillId="0" borderId="0" xfId="0"/>
    <xf numFmtId="0" fontId="26" fillId="8" borderId="0" xfId="2" applyFont="1" applyFill="1"/>
    <xf numFmtId="0" fontId="26" fillId="0" borderId="0" xfId="2" applyFont="1"/>
    <xf numFmtId="0" fontId="27" fillId="0" borderId="0" xfId="2" applyFont="1"/>
    <xf numFmtId="0" fontId="28" fillId="0" borderId="0" xfId="2" applyFont="1" applyAlignment="1">
      <alignment horizontal="center"/>
    </xf>
    <xf numFmtId="0" fontId="26" fillId="0" borderId="0" xfId="2" applyFont="1" applyAlignment="1">
      <alignment horizontal="center"/>
    </xf>
    <xf numFmtId="0" fontId="26" fillId="0" borderId="0" xfId="2" applyFont="1" applyAlignment="1">
      <alignment vertical="top" wrapText="1"/>
    </xf>
    <xf numFmtId="172" fontId="29" fillId="0" borderId="0" xfId="2" applyNumberFormat="1" applyFont="1"/>
    <xf numFmtId="14" fontId="30" fillId="10" borderId="0" xfId="12" applyNumberFormat="1" applyFont="1" applyFill="1"/>
    <xf numFmtId="0" fontId="31" fillId="10" borderId="0" xfId="12" applyFont="1" applyFill="1"/>
    <xf numFmtId="0" fontId="26" fillId="0" borderId="8" xfId="2" applyFont="1" applyBorder="1"/>
    <xf numFmtId="166" fontId="34" fillId="8" borderId="0" xfId="72" applyNumberFormat="1" applyFont="1" applyFill="1" applyBorder="1"/>
    <xf numFmtId="0" fontId="26" fillId="8" borderId="9" xfId="2" applyFont="1" applyFill="1" applyBorder="1"/>
    <xf numFmtId="0" fontId="26" fillId="8" borderId="8" xfId="2" applyFont="1" applyFill="1" applyBorder="1"/>
    <xf numFmtId="0" fontId="34" fillId="8" borderId="8" xfId="2" applyFont="1" applyFill="1" applyBorder="1"/>
    <xf numFmtId="0" fontId="34" fillId="8" borderId="0" xfId="2" applyFont="1" applyFill="1"/>
    <xf numFmtId="0" fontId="32" fillId="8" borderId="8" xfId="2" applyFont="1" applyFill="1" applyBorder="1"/>
    <xf numFmtId="0" fontId="32" fillId="8" borderId="0" xfId="2" applyFont="1" applyFill="1"/>
    <xf numFmtId="166" fontId="32" fillId="8" borderId="0" xfId="72" applyNumberFormat="1" applyFont="1" applyFill="1" applyBorder="1"/>
    <xf numFmtId="2" fontId="26" fillId="8" borderId="0" xfId="2" applyNumberFormat="1" applyFont="1" applyFill="1"/>
    <xf numFmtId="9" fontId="26" fillId="8" borderId="0" xfId="72" applyFont="1" applyFill="1" applyBorder="1"/>
    <xf numFmtId="167" fontId="26" fillId="8" borderId="0" xfId="2" applyNumberFormat="1" applyFont="1" applyFill="1"/>
    <xf numFmtId="0" fontId="26" fillId="8" borderId="11" xfId="2" applyFont="1" applyFill="1" applyBorder="1"/>
    <xf numFmtId="168" fontId="26" fillId="8" borderId="0" xfId="2" applyNumberFormat="1" applyFont="1" applyFill="1"/>
    <xf numFmtId="166" fontId="26" fillId="8" borderId="0" xfId="1" applyNumberFormat="1" applyFont="1" applyFill="1"/>
    <xf numFmtId="14" fontId="26" fillId="0" borderId="0" xfId="2" applyNumberFormat="1" applyFont="1"/>
    <xf numFmtId="0" fontId="26" fillId="0" borderId="6" xfId="2" applyFont="1" applyBorder="1"/>
    <xf numFmtId="0" fontId="26" fillId="0" borderId="1" xfId="2" applyFont="1" applyBorder="1"/>
    <xf numFmtId="0" fontId="27" fillId="11" borderId="0" xfId="2" applyFont="1" applyFill="1"/>
    <xf numFmtId="0" fontId="26" fillId="10" borderId="1" xfId="2" applyFont="1" applyFill="1" applyBorder="1"/>
    <xf numFmtId="14" fontId="36" fillId="10" borderId="1" xfId="2" applyNumberFormat="1" applyFont="1" applyFill="1" applyBorder="1"/>
    <xf numFmtId="14" fontId="36" fillId="10" borderId="1" xfId="2" applyNumberFormat="1" applyFont="1" applyFill="1" applyBorder="1" applyAlignment="1">
      <alignment horizontal="center"/>
    </xf>
    <xf numFmtId="14" fontId="30" fillId="10" borderId="1" xfId="2" applyNumberFormat="1" applyFont="1" applyFill="1" applyBorder="1"/>
    <xf numFmtId="14" fontId="37" fillId="10" borderId="7" xfId="2" applyNumberFormat="1" applyFont="1" applyFill="1" applyBorder="1"/>
    <xf numFmtId="0" fontId="26" fillId="10" borderId="0" xfId="2" applyFont="1" applyFill="1"/>
    <xf numFmtId="14" fontId="30" fillId="10" borderId="6" xfId="2" applyNumberFormat="1" applyFont="1" applyFill="1" applyBorder="1"/>
    <xf numFmtId="14" fontId="27" fillId="11" borderId="0" xfId="2" applyNumberFormat="1" applyFont="1" applyFill="1"/>
    <xf numFmtId="0" fontId="30" fillId="10" borderId="0" xfId="2" applyFont="1" applyFill="1"/>
    <xf numFmtId="0" fontId="30" fillId="10" borderId="0" xfId="2" applyFont="1" applyFill="1" applyAlignment="1">
      <alignment horizontal="center"/>
    </xf>
    <xf numFmtId="0" fontId="26" fillId="10" borderId="9" xfId="2" applyFont="1" applyFill="1" applyBorder="1"/>
    <xf numFmtId="0" fontId="30" fillId="10" borderId="8" xfId="2" applyFont="1" applyFill="1" applyBorder="1"/>
    <xf numFmtId="166" fontId="30" fillId="10" borderId="0" xfId="2" applyNumberFormat="1" applyFont="1" applyFill="1"/>
    <xf numFmtId="0" fontId="38" fillId="10" borderId="0" xfId="2" applyFont="1" applyFill="1"/>
    <xf numFmtId="0" fontId="38" fillId="10" borderId="0" xfId="2" applyFont="1" applyFill="1" applyAlignment="1">
      <alignment horizontal="center"/>
    </xf>
    <xf numFmtId="0" fontId="38" fillId="10" borderId="9" xfId="2" applyFont="1" applyFill="1" applyBorder="1"/>
    <xf numFmtId="0" fontId="38" fillId="8" borderId="0" xfId="2" applyFont="1" applyFill="1"/>
    <xf numFmtId="0" fontId="38" fillId="10" borderId="8" xfId="2" applyFont="1" applyFill="1" applyBorder="1" applyAlignment="1">
      <alignment horizontal="center"/>
    </xf>
    <xf numFmtId="0" fontId="38" fillId="0" borderId="0" xfId="2" applyFont="1"/>
    <xf numFmtId="0" fontId="23" fillId="8" borderId="0" xfId="2" applyFont="1" applyFill="1"/>
    <xf numFmtId="0" fontId="23" fillId="8" borderId="8" xfId="2" applyFont="1" applyFill="1" applyBorder="1"/>
    <xf numFmtId="175" fontId="23" fillId="8" borderId="0" xfId="2" applyNumberFormat="1" applyFont="1" applyFill="1"/>
    <xf numFmtId="2" fontId="23" fillId="8" borderId="0" xfId="2" applyNumberFormat="1" applyFont="1" applyFill="1"/>
    <xf numFmtId="2" fontId="23" fillId="8" borderId="9" xfId="2" applyNumberFormat="1" applyFont="1" applyFill="1" applyBorder="1"/>
    <xf numFmtId="2" fontId="23" fillId="0" borderId="0" xfId="2" applyNumberFormat="1" applyFont="1"/>
    <xf numFmtId="2" fontId="23" fillId="8" borderId="8" xfId="2" applyNumberFormat="1" applyFont="1" applyFill="1" applyBorder="1"/>
    <xf numFmtId="0" fontId="23" fillId="0" borderId="0" xfId="2" applyFont="1"/>
    <xf numFmtId="168" fontId="33" fillId="8" borderId="0" xfId="2" applyNumberFormat="1" applyFont="1" applyFill="1"/>
    <xf numFmtId="9" fontId="23" fillId="8" borderId="9" xfId="1" applyFont="1" applyFill="1" applyBorder="1"/>
    <xf numFmtId="2" fontId="26" fillId="8" borderId="8" xfId="2" applyNumberFormat="1" applyFont="1" applyFill="1" applyBorder="1"/>
    <xf numFmtId="166" fontId="23" fillId="8" borderId="0" xfId="2" applyNumberFormat="1" applyFont="1" applyFill="1"/>
    <xf numFmtId="9" fontId="23" fillId="8" borderId="0" xfId="1" applyFont="1" applyFill="1" applyBorder="1"/>
    <xf numFmtId="0" fontId="26" fillId="8" borderId="8" xfId="2" applyFont="1" applyFill="1" applyBorder="1" applyAlignment="1">
      <alignment horizontal="left" indent="1"/>
    </xf>
    <xf numFmtId="168" fontId="23" fillId="8" borderId="0" xfId="2" applyNumberFormat="1" applyFont="1" applyFill="1"/>
    <xf numFmtId="168" fontId="33" fillId="8" borderId="0" xfId="59" applyNumberFormat="1" applyFont="1" applyFill="1"/>
    <xf numFmtId="168" fontId="33" fillId="8" borderId="0" xfId="2" quotePrefix="1" applyNumberFormat="1" applyFont="1" applyFill="1"/>
    <xf numFmtId="2" fontId="26" fillId="0" borderId="0" xfId="2" applyNumberFormat="1" applyFont="1"/>
    <xf numFmtId="2" fontId="33" fillId="8" borderId="0" xfId="2" applyNumberFormat="1" applyFont="1" applyFill="1"/>
    <xf numFmtId="9" fontId="33" fillId="8" borderId="0" xfId="1" applyFont="1" applyFill="1" applyBorder="1"/>
    <xf numFmtId="2" fontId="26" fillId="8" borderId="9" xfId="2" applyNumberFormat="1" applyFont="1" applyFill="1" applyBorder="1"/>
    <xf numFmtId="9" fontId="26" fillId="8" borderId="0" xfId="1" applyFont="1" applyFill="1" applyBorder="1"/>
    <xf numFmtId="166" fontId="32" fillId="8" borderId="0" xfId="2" applyNumberFormat="1" applyFont="1" applyFill="1"/>
    <xf numFmtId="166" fontId="32" fillId="8" borderId="8" xfId="2" applyNumberFormat="1" applyFont="1" applyFill="1" applyBorder="1" applyAlignment="1">
      <alignment horizontal="left" indent="1"/>
    </xf>
    <xf numFmtId="166" fontId="39" fillId="8" borderId="0" xfId="1" applyNumberFormat="1" applyFont="1" applyFill="1" applyBorder="1"/>
    <xf numFmtId="166" fontId="40" fillId="8" borderId="0" xfId="1" applyNumberFormat="1" applyFont="1" applyFill="1" applyBorder="1"/>
    <xf numFmtId="166" fontId="32" fillId="8" borderId="9" xfId="2" applyNumberFormat="1" applyFont="1" applyFill="1" applyBorder="1"/>
    <xf numFmtId="166" fontId="32" fillId="0" borderId="0" xfId="2" applyNumberFormat="1" applyFont="1"/>
    <xf numFmtId="166" fontId="34" fillId="8" borderId="0" xfId="1" applyNumberFormat="1" applyFont="1" applyFill="1" applyBorder="1"/>
    <xf numFmtId="166" fontId="32" fillId="8" borderId="8" xfId="2" applyNumberFormat="1" applyFont="1" applyFill="1" applyBorder="1"/>
    <xf numFmtId="166" fontId="34" fillId="8" borderId="0" xfId="2" applyNumberFormat="1" applyFont="1" applyFill="1"/>
    <xf numFmtId="0" fontId="23" fillId="9" borderId="5" xfId="2" applyFont="1" applyFill="1" applyBorder="1"/>
    <xf numFmtId="0" fontId="23" fillId="9" borderId="13" xfId="2" applyFont="1" applyFill="1" applyBorder="1"/>
    <xf numFmtId="176" fontId="23" fillId="9" borderId="5" xfId="2" applyNumberFormat="1" applyFont="1" applyFill="1" applyBorder="1"/>
    <xf numFmtId="2" fontId="23" fillId="9" borderId="5" xfId="2" applyNumberFormat="1" applyFont="1" applyFill="1" applyBorder="1"/>
    <xf numFmtId="2" fontId="23" fillId="9" borderId="14" xfId="2" applyNumberFormat="1" applyFont="1" applyFill="1" applyBorder="1"/>
    <xf numFmtId="2" fontId="23" fillId="0" borderId="15" xfId="2" applyNumberFormat="1" applyFont="1" applyBorder="1"/>
    <xf numFmtId="2" fontId="23" fillId="9" borderId="13" xfId="2" applyNumberFormat="1" applyFont="1" applyFill="1" applyBorder="1"/>
    <xf numFmtId="0" fontId="23" fillId="0" borderId="15" xfId="2" applyFont="1" applyBorder="1"/>
    <xf numFmtId="2" fontId="26" fillId="8" borderId="0" xfId="72" applyNumberFormat="1" applyFont="1" applyFill="1" applyBorder="1"/>
    <xf numFmtId="2" fontId="26" fillId="8" borderId="8" xfId="72" applyNumberFormat="1" applyFont="1" applyFill="1" applyBorder="1"/>
    <xf numFmtId="0" fontId="34" fillId="8" borderId="0" xfId="72" applyNumberFormat="1" applyFont="1" applyFill="1" applyBorder="1"/>
    <xf numFmtId="172" fontId="35" fillId="8" borderId="8" xfId="42" applyNumberFormat="1" applyFont="1" applyFill="1" applyBorder="1" applyAlignment="1">
      <alignment wrapText="1"/>
    </xf>
    <xf numFmtId="2" fontId="35" fillId="8" borderId="0" xfId="59" applyNumberFormat="1" applyFont="1" applyFill="1"/>
    <xf numFmtId="2" fontId="35" fillId="8" borderId="8" xfId="59" applyNumberFormat="1" applyFont="1" applyFill="1" applyBorder="1"/>
    <xf numFmtId="168" fontId="23" fillId="9" borderId="5" xfId="2" applyNumberFormat="1" applyFont="1" applyFill="1" applyBorder="1"/>
    <xf numFmtId="172" fontId="27" fillId="8" borderId="8" xfId="42" applyNumberFormat="1" applyFont="1" applyFill="1" applyBorder="1" applyAlignment="1">
      <alignment wrapText="1"/>
    </xf>
    <xf numFmtId="166" fontId="35" fillId="8" borderId="0" xfId="59" applyNumberFormat="1" applyFont="1" applyFill="1"/>
    <xf numFmtId="2" fontId="33" fillId="8" borderId="0" xfId="59" applyNumberFormat="1" applyFont="1" applyFill="1"/>
    <xf numFmtId="175" fontId="35" fillId="8" borderId="0" xfId="58" applyNumberFormat="1" applyFont="1" applyFill="1"/>
    <xf numFmtId="2" fontId="33" fillId="8" borderId="0" xfId="58" applyNumberFormat="1" applyFont="1" applyFill="1"/>
    <xf numFmtId="2" fontId="26" fillId="0" borderId="9" xfId="2" applyNumberFormat="1" applyFont="1" applyBorder="1"/>
    <xf numFmtId="2" fontId="35" fillId="8" borderId="0" xfId="58" applyNumberFormat="1" applyFont="1" applyFill="1"/>
    <xf numFmtId="177" fontId="23" fillId="8" borderId="0" xfId="2" applyNumberFormat="1" applyFont="1" applyFill="1"/>
    <xf numFmtId="2" fontId="41" fillId="8" borderId="0" xfId="2" applyNumberFormat="1" applyFont="1" applyFill="1"/>
    <xf numFmtId="2" fontId="35" fillId="8" borderId="0" xfId="2" applyNumberFormat="1" applyFont="1" applyFill="1"/>
    <xf numFmtId="172" fontId="39" fillId="8" borderId="8" xfId="42" applyNumberFormat="1" applyFont="1" applyFill="1" applyBorder="1" applyAlignment="1">
      <alignment horizontal="left" wrapText="1" indent="1"/>
    </xf>
    <xf numFmtId="10" fontId="35" fillId="8" borderId="0" xfId="1" applyNumberFormat="1" applyFont="1" applyFill="1" applyBorder="1"/>
    <xf numFmtId="10" fontId="33" fillId="8" borderId="0" xfId="1" applyNumberFormat="1" applyFont="1" applyFill="1" applyBorder="1"/>
    <xf numFmtId="10" fontId="26" fillId="8" borderId="0" xfId="1" applyNumberFormat="1" applyFont="1" applyFill="1" applyBorder="1"/>
    <xf numFmtId="2" fontId="23" fillId="9" borderId="15" xfId="2" applyNumberFormat="1" applyFont="1" applyFill="1" applyBorder="1"/>
    <xf numFmtId="2" fontId="35" fillId="8" borderId="0" xfId="72" applyNumberFormat="1" applyFont="1" applyFill="1" applyBorder="1"/>
    <xf numFmtId="166" fontId="26" fillId="8" borderId="0" xfId="1" applyNumberFormat="1" applyFont="1" applyFill="1" applyBorder="1"/>
    <xf numFmtId="2" fontId="41" fillId="8" borderId="0" xfId="59" applyNumberFormat="1" applyFont="1" applyFill="1"/>
    <xf numFmtId="0" fontId="35" fillId="8" borderId="8" xfId="2" applyFont="1" applyFill="1" applyBorder="1"/>
    <xf numFmtId="10" fontId="23" fillId="8" borderId="0" xfId="1" applyNumberFormat="1" applyFont="1" applyFill="1" applyBorder="1"/>
    <xf numFmtId="2" fontId="34" fillId="8" borderId="0" xfId="2" applyNumberFormat="1" applyFont="1" applyFill="1"/>
    <xf numFmtId="166" fontId="34" fillId="0" borderId="0" xfId="72" applyNumberFormat="1" applyFont="1" applyFill="1" applyBorder="1"/>
    <xf numFmtId="2" fontId="34" fillId="8" borderId="9" xfId="2" applyNumberFormat="1" applyFont="1" applyFill="1" applyBorder="1"/>
    <xf numFmtId="2" fontId="34" fillId="0" borderId="0" xfId="2" applyNumberFormat="1" applyFont="1"/>
    <xf numFmtId="166" fontId="34" fillId="8" borderId="8" xfId="1" applyNumberFormat="1" applyFont="1" applyFill="1" applyBorder="1"/>
    <xf numFmtId="0" fontId="34" fillId="0" borderId="0" xfId="2" applyFont="1"/>
    <xf numFmtId="174" fontId="34" fillId="8" borderId="0" xfId="2" applyNumberFormat="1" applyFont="1" applyFill="1"/>
    <xf numFmtId="9" fontId="34" fillId="8" borderId="8" xfId="1" applyFont="1" applyFill="1" applyBorder="1"/>
    <xf numFmtId="9" fontId="34" fillId="8" borderId="0" xfId="1" applyFont="1" applyFill="1" applyBorder="1"/>
    <xf numFmtId="2" fontId="34" fillId="8" borderId="8" xfId="2" applyNumberFormat="1" applyFont="1" applyFill="1" applyBorder="1"/>
    <xf numFmtId="178" fontId="35" fillId="8" borderId="8" xfId="43" applyNumberFormat="1" applyFont="1" applyFill="1" applyBorder="1" applyAlignment="1">
      <alignment wrapText="1"/>
    </xf>
    <xf numFmtId="0" fontId="33" fillId="0" borderId="0" xfId="2" applyFont="1"/>
    <xf numFmtId="178" fontId="35" fillId="8" borderId="16" xfId="43" applyNumberFormat="1" applyFont="1" applyFill="1" applyBorder="1" applyAlignment="1">
      <alignment wrapText="1"/>
    </xf>
    <xf numFmtId="179" fontId="26" fillId="8" borderId="0" xfId="2" applyNumberFormat="1" applyFont="1" applyFill="1"/>
    <xf numFmtId="178" fontId="39" fillId="8" borderId="8" xfId="43" applyNumberFormat="1" applyFont="1" applyFill="1" applyBorder="1" applyAlignment="1">
      <alignment wrapText="1"/>
    </xf>
    <xf numFmtId="178" fontId="35" fillId="8" borderId="0" xfId="56" applyNumberFormat="1" applyFont="1" applyFill="1"/>
    <xf numFmtId="2" fontId="33" fillId="8" borderId="0" xfId="56" applyNumberFormat="1" applyFont="1" applyFill="1"/>
    <xf numFmtId="2" fontId="26" fillId="0" borderId="8" xfId="2" applyNumberFormat="1" applyFont="1" applyBorder="1"/>
    <xf numFmtId="2" fontId="26" fillId="12" borderId="0" xfId="2" applyNumberFormat="1" applyFont="1" applyFill="1"/>
    <xf numFmtId="2" fontId="26" fillId="13" borderId="0" xfId="2" applyNumberFormat="1" applyFont="1" applyFill="1"/>
    <xf numFmtId="2" fontId="23" fillId="9" borderId="17" xfId="2" applyNumberFormat="1" applyFont="1" applyFill="1" applyBorder="1"/>
    <xf numFmtId="0" fontId="30" fillId="10" borderId="15" xfId="2" applyFont="1" applyFill="1" applyBorder="1"/>
    <xf numFmtId="0" fontId="37" fillId="10" borderId="18" xfId="2" applyFont="1" applyFill="1" applyBorder="1"/>
    <xf numFmtId="2" fontId="30" fillId="10" borderId="15" xfId="2" applyNumberFormat="1" applyFont="1" applyFill="1" applyBorder="1"/>
    <xf numFmtId="2" fontId="30" fillId="10" borderId="17" xfId="2" applyNumberFormat="1" applyFont="1" applyFill="1" applyBorder="1"/>
    <xf numFmtId="2" fontId="30" fillId="8" borderId="0" xfId="2" applyNumberFormat="1" applyFont="1" applyFill="1"/>
    <xf numFmtId="2" fontId="30" fillId="10" borderId="18" xfId="2" applyNumberFormat="1" applyFont="1" applyFill="1" applyBorder="1"/>
    <xf numFmtId="0" fontId="30" fillId="8" borderId="0" xfId="2" applyFont="1" applyFill="1"/>
    <xf numFmtId="0" fontId="30" fillId="0" borderId="15" xfId="2" applyFont="1" applyBorder="1"/>
    <xf numFmtId="2" fontId="33" fillId="0" borderId="0" xfId="2" applyNumberFormat="1" applyFont="1"/>
    <xf numFmtId="2" fontId="33" fillId="13" borderId="0" xfId="2" applyNumberFormat="1" applyFont="1" applyFill="1"/>
    <xf numFmtId="0" fontId="39" fillId="8" borderId="8" xfId="2" applyFont="1" applyFill="1" applyBorder="1" applyAlignment="1">
      <alignment horizontal="left" indent="1"/>
    </xf>
    <xf numFmtId="2" fontId="35" fillId="13" borderId="0" xfId="2" applyNumberFormat="1" applyFont="1" applyFill="1"/>
    <xf numFmtId="2" fontId="35" fillId="8" borderId="8" xfId="2" applyNumberFormat="1" applyFont="1" applyFill="1" applyBorder="1"/>
    <xf numFmtId="2" fontId="35" fillId="8" borderId="19" xfId="55" applyNumberFormat="1" applyFont="1" applyFill="1" applyBorder="1"/>
    <xf numFmtId="2" fontId="32" fillId="8" borderId="0" xfId="2" applyNumberFormat="1" applyFont="1" applyFill="1"/>
    <xf numFmtId="2" fontId="32" fillId="8" borderId="9" xfId="2" applyNumberFormat="1" applyFont="1" applyFill="1" applyBorder="1"/>
    <xf numFmtId="2" fontId="32" fillId="0" borderId="0" xfId="2" applyNumberFormat="1" applyFont="1"/>
    <xf numFmtId="2" fontId="32" fillId="8" borderId="8" xfId="2" applyNumberFormat="1" applyFont="1" applyFill="1" applyBorder="1"/>
    <xf numFmtId="0" fontId="32" fillId="0" borderId="0" xfId="2" applyFont="1"/>
    <xf numFmtId="0" fontId="27" fillId="8" borderId="8" xfId="2" applyFont="1" applyFill="1" applyBorder="1"/>
    <xf numFmtId="0" fontId="37" fillId="10" borderId="15" xfId="2" applyFont="1" applyFill="1" applyBorder="1"/>
    <xf numFmtId="2" fontId="37" fillId="10" borderId="15" xfId="2" applyNumberFormat="1" applyFont="1" applyFill="1" applyBorder="1"/>
    <xf numFmtId="2" fontId="37" fillId="10" borderId="17" xfId="2" applyNumberFormat="1" applyFont="1" applyFill="1" applyBorder="1"/>
    <xf numFmtId="2" fontId="37" fillId="8" borderId="0" xfId="2" applyNumberFormat="1" applyFont="1" applyFill="1"/>
    <xf numFmtId="2" fontId="37" fillId="10" borderId="18" xfId="2" applyNumberFormat="1" applyFont="1" applyFill="1" applyBorder="1"/>
    <xf numFmtId="0" fontId="37" fillId="8" borderId="0" xfId="2" applyFont="1" applyFill="1"/>
    <xf numFmtId="0" fontId="37" fillId="0" borderId="15" xfId="2" applyFont="1" applyBorder="1"/>
    <xf numFmtId="9" fontId="32" fillId="8" borderId="0" xfId="72" applyFont="1" applyFill="1" applyBorder="1"/>
    <xf numFmtId="9" fontId="40" fillId="8" borderId="0" xfId="72" applyFont="1" applyFill="1" applyBorder="1"/>
    <xf numFmtId="10" fontId="32" fillId="8" borderId="0" xfId="72" applyNumberFormat="1" applyFont="1" applyFill="1" applyBorder="1"/>
    <xf numFmtId="166" fontId="42" fillId="8" borderId="0" xfId="72" applyNumberFormat="1" applyFont="1" applyFill="1" applyBorder="1"/>
    <xf numFmtId="9" fontId="32" fillId="8" borderId="9" xfId="72" applyFont="1" applyFill="1" applyBorder="1"/>
    <xf numFmtId="9" fontId="32" fillId="0" borderId="0" xfId="72" applyFont="1"/>
    <xf numFmtId="9" fontId="32" fillId="8" borderId="8" xfId="72" applyFont="1" applyFill="1" applyBorder="1"/>
    <xf numFmtId="176" fontId="43" fillId="9" borderId="5" xfId="2" applyNumberFormat="1" applyFont="1" applyFill="1" applyBorder="1"/>
    <xf numFmtId="39" fontId="43" fillId="9" borderId="5" xfId="2" applyNumberFormat="1" applyFont="1" applyFill="1" applyBorder="1"/>
    <xf numFmtId="2" fontId="43" fillId="9" borderId="5" xfId="2" applyNumberFormat="1" applyFont="1" applyFill="1" applyBorder="1"/>
    <xf numFmtId="168" fontId="35" fillId="8" borderId="8" xfId="2" applyNumberFormat="1" applyFont="1" applyFill="1" applyBorder="1"/>
    <xf numFmtId="0" fontId="39" fillId="8" borderId="8" xfId="2" applyFont="1" applyFill="1" applyBorder="1"/>
    <xf numFmtId="177" fontId="26" fillId="8" borderId="0" xfId="2" applyNumberFormat="1" applyFont="1" applyFill="1"/>
    <xf numFmtId="180" fontId="26" fillId="8" borderId="0" xfId="2" applyNumberFormat="1" applyFont="1" applyFill="1"/>
    <xf numFmtId="0" fontId="37" fillId="10" borderId="8" xfId="2" applyFont="1" applyFill="1" applyBorder="1"/>
    <xf numFmtId="0" fontId="38" fillId="10" borderId="8" xfId="2" applyFont="1" applyFill="1" applyBorder="1"/>
    <xf numFmtId="181" fontId="26" fillId="8" borderId="0" xfId="2" applyNumberFormat="1" applyFont="1" applyFill="1"/>
    <xf numFmtId="182" fontId="26" fillId="8" borderId="0" xfId="2" applyNumberFormat="1" applyFont="1" applyFill="1"/>
    <xf numFmtId="0" fontId="35" fillId="8" borderId="0" xfId="2" applyFont="1" applyFill="1"/>
    <xf numFmtId="178" fontId="33" fillId="8" borderId="0" xfId="56" applyNumberFormat="1" applyFont="1" applyFill="1"/>
    <xf numFmtId="183" fontId="33" fillId="8" borderId="0" xfId="56" applyNumberFormat="1" applyFont="1" applyFill="1"/>
    <xf numFmtId="183" fontId="33" fillId="0" borderId="0" xfId="56" applyNumberFormat="1" applyFont="1"/>
    <xf numFmtId="183" fontId="33" fillId="8" borderId="0" xfId="2" applyNumberFormat="1" applyFont="1" applyFill="1"/>
    <xf numFmtId="183" fontId="35" fillId="8" borderId="0" xfId="56" applyNumberFormat="1" applyFont="1" applyFill="1"/>
    <xf numFmtId="183" fontId="26" fillId="8" borderId="9" xfId="2" applyNumberFormat="1" applyFont="1" applyFill="1" applyBorder="1"/>
    <xf numFmtId="183" fontId="26" fillId="0" borderId="0" xfId="2" applyNumberFormat="1" applyFont="1"/>
    <xf numFmtId="183" fontId="26" fillId="8" borderId="0" xfId="2" applyNumberFormat="1" applyFont="1" applyFill="1"/>
    <xf numFmtId="183" fontId="35" fillId="8" borderId="8" xfId="56" applyNumberFormat="1" applyFont="1" applyFill="1" applyBorder="1"/>
    <xf numFmtId="179" fontId="33" fillId="8" borderId="0" xfId="2" applyNumberFormat="1" applyFont="1" applyFill="1"/>
    <xf numFmtId="183" fontId="33" fillId="0" borderId="0" xfId="2" applyNumberFormat="1" applyFont="1"/>
    <xf numFmtId="183" fontId="26" fillId="8" borderId="8" xfId="2" applyNumberFormat="1" applyFont="1" applyFill="1" applyBorder="1"/>
    <xf numFmtId="0" fontId="27" fillId="8" borderId="0" xfId="2" applyFont="1" applyFill="1"/>
    <xf numFmtId="10" fontId="26" fillId="0" borderId="0" xfId="1" applyNumberFormat="1" applyFont="1" applyFill="1" applyBorder="1"/>
    <xf numFmtId="183" fontId="35" fillId="8" borderId="9" xfId="56" applyNumberFormat="1" applyFont="1" applyFill="1" applyBorder="1"/>
    <xf numFmtId="183" fontId="35" fillId="0" borderId="0" xfId="56" applyNumberFormat="1" applyFont="1"/>
    <xf numFmtId="0" fontId="44" fillId="0" borderId="0" xfId="0" applyFont="1"/>
    <xf numFmtId="183" fontId="23" fillId="0" borderId="15" xfId="2" applyNumberFormat="1" applyFont="1" applyBorder="1"/>
    <xf numFmtId="183" fontId="23" fillId="8" borderId="0" xfId="2" applyNumberFormat="1" applyFont="1" applyFill="1"/>
    <xf numFmtId="178" fontId="35" fillId="8" borderId="20" xfId="46" applyNumberFormat="1" applyFont="1" applyFill="1" applyBorder="1"/>
    <xf numFmtId="178" fontId="35" fillId="8" borderId="20" xfId="47" applyNumberFormat="1" applyFont="1" applyFill="1" applyBorder="1"/>
    <xf numFmtId="183" fontId="35" fillId="8" borderId="20" xfId="47" applyNumberFormat="1" applyFont="1" applyFill="1" applyBorder="1"/>
    <xf numFmtId="183" fontId="35" fillId="0" borderId="20" xfId="47" applyNumberFormat="1" applyFont="1" applyBorder="1"/>
    <xf numFmtId="183" fontId="35" fillId="0" borderId="0" xfId="57" applyNumberFormat="1" applyFont="1"/>
    <xf numFmtId="183" fontId="35" fillId="8" borderId="0" xfId="57" applyNumberFormat="1" applyFont="1" applyFill="1"/>
    <xf numFmtId="183" fontId="35" fillId="8" borderId="8" xfId="57" applyNumberFormat="1" applyFont="1" applyFill="1" applyBorder="1"/>
    <xf numFmtId="178" fontId="28" fillId="8" borderId="0" xfId="45" applyNumberFormat="1" applyFont="1" applyFill="1"/>
    <xf numFmtId="183" fontId="28" fillId="8" borderId="0" xfId="45" applyNumberFormat="1" applyFont="1" applyFill="1"/>
    <xf numFmtId="183" fontId="28" fillId="0" borderId="0" xfId="45" applyNumberFormat="1" applyFont="1"/>
    <xf numFmtId="172" fontId="35" fillId="8" borderId="8" xfId="48" applyNumberFormat="1" applyFont="1" applyFill="1" applyBorder="1"/>
    <xf numFmtId="178" fontId="26" fillId="8" borderId="0" xfId="2" applyNumberFormat="1" applyFont="1" applyFill="1"/>
    <xf numFmtId="178" fontId="35" fillId="8" borderId="16" xfId="48" applyNumberFormat="1" applyFont="1" applyFill="1" applyBorder="1"/>
    <xf numFmtId="178" fontId="33" fillId="8" borderId="0" xfId="50" applyNumberFormat="1" applyFont="1" applyFill="1"/>
    <xf numFmtId="183" fontId="33" fillId="8" borderId="0" xfId="23" applyNumberFormat="1" applyFont="1" applyFill="1" applyBorder="1" applyAlignment="1">
      <alignment horizontal="right"/>
    </xf>
    <xf numFmtId="183" fontId="33" fillId="8" borderId="0" xfId="50" applyNumberFormat="1" applyFont="1" applyFill="1"/>
    <xf numFmtId="183" fontId="33" fillId="0" borderId="0" xfId="50" applyNumberFormat="1" applyFont="1"/>
    <xf numFmtId="183" fontId="35" fillId="8" borderId="0" xfId="2" applyNumberFormat="1" applyFont="1" applyFill="1"/>
    <xf numFmtId="183" fontId="35" fillId="8" borderId="9" xfId="2" applyNumberFormat="1" applyFont="1" applyFill="1" applyBorder="1"/>
    <xf numFmtId="183" fontId="35" fillId="0" borderId="0" xfId="2" applyNumberFormat="1" applyFont="1"/>
    <xf numFmtId="183" fontId="35" fillId="8" borderId="8" xfId="2" applyNumberFormat="1" applyFont="1" applyFill="1" applyBorder="1"/>
    <xf numFmtId="0" fontId="35" fillId="0" borderId="0" xfId="2" applyFont="1"/>
    <xf numFmtId="178" fontId="33" fillId="8" borderId="19" xfId="51" applyNumberFormat="1" applyFont="1" applyFill="1" applyBorder="1"/>
    <xf numFmtId="183" fontId="33" fillId="8" borderId="19" xfId="51" applyNumberFormat="1" applyFont="1" applyFill="1" applyBorder="1"/>
    <xf numFmtId="183" fontId="33" fillId="0" borderId="19" xfId="51" applyNumberFormat="1" applyFont="1" applyBorder="1"/>
    <xf numFmtId="178" fontId="35" fillId="8" borderId="15" xfId="52" applyNumberFormat="1" applyFont="1" applyFill="1" applyBorder="1"/>
    <xf numFmtId="183" fontId="35" fillId="8" borderId="15" xfId="52" applyNumberFormat="1" applyFont="1" applyFill="1" applyBorder="1"/>
    <xf numFmtId="183" fontId="23" fillId="0" borderId="21" xfId="2" applyNumberFormat="1" applyFont="1" applyBorder="1"/>
    <xf numFmtId="0" fontId="23" fillId="0" borderId="21" xfId="2" applyFont="1" applyBorder="1"/>
    <xf numFmtId="184" fontId="26" fillId="8" borderId="0" xfId="2" applyNumberFormat="1" applyFont="1" applyFill="1"/>
    <xf numFmtId="172" fontId="35" fillId="8" borderId="0" xfId="53" applyNumberFormat="1" applyFont="1" applyFill="1"/>
    <xf numFmtId="183" fontId="33" fillId="8" borderId="0" xfId="24" applyNumberFormat="1" applyFont="1" applyFill="1" applyBorder="1" applyAlignment="1">
      <alignment horizontal="right"/>
    </xf>
    <xf numFmtId="183" fontId="33" fillId="8" borderId="0" xfId="53" applyNumberFormat="1" applyFont="1" applyFill="1"/>
    <xf numFmtId="178" fontId="35" fillId="8" borderId="0" xfId="24" applyNumberFormat="1" applyFont="1" applyFill="1" applyBorder="1"/>
    <xf numFmtId="183" fontId="33" fillId="8" borderId="0" xfId="24" applyNumberFormat="1" applyFont="1" applyFill="1" applyBorder="1"/>
    <xf numFmtId="178" fontId="35" fillId="8" borderId="0" xfId="53" applyNumberFormat="1" applyFont="1" applyFill="1"/>
    <xf numFmtId="183" fontId="35" fillId="8" borderId="0" xfId="53" applyNumberFormat="1" applyFont="1" applyFill="1"/>
    <xf numFmtId="0" fontId="45" fillId="8" borderId="8" xfId="2" applyFont="1" applyFill="1" applyBorder="1"/>
    <xf numFmtId="172" fontId="46" fillId="8" borderId="0" xfId="26" applyNumberFormat="1" applyFont="1" applyFill="1" applyBorder="1" applyAlignment="1">
      <alignment horizontal="center"/>
    </xf>
    <xf numFmtId="183" fontId="46" fillId="8" borderId="0" xfId="26" applyNumberFormat="1" applyFont="1" applyFill="1" applyBorder="1" applyAlignment="1">
      <alignment horizontal="center"/>
    </xf>
    <xf numFmtId="185" fontId="26" fillId="8" borderId="0" xfId="2" applyNumberFormat="1" applyFont="1" applyFill="1"/>
    <xf numFmtId="0" fontId="31" fillId="10" borderId="8" xfId="2" applyFont="1" applyFill="1" applyBorder="1"/>
    <xf numFmtId="183" fontId="38" fillId="10" borderId="0" xfId="2" applyNumberFormat="1" applyFont="1" applyFill="1"/>
    <xf numFmtId="183" fontId="38" fillId="10" borderId="9" xfId="2" applyNumberFormat="1" applyFont="1" applyFill="1" applyBorder="1"/>
    <xf numFmtId="183" fontId="38" fillId="8" borderId="0" xfId="2" applyNumberFormat="1" applyFont="1" applyFill="1"/>
    <xf numFmtId="183" fontId="38" fillId="10" borderId="8" xfId="2" applyNumberFormat="1" applyFont="1" applyFill="1" applyBorder="1"/>
    <xf numFmtId="183" fontId="23" fillId="8" borderId="18" xfId="2" applyNumberFormat="1" applyFont="1" applyFill="1" applyBorder="1"/>
    <xf numFmtId="183" fontId="23" fillId="8" borderId="15" xfId="2" applyNumberFormat="1" applyFont="1" applyFill="1" applyBorder="1"/>
    <xf numFmtId="183" fontId="32" fillId="8" borderId="0" xfId="2" applyNumberFormat="1" applyFont="1" applyFill="1"/>
    <xf numFmtId="166" fontId="34" fillId="8" borderId="9" xfId="72" applyNumberFormat="1" applyFont="1" applyFill="1" applyBorder="1"/>
    <xf numFmtId="166" fontId="34" fillId="0" borderId="0" xfId="72" applyNumberFormat="1" applyFont="1"/>
    <xf numFmtId="183" fontId="32" fillId="0" borderId="0" xfId="2" applyNumberFormat="1" applyFont="1"/>
    <xf numFmtId="166" fontId="34" fillId="8" borderId="8" xfId="72" applyNumberFormat="1" applyFont="1" applyFill="1" applyBorder="1"/>
    <xf numFmtId="10" fontId="26" fillId="8" borderId="0" xfId="72" applyNumberFormat="1" applyFont="1" applyFill="1" applyBorder="1"/>
    <xf numFmtId="9" fontId="26" fillId="8" borderId="8" xfId="1" applyFont="1" applyFill="1" applyBorder="1"/>
    <xf numFmtId="2" fontId="26" fillId="8" borderId="15" xfId="2" applyNumberFormat="1" applyFont="1" applyFill="1" applyBorder="1"/>
    <xf numFmtId="0" fontId="26" fillId="8" borderId="18" xfId="2" applyFont="1" applyFill="1" applyBorder="1"/>
    <xf numFmtId="0" fontId="26" fillId="8" borderId="15" xfId="2" applyFont="1" applyFill="1" applyBorder="1"/>
    <xf numFmtId="183" fontId="26" fillId="8" borderId="15" xfId="2" applyNumberFormat="1" applyFont="1" applyFill="1" applyBorder="1"/>
    <xf numFmtId="183" fontId="26" fillId="8" borderId="17" xfId="2" applyNumberFormat="1" applyFont="1" applyFill="1" applyBorder="1"/>
    <xf numFmtId="183" fontId="26" fillId="0" borderId="15" xfId="2" applyNumberFormat="1" applyFont="1" applyBorder="1"/>
    <xf numFmtId="183" fontId="26" fillId="8" borderId="18" xfId="2" applyNumberFormat="1" applyFont="1" applyFill="1" applyBorder="1"/>
    <xf numFmtId="2" fontId="26" fillId="0" borderId="15" xfId="2" applyNumberFormat="1" applyFont="1" applyBorder="1"/>
    <xf numFmtId="183" fontId="33" fillId="8" borderId="15" xfId="2" applyNumberFormat="1" applyFont="1" applyFill="1" applyBorder="1"/>
    <xf numFmtId="0" fontId="33" fillId="8" borderId="0" xfId="2" applyFont="1" applyFill="1"/>
    <xf numFmtId="0" fontId="33" fillId="8" borderId="15" xfId="2" applyFont="1" applyFill="1" applyBorder="1"/>
    <xf numFmtId="183" fontId="35" fillId="8" borderId="15" xfId="2" applyNumberFormat="1" applyFont="1" applyFill="1" applyBorder="1"/>
    <xf numFmtId="183" fontId="33" fillId="14" borderId="15" xfId="2" applyNumberFormat="1" applyFont="1" applyFill="1" applyBorder="1"/>
    <xf numFmtId="183" fontId="41" fillId="8" borderId="15" xfId="2" applyNumberFormat="1" applyFont="1" applyFill="1" applyBorder="1"/>
    <xf numFmtId="183" fontId="33" fillId="8" borderId="0" xfId="72" applyNumberFormat="1" applyFont="1" applyFill="1" applyBorder="1"/>
    <xf numFmtId="183" fontId="26" fillId="8" borderId="0" xfId="72" applyNumberFormat="1" applyFont="1" applyFill="1" applyBorder="1"/>
    <xf numFmtId="9" fontId="33" fillId="8" borderId="0" xfId="72" applyFont="1" applyFill="1" applyBorder="1"/>
    <xf numFmtId="183" fontId="26" fillId="8" borderId="8" xfId="72" applyNumberFormat="1" applyFont="1" applyFill="1" applyBorder="1"/>
    <xf numFmtId="0" fontId="26" fillId="8" borderId="10" xfId="2" applyFont="1" applyFill="1" applyBorder="1"/>
    <xf numFmtId="183" fontId="26" fillId="8" borderId="11" xfId="2" applyNumberFormat="1" applyFont="1" applyFill="1" applyBorder="1"/>
    <xf numFmtId="183" fontId="26" fillId="8" borderId="12" xfId="2" applyNumberFormat="1" applyFont="1" applyFill="1" applyBorder="1"/>
    <xf numFmtId="183" fontId="26" fillId="8" borderId="10" xfId="2" applyNumberFormat="1" applyFont="1" applyFill="1" applyBorder="1"/>
    <xf numFmtId="183" fontId="33" fillId="8" borderId="0" xfId="72" applyNumberFormat="1" applyFont="1" applyFill="1"/>
    <xf numFmtId="0" fontId="44" fillId="8" borderId="0" xfId="0" applyFont="1" applyFill="1"/>
    <xf numFmtId="171" fontId="26" fillId="8" borderId="0" xfId="26" applyNumberFormat="1" applyFont="1" applyFill="1"/>
    <xf numFmtId="171" fontId="26" fillId="8" borderId="0" xfId="2" applyNumberFormat="1" applyFont="1" applyFill="1"/>
    <xf numFmtId="166" fontId="26" fillId="8" borderId="0" xfId="1" applyNumberFormat="1" applyFont="1" applyFill="1" applyAlignment="1">
      <alignment horizontal="right"/>
    </xf>
    <xf numFmtId="0" fontId="26" fillId="8" borderId="0" xfId="2" applyFont="1" applyFill="1" applyAlignment="1">
      <alignment horizontal="right"/>
    </xf>
    <xf numFmtId="0" fontId="4" fillId="8" borderId="0" xfId="0" applyFont="1" applyFill="1"/>
    <xf numFmtId="0" fontId="44" fillId="8" borderId="0" xfId="0" applyFont="1" applyFill="1" applyAlignment="1">
      <alignment horizontal="left" indent="1"/>
    </xf>
    <xf numFmtId="176" fontId="26" fillId="8" borderId="0" xfId="2" applyNumberFormat="1" applyFont="1" applyFill="1"/>
    <xf numFmtId="0" fontId="4" fillId="8" borderId="0" xfId="0" applyFont="1" applyFill="1" applyAlignment="1">
      <alignment horizontal="left" indent="1"/>
    </xf>
    <xf numFmtId="176" fontId="23" fillId="8" borderId="0" xfId="2" applyNumberFormat="1" applyFont="1" applyFill="1"/>
    <xf numFmtId="164" fontId="47" fillId="8" borderId="0" xfId="26" applyFont="1" applyFill="1"/>
    <xf numFmtId="164" fontId="47" fillId="8" borderId="0" xfId="26" applyFont="1" applyFill="1" applyAlignment="1">
      <alignment horizontal="left" indent="1"/>
    </xf>
    <xf numFmtId="164" fontId="47" fillId="8" borderId="0" xfId="26" applyFont="1" applyFill="1" applyBorder="1"/>
    <xf numFmtId="164" fontId="47" fillId="0" borderId="0" xfId="26" applyFont="1" applyFill="1" applyBorder="1"/>
    <xf numFmtId="10" fontId="26" fillId="8" borderId="0" xfId="2" applyNumberFormat="1" applyFont="1" applyFill="1"/>
    <xf numFmtId="0" fontId="22" fillId="0" borderId="4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173" fontId="22" fillId="0" borderId="0" xfId="0" applyNumberFormat="1" applyFont="1" applyAlignment="1">
      <alignment horizontal="right" vertical="center"/>
    </xf>
    <xf numFmtId="173" fontId="26" fillId="8" borderId="0" xfId="2" applyNumberFormat="1" applyFont="1" applyFill="1"/>
    <xf numFmtId="0" fontId="26" fillId="8" borderId="0" xfId="12" applyFont="1" applyFill="1"/>
    <xf numFmtId="1" fontId="26" fillId="8" borderId="0" xfId="12" applyNumberFormat="1" applyFont="1" applyFill="1"/>
    <xf numFmtId="0" fontId="23" fillId="8" borderId="0" xfId="12" applyFont="1" applyFill="1"/>
    <xf numFmtId="14" fontId="30" fillId="10" borderId="0" xfId="2" applyNumberFormat="1" applyFont="1" applyFill="1"/>
    <xf numFmtId="0" fontId="23" fillId="9" borderId="15" xfId="2" applyFont="1" applyFill="1" applyBorder="1"/>
    <xf numFmtId="168" fontId="23" fillId="9" borderId="15" xfId="2" applyNumberFormat="1" applyFont="1" applyFill="1" applyBorder="1"/>
    <xf numFmtId="168" fontId="43" fillId="9" borderId="15" xfId="2" applyNumberFormat="1" applyFont="1" applyFill="1" applyBorder="1"/>
    <xf numFmtId="167" fontId="28" fillId="8" borderId="0" xfId="2" applyNumberFormat="1" applyFont="1" applyFill="1"/>
    <xf numFmtId="166" fontId="26" fillId="8" borderId="0" xfId="72" applyNumberFormat="1" applyFont="1" applyFill="1"/>
    <xf numFmtId="168" fontId="41" fillId="8" borderId="0" xfId="2" applyNumberFormat="1" applyFont="1" applyFill="1"/>
    <xf numFmtId="10" fontId="33" fillId="8" borderId="0" xfId="2" applyNumberFormat="1" applyFont="1" applyFill="1"/>
    <xf numFmtId="187" fontId="41" fillId="8" borderId="0" xfId="2" applyNumberFormat="1" applyFont="1" applyFill="1"/>
    <xf numFmtId="188" fontId="33" fillId="8" borderId="0" xfId="2" applyNumberFormat="1" applyFont="1" applyFill="1"/>
    <xf numFmtId="10" fontId="35" fillId="8" borderId="0" xfId="2" applyNumberFormat="1" applyFont="1" applyFill="1"/>
    <xf numFmtId="166" fontId="26" fillId="8" borderId="0" xfId="2" applyNumberFormat="1" applyFont="1" applyFill="1"/>
    <xf numFmtId="10" fontId="26" fillId="8" borderId="0" xfId="72" applyNumberFormat="1" applyFont="1" applyFill="1"/>
    <xf numFmtId="168" fontId="54" fillId="8" borderId="0" xfId="2" applyNumberFormat="1" applyFont="1" applyFill="1"/>
    <xf numFmtId="168" fontId="43" fillId="12" borderId="15" xfId="2" applyNumberFormat="1" applyFont="1" applyFill="1" applyBorder="1"/>
    <xf numFmtId="0" fontId="26" fillId="9" borderId="15" xfId="2" applyFont="1" applyFill="1" applyBorder="1"/>
    <xf numFmtId="164" fontId="26" fillId="9" borderId="15" xfId="26" applyFont="1" applyFill="1" applyBorder="1"/>
    <xf numFmtId="166" fontId="33" fillId="8" borderId="0" xfId="2" applyNumberFormat="1" applyFont="1" applyFill="1"/>
    <xf numFmtId="168" fontId="26" fillId="0" borderId="0" xfId="2" applyNumberFormat="1" applyFont="1"/>
    <xf numFmtId="2" fontId="23" fillId="8" borderId="0" xfId="12" applyNumberFormat="1" applyFont="1" applyFill="1"/>
    <xf numFmtId="0" fontId="53" fillId="8" borderId="0" xfId="0" applyFont="1" applyFill="1"/>
    <xf numFmtId="1" fontId="11" fillId="8" borderId="0" xfId="0" applyNumberFormat="1" applyFont="1" applyFill="1"/>
    <xf numFmtId="10" fontId="11" fillId="8" borderId="0" xfId="0" applyNumberFormat="1" applyFont="1" applyFill="1"/>
    <xf numFmtId="0" fontId="33" fillId="8" borderId="0" xfId="0" applyFont="1" applyFill="1"/>
    <xf numFmtId="1" fontId="44" fillId="8" borderId="0" xfId="0" applyNumberFormat="1" applyFont="1" applyFill="1"/>
    <xf numFmtId="166" fontId="44" fillId="8" borderId="0" xfId="0" applyNumberFormat="1" applyFont="1" applyFill="1"/>
    <xf numFmtId="9" fontId="28" fillId="8" borderId="0" xfId="1" applyFont="1" applyFill="1" applyBorder="1"/>
    <xf numFmtId="164" fontId="55" fillId="8" borderId="0" xfId="26" applyFont="1" applyFill="1" applyBorder="1"/>
    <xf numFmtId="1" fontId="33" fillId="8" borderId="0" xfId="2" applyNumberFormat="1" applyFont="1" applyFill="1"/>
    <xf numFmtId="1" fontId="33" fillId="8" borderId="0" xfId="0" applyNumberFormat="1" applyFont="1" applyFill="1"/>
    <xf numFmtId="0" fontId="23" fillId="9" borderId="5" xfId="12" applyFont="1" applyFill="1" applyBorder="1"/>
    <xf numFmtId="164" fontId="43" fillId="9" borderId="5" xfId="26" applyFont="1" applyFill="1" applyBorder="1"/>
    <xf numFmtId="164" fontId="23" fillId="9" borderId="5" xfId="26" applyFont="1" applyFill="1" applyBorder="1"/>
    <xf numFmtId="164" fontId="27" fillId="9" borderId="5" xfId="26" applyFont="1" applyFill="1" applyBorder="1"/>
    <xf numFmtId="164" fontId="23" fillId="8" borderId="0" xfId="26" applyFont="1" applyFill="1" applyBorder="1"/>
    <xf numFmtId="164" fontId="23" fillId="8" borderId="15" xfId="26" applyFont="1" applyFill="1" applyBorder="1"/>
    <xf numFmtId="164" fontId="23" fillId="0" borderId="15" xfId="26" applyFont="1" applyBorder="1"/>
    <xf numFmtId="0" fontId="56" fillId="8" borderId="0" xfId="0" applyFont="1" applyFill="1"/>
    <xf numFmtId="10" fontId="44" fillId="8" borderId="0" xfId="1" applyNumberFormat="1" applyFont="1" applyFill="1" applyBorder="1"/>
    <xf numFmtId="10" fontId="44" fillId="8" borderId="0" xfId="69" applyNumberFormat="1" applyFont="1" applyFill="1" applyBorder="1"/>
    <xf numFmtId="10" fontId="44" fillId="12" borderId="0" xfId="1" applyNumberFormat="1" applyFont="1" applyFill="1" applyBorder="1"/>
    <xf numFmtId="10" fontId="33" fillId="12" borderId="0" xfId="1" applyNumberFormat="1" applyFont="1" applyFill="1" applyBorder="1"/>
    <xf numFmtId="10" fontId="33" fillId="15" borderId="0" xfId="1" applyNumberFormat="1" applyFont="1" applyFill="1" applyBorder="1"/>
    <xf numFmtId="164" fontId="44" fillId="8" borderId="0" xfId="1" applyNumberFormat="1" applyFont="1" applyFill="1" applyBorder="1"/>
    <xf numFmtId="10" fontId="4" fillId="8" borderId="0" xfId="1" applyNumberFormat="1" applyFont="1" applyFill="1" applyBorder="1"/>
    <xf numFmtId="168" fontId="33" fillId="8" borderId="0" xfId="0" applyNumberFormat="1" applyFont="1" applyFill="1"/>
    <xf numFmtId="168" fontId="44" fillId="8" borderId="0" xfId="0" applyNumberFormat="1" applyFont="1" applyFill="1"/>
    <xf numFmtId="166" fontId="44" fillId="8" borderId="0" xfId="1" applyNumberFormat="1" applyFont="1" applyFill="1" applyBorder="1"/>
    <xf numFmtId="166" fontId="33" fillId="8" borderId="0" xfId="0" applyNumberFormat="1" applyFont="1" applyFill="1"/>
    <xf numFmtId="166" fontId="35" fillId="8" borderId="0" xfId="0" applyNumberFormat="1" applyFont="1" applyFill="1"/>
    <xf numFmtId="10" fontId="44" fillId="8" borderId="0" xfId="0" applyNumberFormat="1" applyFont="1" applyFill="1"/>
    <xf numFmtId="189" fontId="33" fillId="8" borderId="0" xfId="0" applyNumberFormat="1" applyFont="1" applyFill="1"/>
    <xf numFmtId="167" fontId="33" fillId="8" borderId="0" xfId="0" applyNumberFormat="1" applyFont="1" applyFill="1"/>
    <xf numFmtId="167" fontId="44" fillId="8" borderId="0" xfId="0" applyNumberFormat="1" applyFont="1" applyFill="1"/>
    <xf numFmtId="0" fontId="56" fillId="8" borderId="0" xfId="0" applyFont="1" applyFill="1" applyAlignment="1">
      <alignment horizontal="left" indent="1"/>
    </xf>
    <xf numFmtId="190" fontId="35" fillId="8" borderId="0" xfId="0" applyNumberFormat="1" applyFont="1" applyFill="1"/>
    <xf numFmtId="190" fontId="33" fillId="8" borderId="0" xfId="0" applyNumberFormat="1" applyFont="1" applyFill="1"/>
    <xf numFmtId="176" fontId="44" fillId="8" borderId="0" xfId="0" applyNumberFormat="1" applyFont="1" applyFill="1"/>
    <xf numFmtId="164" fontId="23" fillId="12" borderId="5" xfId="26" applyFont="1" applyFill="1" applyBorder="1"/>
    <xf numFmtId="9" fontId="44" fillId="8" borderId="0" xfId="1" applyFont="1" applyFill="1"/>
    <xf numFmtId="166" fontId="44" fillId="8" borderId="0" xfId="1" applyNumberFormat="1" applyFont="1" applyFill="1"/>
    <xf numFmtId="190" fontId="57" fillId="8" borderId="0" xfId="0" applyNumberFormat="1" applyFont="1" applyFill="1"/>
    <xf numFmtId="190" fontId="47" fillId="8" borderId="0" xfId="0" applyNumberFormat="1" applyFont="1" applyFill="1"/>
    <xf numFmtId="189" fontId="44" fillId="8" borderId="0" xfId="0" applyNumberFormat="1" applyFont="1" applyFill="1"/>
    <xf numFmtId="191" fontId="44" fillId="8" borderId="0" xfId="0" applyNumberFormat="1" applyFont="1" applyFill="1"/>
    <xf numFmtId="164" fontId="23" fillId="8" borderId="5" xfId="26" applyFont="1" applyFill="1" applyBorder="1"/>
    <xf numFmtId="166" fontId="33" fillId="8" borderId="0" xfId="1" applyNumberFormat="1" applyFont="1" applyFill="1" applyBorder="1"/>
    <xf numFmtId="9" fontId="33" fillId="8" borderId="0" xfId="0" applyNumberFormat="1" applyFont="1" applyFill="1"/>
    <xf numFmtId="164" fontId="35" fillId="8" borderId="0" xfId="26" applyFont="1" applyFill="1" applyBorder="1"/>
    <xf numFmtId="186" fontId="44" fillId="8" borderId="0" xfId="0" applyNumberFormat="1" applyFont="1" applyFill="1"/>
    <xf numFmtId="1" fontId="23" fillId="8" borderId="0" xfId="12" applyNumberFormat="1" applyFont="1" applyFill="1"/>
    <xf numFmtId="168" fontId="44" fillId="8" borderId="0" xfId="1" applyNumberFormat="1" applyFont="1" applyFill="1" applyBorder="1"/>
    <xf numFmtId="183" fontId="26" fillId="12" borderId="0" xfId="2" applyNumberFormat="1" applyFont="1" applyFill="1"/>
    <xf numFmtId="2" fontId="35" fillId="12" borderId="0" xfId="59" applyNumberFormat="1" applyFont="1" applyFill="1"/>
    <xf numFmtId="188" fontId="26" fillId="8" borderId="0" xfId="2" applyNumberFormat="1" applyFont="1" applyFill="1"/>
    <xf numFmtId="192" fontId="23" fillId="8" borderId="0" xfId="2" applyNumberFormat="1" applyFont="1" applyFill="1"/>
    <xf numFmtId="166" fontId="23" fillId="8" borderId="0" xfId="1" applyNumberFormat="1" applyFont="1" applyFill="1" applyBorder="1"/>
    <xf numFmtId="193" fontId="26" fillId="8" borderId="0" xfId="2" applyNumberFormat="1" applyFont="1" applyFill="1"/>
    <xf numFmtId="173" fontId="11" fillId="8" borderId="0" xfId="0" applyNumberFormat="1" applyFont="1" applyFill="1"/>
    <xf numFmtId="49" fontId="58" fillId="0" borderId="0" xfId="0" applyNumberFormat="1" applyFont="1"/>
    <xf numFmtId="49" fontId="59" fillId="0" borderId="0" xfId="0" applyNumberFormat="1" applyFont="1"/>
    <xf numFmtId="49" fontId="52" fillId="0" borderId="0" xfId="0" applyNumberFormat="1" applyFont="1" applyAlignment="1">
      <alignment horizontal="left" vertical="center"/>
    </xf>
    <xf numFmtId="49" fontId="52" fillId="0" borderId="0" xfId="0" applyNumberFormat="1" applyFont="1"/>
    <xf numFmtId="49" fontId="11" fillId="0" borderId="0" xfId="0" applyNumberFormat="1" applyFont="1"/>
    <xf numFmtId="49" fontId="60" fillId="0" borderId="0" xfId="0" applyNumberFormat="1" applyFont="1"/>
    <xf numFmtId="49" fontId="11" fillId="0" borderId="22" xfId="0" applyNumberFormat="1" applyFont="1" applyBorder="1"/>
    <xf numFmtId="0" fontId="11" fillId="0" borderId="0" xfId="0" applyFont="1"/>
    <xf numFmtId="2" fontId="58" fillId="0" borderId="0" xfId="0" applyNumberFormat="1" applyFont="1"/>
    <xf numFmtId="49" fontId="61" fillId="16" borderId="0" xfId="0" applyNumberFormat="1" applyFont="1" applyFill="1" applyAlignment="1">
      <alignment wrapText="1"/>
    </xf>
    <xf numFmtId="0" fontId="0" fillId="16" borderId="0" xfId="0" applyFill="1"/>
    <xf numFmtId="49" fontId="62" fillId="16" borderId="0" xfId="0" applyNumberFormat="1" applyFont="1" applyFill="1" applyAlignment="1">
      <alignment wrapText="1"/>
    </xf>
    <xf numFmtId="49" fontId="11" fillId="0" borderId="22" xfId="0" applyNumberFormat="1" applyFont="1" applyBorder="1"/>
  </cellXfs>
  <cellStyles count="85">
    <cellStyle name="_3 stage GG model" xfId="3" xr:uid="{00000000-0005-0000-0000-000000000000}"/>
    <cellStyle name="_3 stage GG model 2" xfId="4" xr:uid="{00000000-0005-0000-0000-000001000000}"/>
    <cellStyle name="_CONSENSUS " xfId="5" xr:uid="{00000000-0005-0000-0000-000002000000}"/>
    <cellStyle name="_MWA RR_1-pager " xfId="6" xr:uid="{00000000-0005-0000-0000-000003000000}"/>
    <cellStyle name="_RRS1_1_1-pager " xfId="7" xr:uid="{00000000-0005-0000-0000-000004000000}"/>
    <cellStyle name="_RRS10_1_1-pager " xfId="8" xr:uid="{00000000-0005-0000-0000-000005000000}"/>
    <cellStyle name="_SUMMARY " xfId="9" xr:uid="{00000000-0005-0000-0000-000006000000}"/>
    <cellStyle name="_SUMMARY  2" xfId="10" xr:uid="{00000000-0005-0000-0000-000007000000}"/>
    <cellStyle name="_SUMMARY _1-pager " xfId="11" xr:uid="{00000000-0005-0000-0000-000008000000}"/>
    <cellStyle name="=C:\WINNT35\SYSTEM32\COMMAND.COM" xfId="12" xr:uid="{00000000-0005-0000-0000-000009000000}"/>
    <cellStyle name="=C:\WINNT35\SYSTEM32\COMMAND.COM 2" xfId="2" xr:uid="{00000000-0005-0000-0000-00000A000000}"/>
    <cellStyle name="0_Capex &amp; Depreciation " xfId="13" xr:uid="{00000000-0005-0000-0000-00000B000000}"/>
    <cellStyle name="0_Valuing BP " xfId="14" xr:uid="{00000000-0005-0000-0000-00000C000000}"/>
    <cellStyle name="c_HardInc " xfId="15" xr:uid="{00000000-0005-0000-0000-00000D000000}"/>
    <cellStyle name="CellLockStyle" xfId="16" xr:uid="{00000000-0005-0000-0000-00000E000000}"/>
    <cellStyle name="ComboMeasureRowStyle" xfId="17" xr:uid="{00000000-0005-0000-0000-00000F000000}"/>
    <cellStyle name="Comma 2" xfId="18" xr:uid="{00000000-0005-0000-0000-000011000000}"/>
    <cellStyle name="Comma 2 12" xfId="19" xr:uid="{00000000-0005-0000-0000-000012000000}"/>
    <cellStyle name="Comma 2 2" xfId="20" xr:uid="{00000000-0005-0000-0000-000013000000}"/>
    <cellStyle name="Comma 2 3" xfId="21" xr:uid="{00000000-0005-0000-0000-000014000000}"/>
    <cellStyle name="Comma 3" xfId="22" xr:uid="{00000000-0005-0000-0000-000015000000}"/>
    <cellStyle name="Comma 40" xfId="23" xr:uid="{00000000-0005-0000-0000-000016000000}"/>
    <cellStyle name="Comma 46" xfId="24" xr:uid="{00000000-0005-0000-0000-000017000000}"/>
    <cellStyle name="Comma 60" xfId="25" xr:uid="{00000000-0005-0000-0000-000018000000}"/>
    <cellStyle name="Comma 85" xfId="26" xr:uid="{00000000-0005-0000-0000-000019000000}"/>
    <cellStyle name="Comma 91" xfId="27" xr:uid="{00000000-0005-0000-0000-00001A000000}"/>
    <cellStyle name="Currency 2" xfId="28" xr:uid="{00000000-0005-0000-0000-00001C000000}"/>
    <cellStyle name="Currency 3" xfId="29" xr:uid="{00000000-0005-0000-0000-00001D000000}"/>
    <cellStyle name="Currency 4" xfId="30" xr:uid="{00000000-0005-0000-0000-00001E000000}"/>
    <cellStyle name="Currency 79" xfId="31" xr:uid="{00000000-0005-0000-0000-00001F000000}"/>
    <cellStyle name="FormulaMeasureRowStyle" xfId="32" xr:uid="{00000000-0005-0000-0000-000020000000}"/>
    <cellStyle name="HeaderRow" xfId="33" xr:uid="{00000000-0005-0000-0000-000021000000}"/>
    <cellStyle name="Hyperlink 2" xfId="34" xr:uid="{00000000-0005-0000-0000-000023000000}"/>
    <cellStyle name="MeasureRowStyle" xfId="35" xr:uid="{00000000-0005-0000-0000-000024000000}"/>
    <cellStyle name="Millares_2AV_M_M " xfId="36" xr:uid="{00000000-0005-0000-0000-000025000000}"/>
    <cellStyle name="Moneda [0]_2AV_M_M " xfId="37" xr:uid="{00000000-0005-0000-0000-000026000000}"/>
    <cellStyle name="Normal" xfId="0" builtinId="0" customBuiltin="1"/>
    <cellStyle name="Normal 10" xfId="38" xr:uid="{00000000-0005-0000-0000-000028000000}"/>
    <cellStyle name="Normal 2" xfId="39" xr:uid="{00000000-0005-0000-0000-000029000000}"/>
    <cellStyle name="Normal 2 2" xfId="40" xr:uid="{00000000-0005-0000-0000-00002A000000}"/>
    <cellStyle name="Normal 2 7" xfId="41" xr:uid="{00000000-0005-0000-0000-00002B000000}"/>
    <cellStyle name="Normal 22 2" xfId="42" xr:uid="{00000000-0005-0000-0000-00002C000000}"/>
    <cellStyle name="Normal 27 2" xfId="43" xr:uid="{00000000-0005-0000-0000-00002D000000}"/>
    <cellStyle name="Normal 3" xfId="44" xr:uid="{00000000-0005-0000-0000-00002E000000}"/>
    <cellStyle name="Normal 31" xfId="45" xr:uid="{00000000-0005-0000-0000-00002F000000}"/>
    <cellStyle name="Normal 33" xfId="46" xr:uid="{00000000-0005-0000-0000-000030000000}"/>
    <cellStyle name="Normal 35" xfId="47" xr:uid="{00000000-0005-0000-0000-000031000000}"/>
    <cellStyle name="Normal 36" xfId="48" xr:uid="{00000000-0005-0000-0000-000032000000}"/>
    <cellStyle name="Normal 4" xfId="49" xr:uid="{00000000-0005-0000-0000-000033000000}"/>
    <cellStyle name="Normal 41" xfId="50" xr:uid="{00000000-0005-0000-0000-000034000000}"/>
    <cellStyle name="Normal 43" xfId="51" xr:uid="{00000000-0005-0000-0000-000035000000}"/>
    <cellStyle name="Normal 44" xfId="52" xr:uid="{00000000-0005-0000-0000-000036000000}"/>
    <cellStyle name="Normal 47" xfId="53" xr:uid="{00000000-0005-0000-0000-000037000000}"/>
    <cellStyle name="Normal 5" xfId="54" xr:uid="{00000000-0005-0000-0000-000038000000}"/>
    <cellStyle name="Normal 53" xfId="55" xr:uid="{00000000-0005-0000-0000-000039000000}"/>
    <cellStyle name="Normal 59" xfId="56" xr:uid="{00000000-0005-0000-0000-00003A000000}"/>
    <cellStyle name="Normal 70" xfId="57" xr:uid="{00000000-0005-0000-0000-00003B000000}"/>
    <cellStyle name="Normal 8" xfId="58" xr:uid="{00000000-0005-0000-0000-00003C000000}"/>
    <cellStyle name="Normal 83" xfId="59" xr:uid="{00000000-0005-0000-0000-00003D000000}"/>
    <cellStyle name="Normal 84" xfId="60" xr:uid="{00000000-0005-0000-0000-00003E000000}"/>
    <cellStyle name="Normal 85" xfId="61" xr:uid="{00000000-0005-0000-0000-00003F000000}"/>
    <cellStyle name="Normal 87" xfId="62" xr:uid="{00000000-0005-0000-0000-000040000000}"/>
    <cellStyle name="Normal 89" xfId="63" xr:uid="{00000000-0005-0000-0000-000041000000}"/>
    <cellStyle name="Normal 92" xfId="64" xr:uid="{00000000-0005-0000-0000-000042000000}"/>
    <cellStyle name="Normal 93" xfId="65" xr:uid="{00000000-0005-0000-0000-000043000000}"/>
    <cellStyle name="p " xfId="66" xr:uid="{00000000-0005-0000-0000-000048000000}"/>
    <cellStyle name="Percent" xfId="1" builtinId="5"/>
    <cellStyle name="Percent 10" xfId="67" xr:uid="{00000000-0005-0000-0000-00004A000000}"/>
    <cellStyle name="Percent 2" xfId="68" xr:uid="{00000000-0005-0000-0000-00004B000000}"/>
    <cellStyle name="Percent 2 2" xfId="69" xr:uid="{00000000-0005-0000-0000-00004C000000}"/>
    <cellStyle name="Percent 3" xfId="70" xr:uid="{00000000-0005-0000-0000-00004D000000}"/>
    <cellStyle name="Percent 4" xfId="71" xr:uid="{00000000-0005-0000-0000-00004E000000}"/>
    <cellStyle name="Percent 85" xfId="72" xr:uid="{00000000-0005-0000-0000-00004F000000}"/>
    <cellStyle name="Percent 88" xfId="73" xr:uid="{00000000-0005-0000-0000-000050000000}"/>
    <cellStyle name="Percent 89" xfId="74" xr:uid="{00000000-0005-0000-0000-000051000000}"/>
    <cellStyle name="QuickSubmitMeasureRowStyleColA" xfId="75" xr:uid="{00000000-0005-0000-0000-000052000000}"/>
    <cellStyle name="QuickSubmitMeasureRowStyleColB" xfId="76" xr:uid="{00000000-0005-0000-0000-000053000000}"/>
    <cellStyle name="RRSInstruction" xfId="77" xr:uid="{00000000-0005-0000-0000-000054000000}"/>
    <cellStyle name="RRSInstruction 2" xfId="78" xr:uid="{00000000-0005-0000-0000-000055000000}"/>
    <cellStyle name="s_HardInc " xfId="79" xr:uid="{00000000-0005-0000-0000-000056000000}"/>
    <cellStyle name="s_Valuation " xfId="80" xr:uid="{00000000-0005-0000-0000-000057000000}"/>
    <cellStyle name="SectionHeaderRow" xfId="81" xr:uid="{00000000-0005-0000-0000-000058000000}"/>
    <cellStyle name="SectionHeaderRowJK" xfId="82" xr:uid="{00000000-0005-0000-0000-000059000000}"/>
    <cellStyle name="ssp " xfId="83" xr:uid="{00000000-0005-0000-0000-00005A000000}"/>
    <cellStyle name="표준_0N-HANDLING " xfId="84" xr:uid="{00000000-0005-0000-0000-00005B000000}"/>
  </cellStyles>
  <dxfs count="0"/>
  <tableStyles count="1" defaultTableStyle="TableStyleMedium2" defaultPivotStyle="PivotStyleLight16">
    <tableStyle name="Invisible" pivot="0" table="0" count="0" xr9:uid="{BDEF84DC-ADF6-4046-988B-B909DEAAABDF}"/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9.xml"/><Relationship Id="rId21" Type="http://schemas.openxmlformats.org/officeDocument/2006/relationships/externalLink" Target="externalLinks/externalLink14.xml"/><Relationship Id="rId42" Type="http://schemas.openxmlformats.org/officeDocument/2006/relationships/externalLink" Target="externalLinks/externalLink35.xml"/><Relationship Id="rId47" Type="http://schemas.openxmlformats.org/officeDocument/2006/relationships/externalLink" Target="externalLinks/externalLink40.xml"/><Relationship Id="rId63" Type="http://schemas.openxmlformats.org/officeDocument/2006/relationships/externalLink" Target="externalLinks/externalLink56.xml"/><Relationship Id="rId68" Type="http://schemas.openxmlformats.org/officeDocument/2006/relationships/externalLink" Target="externalLinks/externalLink61.xml"/><Relationship Id="rId16" Type="http://schemas.openxmlformats.org/officeDocument/2006/relationships/externalLink" Target="externalLinks/externalLink9.xml"/><Relationship Id="rId11" Type="http://schemas.openxmlformats.org/officeDocument/2006/relationships/externalLink" Target="externalLinks/externalLink4.xml"/><Relationship Id="rId24" Type="http://schemas.openxmlformats.org/officeDocument/2006/relationships/externalLink" Target="externalLinks/externalLink17.xml"/><Relationship Id="rId32" Type="http://schemas.openxmlformats.org/officeDocument/2006/relationships/externalLink" Target="externalLinks/externalLink25.xml"/><Relationship Id="rId37" Type="http://schemas.openxmlformats.org/officeDocument/2006/relationships/externalLink" Target="externalLinks/externalLink30.xml"/><Relationship Id="rId40" Type="http://schemas.openxmlformats.org/officeDocument/2006/relationships/externalLink" Target="externalLinks/externalLink33.xml"/><Relationship Id="rId45" Type="http://schemas.openxmlformats.org/officeDocument/2006/relationships/externalLink" Target="externalLinks/externalLink38.xml"/><Relationship Id="rId53" Type="http://schemas.openxmlformats.org/officeDocument/2006/relationships/externalLink" Target="externalLinks/externalLink46.xml"/><Relationship Id="rId58" Type="http://schemas.openxmlformats.org/officeDocument/2006/relationships/externalLink" Target="externalLinks/externalLink51.xml"/><Relationship Id="rId66" Type="http://schemas.openxmlformats.org/officeDocument/2006/relationships/externalLink" Target="externalLinks/externalLink59.xml"/><Relationship Id="rId74" Type="http://schemas.openxmlformats.org/officeDocument/2006/relationships/externalLink" Target="externalLinks/externalLink67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54.xml"/><Relationship Id="rId19" Type="http://schemas.openxmlformats.org/officeDocument/2006/relationships/externalLink" Target="externalLinks/externalLink12.xml"/><Relationship Id="rId14" Type="http://schemas.openxmlformats.org/officeDocument/2006/relationships/externalLink" Target="externalLinks/externalLink7.xml"/><Relationship Id="rId22" Type="http://schemas.openxmlformats.org/officeDocument/2006/relationships/externalLink" Target="externalLinks/externalLink15.xml"/><Relationship Id="rId27" Type="http://schemas.openxmlformats.org/officeDocument/2006/relationships/externalLink" Target="externalLinks/externalLink20.xml"/><Relationship Id="rId30" Type="http://schemas.openxmlformats.org/officeDocument/2006/relationships/externalLink" Target="externalLinks/externalLink23.xml"/><Relationship Id="rId35" Type="http://schemas.openxmlformats.org/officeDocument/2006/relationships/externalLink" Target="externalLinks/externalLink28.xml"/><Relationship Id="rId43" Type="http://schemas.openxmlformats.org/officeDocument/2006/relationships/externalLink" Target="externalLinks/externalLink36.xml"/><Relationship Id="rId48" Type="http://schemas.openxmlformats.org/officeDocument/2006/relationships/externalLink" Target="externalLinks/externalLink41.xml"/><Relationship Id="rId56" Type="http://schemas.openxmlformats.org/officeDocument/2006/relationships/externalLink" Target="externalLinks/externalLink49.xml"/><Relationship Id="rId64" Type="http://schemas.openxmlformats.org/officeDocument/2006/relationships/externalLink" Target="externalLinks/externalLink57.xml"/><Relationship Id="rId69" Type="http://schemas.openxmlformats.org/officeDocument/2006/relationships/externalLink" Target="externalLinks/externalLink62.xml"/><Relationship Id="rId77" Type="http://schemas.openxmlformats.org/officeDocument/2006/relationships/sharedStrings" Target="sharedStrings.xml"/><Relationship Id="rId8" Type="http://schemas.openxmlformats.org/officeDocument/2006/relationships/externalLink" Target="externalLinks/externalLink1.xml"/><Relationship Id="rId51" Type="http://schemas.openxmlformats.org/officeDocument/2006/relationships/externalLink" Target="externalLinks/externalLink44.xml"/><Relationship Id="rId72" Type="http://schemas.openxmlformats.org/officeDocument/2006/relationships/externalLink" Target="externalLinks/externalLink65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externalLink" Target="externalLinks/externalLink18.xml"/><Relationship Id="rId33" Type="http://schemas.openxmlformats.org/officeDocument/2006/relationships/externalLink" Target="externalLinks/externalLink26.xml"/><Relationship Id="rId38" Type="http://schemas.openxmlformats.org/officeDocument/2006/relationships/externalLink" Target="externalLinks/externalLink31.xml"/><Relationship Id="rId46" Type="http://schemas.openxmlformats.org/officeDocument/2006/relationships/externalLink" Target="externalLinks/externalLink39.xml"/><Relationship Id="rId59" Type="http://schemas.openxmlformats.org/officeDocument/2006/relationships/externalLink" Target="externalLinks/externalLink52.xml"/><Relationship Id="rId67" Type="http://schemas.openxmlformats.org/officeDocument/2006/relationships/externalLink" Target="externalLinks/externalLink60.xml"/><Relationship Id="rId20" Type="http://schemas.openxmlformats.org/officeDocument/2006/relationships/externalLink" Target="externalLinks/externalLink13.xml"/><Relationship Id="rId41" Type="http://schemas.openxmlformats.org/officeDocument/2006/relationships/externalLink" Target="externalLinks/externalLink34.xml"/><Relationship Id="rId54" Type="http://schemas.openxmlformats.org/officeDocument/2006/relationships/externalLink" Target="externalLinks/externalLink47.xml"/><Relationship Id="rId62" Type="http://schemas.openxmlformats.org/officeDocument/2006/relationships/externalLink" Target="externalLinks/externalLink55.xml"/><Relationship Id="rId70" Type="http://schemas.openxmlformats.org/officeDocument/2006/relationships/externalLink" Target="externalLinks/externalLink63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8.xml"/><Relationship Id="rId23" Type="http://schemas.openxmlformats.org/officeDocument/2006/relationships/externalLink" Target="externalLinks/externalLink16.xml"/><Relationship Id="rId28" Type="http://schemas.openxmlformats.org/officeDocument/2006/relationships/externalLink" Target="externalLinks/externalLink21.xml"/><Relationship Id="rId36" Type="http://schemas.openxmlformats.org/officeDocument/2006/relationships/externalLink" Target="externalLinks/externalLink29.xml"/><Relationship Id="rId49" Type="http://schemas.openxmlformats.org/officeDocument/2006/relationships/externalLink" Target="externalLinks/externalLink42.xml"/><Relationship Id="rId57" Type="http://schemas.openxmlformats.org/officeDocument/2006/relationships/externalLink" Target="externalLinks/externalLink50.xml"/><Relationship Id="rId10" Type="http://schemas.openxmlformats.org/officeDocument/2006/relationships/externalLink" Target="externalLinks/externalLink3.xml"/><Relationship Id="rId31" Type="http://schemas.openxmlformats.org/officeDocument/2006/relationships/externalLink" Target="externalLinks/externalLink24.xml"/><Relationship Id="rId44" Type="http://schemas.openxmlformats.org/officeDocument/2006/relationships/externalLink" Target="externalLinks/externalLink37.xml"/><Relationship Id="rId52" Type="http://schemas.openxmlformats.org/officeDocument/2006/relationships/externalLink" Target="externalLinks/externalLink45.xml"/><Relationship Id="rId60" Type="http://schemas.openxmlformats.org/officeDocument/2006/relationships/externalLink" Target="externalLinks/externalLink53.xml"/><Relationship Id="rId65" Type="http://schemas.openxmlformats.org/officeDocument/2006/relationships/externalLink" Target="externalLinks/externalLink58.xml"/><Relationship Id="rId73" Type="http://schemas.openxmlformats.org/officeDocument/2006/relationships/externalLink" Target="externalLinks/externalLink66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39" Type="http://schemas.openxmlformats.org/officeDocument/2006/relationships/externalLink" Target="externalLinks/externalLink32.xml"/><Relationship Id="rId34" Type="http://schemas.openxmlformats.org/officeDocument/2006/relationships/externalLink" Target="externalLinks/externalLink27.xml"/><Relationship Id="rId50" Type="http://schemas.openxmlformats.org/officeDocument/2006/relationships/externalLink" Target="externalLinks/externalLink43.xml"/><Relationship Id="rId55" Type="http://schemas.openxmlformats.org/officeDocument/2006/relationships/externalLink" Target="externalLinks/externalLink4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64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'Funds fee streams'!$S$81</c:f>
              <c:strCache>
                <c:ptCount val="1"/>
                <c:pt idx="0">
                  <c:v>External AUM $bn (LHS)</c:v>
                </c:pt>
              </c:strCache>
            </c:strRef>
          </c:tx>
          <c:invertIfNegative val="0"/>
          <c:cat>
            <c:strRef>
              <c:f>'Funds fee streams'!$T$80:$AG$80</c:f>
              <c:strCache>
                <c:ptCount val="14"/>
                <c:pt idx="0">
                  <c:v>HY16</c:v>
                </c:pt>
                <c:pt idx="1">
                  <c:v>2H16</c:v>
                </c:pt>
                <c:pt idx="2">
                  <c:v>HY17</c:v>
                </c:pt>
                <c:pt idx="3">
                  <c:v>2H17</c:v>
                </c:pt>
                <c:pt idx="4">
                  <c:v>HY18</c:v>
                </c:pt>
                <c:pt idx="5">
                  <c:v>2H18</c:v>
                </c:pt>
                <c:pt idx="6">
                  <c:v>HY19</c:v>
                </c:pt>
                <c:pt idx="7">
                  <c:v>2H19</c:v>
                </c:pt>
                <c:pt idx="8">
                  <c:v>HY20e</c:v>
                </c:pt>
                <c:pt idx="9">
                  <c:v>2H20e</c:v>
                </c:pt>
                <c:pt idx="10">
                  <c:v>HY21e</c:v>
                </c:pt>
                <c:pt idx="11">
                  <c:v>2H21e</c:v>
                </c:pt>
                <c:pt idx="12">
                  <c:v>HY22e</c:v>
                </c:pt>
                <c:pt idx="13">
                  <c:v>2H22e</c:v>
                </c:pt>
              </c:strCache>
            </c:strRef>
          </c:cat>
          <c:val>
            <c:numRef>
              <c:f>'Funds fee streams'!$T$81:$AG$81</c:f>
              <c:numCache>
                <c:formatCode>0</c:formatCode>
                <c:ptCount val="14"/>
                <c:pt idx="0">
                  <c:v>28.1</c:v>
                </c:pt>
                <c:pt idx="1">
                  <c:v>29.3</c:v>
                </c:pt>
                <c:pt idx="2">
                  <c:v>30.1</c:v>
                </c:pt>
                <c:pt idx="3">
                  <c:v>30.5</c:v>
                </c:pt>
                <c:pt idx="4">
                  <c:v>31.1</c:v>
                </c:pt>
                <c:pt idx="5">
                  <c:v>35.1</c:v>
                </c:pt>
                <c:pt idx="6">
                  <c:v>39.6</c:v>
                </c:pt>
                <c:pt idx="7">
                  <c:v>42.9</c:v>
                </c:pt>
                <c:pt idx="8">
                  <c:v>45.7</c:v>
                </c:pt>
                <c:pt idx="9">
                  <c:v>48</c:v>
                </c:pt>
                <c:pt idx="10">
                  <c:v>48.5</c:v>
                </c:pt>
                <c:pt idx="11">
                  <c:v>54</c:v>
                </c:pt>
                <c:pt idx="12">
                  <c:v>64.099999999999994</c:v>
                </c:pt>
                <c:pt idx="13">
                  <c:v>68.7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4-4E92-BB16-B7C1C74C4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637632"/>
        <c:axId val="179791360"/>
      </c:barChart>
      <c:lineChart>
        <c:grouping val="standard"/>
        <c:varyColors val="0"/>
        <c:ser>
          <c:idx val="1"/>
          <c:order val="1"/>
          <c:tx>
            <c:strRef>
              <c:f>'Funds fee streams'!$S$82</c:f>
              <c:strCache>
                <c:ptCount val="1"/>
                <c:pt idx="0">
                  <c:v>Mgmt fee $m (RHS)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FFC000"/>
              </a:solidFill>
            </c:spPr>
          </c:marker>
          <c:cat>
            <c:strRef>
              <c:f>'Funds fee streams'!$T$80:$AG$80</c:f>
              <c:strCache>
                <c:ptCount val="14"/>
                <c:pt idx="0">
                  <c:v>HY16</c:v>
                </c:pt>
                <c:pt idx="1">
                  <c:v>2H16</c:v>
                </c:pt>
                <c:pt idx="2">
                  <c:v>HY17</c:v>
                </c:pt>
                <c:pt idx="3">
                  <c:v>2H17</c:v>
                </c:pt>
                <c:pt idx="4">
                  <c:v>HY18</c:v>
                </c:pt>
                <c:pt idx="5">
                  <c:v>2H18</c:v>
                </c:pt>
                <c:pt idx="6">
                  <c:v>HY19</c:v>
                </c:pt>
                <c:pt idx="7">
                  <c:v>2H19</c:v>
                </c:pt>
                <c:pt idx="8">
                  <c:v>HY20e</c:v>
                </c:pt>
                <c:pt idx="9">
                  <c:v>2H20e</c:v>
                </c:pt>
                <c:pt idx="10">
                  <c:v>HY21e</c:v>
                </c:pt>
                <c:pt idx="11">
                  <c:v>2H21e</c:v>
                </c:pt>
                <c:pt idx="12">
                  <c:v>HY22e</c:v>
                </c:pt>
                <c:pt idx="13">
                  <c:v>2H22e</c:v>
                </c:pt>
              </c:strCache>
            </c:strRef>
          </c:cat>
          <c:val>
            <c:numRef>
              <c:f>'Funds fee streams'!$T$82:$AG$82</c:f>
              <c:numCache>
                <c:formatCode>_-* #,##0_-;\-* #,##0_-;_-* "-"??_-;_-@_-</c:formatCode>
                <c:ptCount val="14"/>
                <c:pt idx="0">
                  <c:v>147.19999999999999</c:v>
                </c:pt>
                <c:pt idx="1">
                  <c:v>112.5</c:v>
                </c:pt>
                <c:pt idx="2">
                  <c:v>156.5</c:v>
                </c:pt>
                <c:pt idx="3">
                  <c:v>110.10000000000002</c:v>
                </c:pt>
                <c:pt idx="4">
                  <c:v>164.7</c:v>
                </c:pt>
                <c:pt idx="5">
                  <c:v>151.80000000000001</c:v>
                </c:pt>
                <c:pt idx="6">
                  <c:v>189.4</c:v>
                </c:pt>
                <c:pt idx="7">
                  <c:v>280.29999999999995</c:v>
                </c:pt>
                <c:pt idx="8">
                  <c:v>219</c:v>
                </c:pt>
                <c:pt idx="9">
                  <c:v>292.2</c:v>
                </c:pt>
                <c:pt idx="10">
                  <c:v>219.2</c:v>
                </c:pt>
                <c:pt idx="11">
                  <c:v>239.90000000000003</c:v>
                </c:pt>
                <c:pt idx="12">
                  <c:v>258.2</c:v>
                </c:pt>
                <c:pt idx="13">
                  <c:v>330.2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4-4E92-BB16-B7C1C74C4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795456"/>
        <c:axId val="179793280"/>
      </c:lineChart>
      <c:catAx>
        <c:axId val="179637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9791360"/>
        <c:crosses val="autoZero"/>
        <c:auto val="1"/>
        <c:lblAlgn val="ctr"/>
        <c:lblOffset val="100"/>
        <c:noMultiLvlLbl val="0"/>
      </c:catAx>
      <c:valAx>
        <c:axId val="1797913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$bn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79637632"/>
        <c:crosses val="autoZero"/>
        <c:crossBetween val="between"/>
      </c:valAx>
      <c:valAx>
        <c:axId val="17979328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$m</a:t>
                </a:r>
              </a:p>
            </c:rich>
          </c:tx>
          <c:overlay val="0"/>
        </c:title>
        <c:numFmt formatCode="_-* #,##0_-;\-* #,##0_-;_-* &quot;-&quot;??_-;_-@_-" sourceLinked="1"/>
        <c:majorTickMark val="out"/>
        <c:minorTickMark val="none"/>
        <c:tickLblPos val="nextTo"/>
        <c:crossAx val="179795456"/>
        <c:crosses val="max"/>
        <c:crossBetween val="between"/>
      </c:valAx>
      <c:catAx>
        <c:axId val="179795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9793280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2</xdr:col>
      <xdr:colOff>406618</xdr:colOff>
      <xdr:row>1</xdr:row>
      <xdr:rowOff>5756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818DAB-B678-8344-8D6A-F042506F8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0"/>
          <a:ext cx="1562318" cy="295316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195</xdr:row>
      <xdr:rowOff>182879</xdr:rowOff>
    </xdr:from>
    <xdr:to>
      <xdr:col>10</xdr:col>
      <xdr:colOff>527050</xdr:colOff>
      <xdr:row>217</xdr:row>
      <xdr:rowOff>121919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E7CB5F5-26BE-6BEE-BD43-159C3FD51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36073079"/>
          <a:ext cx="6496050" cy="396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276224</xdr:colOff>
      <xdr:row>83</xdr:row>
      <xdr:rowOff>19049</xdr:rowOff>
    </xdr:from>
    <xdr:to>
      <xdr:col>28</xdr:col>
      <xdr:colOff>533399</xdr:colOff>
      <xdr:row>108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Property\C%20I%20T\cit-jim-mcs\cit-jmcs-model\cit-x-se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y%20Documents\EPS\EPS_Calculator_v2(1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YDMAIN\DATA\General%20Ledger\GL%20Team\Jenny\Work%20Papers\Miscellaneous\ADVANCES\ADVMAR9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Startup" Target="chwang/EM/OLD/OLD_2008/BF%202Q08/Copy%20of%20KS05555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Startup" Target="chwang/EM/KS08679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Startup" Target="chwang/EM/OLD/OLD_2007/Copy%20of%20KS005270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Startup" Target="chwang/EM/OLD/OLD_2008/BF%202Q08/Copy%20of%20KS004940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Startup" Target="chwang/EM/Open%20Platform/OPCh%20WFH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ocuments\&#49464;&#47924;\&#51064;&#51221;&#51060;&#51088;\&#51452;&#53469;&#49548;&#50976;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Startup" Target="fig/Joon%20Download/Documents%20and%20Settings/djookim/My%20Documents/&#44048;&#49324;/&#48516;&#48152;&#44592;&#44160;&#53664;/LG&#52852;&#46300;/2002&#45380;&#48152;&#44592;/Book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ublic/Morgan%20Stanley/ModelWare/MWAnalytics/GEG/rr%20sheet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Mgt%20Rpt\Common\GL%20Reconciliations\2004-2005\LLPMA\5%20Nov%2004\LLPMA%20Nov04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Trust\Common\General%20Property%20Trust\Accounting\Reporting\2000\Accounts\June%2000%20accounts\GPT%200600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Journals\Reconciliations\REC%2000-01\72710_FEB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rust\Common\General%20Property%20Trust\Accounting\GPTMH\GL%20Reconciliations\FY2005-2006\GPT%20Management%20Holdings%20Limited\3.December%2005\December%202005(inclu%20Consol)v2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Documents%20and%20Settings\user\Local%20Settings\Temporary%20Internet%20Files\OLKF\GPT%20Consol%20Accounts%20-%20Dec%202005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znf01\REIL\Trust\Common\General%20Property%20Trust\Accounting\Reporting\1999\Distribution\Sept%2099%20Distribution\gpt%200699\Workpapers\GPT699%20trust%20exps%20for%20Kieran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search\property\Companies\GPT\GPT%20IQ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B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Documents%20and%20Settings\henr914\Desktop\EPS_Calculator_v2(1)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Trust\Common\General%20Property%20Trust\Accounting\Reporting\2004\Dec04\Accounts\GPT%20Dec04%20AccountsVs6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Trust\Common\General%20Property%20Trust\Accounting\Reporting\2005\Jun%2005\8.%20Final%20Accounts%20&amp;%20Cashflow\GPT%20Jun05%20Accounts%20GPT%20GROUP%20CONSOLFINAL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Opportunity%20Fund\Broker%20Models\EOP\EOP%20-%20CITI%2008_17_04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search\property\%23%20MGR\%23%23_MGRdist_IQ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GT\Work%20completed%20in%20London%20-%20pre%20review%20and%20move%20to%20post%20GT\oldwacc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INDUSTR\Real%20Estate\Property%20Trusts\Diversified\Trafalgar-%20TPG\JR%20Docs\JR.%20TGPdata_yellow%20BUILD%20UP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Startup" Target="%23%20DOT/%23%23_DOTDIST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INDUSTR\Real%20Estate\Property%20Trusts\General\sector_valuations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INDUSTR\Real%20Estate\Property%20Trusts\Retail\BWP\BWPdata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search\property\%23%20VPG\%23%23_VPGDist_iQ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search\property\retail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search\property\%23%20IPG\%23%23_IPGdist_IQ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search\property\%23%20MCW\%23%23%20MCW_DIST%20as%20base%20for%20new%20data%20tab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search\property\%23%20SGP\%23%23_SGPdist_IQ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search\property\%23%20MGR\%23%23_MGRdist_IQ.JR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INDUSTR\Real%20Estate\Property%20Trusts\General\sector_valuations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GP%20-%20JR\OLD%20SGP\SGP_JR%20Original%20data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INDUSTR\Real%20Estate\Property%20Trusts\Models\SGPdata_JR%20FINAL%20NEW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search\property\mpt\mgrdist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search\property\%23%20IPG\IPGdist%20pre%20POF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search\property\%23%20MGR\%23%23_MGRdist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COME%20STATEMENT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INDUSTR\Real%20Estate\Property%20Trusts\Diversified\Mirvac%20-%20MGR\JR%20Docs\JR%20Models%20WIP\MGR_JR%20BUILD-UP_aw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/Research/property/Big%20Picture/Operating%20Stats%20(NOI,%20WALE,%20Occ)/NOI%20&amp;%20Occupancy%20&amp;%20WALE%20updated%20to%20H11%20WIP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KNP9V9/AppData/Local/Microsoft/Windows/Temporary%20Internet%20Files/Content.Outlook/SFTR8Y81/MeanRev%20WIP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search\property\Companies\DXS\DRT%20IQ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INDUSTR\DEVCON\WSF\WSFDATA2001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INDUSTR\Real%20Estate\Developers\LLC\JR%20Docs\WIP%20Models\JR.llcdata_Build%20Up%20v7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General%20Ledger\Group%20Finance\Trial%20Balances%20June%202000\tb800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its\PROP-TYP\APTS\ASN\ASN_21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Trust\Common\General%20Property%20Trust\Accounting\Reporting\1999\Accounts\Dec%2099%20accounts\GPT%201299%20incl%20MC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Share\Utilities%20Sector\AGL\NetCo\2.%20Models%20and%20Valuation\NetTrust%20Consolidation\Radius%20Model%20Apr%2024%20-%20Vic%20E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industr\Telcom\HTA\HTAdata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Documents%20and%20Settings\Abush\Local%20Settings\Temporary%20Internet%20Files\OLK443\Reits\PROP-TYP\RETAIL\MALLS\GGP\MODEL\GGP19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Documents%20and%20Settings\nkanna\Local%20Settings\Temporary%20Internet%20Files\OLK2B4\BXP_1Q06%20new_upgrade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SGP%20-%20JR\SGP_JR%20Original%20data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INDUSTR\INFRA\AGL\AGLDATA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INDUSTR\INFRA\AGL\AGLDATA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Share\Utilities%20Sector\AGL\NetCo\2.%20Models%20and%20Valuation\NetTrust%20Consolidation\Radius%20Model%20Apr%2024%20-%20consolidation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TEMP\WINNT\Profiles\markgosling\Temporary%20Internet%20Files\OLK39\MH%20CPI%20Model%206%20-%20Omega2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GT\Work%20completed%20in%20London%20-%20pre%20review%20and%20move%20to%20post%20GT\WSFDATA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Research\property\%23%20MCW\%23%23%20MCW_DIST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Consolidated%20Finance%20Function\John%20Fairfax%20Publications\Reconciliations\FY2004\08.%20Feb%2004\Herald_Commercial%20Bal_Sheet_Recs_0104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Consolidated%20Finance%20Function\John%20Fairfax%20Publications\Reconciliations\FY2004\08.%20Feb%2004\Herald_Commercial_1203%23Zika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.aja.win.ml.com\sydney\Documents%20and%20Settings\sankagay\Local%20Settings\Temporary%20Internet%20Files\OLKD\MGR_jr%20data%20OriginalYellow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nz\sydney\Research\property\Daysheet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InsightReports\Reports\ConsManagementAccounts%20-%20Nov%2020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cit-x-set"/>
      <sheetName val="G4-MIX"/>
      <sheetName val="STC"/>
      <sheetName val="tb"/>
      <sheetName val="accounts"/>
      <sheetName val="INPUT"/>
      <sheetName val="WSPropSummaryA"/>
      <sheetName val="Fut_Perf"/>
      <sheetName val="#REF"/>
      <sheetName val="Borrowing Costs"/>
      <sheetName val="d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Sheet"/>
      <sheetName val="Input Sheet"/>
      <sheetName val="EPS Disclosure Note"/>
      <sheetName val="Summary Results"/>
      <sheetName val="Guidance"/>
      <sheetName val="Earnings for Basic EPS"/>
      <sheetName val="Basic WANOS"/>
      <sheetName val="Earnings for Diluted EPS"/>
      <sheetName val="Trigger Test"/>
      <sheetName val="Diluted WANOS"/>
      <sheetName val="EPS - more than one category"/>
      <sheetName val="Restatement of Prior Year"/>
      <sheetName val="Manager Review Checklist"/>
      <sheetName val="Internal Orders"/>
      <sheetName val="SAP_COA"/>
      <sheetName val="Input"/>
      <sheetName val="Tenant List"/>
    </sheetNames>
    <sheetDataSet>
      <sheetData sheetId="0" refreshError="1"/>
      <sheetData sheetId="1" refreshError="1"/>
      <sheetData sheetId="2" refreshError="1">
        <row r="9">
          <cell r="A9" t="str">
            <v>1027.17.2.1</v>
          </cell>
          <cell r="B9" t="str">
            <v>Diluted earnings per share</v>
          </cell>
          <cell r="C9">
            <v>0</v>
          </cell>
        </row>
        <row r="16">
          <cell r="A16" t="str">
            <v>1027.21.2</v>
          </cell>
          <cell r="B16" t="str">
            <v>Alternative diluted earnings per share</v>
          </cell>
          <cell r="C16">
            <v>0</v>
          </cell>
        </row>
        <row r="17">
          <cell r="B17" t="str">
            <v>There is no alternative earnings per share, therefore no further work is required here - leave this orange cell blank.</v>
          </cell>
        </row>
        <row r="43">
          <cell r="A43" t="str">
            <v>1027.18.1(a),</v>
          </cell>
          <cell r="B43" t="str">
            <v>Diluted and alternative diluted earnings per share</v>
          </cell>
        </row>
        <row r="44">
          <cell r="A44">
            <v>20.3</v>
          </cell>
          <cell r="B44" t="str">
            <v xml:space="preserve">  Net profit</v>
          </cell>
          <cell r="C44">
            <v>0</v>
          </cell>
        </row>
        <row r="45">
          <cell r="A45" t="str">
            <v>1027.7.1(a)</v>
          </cell>
          <cell r="B45" t="str">
            <v xml:space="preserve">  Change in accounting policy for ……. adjusted against retained profits (only relevant for prior year comparatives)</v>
          </cell>
          <cell r="C45">
            <v>0</v>
          </cell>
        </row>
        <row r="46">
          <cell r="A46" t="str">
            <v>1027.7.1(b)</v>
          </cell>
          <cell r="B46" t="str">
            <v xml:space="preserve">  Fundamental error (only relevant for prior year comparatives)</v>
          </cell>
          <cell r="C46">
            <v>0</v>
          </cell>
        </row>
        <row r="47">
          <cell r="B47" t="str">
            <v xml:space="preserve">  Dividends on preference shares</v>
          </cell>
          <cell r="C47">
            <v>0</v>
          </cell>
        </row>
        <row r="48">
          <cell r="B48" t="str">
            <v xml:space="preserve">  Net profit attributable to outside equity interest</v>
          </cell>
          <cell r="C48">
            <v>0</v>
          </cell>
        </row>
        <row r="49">
          <cell r="B49" t="str">
            <v xml:space="preserve">  Interest expense associated with dilutive potential ordinary shares</v>
          </cell>
        </row>
        <row r="50">
          <cell r="B50" t="str">
            <v xml:space="preserve">  recognised as an expense in the current reporting year</v>
          </cell>
          <cell r="C50">
            <v>0</v>
          </cell>
        </row>
        <row r="51">
          <cell r="B51" t="str">
            <v xml:space="preserve">  Other financing costs associated with dilutive potential </v>
          </cell>
        </row>
        <row r="52">
          <cell r="B52" t="str">
            <v xml:space="preserve">  ordinary shares recognised as an expense in the current reporting year</v>
          </cell>
          <cell r="C52">
            <v>0</v>
          </cell>
        </row>
        <row r="53">
          <cell r="B53" t="str">
            <v xml:space="preserve">  Other non-discretionary changes in revenue/expense items</v>
          </cell>
          <cell r="C53">
            <v>0</v>
          </cell>
        </row>
        <row r="54">
          <cell r="B54" t="str">
            <v xml:space="preserve">  Earnings used in calculating diluted earnings per share</v>
          </cell>
          <cell r="C54">
            <v>0</v>
          </cell>
        </row>
        <row r="55">
          <cell r="B55" t="str">
            <v xml:space="preserve">  Correction of fundamental error (example adjustment only)</v>
          </cell>
          <cell r="C55">
            <v>0</v>
          </cell>
        </row>
        <row r="56">
          <cell r="B56" t="str">
            <v xml:space="preserve">  Extraordinary item (example adjustment only)</v>
          </cell>
          <cell r="C56">
            <v>0</v>
          </cell>
        </row>
        <row r="57">
          <cell r="B57" t="str">
            <v xml:space="preserve">  Earnings used in calculating alternative diluted earnings per share  (if applicable)
</v>
          </cell>
          <cell r="C57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59">
          <cell r="I59" t="str">
            <v/>
          </cell>
          <cell r="J59">
            <v>0</v>
          </cell>
          <cell r="M59" t="str">
            <v/>
          </cell>
        </row>
        <row r="60">
          <cell r="I60" t="str">
            <v/>
          </cell>
          <cell r="J60">
            <v>0</v>
          </cell>
          <cell r="M60" t="str">
            <v/>
          </cell>
        </row>
        <row r="61">
          <cell r="I61" t="str">
            <v/>
          </cell>
          <cell r="J61">
            <v>0</v>
          </cell>
          <cell r="M61" t="str">
            <v/>
          </cell>
        </row>
        <row r="62">
          <cell r="I62" t="str">
            <v/>
          </cell>
          <cell r="J62">
            <v>0</v>
          </cell>
          <cell r="M62" t="str">
            <v/>
          </cell>
        </row>
        <row r="63">
          <cell r="I63" t="str">
            <v/>
          </cell>
          <cell r="J63">
            <v>0</v>
          </cell>
          <cell r="M63" t="str">
            <v/>
          </cell>
        </row>
        <row r="64">
          <cell r="I64" t="str">
            <v/>
          </cell>
          <cell r="J64">
            <v>0</v>
          </cell>
          <cell r="M64" t="str">
            <v/>
          </cell>
        </row>
        <row r="65">
          <cell r="I65" t="str">
            <v/>
          </cell>
          <cell r="J65">
            <v>0</v>
          </cell>
          <cell r="M65" t="str">
            <v/>
          </cell>
        </row>
        <row r="66">
          <cell r="I66" t="str">
            <v/>
          </cell>
          <cell r="J66">
            <v>0</v>
          </cell>
          <cell r="M66" t="str">
            <v/>
          </cell>
        </row>
        <row r="67">
          <cell r="I67" t="str">
            <v/>
          </cell>
          <cell r="J67">
            <v>0</v>
          </cell>
          <cell r="M67" t="str">
            <v/>
          </cell>
        </row>
        <row r="68">
          <cell r="I68" t="str">
            <v/>
          </cell>
          <cell r="J68">
            <v>0</v>
          </cell>
          <cell r="M68" t="str">
            <v/>
          </cell>
        </row>
        <row r="69">
          <cell r="I69" t="str">
            <v/>
          </cell>
          <cell r="J69">
            <v>0</v>
          </cell>
          <cell r="M69" t="str">
            <v/>
          </cell>
        </row>
        <row r="79">
          <cell r="J79" t="str">
            <v/>
          </cell>
          <cell r="K79">
            <v>0</v>
          </cell>
          <cell r="N79" t="str">
            <v/>
          </cell>
        </row>
        <row r="80">
          <cell r="J80" t="str">
            <v/>
          </cell>
          <cell r="K80">
            <v>0</v>
          </cell>
          <cell r="N80" t="str">
            <v/>
          </cell>
        </row>
        <row r="81">
          <cell r="J81" t="str">
            <v/>
          </cell>
          <cell r="K81">
            <v>0</v>
          </cell>
          <cell r="N81" t="str">
            <v/>
          </cell>
        </row>
        <row r="82">
          <cell r="J82" t="str">
            <v/>
          </cell>
          <cell r="K82">
            <v>0</v>
          </cell>
          <cell r="N82" t="str">
            <v/>
          </cell>
        </row>
        <row r="83">
          <cell r="J83" t="str">
            <v/>
          </cell>
          <cell r="K83">
            <v>0</v>
          </cell>
          <cell r="N83" t="str">
            <v/>
          </cell>
        </row>
        <row r="84">
          <cell r="J84" t="str">
            <v/>
          </cell>
          <cell r="K84">
            <v>0</v>
          </cell>
          <cell r="N84" t="str">
            <v/>
          </cell>
        </row>
        <row r="85">
          <cell r="J85" t="str">
            <v/>
          </cell>
          <cell r="K85">
            <v>0</v>
          </cell>
          <cell r="N85" t="str">
            <v/>
          </cell>
        </row>
        <row r="86">
          <cell r="J86" t="str">
            <v/>
          </cell>
          <cell r="K86">
            <v>0</v>
          </cell>
          <cell r="N86" t="str">
            <v/>
          </cell>
        </row>
        <row r="87">
          <cell r="J87" t="str">
            <v/>
          </cell>
          <cell r="K87">
            <v>0</v>
          </cell>
          <cell r="N87" t="str">
            <v/>
          </cell>
        </row>
        <row r="88">
          <cell r="J88" t="str">
            <v/>
          </cell>
          <cell r="K88">
            <v>0</v>
          </cell>
          <cell r="N88" t="str">
            <v/>
          </cell>
        </row>
        <row r="98">
          <cell r="I98">
            <v>0</v>
          </cell>
          <cell r="J98">
            <v>0</v>
          </cell>
          <cell r="M98" t="str">
            <v/>
          </cell>
        </row>
        <row r="99">
          <cell r="I99">
            <v>0</v>
          </cell>
          <cell r="J99">
            <v>0</v>
          </cell>
          <cell r="M99" t="str">
            <v/>
          </cell>
        </row>
        <row r="100">
          <cell r="I100">
            <v>0</v>
          </cell>
          <cell r="J100">
            <v>0</v>
          </cell>
          <cell r="M100" t="str">
            <v/>
          </cell>
        </row>
        <row r="101">
          <cell r="I101">
            <v>0</v>
          </cell>
          <cell r="J101">
            <v>0</v>
          </cell>
          <cell r="M101" t="str">
            <v/>
          </cell>
        </row>
        <row r="102">
          <cell r="I102">
            <v>0</v>
          </cell>
          <cell r="J102">
            <v>0</v>
          </cell>
          <cell r="M102" t="str">
            <v/>
          </cell>
        </row>
        <row r="103">
          <cell r="I103">
            <v>0</v>
          </cell>
          <cell r="J103">
            <v>0</v>
          </cell>
          <cell r="M103" t="str">
            <v/>
          </cell>
        </row>
        <row r="104">
          <cell r="I104">
            <v>0</v>
          </cell>
          <cell r="J104">
            <v>0</v>
          </cell>
          <cell r="M104" t="str">
            <v/>
          </cell>
        </row>
        <row r="105">
          <cell r="I105">
            <v>0</v>
          </cell>
          <cell r="J105">
            <v>0</v>
          </cell>
          <cell r="M105" t="str">
            <v/>
          </cell>
        </row>
        <row r="106">
          <cell r="I106">
            <v>0</v>
          </cell>
          <cell r="J106">
            <v>0</v>
          </cell>
          <cell r="M106" t="str">
            <v/>
          </cell>
        </row>
        <row r="107">
          <cell r="I107">
            <v>0</v>
          </cell>
          <cell r="J107">
            <v>0</v>
          </cell>
          <cell r="M107" t="str">
            <v/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S701395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IDUAL INCOME"/>
      <sheetName val="MAIN"/>
      <sheetName val="P&amp;L"/>
      <sheetName val="BS"/>
      <sheetName val="Update"/>
      <sheetName val="AFFILIATES (2)"/>
      <sheetName val="AFFILIATES"/>
      <sheetName val="Ratio"/>
      <sheetName val="Ace-In"/>
      <sheetName val="Ace-Out"/>
      <sheetName val="Cover"/>
      <sheetName val="QQ"/>
      <sheetName val="Financial Tables"/>
      <sheetName val="Consolidated input"/>
      <sheetName val="RI Valuation"/>
      <sheetName val="Earnings Tables"/>
      <sheetName val="Number of shares"/>
      <sheetName val="Earnings per share"/>
      <sheetName val="IS segment PY"/>
      <sheetName val="IS segment CY"/>
      <sheetName val="Monitor"/>
      <sheetName val="FCF"/>
      <sheetName val="Financial Statements"/>
      <sheetName val="Copy of KS055550"/>
      <sheetName val="EARNINGS"/>
      <sheetName val="EM"/>
      <sheetName val="Rent analysis"/>
      <sheetName val="Timeline"/>
      <sheetName val="store profile and sales mix"/>
      <sheetName val="reconciliation of note 2"/>
      <sheetName val="FY19"/>
      <sheetName val="Valuations"/>
      <sheetName val="6902"/>
      <sheetName val="Model (Yue Yuen)"/>
      <sheetName val="P"/>
      <sheetName val="CREDIT MODEL"/>
      <sheetName val="IS"/>
      <sheetName val="Revision"/>
      <sheetName val="2181 Persol"/>
      <sheetName val="Currencies"/>
      <sheetName val="4324 Dentsu"/>
      <sheetName val="Chartdata FY"/>
      <sheetName val="Earnings Support"/>
      <sheetName val="c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 t="str">
            <v>SHINHAN FINANCIAL GROUP: KEY AFFILIATES</v>
          </cell>
        </row>
        <row r="2">
          <cell r="A2" t="str">
            <v>(Won billions)</v>
          </cell>
          <cell r="B2">
            <v>1996</v>
          </cell>
          <cell r="C2">
            <v>1997</v>
          </cell>
          <cell r="D2">
            <v>1998</v>
          </cell>
          <cell r="E2">
            <v>1999</v>
          </cell>
          <cell r="F2">
            <v>2000</v>
          </cell>
          <cell r="G2">
            <v>2001</v>
          </cell>
          <cell r="H2">
            <v>2002</v>
          </cell>
          <cell r="I2">
            <v>2003</v>
          </cell>
          <cell r="J2">
            <v>2004</v>
          </cell>
          <cell r="K2">
            <v>2005</v>
          </cell>
          <cell r="L2" t="str">
            <v>2006P</v>
          </cell>
          <cell r="M2" t="str">
            <v>2007E</v>
          </cell>
          <cell r="N2" t="str">
            <v>2008E</v>
          </cell>
          <cell r="O2" t="str">
            <v>2009E</v>
          </cell>
          <cell r="P2" t="str">
            <v>2010E</v>
          </cell>
          <cell r="Q2" t="str">
            <v>2011E</v>
          </cell>
          <cell r="AA2" t="str">
            <v>1Q02</v>
          </cell>
          <cell r="AB2" t="str">
            <v>2Q02</v>
          </cell>
          <cell r="AC2" t="str">
            <v>3Q02</v>
          </cell>
          <cell r="AD2" t="str">
            <v>4Q02</v>
          </cell>
          <cell r="AE2" t="str">
            <v>1Q03</v>
          </cell>
          <cell r="AF2" t="str">
            <v>2Q03</v>
          </cell>
          <cell r="AG2" t="str">
            <v>3Q03</v>
          </cell>
          <cell r="AH2" t="str">
            <v>4Q03</v>
          </cell>
          <cell r="AI2" t="str">
            <v>1Q04</v>
          </cell>
          <cell r="AJ2" t="str">
            <v>2Q04</v>
          </cell>
          <cell r="AK2" t="str">
            <v>3Q04</v>
          </cell>
          <cell r="AL2" t="str">
            <v>4Q04</v>
          </cell>
          <cell r="AM2" t="str">
            <v>1Q05</v>
          </cell>
          <cell r="AN2" t="str">
            <v>2Q05</v>
          </cell>
          <cell r="AO2" t="str">
            <v>3Q05</v>
          </cell>
          <cell r="AP2" t="str">
            <v>4Q05</v>
          </cell>
          <cell r="AQ2" t="str">
            <v>1Q06</v>
          </cell>
          <cell r="AR2" t="str">
            <v>2Q06</v>
          </cell>
          <cell r="AS2" t="str">
            <v>3Q06</v>
          </cell>
          <cell r="AT2" t="str">
            <v>4Q06</v>
          </cell>
          <cell r="AU2" t="str">
            <v>1Q07P</v>
          </cell>
          <cell r="AV2" t="str">
            <v>2Q07E</v>
          </cell>
          <cell r="AW2" t="str">
            <v>3Q07E</v>
          </cell>
          <cell r="AX2" t="str">
            <v>4Q07E</v>
          </cell>
          <cell r="AY2" t="str">
            <v>1Q08E</v>
          </cell>
          <cell r="AZ2" t="str">
            <v>2Q08E</v>
          </cell>
          <cell r="BA2" t="str">
            <v>3Q08E</v>
          </cell>
          <cell r="BB2" t="str">
            <v>4Q08E</v>
          </cell>
          <cell r="BC2" t="str">
            <v>1Q09E</v>
          </cell>
          <cell r="BD2" t="str">
            <v>2Q09E</v>
          </cell>
          <cell r="BE2" t="str">
            <v>3Q09E</v>
          </cell>
          <cell r="BF2" t="str">
            <v>4Q09E</v>
          </cell>
          <cell r="BG2" t="str">
            <v>1Q10E</v>
          </cell>
          <cell r="BH2" t="str">
            <v>2Q10E</v>
          </cell>
          <cell r="BI2" t="str">
            <v>3Q10E</v>
          </cell>
          <cell r="BJ2" t="str">
            <v>4Q10E</v>
          </cell>
          <cell r="BK2" t="str">
            <v>1Q11E</v>
          </cell>
          <cell r="BL2" t="str">
            <v>2Q11E</v>
          </cell>
          <cell r="BM2" t="str">
            <v>3Q11E</v>
          </cell>
          <cell r="BN2" t="str">
            <v>4Q11E</v>
          </cell>
        </row>
        <row r="3">
          <cell r="A3" t="str">
            <v>Shinhan Bank (excl. Chohung Bank)</v>
          </cell>
        </row>
        <row r="4">
          <cell r="A4" t="str">
            <v xml:space="preserve">   % ownership</v>
          </cell>
          <cell r="H4">
            <v>1</v>
          </cell>
        </row>
        <row r="5">
          <cell r="A5" t="str">
            <v>Net interest income</v>
          </cell>
          <cell r="H5">
            <v>1216.8511599999999</v>
          </cell>
          <cell r="I5">
            <v>1411.212</v>
          </cell>
          <cell r="J5">
            <v>1496.19</v>
          </cell>
          <cell r="K5">
            <v>1475.0719999999999</v>
          </cell>
        </row>
        <row r="6">
          <cell r="A6" t="str">
            <v xml:space="preserve">   % of parent comp</v>
          </cell>
          <cell r="H6" t="e">
            <v>#REF!</v>
          </cell>
          <cell r="I6" t="e">
            <v>#REF!</v>
          </cell>
          <cell r="J6" t="e">
            <v>#REF!</v>
          </cell>
          <cell r="K6" t="e">
            <v>#REF!</v>
          </cell>
        </row>
        <row r="7">
          <cell r="A7" t="str">
            <v>Non-interest income</v>
          </cell>
          <cell r="H7">
            <v>509.43027599999999</v>
          </cell>
          <cell r="I7">
            <v>363.82159999999999</v>
          </cell>
          <cell r="J7">
            <v>490.08434812800004</v>
          </cell>
          <cell r="K7">
            <v>473.73927897000004</v>
          </cell>
        </row>
        <row r="8">
          <cell r="A8" t="str">
            <v xml:space="preserve">   % of parent comp</v>
          </cell>
          <cell r="H8" t="e">
            <v>#REF!</v>
          </cell>
          <cell r="I8" t="e">
            <v>#REF!</v>
          </cell>
          <cell r="J8" t="e">
            <v>#REF!</v>
          </cell>
          <cell r="K8" t="e">
            <v>#REF!</v>
          </cell>
        </row>
        <row r="9">
          <cell r="A9" t="str">
            <v>Net operating revenue</v>
          </cell>
          <cell r="H9">
            <v>1726.281436</v>
          </cell>
          <cell r="I9">
            <v>1775.0336</v>
          </cell>
          <cell r="J9">
            <v>1986.2743481280002</v>
          </cell>
          <cell r="K9">
            <v>1948.8112789699999</v>
          </cell>
        </row>
        <row r="10">
          <cell r="A10" t="str">
            <v xml:space="preserve">   % of parent comp</v>
          </cell>
          <cell r="H10" t="e">
            <v>#REF!</v>
          </cell>
          <cell r="I10" t="e">
            <v>#REF!</v>
          </cell>
          <cell r="J10" t="e">
            <v>#REF!</v>
          </cell>
          <cell r="K10" t="e">
            <v>#REF!</v>
          </cell>
        </row>
        <row r="11">
          <cell r="A11" t="str">
            <v>SG&amp;A</v>
          </cell>
          <cell r="H11">
            <v>625.59020299999997</v>
          </cell>
          <cell r="I11">
            <v>668.62800000000004</v>
          </cell>
          <cell r="J11">
            <v>729.69299999999998</v>
          </cell>
          <cell r="K11">
            <v>834.63900000000001</v>
          </cell>
        </row>
        <row r="12">
          <cell r="A12" t="str">
            <v xml:space="preserve">   % of parent comp</v>
          </cell>
          <cell r="H12" t="e">
            <v>#REF!</v>
          </cell>
          <cell r="I12" t="e">
            <v>#REF!</v>
          </cell>
          <cell r="J12" t="e">
            <v>#REF!</v>
          </cell>
          <cell r="K12" t="e">
            <v>#REF!</v>
          </cell>
        </row>
        <row r="13">
          <cell r="A13" t="str">
            <v>PPOP</v>
          </cell>
          <cell r="H13">
            <v>1100.691233</v>
          </cell>
          <cell r="I13">
            <v>1106.4056</v>
          </cell>
          <cell r="J13">
            <v>1256.5813481280002</v>
          </cell>
          <cell r="K13">
            <v>1114.1722789699998</v>
          </cell>
        </row>
        <row r="14">
          <cell r="A14" t="str">
            <v xml:space="preserve">   % of parent comp</v>
          </cell>
          <cell r="H14" t="e">
            <v>#REF!</v>
          </cell>
          <cell r="I14" t="e">
            <v>#REF!</v>
          </cell>
          <cell r="J14" t="e">
            <v>#REF!</v>
          </cell>
          <cell r="K14" t="e">
            <v>#REF!</v>
          </cell>
        </row>
        <row r="15">
          <cell r="A15" t="str">
            <v>Provisioning</v>
          </cell>
          <cell r="H15">
            <v>168.284063</v>
          </cell>
          <cell r="I15">
            <v>435.05059999999997</v>
          </cell>
          <cell r="J15">
            <v>220.70334812799999</v>
          </cell>
          <cell r="K15">
            <v>173.60327896999999</v>
          </cell>
        </row>
        <row r="16">
          <cell r="A16" t="str">
            <v xml:space="preserve">   % of parent comp</v>
          </cell>
          <cell r="H16" t="e">
            <v>#REF!</v>
          </cell>
          <cell r="I16" t="e">
            <v>#REF!</v>
          </cell>
          <cell r="J16" t="e">
            <v>#REF!</v>
          </cell>
          <cell r="K16" t="e">
            <v>#REF!</v>
          </cell>
        </row>
        <row r="17">
          <cell r="A17" t="str">
            <v>OP profit</v>
          </cell>
          <cell r="H17">
            <v>932.40716999999995</v>
          </cell>
          <cell r="I17">
            <v>671.35500000000002</v>
          </cell>
          <cell r="J17">
            <v>1035.8780000000002</v>
          </cell>
          <cell r="K17">
            <v>940.56899999999973</v>
          </cell>
        </row>
        <row r="18">
          <cell r="A18" t="str">
            <v xml:space="preserve">   % of parent comp</v>
          </cell>
          <cell r="H18" t="e">
            <v>#REF!</v>
          </cell>
          <cell r="I18" t="e">
            <v>#REF!</v>
          </cell>
          <cell r="J18" t="e">
            <v>#REF!</v>
          </cell>
          <cell r="K18" t="e">
            <v>#REF!</v>
          </cell>
        </row>
        <row r="19">
          <cell r="A19" t="str">
            <v>Net profit</v>
          </cell>
          <cell r="H19">
            <v>595.86568699999998</v>
          </cell>
          <cell r="I19">
            <v>476.02300000000002</v>
          </cell>
          <cell r="J19">
            <v>844.11300000000006</v>
          </cell>
          <cell r="K19">
            <v>774.42200000000003</v>
          </cell>
        </row>
        <row r="20">
          <cell r="A20" t="str">
            <v xml:space="preserve">   % of parent comp</v>
          </cell>
          <cell r="H20" t="e">
            <v>#REF!</v>
          </cell>
          <cell r="I20" t="e">
            <v>#REF!</v>
          </cell>
          <cell r="J20" t="e">
            <v>#REF!</v>
          </cell>
          <cell r="K20" t="e">
            <v>#REF!</v>
          </cell>
        </row>
        <row r="24">
          <cell r="A24" t="str">
            <v>Total assets</v>
          </cell>
          <cell r="H24">
            <v>58889.402324000002</v>
          </cell>
          <cell r="I24">
            <v>70071.192999999999</v>
          </cell>
          <cell r="J24">
            <v>70096.962</v>
          </cell>
          <cell r="K24">
            <v>75641.967999999993</v>
          </cell>
        </row>
        <row r="25">
          <cell r="A25" t="str">
            <v xml:space="preserve">   % of parent comp</v>
          </cell>
          <cell r="H25" t="e">
            <v>#REF!</v>
          </cell>
          <cell r="I25" t="e">
            <v>#REF!</v>
          </cell>
          <cell r="J25" t="e">
            <v>#REF!</v>
          </cell>
          <cell r="K25" t="e">
            <v>#REF!</v>
          </cell>
        </row>
        <row r="26">
          <cell r="A26" t="str">
            <v>Loans (Net)</v>
          </cell>
          <cell r="H26">
            <v>40579.005663999997</v>
          </cell>
          <cell r="I26">
            <v>47783.925999999999</v>
          </cell>
          <cell r="J26">
            <v>50868.040999999997</v>
          </cell>
          <cell r="K26">
            <v>55191.023000000001</v>
          </cell>
        </row>
        <row r="27">
          <cell r="A27" t="str">
            <v xml:space="preserve">   % of parent comp</v>
          </cell>
          <cell r="H27" t="e">
            <v>#REF!</v>
          </cell>
          <cell r="I27" t="e">
            <v>#REF!</v>
          </cell>
          <cell r="J27" t="e">
            <v>#REF!</v>
          </cell>
          <cell r="K27" t="e">
            <v>#REF!</v>
          </cell>
        </row>
        <row r="28">
          <cell r="A28" t="str">
            <v>Total liabilities</v>
          </cell>
          <cell r="H28">
            <v>56028.923707000002</v>
          </cell>
          <cell r="I28">
            <v>66555.824999999997</v>
          </cell>
          <cell r="J28">
            <v>65971.959000000003</v>
          </cell>
          <cell r="K28">
            <v>71042.5</v>
          </cell>
        </row>
        <row r="29">
          <cell r="A29" t="str">
            <v xml:space="preserve">   % of parent comp</v>
          </cell>
          <cell r="H29" t="e">
            <v>#REF!</v>
          </cell>
          <cell r="I29" t="e">
            <v>#REF!</v>
          </cell>
          <cell r="J29" t="e">
            <v>#REF!</v>
          </cell>
          <cell r="K29" t="e">
            <v>#REF!</v>
          </cell>
        </row>
        <row r="30">
          <cell r="A30" t="str">
            <v>Deposits</v>
          </cell>
          <cell r="H30">
            <v>35183.536976000003</v>
          </cell>
          <cell r="I30">
            <v>41991.839</v>
          </cell>
          <cell r="J30">
            <v>40668.093999999997</v>
          </cell>
          <cell r="K30">
            <v>43996.904000000002</v>
          </cell>
        </row>
        <row r="31">
          <cell r="A31" t="str">
            <v xml:space="preserve">   % of parent comp</v>
          </cell>
          <cell r="H31" t="e">
            <v>#REF!</v>
          </cell>
          <cell r="I31" t="e">
            <v>#REF!</v>
          </cell>
          <cell r="J31" t="e">
            <v>#REF!</v>
          </cell>
          <cell r="K31" t="e">
            <v>#REF!</v>
          </cell>
        </row>
        <row r="32">
          <cell r="A32" t="str">
            <v>Total shareholders' equity</v>
          </cell>
          <cell r="H32">
            <v>2860.4786180000001</v>
          </cell>
          <cell r="I32">
            <v>3515.3679999999999</v>
          </cell>
          <cell r="J32">
            <v>4125.0029999999997</v>
          </cell>
          <cell r="K32">
            <v>4599.4679999999998</v>
          </cell>
        </row>
        <row r="33">
          <cell r="A33" t="str">
            <v xml:space="preserve">   % of parent comp</v>
          </cell>
          <cell r="H33" t="e">
            <v>#REF!</v>
          </cell>
          <cell r="I33" t="e">
            <v>#REF!</v>
          </cell>
          <cell r="J33" t="e">
            <v>#REF!</v>
          </cell>
          <cell r="K33" t="e">
            <v>#REF!</v>
          </cell>
        </row>
        <row r="35">
          <cell r="A35" t="str">
            <v>Chohung Bank</v>
          </cell>
        </row>
        <row r="36">
          <cell r="A36" t="str">
            <v xml:space="preserve">   % ownership</v>
          </cell>
          <cell r="H36">
            <v>1</v>
          </cell>
        </row>
        <row r="37">
          <cell r="A37" t="str">
            <v>Net interest income</v>
          </cell>
          <cell r="H37">
            <v>1211.9849999999999</v>
          </cell>
          <cell r="I37">
            <v>1330.527</v>
          </cell>
          <cell r="J37">
            <v>1399.374</v>
          </cell>
          <cell r="K37">
            <v>2091.491</v>
          </cell>
        </row>
        <row r="38">
          <cell r="A38" t="str">
            <v xml:space="preserve">   % of parent comp</v>
          </cell>
          <cell r="H38" t="str">
            <v>NM</v>
          </cell>
          <cell r="I38" t="e">
            <v>#REF!</v>
          </cell>
          <cell r="J38" t="e">
            <v>#REF!</v>
          </cell>
          <cell r="K38" t="e">
            <v>#REF!</v>
          </cell>
        </row>
        <row r="39">
          <cell r="A39" t="str">
            <v>Non-interest income</v>
          </cell>
          <cell r="H39">
            <v>1141.1569999999999</v>
          </cell>
          <cell r="I39">
            <v>1023.769</v>
          </cell>
          <cell r="J39">
            <v>914.46979999999996</v>
          </cell>
          <cell r="K39">
            <v>251.70500000000001</v>
          </cell>
        </row>
        <row r="40">
          <cell r="A40" t="str">
            <v xml:space="preserve">   % of parent comp</v>
          </cell>
          <cell r="H40" t="str">
            <v>NM</v>
          </cell>
          <cell r="I40" t="e">
            <v>#REF!</v>
          </cell>
          <cell r="J40" t="e">
            <v>#REF!</v>
          </cell>
          <cell r="K40" t="e">
            <v>#REF!</v>
          </cell>
        </row>
        <row r="41">
          <cell r="A41" t="str">
            <v>Net operating revenue</v>
          </cell>
          <cell r="H41">
            <v>2353.1419999999998</v>
          </cell>
          <cell r="I41">
            <v>2354.2960000000003</v>
          </cell>
          <cell r="J41">
            <v>2313.8438000000001</v>
          </cell>
          <cell r="K41">
            <v>2343.1959999999999</v>
          </cell>
        </row>
        <row r="42">
          <cell r="A42" t="str">
            <v xml:space="preserve">   % of parent comp</v>
          </cell>
          <cell r="H42" t="str">
            <v>NM</v>
          </cell>
          <cell r="I42" t="e">
            <v>#REF!</v>
          </cell>
          <cell r="J42" t="e">
            <v>#REF!</v>
          </cell>
          <cell r="K42" t="e">
            <v>#REF!</v>
          </cell>
        </row>
        <row r="43">
          <cell r="A43" t="str">
            <v>SG&amp;A</v>
          </cell>
          <cell r="H43">
            <v>856.32799999999997</v>
          </cell>
          <cell r="I43">
            <v>908.24900000000002</v>
          </cell>
          <cell r="J43">
            <v>960.85299999999995</v>
          </cell>
          <cell r="K43">
            <v>1038.9079999999999</v>
          </cell>
        </row>
        <row r="44">
          <cell r="A44" t="str">
            <v xml:space="preserve">   % of parent comp</v>
          </cell>
          <cell r="H44" t="str">
            <v>NM</v>
          </cell>
          <cell r="I44" t="e">
            <v>#REF!</v>
          </cell>
          <cell r="J44" t="e">
            <v>#REF!</v>
          </cell>
          <cell r="K44" t="e">
            <v>#REF!</v>
          </cell>
        </row>
        <row r="45">
          <cell r="A45" t="str">
            <v>PPOP</v>
          </cell>
          <cell r="H45">
            <v>1496.8139999999999</v>
          </cell>
          <cell r="I45">
            <v>1446.0470000000003</v>
          </cell>
          <cell r="J45">
            <v>1352.9908</v>
          </cell>
          <cell r="K45">
            <v>1304.288</v>
          </cell>
        </row>
        <row r="46">
          <cell r="A46" t="str">
            <v xml:space="preserve">   % of parent comp</v>
          </cell>
          <cell r="H46" t="str">
            <v>NM</v>
          </cell>
          <cell r="I46" t="e">
            <v>#REF!</v>
          </cell>
          <cell r="J46" t="e">
            <v>#REF!</v>
          </cell>
          <cell r="K46" t="e">
            <v>#REF!</v>
          </cell>
        </row>
        <row r="47">
          <cell r="A47" t="str">
            <v>Provisioning</v>
          </cell>
          <cell r="H47">
            <v>1631.5630000000001</v>
          </cell>
          <cell r="I47">
            <v>2133.1759999999999</v>
          </cell>
          <cell r="J47">
            <v>1030.1368</v>
          </cell>
          <cell r="K47">
            <v>660.70600000000002</v>
          </cell>
        </row>
        <row r="48">
          <cell r="A48" t="str">
            <v xml:space="preserve">   % of parent comp</v>
          </cell>
          <cell r="H48" t="str">
            <v>NM</v>
          </cell>
          <cell r="I48" t="e">
            <v>#REF!</v>
          </cell>
          <cell r="J48" t="e">
            <v>#REF!</v>
          </cell>
          <cell r="K48" t="e">
            <v>#REF!</v>
          </cell>
        </row>
        <row r="49">
          <cell r="A49" t="str">
            <v>OP profit</v>
          </cell>
          <cell r="H49">
            <v>-134.74900000000025</v>
          </cell>
          <cell r="I49">
            <v>-687.12899999999968</v>
          </cell>
          <cell r="J49">
            <v>322.85400000000004</v>
          </cell>
          <cell r="K49">
            <v>643.58199999999999</v>
          </cell>
        </row>
        <row r="50">
          <cell r="A50" t="str">
            <v xml:space="preserve">   % of parent comp</v>
          </cell>
          <cell r="H50" t="str">
            <v>NM</v>
          </cell>
          <cell r="I50" t="e">
            <v>#REF!</v>
          </cell>
          <cell r="J50" t="e">
            <v>#REF!</v>
          </cell>
          <cell r="K50" t="e">
            <v>#REF!</v>
          </cell>
        </row>
        <row r="51">
          <cell r="A51" t="str">
            <v>Net profit</v>
          </cell>
          <cell r="H51">
            <v>-586.04499999999996</v>
          </cell>
          <cell r="I51">
            <v>-968.94</v>
          </cell>
          <cell r="J51">
            <v>265.238</v>
          </cell>
          <cell r="K51">
            <v>756.505</v>
          </cell>
        </row>
        <row r="52">
          <cell r="A52" t="str">
            <v xml:space="preserve">   % of parent comp</v>
          </cell>
          <cell r="H52" t="str">
            <v>NM</v>
          </cell>
          <cell r="I52" t="e">
            <v>#REF!</v>
          </cell>
          <cell r="J52" t="e">
            <v>#REF!</v>
          </cell>
          <cell r="K52" t="e">
            <v>#REF!</v>
          </cell>
        </row>
        <row r="56">
          <cell r="A56" t="str">
            <v>Total assets</v>
          </cell>
          <cell r="H56">
            <v>66196.288</v>
          </cell>
          <cell r="I56">
            <v>59225.584999999999</v>
          </cell>
          <cell r="J56">
            <v>65389.1</v>
          </cell>
          <cell r="K56">
            <v>66609.525999999998</v>
          </cell>
        </row>
        <row r="57">
          <cell r="A57" t="str">
            <v xml:space="preserve">   % of parent comp</v>
          </cell>
          <cell r="H57" t="str">
            <v>NM</v>
          </cell>
          <cell r="I57" t="e">
            <v>#REF!</v>
          </cell>
          <cell r="J57" t="e">
            <v>#REF!</v>
          </cell>
          <cell r="K57" t="e">
            <v>#REF!</v>
          </cell>
        </row>
        <row r="58">
          <cell r="A58" t="str">
            <v>Loans (Net)</v>
          </cell>
          <cell r="H58">
            <v>45328.52</v>
          </cell>
          <cell r="I58">
            <v>42701.665999999997</v>
          </cell>
          <cell r="J58">
            <v>41586.845999999998</v>
          </cell>
          <cell r="K58">
            <v>44648.307999999997</v>
          </cell>
        </row>
        <row r="59">
          <cell r="A59" t="str">
            <v xml:space="preserve">   % of parent comp</v>
          </cell>
          <cell r="H59" t="str">
            <v>NM</v>
          </cell>
          <cell r="I59" t="e">
            <v>#REF!</v>
          </cell>
          <cell r="J59" t="e">
            <v>#REF!</v>
          </cell>
          <cell r="K59" t="e">
            <v>#REF!</v>
          </cell>
        </row>
        <row r="60">
          <cell r="A60" t="str">
            <v>Total liabilities</v>
          </cell>
          <cell r="H60">
            <v>63903.99</v>
          </cell>
          <cell r="I60">
            <v>57289.224000000002</v>
          </cell>
          <cell r="J60">
            <v>62778.171999999999</v>
          </cell>
          <cell r="K60">
            <v>62783.303999999996</v>
          </cell>
        </row>
        <row r="61">
          <cell r="A61" t="str">
            <v xml:space="preserve">   % of parent comp</v>
          </cell>
          <cell r="H61" t="str">
            <v>NM</v>
          </cell>
          <cell r="I61" t="e">
            <v>#REF!</v>
          </cell>
          <cell r="J61" t="e">
            <v>#REF!</v>
          </cell>
          <cell r="K61" t="e">
            <v>#REF!</v>
          </cell>
        </row>
        <row r="62">
          <cell r="A62" t="str">
            <v>Deposits</v>
          </cell>
          <cell r="H62">
            <v>45125.839</v>
          </cell>
          <cell r="I62">
            <v>40030.091</v>
          </cell>
          <cell r="J62">
            <v>41313.072999999997</v>
          </cell>
          <cell r="K62">
            <v>41404.813999999998</v>
          </cell>
        </row>
        <row r="63">
          <cell r="A63" t="str">
            <v xml:space="preserve">   % of parent comp</v>
          </cell>
          <cell r="H63" t="str">
            <v>NM</v>
          </cell>
          <cell r="I63" t="e">
            <v>#REF!</v>
          </cell>
          <cell r="J63" t="e">
            <v>#REF!</v>
          </cell>
          <cell r="K63" t="e">
            <v>#REF!</v>
          </cell>
        </row>
        <row r="64">
          <cell r="A64" t="str">
            <v>Total shareholders' equity</v>
          </cell>
          <cell r="H64">
            <v>2292.2979999999998</v>
          </cell>
          <cell r="I64">
            <v>1936.3610000000001</v>
          </cell>
          <cell r="J64">
            <v>2610.9279999999999</v>
          </cell>
          <cell r="K64">
            <v>3826.2220000000002</v>
          </cell>
        </row>
        <row r="65">
          <cell r="A65" t="str">
            <v xml:space="preserve">   % of parent comp</v>
          </cell>
          <cell r="H65" t="str">
            <v>NM</v>
          </cell>
          <cell r="I65" t="e">
            <v>#REF!</v>
          </cell>
          <cell r="J65" t="e">
            <v>#REF!</v>
          </cell>
          <cell r="K65" t="e">
            <v>#REF!</v>
          </cell>
        </row>
        <row r="67">
          <cell r="A67" t="str">
            <v>Shinhan Bank (Combined with Chohung)</v>
          </cell>
        </row>
        <row r="68">
          <cell r="A68" t="str">
            <v xml:space="preserve">   % ownership</v>
          </cell>
          <cell r="H68">
            <v>1</v>
          </cell>
        </row>
        <row r="69">
          <cell r="A69" t="str">
            <v>Net interest income</v>
          </cell>
        </row>
        <row r="70">
          <cell r="A70" t="str">
            <v xml:space="preserve">   % of parent comp</v>
          </cell>
        </row>
        <row r="71">
          <cell r="A71" t="str">
            <v>Non-interest income</v>
          </cell>
        </row>
        <row r="72">
          <cell r="A72" t="str">
            <v xml:space="preserve">   % of parent comp</v>
          </cell>
        </row>
        <row r="73">
          <cell r="A73" t="str">
            <v>Net operating revenue</v>
          </cell>
        </row>
        <row r="74">
          <cell r="A74" t="str">
            <v xml:space="preserve">   % of parent comp</v>
          </cell>
        </row>
        <row r="75">
          <cell r="A75" t="str">
            <v>SG&amp;A</v>
          </cell>
        </row>
        <row r="76">
          <cell r="A76" t="str">
            <v xml:space="preserve">   % of parent comp</v>
          </cell>
        </row>
        <row r="77">
          <cell r="A77" t="str">
            <v>PPOP</v>
          </cell>
        </row>
        <row r="78">
          <cell r="A78" t="str">
            <v xml:space="preserve">   % of parent comp</v>
          </cell>
        </row>
        <row r="79">
          <cell r="A79" t="str">
            <v>Provisioning</v>
          </cell>
        </row>
        <row r="80">
          <cell r="A80" t="str">
            <v xml:space="preserve">   % of parent comp</v>
          </cell>
        </row>
        <row r="81">
          <cell r="A81" t="str">
            <v>OP profit</v>
          </cell>
        </row>
        <row r="82">
          <cell r="A82" t="str">
            <v xml:space="preserve">   % of parent comp</v>
          </cell>
        </row>
        <row r="83">
          <cell r="A83" t="str">
            <v>Net profit</v>
          </cell>
        </row>
        <row r="84">
          <cell r="A84" t="str">
            <v xml:space="preserve">   % of parent comp</v>
          </cell>
        </row>
        <row r="85">
          <cell r="A85" t="str">
            <v xml:space="preserve">   Dividend</v>
          </cell>
        </row>
        <row r="86">
          <cell r="A86" t="str">
            <v xml:space="preserve">   Profits subject to equity method</v>
          </cell>
        </row>
        <row r="87">
          <cell r="A87" t="str">
            <v xml:space="preserve">   Contribution to equity method income</v>
          </cell>
        </row>
        <row r="88">
          <cell r="A88" t="str">
            <v>Total assets</v>
          </cell>
        </row>
        <row r="89">
          <cell r="A89" t="str">
            <v xml:space="preserve">   % of parent comp</v>
          </cell>
        </row>
        <row r="90">
          <cell r="A90" t="str">
            <v>Loans (Net)</v>
          </cell>
        </row>
        <row r="91">
          <cell r="A91" t="str">
            <v xml:space="preserve">   % of parent comp</v>
          </cell>
        </row>
        <row r="92">
          <cell r="A92" t="str">
            <v>Total liabilities</v>
          </cell>
        </row>
        <row r="93">
          <cell r="A93" t="str">
            <v xml:space="preserve">   % of parent comp</v>
          </cell>
        </row>
        <row r="94">
          <cell r="A94" t="str">
            <v>Deposits</v>
          </cell>
        </row>
        <row r="95">
          <cell r="A95" t="str">
            <v xml:space="preserve">   % of parent comp</v>
          </cell>
        </row>
        <row r="96">
          <cell r="A96" t="str">
            <v>Total shareholders' equity</v>
          </cell>
        </row>
        <row r="97">
          <cell r="A97" t="str">
            <v xml:space="preserve">   % of parent comp</v>
          </cell>
        </row>
        <row r="99">
          <cell r="H99" t="str">
            <v xml:space="preserve">   Fiscal year ends March 31</v>
          </cell>
        </row>
        <row r="100">
          <cell r="A100" t="str">
            <v>GMSH Securities</v>
          </cell>
          <cell r="G100" t="str">
            <v>Mar 01</v>
          </cell>
          <cell r="H100" t="str">
            <v>Mar 02</v>
          </cell>
          <cell r="I100" t="str">
            <v>Mar 03</v>
          </cell>
          <cell r="J100" t="str">
            <v>Mar 04</v>
          </cell>
          <cell r="K100" t="str">
            <v>Mar 05</v>
          </cell>
          <cell r="L100" t="str">
            <v>Mar 06</v>
          </cell>
        </row>
        <row r="101">
          <cell r="A101" t="str">
            <v xml:space="preserve">   % ownership</v>
          </cell>
          <cell r="H101">
            <v>1</v>
          </cell>
        </row>
        <row r="102">
          <cell r="A102" t="str">
            <v>Net profit</v>
          </cell>
          <cell r="G102">
            <v>11.525</v>
          </cell>
          <cell r="H102">
            <v>51.105604995999997</v>
          </cell>
          <cell r="I102">
            <v>10.878</v>
          </cell>
          <cell r="J102">
            <v>80.655000000000001</v>
          </cell>
          <cell r="K102">
            <v>30.311</v>
          </cell>
          <cell r="L102">
            <v>101.48099999999999</v>
          </cell>
        </row>
        <row r="103">
          <cell r="A103" t="str">
            <v xml:space="preserve">   % of parent comp</v>
          </cell>
          <cell r="G103" t="e">
            <v>#REF!</v>
          </cell>
          <cell r="H103" t="e">
            <v>#REF!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</row>
        <row r="107">
          <cell r="A107" t="str">
            <v>Total assets</v>
          </cell>
          <cell r="G107">
            <v>656.90499999999997</v>
          </cell>
          <cell r="H107">
            <v>1657.283922283</v>
          </cell>
          <cell r="I107">
            <v>1996.992</v>
          </cell>
          <cell r="J107">
            <v>2251.4490000000001</v>
          </cell>
          <cell r="K107">
            <v>2887.2280000000001</v>
          </cell>
          <cell r="L107">
            <v>3659.2370000000001</v>
          </cell>
        </row>
        <row r="108">
          <cell r="A108" t="str">
            <v xml:space="preserve">   % of parent comp</v>
          </cell>
          <cell r="G108" t="e">
            <v>#REF!</v>
          </cell>
          <cell r="H108" t="e">
            <v>#REF!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</row>
        <row r="109">
          <cell r="A109" t="str">
            <v>Total liabilities</v>
          </cell>
          <cell r="G109">
            <v>596.17700000000002</v>
          </cell>
          <cell r="H109">
            <v>967.72410040099999</v>
          </cell>
          <cell r="I109">
            <v>1429.3420000000001</v>
          </cell>
          <cell r="J109">
            <v>1595.278</v>
          </cell>
          <cell r="K109">
            <v>2197.2620000000002</v>
          </cell>
          <cell r="L109">
            <v>2878.7310000000002</v>
          </cell>
        </row>
        <row r="110">
          <cell r="A110" t="str">
            <v xml:space="preserve">   % of parent comp</v>
          </cell>
          <cell r="G110" t="e">
            <v>#REF!</v>
          </cell>
          <cell r="H110" t="e">
            <v>#REF!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</row>
        <row r="111">
          <cell r="A111" t="str">
            <v>Total shareholders' equity</v>
          </cell>
          <cell r="G111">
            <v>11.525</v>
          </cell>
          <cell r="H111">
            <v>689.55982188200005</v>
          </cell>
          <cell r="I111">
            <v>567.65</v>
          </cell>
          <cell r="J111">
            <v>656.17100000000005</v>
          </cell>
          <cell r="K111">
            <v>689.96600000000001</v>
          </cell>
          <cell r="L111">
            <v>780.50599999999997</v>
          </cell>
        </row>
        <row r="112">
          <cell r="A112" t="str">
            <v xml:space="preserve">   % of parent comp</v>
          </cell>
          <cell r="G112" t="e">
            <v>#REF!</v>
          </cell>
          <cell r="H112" t="e">
            <v>#REF!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</row>
        <row r="113">
          <cell r="H113" t="str">
            <v xml:space="preserve">   Fiscal year ends March 31</v>
          </cell>
        </row>
        <row r="114">
          <cell r="A114" t="str">
            <v>Shinhan Life</v>
          </cell>
          <cell r="G114" t="str">
            <v>Mar 01</v>
          </cell>
          <cell r="H114" t="str">
            <v>Mar 02</v>
          </cell>
          <cell r="I114" t="str">
            <v>Mar 03</v>
          </cell>
          <cell r="J114" t="str">
            <v>Mar 04</v>
          </cell>
          <cell r="K114" t="str">
            <v>Mar 05</v>
          </cell>
          <cell r="L114" t="str">
            <v>Mar 06</v>
          </cell>
        </row>
        <row r="115">
          <cell r="A115" t="str">
            <v xml:space="preserve">   % ownership</v>
          </cell>
          <cell r="H115">
            <v>1</v>
          </cell>
        </row>
        <row r="116">
          <cell r="A116" t="str">
            <v>Net profit</v>
          </cell>
          <cell r="G116">
            <v>7.431</v>
          </cell>
          <cell r="H116">
            <v>12.089124999999999</v>
          </cell>
          <cell r="I116">
            <v>86.332932</v>
          </cell>
          <cell r="J116">
            <v>96.704583</v>
          </cell>
          <cell r="K116">
            <v>92.984376999999995</v>
          </cell>
          <cell r="L116">
            <v>101.904</v>
          </cell>
        </row>
        <row r="117">
          <cell r="A117" t="str">
            <v xml:space="preserve">   % of parent comp</v>
          </cell>
          <cell r="G117" t="e">
            <v>#REF!</v>
          </cell>
          <cell r="H117" t="e">
            <v>#REF!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</row>
        <row r="118">
          <cell r="G118">
            <v>0</v>
          </cell>
        </row>
        <row r="119">
          <cell r="G119">
            <v>7.431</v>
          </cell>
        </row>
        <row r="120">
          <cell r="G120">
            <v>7.431</v>
          </cell>
        </row>
        <row r="121">
          <cell r="A121" t="str">
            <v>Total assets</v>
          </cell>
          <cell r="G121">
            <v>38.225999999999999</v>
          </cell>
          <cell r="H121">
            <v>2039.5316740000001</v>
          </cell>
          <cell r="I121">
            <v>2513.2254720000001</v>
          </cell>
          <cell r="J121">
            <v>3322.802216</v>
          </cell>
          <cell r="K121">
            <v>4216.1948659999998</v>
          </cell>
          <cell r="L121">
            <v>5298.5990000000002</v>
          </cell>
        </row>
        <row r="122">
          <cell r="A122" t="str">
            <v xml:space="preserve">   % of parent comp</v>
          </cell>
          <cell r="G122" t="e">
            <v>#REF!</v>
          </cell>
          <cell r="H122" t="e">
            <v>#REF!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</row>
        <row r="123">
          <cell r="A123" t="str">
            <v>Total liabilities</v>
          </cell>
          <cell r="G123">
            <v>0.83899999999999997</v>
          </cell>
          <cell r="H123">
            <v>2118.9046159999998</v>
          </cell>
          <cell r="I123">
            <v>2537.9890190000001</v>
          </cell>
          <cell r="J123">
            <v>3181.847323</v>
          </cell>
          <cell r="K123">
            <v>3963.8310280000001</v>
          </cell>
          <cell r="L123">
            <v>4943.634</v>
          </cell>
        </row>
        <row r="124">
          <cell r="A124" t="str">
            <v xml:space="preserve">   % of parent comp</v>
          </cell>
          <cell r="G124" t="e">
            <v>#REF!</v>
          </cell>
          <cell r="H124" t="e">
            <v>#REF!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</row>
        <row r="125">
          <cell r="A125" t="str">
            <v>Total shareholders' equity</v>
          </cell>
          <cell r="G125">
            <v>37.387</v>
          </cell>
          <cell r="H125">
            <v>-79.372941999999995</v>
          </cell>
          <cell r="I125">
            <v>-24.763546999999999</v>
          </cell>
          <cell r="J125">
            <v>140.954892</v>
          </cell>
          <cell r="K125">
            <v>252.36383799999999</v>
          </cell>
          <cell r="L125">
            <v>354.96499999999997</v>
          </cell>
        </row>
        <row r="126">
          <cell r="A126" t="str">
            <v xml:space="preserve">   % of parent comp</v>
          </cell>
          <cell r="G126" t="e">
            <v>#REF!</v>
          </cell>
          <cell r="H126" t="e">
            <v>#REF!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</row>
        <row r="128">
          <cell r="A128" t="str">
            <v>Shinhan Card</v>
          </cell>
        </row>
        <row r="129">
          <cell r="A129" t="str">
            <v xml:space="preserve">   % ownership</v>
          </cell>
          <cell r="H129">
            <v>1</v>
          </cell>
        </row>
        <row r="130">
          <cell r="A130" t="str">
            <v>Net profit</v>
          </cell>
          <cell r="C130">
            <v>3.7829999999999999</v>
          </cell>
          <cell r="D130">
            <v>9.0220000000000002</v>
          </cell>
          <cell r="E130">
            <v>1.7</v>
          </cell>
          <cell r="F130">
            <v>-15.581</v>
          </cell>
          <cell r="G130">
            <v>3.8639999999999999</v>
          </cell>
          <cell r="H130">
            <v>0.503965</v>
          </cell>
          <cell r="I130">
            <v>-89.823999999999998</v>
          </cell>
          <cell r="J130">
            <v>5.8220000000000001</v>
          </cell>
          <cell r="K130">
            <v>54.241</v>
          </cell>
        </row>
        <row r="131">
          <cell r="A131" t="str">
            <v xml:space="preserve">   % of parent comp</v>
          </cell>
          <cell r="C131" t="e">
            <v>#REF!</v>
          </cell>
          <cell r="D131" t="e">
            <v>#REF!</v>
          </cell>
          <cell r="E131" t="e">
            <v>#REF!</v>
          </cell>
          <cell r="F131" t="e">
            <v>#REF!</v>
          </cell>
          <cell r="G131" t="e">
            <v>#REF!</v>
          </cell>
          <cell r="H131" t="e">
            <v>#REF!</v>
          </cell>
          <cell r="I131" t="e">
            <v>#REF!</v>
          </cell>
          <cell r="J131" t="e">
            <v>#REF!</v>
          </cell>
          <cell r="K131" t="e">
            <v>#REF!</v>
          </cell>
        </row>
        <row r="132"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C133">
            <v>3.7829999999999999</v>
          </cell>
          <cell r="D133">
            <v>9.0220000000000002</v>
          </cell>
          <cell r="E133">
            <v>1.7</v>
          </cell>
          <cell r="F133">
            <v>-15.581</v>
          </cell>
          <cell r="G133">
            <v>3.8639999999999999</v>
          </cell>
        </row>
        <row r="134">
          <cell r="C134">
            <v>3.7829999999999999</v>
          </cell>
          <cell r="D134">
            <v>9.0220000000000002</v>
          </cell>
          <cell r="E134">
            <v>1.7</v>
          </cell>
          <cell r="F134">
            <v>-15.581</v>
          </cell>
          <cell r="G134">
            <v>3.8639999999999999</v>
          </cell>
        </row>
        <row r="135">
          <cell r="A135" t="str">
            <v>Total assets</v>
          </cell>
          <cell r="C135">
            <v>19.986999999999998</v>
          </cell>
          <cell r="D135">
            <v>29.673999999999999</v>
          </cell>
          <cell r="E135">
            <v>392.49799999999999</v>
          </cell>
          <cell r="F135">
            <v>317.10399999999998</v>
          </cell>
          <cell r="G135">
            <v>290.09699999999998</v>
          </cell>
          <cell r="H135">
            <v>2473.6940049999998</v>
          </cell>
          <cell r="I135">
            <v>1778.193</v>
          </cell>
          <cell r="J135">
            <v>1469.925</v>
          </cell>
          <cell r="K135">
            <v>1532.29</v>
          </cell>
        </row>
        <row r="136">
          <cell r="A136" t="str">
            <v xml:space="preserve">   % of parent comp</v>
          </cell>
          <cell r="C136" t="e">
            <v>#REF!</v>
          </cell>
          <cell r="D136" t="e">
            <v>#REF!</v>
          </cell>
          <cell r="E136" t="e">
            <v>#REF!</v>
          </cell>
          <cell r="F136" t="e">
            <v>#REF!</v>
          </cell>
          <cell r="G136" t="e">
            <v>#REF!</v>
          </cell>
          <cell r="H136" t="e">
            <v>#REF!</v>
          </cell>
          <cell r="I136" t="e">
            <v>#REF!</v>
          </cell>
          <cell r="J136" t="e">
            <v>#REF!</v>
          </cell>
          <cell r="K136" t="e">
            <v>#REF!</v>
          </cell>
        </row>
        <row r="137">
          <cell r="A137" t="str">
            <v>Total liabilities</v>
          </cell>
          <cell r="C137">
            <v>7.63</v>
          </cell>
          <cell r="D137">
            <v>9.7949999999999999</v>
          </cell>
          <cell r="E137">
            <v>370.96</v>
          </cell>
          <cell r="F137">
            <v>311.14699999999999</v>
          </cell>
          <cell r="G137">
            <v>211.28299999999999</v>
          </cell>
          <cell r="H137">
            <v>2226.2338669999999</v>
          </cell>
          <cell r="I137">
            <v>1620.557</v>
          </cell>
          <cell r="J137">
            <v>1306.4670000000001</v>
          </cell>
          <cell r="K137">
            <v>1314.5909999999999</v>
          </cell>
        </row>
        <row r="138">
          <cell r="A138" t="str">
            <v xml:space="preserve">   % of parent comp</v>
          </cell>
          <cell r="C138" t="e">
            <v>#REF!</v>
          </cell>
          <cell r="D138" t="e">
            <v>#REF!</v>
          </cell>
          <cell r="E138" t="e">
            <v>#REF!</v>
          </cell>
          <cell r="F138" t="e">
            <v>#REF!</v>
          </cell>
          <cell r="G138" t="e">
            <v>#REF!</v>
          </cell>
          <cell r="H138" t="e">
            <v>#REF!</v>
          </cell>
          <cell r="I138" t="e">
            <v>#REF!</v>
          </cell>
          <cell r="J138" t="e">
            <v>#REF!</v>
          </cell>
          <cell r="K138" t="e">
            <v>#REF!</v>
          </cell>
        </row>
        <row r="139">
          <cell r="A139" t="str">
            <v>Total shareholders' equity</v>
          </cell>
          <cell r="C139">
            <v>12.356999999999999</v>
          </cell>
          <cell r="D139">
            <v>19.879000000000001</v>
          </cell>
          <cell r="E139">
            <v>21.538</v>
          </cell>
          <cell r="F139">
            <v>5.9569999999999999</v>
          </cell>
          <cell r="G139">
            <v>78.813999999999993</v>
          </cell>
          <cell r="H139">
            <v>247.460138</v>
          </cell>
          <cell r="I139">
            <v>157.636</v>
          </cell>
          <cell r="J139">
            <v>163.458</v>
          </cell>
          <cell r="K139">
            <v>217.69900000000001</v>
          </cell>
        </row>
        <row r="140">
          <cell r="A140" t="str">
            <v xml:space="preserve">   % of parent comp</v>
          </cell>
          <cell r="C140" t="e">
            <v>#REF!</v>
          </cell>
          <cell r="D140" t="e">
            <v>#REF!</v>
          </cell>
          <cell r="E140" t="e">
            <v>#REF!</v>
          </cell>
          <cell r="F140" t="e">
            <v>#REF!</v>
          </cell>
          <cell r="G140" t="e">
            <v>#REF!</v>
          </cell>
          <cell r="H140" t="e">
            <v>#REF!</v>
          </cell>
          <cell r="I140" t="e">
            <v>#REF!</v>
          </cell>
          <cell r="J140" t="e">
            <v>#REF!</v>
          </cell>
          <cell r="K140" t="e">
            <v>#REF!</v>
          </cell>
        </row>
        <row r="142">
          <cell r="A142" t="str">
            <v>Shinhan Capital</v>
          </cell>
        </row>
        <row r="143">
          <cell r="A143" t="str">
            <v xml:space="preserve">   % ownership</v>
          </cell>
          <cell r="H143">
            <v>1</v>
          </cell>
        </row>
        <row r="144">
          <cell r="A144" t="str">
            <v>Net profit</v>
          </cell>
          <cell r="C144">
            <v>3.7829999999999999</v>
          </cell>
          <cell r="D144">
            <v>9.0220000000000002</v>
          </cell>
          <cell r="E144">
            <v>1.7</v>
          </cell>
          <cell r="F144">
            <v>-15.581</v>
          </cell>
          <cell r="G144">
            <v>3.8639999999999999</v>
          </cell>
          <cell r="H144">
            <v>3.8272050000000002</v>
          </cell>
          <cell r="I144">
            <v>15.754735999999999</v>
          </cell>
          <cell r="J144">
            <v>23.056000000000001</v>
          </cell>
          <cell r="K144">
            <v>36.741999999999997</v>
          </cell>
        </row>
        <row r="145">
          <cell r="A145" t="str">
            <v xml:space="preserve">   % of parent comp</v>
          </cell>
          <cell r="C145" t="e">
            <v>#REF!</v>
          </cell>
          <cell r="D145" t="e">
            <v>#REF!</v>
          </cell>
          <cell r="E145" t="e">
            <v>#REF!</v>
          </cell>
          <cell r="F145" t="e">
            <v>#REF!</v>
          </cell>
          <cell r="G145" t="e">
            <v>#REF!</v>
          </cell>
          <cell r="H145" t="e">
            <v>#REF!</v>
          </cell>
          <cell r="I145" t="e">
            <v>#REF!</v>
          </cell>
          <cell r="J145" t="e">
            <v>#REF!</v>
          </cell>
          <cell r="K145" t="e">
            <v>#REF!</v>
          </cell>
        </row>
        <row r="146"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</row>
        <row r="147">
          <cell r="C147">
            <v>3.7829999999999999</v>
          </cell>
          <cell r="D147">
            <v>9.0220000000000002</v>
          </cell>
          <cell r="E147">
            <v>1.7</v>
          </cell>
          <cell r="F147">
            <v>-15.581</v>
          </cell>
          <cell r="G147">
            <v>3.8639999999999999</v>
          </cell>
        </row>
        <row r="148">
          <cell r="C148">
            <v>3.7829999999999999</v>
          </cell>
          <cell r="D148">
            <v>9.0220000000000002</v>
          </cell>
          <cell r="E148">
            <v>1.7</v>
          </cell>
          <cell r="F148">
            <v>-15.581</v>
          </cell>
          <cell r="G148">
            <v>3.8639999999999999</v>
          </cell>
        </row>
        <row r="149">
          <cell r="A149" t="str">
            <v>Total assets</v>
          </cell>
          <cell r="C149">
            <v>19.986999999999998</v>
          </cell>
          <cell r="D149">
            <v>29.673999999999999</v>
          </cell>
          <cell r="E149">
            <v>392.49799999999999</v>
          </cell>
          <cell r="F149">
            <v>317.10399999999998</v>
          </cell>
          <cell r="G149">
            <v>290.09699999999998</v>
          </cell>
          <cell r="H149">
            <v>960.23438299999998</v>
          </cell>
          <cell r="I149">
            <v>1153.906982</v>
          </cell>
          <cell r="J149">
            <v>1320.9290000000001</v>
          </cell>
          <cell r="K149">
            <v>1400.829</v>
          </cell>
        </row>
        <row r="150">
          <cell r="A150" t="str">
            <v xml:space="preserve">   % of parent comp</v>
          </cell>
          <cell r="C150" t="e">
            <v>#REF!</v>
          </cell>
          <cell r="D150" t="e">
            <v>#REF!</v>
          </cell>
          <cell r="E150" t="e">
            <v>#REF!</v>
          </cell>
          <cell r="F150" t="e">
            <v>#REF!</v>
          </cell>
          <cell r="G150" t="e">
            <v>#REF!</v>
          </cell>
          <cell r="H150" t="e">
            <v>#REF!</v>
          </cell>
          <cell r="I150" t="e">
            <v>#REF!</v>
          </cell>
          <cell r="J150" t="e">
            <v>#REF!</v>
          </cell>
          <cell r="K150" t="e">
            <v>#REF!</v>
          </cell>
        </row>
        <row r="151">
          <cell r="A151" t="str">
            <v>Total liabilities</v>
          </cell>
          <cell r="C151">
            <v>7.63</v>
          </cell>
          <cell r="D151">
            <v>9.7949999999999999</v>
          </cell>
          <cell r="E151">
            <v>370.96</v>
          </cell>
          <cell r="F151">
            <v>311.14699999999999</v>
          </cell>
          <cell r="G151">
            <v>211.28299999999999</v>
          </cell>
          <cell r="H151">
            <v>876.55106899999998</v>
          </cell>
          <cell r="I151">
            <v>1051.682816</v>
          </cell>
          <cell r="J151">
            <v>1201.5820000000001</v>
          </cell>
          <cell r="K151">
            <v>1251.895</v>
          </cell>
        </row>
        <row r="152">
          <cell r="A152" t="str">
            <v xml:space="preserve">   % of parent comp</v>
          </cell>
          <cell r="C152" t="e">
            <v>#REF!</v>
          </cell>
          <cell r="D152" t="e">
            <v>#REF!</v>
          </cell>
          <cell r="E152" t="e">
            <v>#REF!</v>
          </cell>
          <cell r="F152" t="e">
            <v>#REF!</v>
          </cell>
          <cell r="G152" t="e">
            <v>#REF!</v>
          </cell>
          <cell r="H152" t="e">
            <v>#REF!</v>
          </cell>
          <cell r="I152" t="e">
            <v>#REF!</v>
          </cell>
          <cell r="J152" t="e">
            <v>#REF!</v>
          </cell>
          <cell r="K152" t="e">
            <v>#REF!</v>
          </cell>
        </row>
        <row r="153">
          <cell r="A153" t="str">
            <v>Total shareholders' equity</v>
          </cell>
          <cell r="C153">
            <v>12.356999999999999</v>
          </cell>
          <cell r="D153">
            <v>19.879000000000001</v>
          </cell>
          <cell r="E153">
            <v>21.538</v>
          </cell>
          <cell r="F153">
            <v>5.9569999999999999</v>
          </cell>
          <cell r="G153">
            <v>78.813999999999993</v>
          </cell>
          <cell r="H153">
            <v>83.683312999999998</v>
          </cell>
          <cell r="I153">
            <v>102.224166</v>
          </cell>
          <cell r="J153">
            <v>119.34699999999999</v>
          </cell>
          <cell r="K153">
            <v>148.934</v>
          </cell>
        </row>
        <row r="154">
          <cell r="A154" t="str">
            <v xml:space="preserve">   % of parent comp</v>
          </cell>
          <cell r="C154" t="e">
            <v>#REF!</v>
          </cell>
          <cell r="D154" t="e">
            <v>#REF!</v>
          </cell>
          <cell r="E154" t="e">
            <v>#REF!</v>
          </cell>
          <cell r="F154" t="e">
            <v>#REF!</v>
          </cell>
          <cell r="G154" t="e">
            <v>#REF!</v>
          </cell>
          <cell r="H154" t="e">
            <v>#REF!</v>
          </cell>
          <cell r="I154" t="e">
            <v>#REF!</v>
          </cell>
          <cell r="J154" t="e">
            <v>#REF!</v>
          </cell>
          <cell r="K154" t="e">
            <v>#REF!</v>
          </cell>
        </row>
        <row r="156">
          <cell r="A156" t="str">
            <v>LG CARD</v>
          </cell>
          <cell r="I156" t="str">
            <v>O/S Shrs</v>
          </cell>
          <cell r="J156">
            <v>125.36940300000001</v>
          </cell>
          <cell r="L156" t="str">
            <v>BV as of June 06</v>
          </cell>
        </row>
        <row r="157">
          <cell r="A157" t="str">
            <v xml:space="preserve">   % ownership</v>
          </cell>
          <cell r="H157">
            <v>0.85699999999999987</v>
          </cell>
          <cell r="I157" t="str">
            <v>Holdings</v>
          </cell>
          <cell r="J157">
            <v>107.44157837099999</v>
          </cell>
          <cell r="L157">
            <v>360.28160000000003</v>
          </cell>
        </row>
        <row r="158">
          <cell r="A158" t="str">
            <v>Balance sheet (Reported)</v>
          </cell>
        </row>
        <row r="159">
          <cell r="A159" t="str">
            <v>Total assets</v>
          </cell>
          <cell r="H159">
            <v>19425.709443093001</v>
          </cell>
          <cell r="I159">
            <v>10765.557619648</v>
          </cell>
          <cell r="J159">
            <v>8217.358097024</v>
          </cell>
          <cell r="K159">
            <v>9084.2337239293047</v>
          </cell>
          <cell r="L159">
            <v>9645.4817304675944</v>
          </cell>
          <cell r="M159">
            <v>10279.386422697202</v>
          </cell>
          <cell r="N159">
            <v>10921.808845689473</v>
          </cell>
          <cell r="O159">
            <v>11604.701841452086</v>
          </cell>
          <cell r="P159">
            <v>12330.631652978911</v>
          </cell>
          <cell r="Q159">
            <v>13102.328111846602</v>
          </cell>
          <cell r="AD159">
            <v>19425.709443093001</v>
          </cell>
          <cell r="AE159">
            <v>20572.790378876001</v>
          </cell>
          <cell r="AF159">
            <v>17823.092566519928</v>
          </cell>
          <cell r="AG159">
            <v>15802.597101133</v>
          </cell>
          <cell r="AH159">
            <v>10765.557619648</v>
          </cell>
          <cell r="AI159">
            <v>12129.43586263</v>
          </cell>
          <cell r="AJ159">
            <v>10952.712550952328</v>
          </cell>
          <cell r="AK159">
            <v>9950.2843554999999</v>
          </cell>
          <cell r="AL159">
            <v>8217.358097024</v>
          </cell>
          <cell r="AM159">
            <v>8454.1806877350009</v>
          </cell>
          <cell r="AN159">
            <v>8677.3351910402507</v>
          </cell>
          <cell r="AO159">
            <v>8717.4559219418243</v>
          </cell>
          <cell r="AP159">
            <v>9084.2337239293047</v>
          </cell>
          <cell r="AQ159">
            <v>9515.9031037324094</v>
          </cell>
          <cell r="AR159">
            <v>9382.089956343485</v>
          </cell>
          <cell r="AS159">
            <v>9851.1141169623425</v>
          </cell>
          <cell r="AT159">
            <v>9645.4817304675944</v>
          </cell>
          <cell r="AU159">
            <v>9868.3730752840002</v>
          </cell>
          <cell r="AV159">
            <v>9782.4861796053283</v>
          </cell>
          <cell r="AW159">
            <v>10030.936301151265</v>
          </cell>
          <cell r="AX159">
            <v>10279.386422697202</v>
          </cell>
          <cell r="AY159">
            <v>10439.992028445269</v>
          </cell>
          <cell r="AZ159">
            <v>10439.992028445269</v>
          </cell>
          <cell r="BA159">
            <v>10680.900437067372</v>
          </cell>
          <cell r="BB159">
            <v>10921.808845689473</v>
          </cell>
          <cell r="BC159">
            <v>11092.532094630125</v>
          </cell>
          <cell r="BD159">
            <v>11092.532094630127</v>
          </cell>
          <cell r="BE159">
            <v>11348.616968041108</v>
          </cell>
          <cell r="BF159">
            <v>11604.701841452086</v>
          </cell>
          <cell r="BG159">
            <v>11786.184294333792</v>
          </cell>
          <cell r="BH159">
            <v>11786.184294333792</v>
          </cell>
          <cell r="BI159">
            <v>12058.407973656351</v>
          </cell>
          <cell r="BJ159">
            <v>12330.631652978911</v>
          </cell>
          <cell r="BK159">
            <v>12523.555767695834</v>
          </cell>
          <cell r="BL159">
            <v>12523.555767695834</v>
          </cell>
          <cell r="BM159">
            <v>12812.941939771219</v>
          </cell>
          <cell r="BN159">
            <v>13102.328111846602</v>
          </cell>
        </row>
        <row r="160">
          <cell r="A160" t="str">
            <v xml:space="preserve">   Interest earning assets</v>
          </cell>
          <cell r="H160">
            <v>14680.647696916001</v>
          </cell>
          <cell r="I160">
            <v>12343.111356021</v>
          </cell>
          <cell r="J160">
            <v>7944.3332686909998</v>
          </cell>
          <cell r="K160">
            <v>8295.4130061840006</v>
          </cell>
          <cell r="L160">
            <v>9053.6907223479993</v>
          </cell>
          <cell r="M160">
            <v>9642.1806193006196</v>
          </cell>
          <cell r="N160">
            <v>10268.922359555161</v>
          </cell>
          <cell r="O160">
            <v>10936.402312926244</v>
          </cell>
          <cell r="P160">
            <v>11647.26846326645</v>
          </cell>
          <cell r="Q160">
            <v>12404.340913378768</v>
          </cell>
          <cell r="AD160">
            <v>14680.647696916001</v>
          </cell>
          <cell r="AE160">
            <v>14237.998182197</v>
          </cell>
          <cell r="AF160">
            <v>11653.273587998998</v>
          </cell>
          <cell r="AG160">
            <v>9926.4476954889979</v>
          </cell>
          <cell r="AH160">
            <v>12343.111356021</v>
          </cell>
          <cell r="AI160">
            <v>11982.908541015999</v>
          </cell>
          <cell r="AJ160">
            <v>10390.551977382001</v>
          </cell>
          <cell r="AK160">
            <v>9904.2797666099996</v>
          </cell>
          <cell r="AL160">
            <v>7944.3332686909998</v>
          </cell>
          <cell r="AM160">
            <v>7860.5700094140002</v>
          </cell>
          <cell r="AN160">
            <v>8499.440444934</v>
          </cell>
          <cell r="AO160">
            <v>8359.9178914820004</v>
          </cell>
          <cell r="AP160">
            <v>8295.4130061840006</v>
          </cell>
          <cell r="AQ160">
            <v>8669.5813392279997</v>
          </cell>
          <cell r="AR160">
            <v>8919.4556621419997</v>
          </cell>
          <cell r="AS160">
            <v>9082.7818368459994</v>
          </cell>
          <cell r="AT160">
            <v>9053.6907223479993</v>
          </cell>
          <cell r="AU160">
            <v>8889.2598809390001</v>
          </cell>
          <cell r="AV160">
            <v>9304.6643018018731</v>
          </cell>
          <cell r="AW160">
            <v>9473.4224605512463</v>
          </cell>
          <cell r="AX160">
            <v>9642.1806193006196</v>
          </cell>
          <cell r="AY160">
            <v>9798.8660543642545</v>
          </cell>
          <cell r="AZ160">
            <v>9798.8660543642545</v>
          </cell>
          <cell r="BA160">
            <v>10033.894206959707</v>
          </cell>
          <cell r="BB160">
            <v>10268.922359555161</v>
          </cell>
          <cell r="BC160">
            <v>10435.792347897932</v>
          </cell>
          <cell r="BD160">
            <v>10435.792347897932</v>
          </cell>
          <cell r="BE160">
            <v>10686.097330412089</v>
          </cell>
          <cell r="BF160">
            <v>10936.402312926244</v>
          </cell>
          <cell r="BG160">
            <v>11114.118850511295</v>
          </cell>
          <cell r="BH160">
            <v>11114.118850511295</v>
          </cell>
          <cell r="BI160">
            <v>11380.693656888872</v>
          </cell>
          <cell r="BJ160">
            <v>11647.26846326645</v>
          </cell>
          <cell r="BK160">
            <v>11836.536575794529</v>
          </cell>
          <cell r="BL160">
            <v>11836.536575794529</v>
          </cell>
          <cell r="BM160">
            <v>12120.438744586649</v>
          </cell>
          <cell r="BN160">
            <v>12404.340913378768</v>
          </cell>
        </row>
        <row r="161">
          <cell r="A161" t="str">
            <v xml:space="preserve">   LLR</v>
          </cell>
          <cell r="H161">
            <v>2278.197090484</v>
          </cell>
          <cell r="I161">
            <v>5022.842407227</v>
          </cell>
          <cell r="J161">
            <v>2324.3275268460002</v>
          </cell>
          <cell r="K161">
            <v>1195.924789046695</v>
          </cell>
          <cell r="L161">
            <v>1042.3483241374099</v>
          </cell>
          <cell r="M161">
            <v>1078.6404954732729</v>
          </cell>
          <cell r="N161">
            <v>1148.7521276790355</v>
          </cell>
          <cell r="O161">
            <v>1223.4210159781726</v>
          </cell>
          <cell r="P161">
            <v>1302.943382016754</v>
          </cell>
          <cell r="Q161">
            <v>1387.634701847843</v>
          </cell>
          <cell r="AD161">
            <v>2278.197090484</v>
          </cell>
          <cell r="AE161">
            <v>2522.8298856689999</v>
          </cell>
          <cell r="AF161">
            <v>2019.277092735</v>
          </cell>
          <cell r="AG161">
            <v>2088.4149246880002</v>
          </cell>
          <cell r="AH161">
            <v>5022.842407227</v>
          </cell>
          <cell r="AI161">
            <v>4280.200485286</v>
          </cell>
          <cell r="AJ161">
            <v>3766.2418246218622</v>
          </cell>
          <cell r="AK161">
            <v>3358.5596008490002</v>
          </cell>
          <cell r="AL161">
            <v>2324.3275268460002</v>
          </cell>
          <cell r="AM161">
            <v>1718.4799940959999</v>
          </cell>
          <cell r="AN161">
            <v>1475.91671779175</v>
          </cell>
          <cell r="AO161">
            <v>1298.3521681681768</v>
          </cell>
          <cell r="AP161">
            <v>1195.924789046695</v>
          </cell>
          <cell r="AQ161">
            <v>1061.9110909625938</v>
          </cell>
          <cell r="AR161">
            <v>1084.1693792235167</v>
          </cell>
          <cell r="AS161">
            <v>1074.5789342666601</v>
          </cell>
          <cell r="AT161">
            <v>1042.3483241374099</v>
          </cell>
          <cell r="AU161">
            <v>915.149902344</v>
          </cell>
          <cell r="AV161">
            <v>1096.8451885138343</v>
          </cell>
          <cell r="AW161">
            <v>1087.7428419935536</v>
          </cell>
          <cell r="AX161">
            <v>1078.6404954732729</v>
          </cell>
          <cell r="AY161">
            <v>1096.1684035247135</v>
          </cell>
          <cell r="AZ161">
            <v>1096.1684035247135</v>
          </cell>
          <cell r="BA161">
            <v>1122.4602656018747</v>
          </cell>
          <cell r="BB161">
            <v>1148.7521276790355</v>
          </cell>
          <cell r="BC161">
            <v>1167.4193497538199</v>
          </cell>
          <cell r="BD161">
            <v>1167.4193497538197</v>
          </cell>
          <cell r="BE161">
            <v>1195.4201828659961</v>
          </cell>
          <cell r="BF161">
            <v>1223.4210159781726</v>
          </cell>
          <cell r="BG161">
            <v>1243.3016074878178</v>
          </cell>
          <cell r="BH161">
            <v>1243.301607487818</v>
          </cell>
          <cell r="BI161">
            <v>1273.122494752286</v>
          </cell>
          <cell r="BJ161">
            <v>1302.943382016754</v>
          </cell>
          <cell r="BK161">
            <v>1324.1162119745263</v>
          </cell>
          <cell r="BL161">
            <v>1324.1162119745261</v>
          </cell>
          <cell r="BM161">
            <v>1355.8754569111845</v>
          </cell>
          <cell r="BN161">
            <v>1387.634701847843</v>
          </cell>
        </row>
        <row r="162">
          <cell r="A162" t="str">
            <v xml:space="preserve">   Other assets</v>
          </cell>
          <cell r="H162">
            <v>7023.2588366609998</v>
          </cell>
          <cell r="I162">
            <v>3445.288670854</v>
          </cell>
          <cell r="J162">
            <v>2597.3523551790004</v>
          </cell>
          <cell r="K162">
            <v>1984.7455067919991</v>
          </cell>
          <cell r="L162">
            <v>1634.139332257005</v>
          </cell>
          <cell r="M162">
            <v>1715.8462988698552</v>
          </cell>
          <cell r="N162">
            <v>1801.638613813348</v>
          </cell>
          <cell r="O162">
            <v>1891.7205445040154</v>
          </cell>
          <cell r="P162">
            <v>1986.3065717292163</v>
          </cell>
          <cell r="Q162">
            <v>2085.6219003156771</v>
          </cell>
          <cell r="AD162">
            <v>7023.2588366609998</v>
          </cell>
          <cell r="AE162">
            <v>8857.6220823480016</v>
          </cell>
          <cell r="AF162">
            <v>8189.0960712559308</v>
          </cell>
          <cell r="AG162">
            <v>7964.564330332003</v>
          </cell>
          <cell r="AH162">
            <v>3445.288670854</v>
          </cell>
          <cell r="AI162">
            <v>4426.7278069000013</v>
          </cell>
          <cell r="AJ162">
            <v>4328.4023981921891</v>
          </cell>
          <cell r="AK162">
            <v>3404.5641897390005</v>
          </cell>
          <cell r="AL162">
            <v>2597.3523551790004</v>
          </cell>
          <cell r="AM162">
            <v>2312.0906724170009</v>
          </cell>
          <cell r="AN162">
            <v>1653.8114638980007</v>
          </cell>
          <cell r="AO162">
            <v>1655.8901986280007</v>
          </cell>
          <cell r="AP162">
            <v>1984.7455067919991</v>
          </cell>
          <cell r="AQ162">
            <v>1908.2328554670034</v>
          </cell>
          <cell r="AR162">
            <v>1546.803673425002</v>
          </cell>
          <cell r="AS162">
            <v>1842.9112143830032</v>
          </cell>
          <cell r="AT162">
            <v>1634.139332257005</v>
          </cell>
          <cell r="AU162">
            <v>1894.2630966890001</v>
          </cell>
          <cell r="AV162">
            <v>1574.6670663172899</v>
          </cell>
          <cell r="AW162">
            <v>1645.2566825935719</v>
          </cell>
          <cell r="AX162">
            <v>1715.8462988698552</v>
          </cell>
          <cell r="AY162">
            <v>1737.2943776057291</v>
          </cell>
          <cell r="AZ162">
            <v>1737.2943776057291</v>
          </cell>
          <cell r="BA162">
            <v>1769.4664957095392</v>
          </cell>
          <cell r="BB162">
            <v>1801.638613813348</v>
          </cell>
          <cell r="BC162">
            <v>1824.1590964860134</v>
          </cell>
          <cell r="BD162">
            <v>1824.1590964860152</v>
          </cell>
          <cell r="BE162">
            <v>1857.9398204950157</v>
          </cell>
          <cell r="BF162">
            <v>1891.7205445040154</v>
          </cell>
          <cell r="BG162">
            <v>1915.3670513103152</v>
          </cell>
          <cell r="BH162">
            <v>1915.3670513103152</v>
          </cell>
          <cell r="BI162">
            <v>1950.8368115197645</v>
          </cell>
          <cell r="BJ162">
            <v>1986.3065717292163</v>
          </cell>
          <cell r="BK162">
            <v>2011.1354038758309</v>
          </cell>
          <cell r="BL162">
            <v>2011.1354038758309</v>
          </cell>
          <cell r="BM162">
            <v>2048.3786520957547</v>
          </cell>
          <cell r="BN162">
            <v>2085.6219003156771</v>
          </cell>
        </row>
        <row r="163">
          <cell r="A163" t="str">
            <v>Total liabilities</v>
          </cell>
          <cell r="H163">
            <v>17650.999812833001</v>
          </cell>
          <cell r="I163">
            <v>13978.745060193</v>
          </cell>
          <cell r="J163">
            <v>8787.1056658929992</v>
          </cell>
          <cell r="K163">
            <v>7277.7093378500003</v>
          </cell>
          <cell r="L163">
            <v>6624.9121166320001</v>
          </cell>
          <cell r="M163">
            <v>6088.736016965644</v>
          </cell>
          <cell r="N163">
            <v>5550.6085041349452</v>
          </cell>
          <cell r="O163">
            <v>5325.4618409270579</v>
          </cell>
          <cell r="P163">
            <v>5158.718818481344</v>
          </cell>
          <cell r="Q163">
            <v>5058.9434231833447</v>
          </cell>
          <cell r="AD163">
            <v>17650.999812833001</v>
          </cell>
          <cell r="AE163">
            <v>19199.939171094</v>
          </cell>
          <cell r="AF163">
            <v>16437.980328497</v>
          </cell>
          <cell r="AG163">
            <v>14671.190648964999</v>
          </cell>
          <cell r="AH163">
            <v>13978.745060193</v>
          </cell>
          <cell r="AI163">
            <v>12423.565754523999</v>
          </cell>
          <cell r="AJ163">
            <v>11784.193760699811</v>
          </cell>
          <cell r="AK163">
            <v>10841.57304420093</v>
          </cell>
          <cell r="AL163">
            <v>8787.1056658929992</v>
          </cell>
          <cell r="AM163">
            <v>7728.1017176309997</v>
          </cell>
          <cell r="AN163">
            <v>7468.2801931289996</v>
          </cell>
          <cell r="AO163">
            <v>7140.471698789207</v>
          </cell>
          <cell r="AP163">
            <v>7277.7093378500003</v>
          </cell>
          <cell r="AQ163">
            <v>7348.9114591369998</v>
          </cell>
          <cell r="AR163">
            <v>6923.5451695385</v>
          </cell>
          <cell r="AS163">
            <v>7081.7263953251504</v>
          </cell>
          <cell r="AT163">
            <v>6624.9121166320001</v>
          </cell>
          <cell r="AU163">
            <v>5985.5677121480003</v>
          </cell>
          <cell r="AV163">
            <v>5608.3306992873531</v>
          </cell>
          <cell r="AW163">
            <v>5563.0905420675235</v>
          </cell>
          <cell r="AX163">
            <v>6091.899736322719</v>
          </cell>
          <cell r="AY163">
            <v>5960.9095079225126</v>
          </cell>
          <cell r="AZ163">
            <v>5666.952573902593</v>
          </cell>
          <cell r="BA163">
            <v>5611.5429486331304</v>
          </cell>
          <cell r="BB163">
            <v>5553.7722234920202</v>
          </cell>
          <cell r="BC163">
            <v>5468.3038981449317</v>
          </cell>
          <cell r="BD163">
            <v>5249.2182433830976</v>
          </cell>
          <cell r="BE163">
            <v>5284.4577378976082</v>
          </cell>
          <cell r="BF163">
            <v>5328.6255602841329</v>
          </cell>
          <cell r="BG163">
            <v>5289.6178231746217</v>
          </cell>
          <cell r="BH163">
            <v>5067.3422875154592</v>
          </cell>
          <cell r="BI163">
            <v>5115.5050855109102</v>
          </cell>
          <cell r="BJ163">
            <v>5161.8825378384181</v>
          </cell>
          <cell r="BK163">
            <v>5134.3164625641239</v>
          </cell>
          <cell r="BL163">
            <v>4912.0409269049615</v>
          </cell>
          <cell r="BM163">
            <v>4977.3662176532389</v>
          </cell>
          <cell r="BN163">
            <v>5062.107142540418</v>
          </cell>
        </row>
        <row r="164">
          <cell r="A164" t="str">
            <v xml:space="preserve">   Interest bearing liabilities</v>
          </cell>
          <cell r="H164">
            <v>15431.588687936999</v>
          </cell>
          <cell r="I164">
            <v>12436.375434269999</v>
          </cell>
          <cell r="J164">
            <v>7741.8698959120002</v>
          </cell>
          <cell r="K164">
            <v>6073.6267917449995</v>
          </cell>
          <cell r="L164">
            <v>5136.2042644860003</v>
          </cell>
          <cell r="M164">
            <v>4525.5927722123442</v>
          </cell>
          <cell r="N164">
            <v>3909.3080971439804</v>
          </cell>
          <cell r="O164">
            <v>3602.0964135865452</v>
          </cell>
          <cell r="P164">
            <v>3349.1851197738051</v>
          </cell>
          <cell r="Q164">
            <v>3158.933039540429</v>
          </cell>
          <cell r="AD164">
            <v>15431.588687936999</v>
          </cell>
          <cell r="AE164">
            <v>16825.921807940998</v>
          </cell>
          <cell r="AF164">
            <v>14390.429907538</v>
          </cell>
          <cell r="AG164">
            <v>12645.649348079</v>
          </cell>
          <cell r="AH164">
            <v>12436.375434269999</v>
          </cell>
          <cell r="AI164">
            <v>11131.660050217999</v>
          </cell>
          <cell r="AJ164">
            <v>10485.684456307999</v>
          </cell>
          <cell r="AK164">
            <v>9550.5312251969299</v>
          </cell>
          <cell r="AL164">
            <v>7741.8698959120002</v>
          </cell>
          <cell r="AM164">
            <v>6519.9840691030013</v>
          </cell>
          <cell r="AN164">
            <v>6474.3224769599892</v>
          </cell>
          <cell r="AO164">
            <v>6125.9806272919623</v>
          </cell>
          <cell r="AP164">
            <v>6073.6267917449995</v>
          </cell>
          <cell r="AQ164">
            <v>5989.1297374360001</v>
          </cell>
          <cell r="AR164">
            <v>5620.5320697349998</v>
          </cell>
          <cell r="AS164">
            <v>5575.3522794759992</v>
          </cell>
          <cell r="AT164">
            <v>5136.2042644860003</v>
          </cell>
          <cell r="AU164">
            <v>4490.7603060679994</v>
          </cell>
          <cell r="AV164">
            <v>5147.8150865341149</v>
          </cell>
          <cell r="AW164">
            <v>4836.7039293732296</v>
          </cell>
          <cell r="AX164">
            <v>4525.5927722123442</v>
          </cell>
          <cell r="AY164">
            <v>4371.5216034452533</v>
          </cell>
          <cell r="AZ164">
            <v>4371.5216034452533</v>
          </cell>
          <cell r="BA164">
            <v>4140.4148502946173</v>
          </cell>
          <cell r="BB164">
            <v>3909.3080971439804</v>
          </cell>
          <cell r="BC164">
            <v>3832.5051762546218</v>
          </cell>
          <cell r="BD164">
            <v>3832.5051762546213</v>
          </cell>
          <cell r="BE164">
            <v>3717.300794920583</v>
          </cell>
          <cell r="BF164">
            <v>3602.0964135865452</v>
          </cell>
          <cell r="BG164">
            <v>3538.8685901333602</v>
          </cell>
          <cell r="BH164">
            <v>3538.8685901333602</v>
          </cell>
          <cell r="BI164">
            <v>3444.0268549535826</v>
          </cell>
          <cell r="BJ164">
            <v>3349.1851197738051</v>
          </cell>
          <cell r="BK164">
            <v>3301.622099715461</v>
          </cell>
          <cell r="BL164">
            <v>3301.622099715461</v>
          </cell>
          <cell r="BM164">
            <v>3230.277569627945</v>
          </cell>
          <cell r="BN164">
            <v>3158.933039540429</v>
          </cell>
        </row>
        <row r="165">
          <cell r="A165" t="str">
            <v xml:space="preserve">   Other liabilities</v>
          </cell>
          <cell r="H165">
            <v>2219.4111248960016</v>
          </cell>
          <cell r="I165">
            <v>1542.3696259230001</v>
          </cell>
          <cell r="J165">
            <v>1045.2357699809991</v>
          </cell>
          <cell r="K165">
            <v>1204.0825461050008</v>
          </cell>
          <cell r="L165">
            <v>1488.7078521459998</v>
          </cell>
          <cell r="M165">
            <v>1563.1432447533</v>
          </cell>
          <cell r="N165">
            <v>1641.3004069909648</v>
          </cell>
          <cell r="O165">
            <v>1723.365427340513</v>
          </cell>
          <cell r="P165">
            <v>1809.5336987075386</v>
          </cell>
          <cell r="Q165">
            <v>1900.0103836429157</v>
          </cell>
          <cell r="AD165">
            <v>2219.4111248960016</v>
          </cell>
          <cell r="AE165">
            <v>2374.0173631530015</v>
          </cell>
          <cell r="AF165">
            <v>2047.5504209589999</v>
          </cell>
          <cell r="AG165">
            <v>2025.5413008859996</v>
          </cell>
          <cell r="AH165">
            <v>1542.3696259230001</v>
          </cell>
          <cell r="AI165">
            <v>1291.9057043060002</v>
          </cell>
          <cell r="AJ165">
            <v>1298.5093043918114</v>
          </cell>
          <cell r="AK165">
            <v>1291.041819004</v>
          </cell>
          <cell r="AL165">
            <v>1045.2357699809991</v>
          </cell>
          <cell r="AM165">
            <v>1208.1176485279984</v>
          </cell>
          <cell r="AN165">
            <v>993.95771616901038</v>
          </cell>
          <cell r="AO165">
            <v>1014.4910714972448</v>
          </cell>
          <cell r="AP165">
            <v>1204.0825461050008</v>
          </cell>
          <cell r="AQ165">
            <v>1359.7817217009997</v>
          </cell>
          <cell r="AR165">
            <v>1303.0130998035002</v>
          </cell>
          <cell r="AS165">
            <v>1506.3741158491512</v>
          </cell>
          <cell r="AT165">
            <v>1488.7078521459998</v>
          </cell>
          <cell r="AU165">
            <v>1494.8074060800009</v>
          </cell>
          <cell r="AV165">
            <v>460.5156127532382</v>
          </cell>
          <cell r="AW165">
            <v>726.38661269429394</v>
          </cell>
          <cell r="AX165">
            <v>1563.1432447533</v>
          </cell>
          <cell r="AY165">
            <v>1589.3879044772593</v>
          </cell>
          <cell r="AZ165">
            <v>1295.4309704573398</v>
          </cell>
          <cell r="BA165">
            <v>1471.1280983385132</v>
          </cell>
          <cell r="BB165">
            <v>1641.3004069909648</v>
          </cell>
          <cell r="BC165">
            <v>1635.7987218903099</v>
          </cell>
          <cell r="BD165">
            <v>1416.7130671284763</v>
          </cell>
          <cell r="BE165">
            <v>1567.1569429770252</v>
          </cell>
          <cell r="BF165">
            <v>1723.365427340513</v>
          </cell>
          <cell r="BG165">
            <v>1750.7492330412615</v>
          </cell>
          <cell r="BH165">
            <v>1528.4736973820991</v>
          </cell>
          <cell r="BI165">
            <v>1671.4782305573276</v>
          </cell>
          <cell r="BJ165">
            <v>1809.5336987075386</v>
          </cell>
          <cell r="BK165">
            <v>1832.6943628486629</v>
          </cell>
          <cell r="BL165">
            <v>1610.4188271895005</v>
          </cell>
          <cell r="BM165">
            <v>1747.0886480252939</v>
          </cell>
          <cell r="BN165">
            <v>1900.0103836429157</v>
          </cell>
        </row>
        <row r="166">
          <cell r="A166" t="str">
            <v>Total shareholders' equity</v>
          </cell>
          <cell r="H166">
            <v>1774.7096302599998</v>
          </cell>
          <cell r="I166">
            <v>-3213.1874405450003</v>
          </cell>
          <cell r="J166">
            <v>-569.74756886900013</v>
          </cell>
          <cell r="K166">
            <v>1806.5243860790001</v>
          </cell>
          <cell r="L166">
            <v>3020.569613836075</v>
          </cell>
          <cell r="M166">
            <v>4190.6504057315578</v>
          </cell>
          <cell r="N166">
            <v>5371.2003415545278</v>
          </cell>
          <cell r="O166">
            <v>6279.2400005250283</v>
          </cell>
          <cell r="P166">
            <v>7171.912834497567</v>
          </cell>
          <cell r="Q166">
            <v>8043.3846886632573</v>
          </cell>
          <cell r="AD166">
            <v>1774.7096302599998</v>
          </cell>
          <cell r="AE166">
            <v>1372.851207737586</v>
          </cell>
          <cell r="AF166">
            <v>1385.1122380229299</v>
          </cell>
          <cell r="AG166">
            <v>1131.406452168</v>
          </cell>
          <cell r="AH166">
            <v>-3213.1874405450003</v>
          </cell>
          <cell r="AI166">
            <v>-294.12989189399968</v>
          </cell>
          <cell r="AJ166">
            <v>-831.48120974748281</v>
          </cell>
          <cell r="AK166">
            <v>-891.2886887009297</v>
          </cell>
          <cell r="AL166">
            <v>-569.74756886900013</v>
          </cell>
          <cell r="AM166">
            <v>726.07897010399995</v>
          </cell>
          <cell r="AN166">
            <v>1209.05499791125</v>
          </cell>
          <cell r="AO166">
            <v>1576.9842231526156</v>
          </cell>
          <cell r="AP166">
            <v>1806.5243860790001</v>
          </cell>
          <cell r="AQ166">
            <v>2166.9916445950003</v>
          </cell>
          <cell r="AR166">
            <v>2458.5447868049846</v>
          </cell>
          <cell r="AS166">
            <v>2769.3877216368501</v>
          </cell>
          <cell r="AT166">
            <v>3020.569613836075</v>
          </cell>
          <cell r="AU166">
            <v>3882.8053631360003</v>
          </cell>
          <cell r="AV166">
            <v>4174.1554803179752</v>
          </cell>
          <cell r="AW166">
            <v>4467.8457590837415</v>
          </cell>
          <cell r="AX166">
            <v>4187.4866863744828</v>
          </cell>
          <cell r="AY166">
            <v>4479.0825205227566</v>
          </cell>
          <cell r="AZ166">
            <v>4773.0394545426761</v>
          </cell>
          <cell r="BA166">
            <v>5069.3574884342415</v>
          </cell>
          <cell r="BB166">
            <v>5368.0366221974527</v>
          </cell>
          <cell r="BC166">
            <v>5624.2281964851936</v>
          </cell>
          <cell r="BD166">
            <v>5843.3138512470296</v>
          </cell>
          <cell r="BE166">
            <v>6064.1592301434994</v>
          </cell>
          <cell r="BF166">
            <v>6276.0762811679533</v>
          </cell>
          <cell r="BG166">
            <v>6496.5664711591708</v>
          </cell>
          <cell r="BH166">
            <v>6718.8420068183332</v>
          </cell>
          <cell r="BI166">
            <v>6942.9028881454406</v>
          </cell>
          <cell r="BJ166">
            <v>7168.7491151404929</v>
          </cell>
          <cell r="BK166">
            <v>7389.2393051317104</v>
          </cell>
          <cell r="BL166">
            <v>7611.5148407908728</v>
          </cell>
          <cell r="BM166">
            <v>7835.5757221179801</v>
          </cell>
          <cell r="BN166">
            <v>8040.2209693061841</v>
          </cell>
        </row>
        <row r="167">
          <cell r="A167" t="str">
            <v xml:space="preserve">   Paid-in Capital</v>
          </cell>
          <cell r="H167">
            <v>370</v>
          </cell>
          <cell r="I167">
            <v>785.98911999999996</v>
          </cell>
          <cell r="J167">
            <v>2585.58961</v>
          </cell>
          <cell r="K167">
            <v>626.84701500000006</v>
          </cell>
          <cell r="L167">
            <v>626.84701500000006</v>
          </cell>
          <cell r="M167">
            <v>626.84701500000006</v>
          </cell>
          <cell r="N167">
            <v>626.84701500000006</v>
          </cell>
          <cell r="O167">
            <v>626.84701500000006</v>
          </cell>
          <cell r="P167">
            <v>626.84701500000006</v>
          </cell>
          <cell r="Q167">
            <v>626.84701500000006</v>
          </cell>
          <cell r="AD167">
            <v>370</v>
          </cell>
          <cell r="AE167">
            <v>370</v>
          </cell>
          <cell r="AF167">
            <v>595</v>
          </cell>
          <cell r="AG167">
            <v>595</v>
          </cell>
          <cell r="AH167">
            <v>785.98911999999996</v>
          </cell>
          <cell r="AI167">
            <v>1739.88912</v>
          </cell>
          <cell r="AJ167">
            <v>40.08961</v>
          </cell>
          <cell r="AK167">
            <v>2585.58961</v>
          </cell>
          <cell r="AL167">
            <v>2585.58961</v>
          </cell>
          <cell r="AM167">
            <v>626.84701500000006</v>
          </cell>
          <cell r="AN167">
            <v>626.84701500000006</v>
          </cell>
          <cell r="AO167">
            <v>626.84701500000006</v>
          </cell>
          <cell r="AP167">
            <v>626.84701500000006</v>
          </cell>
          <cell r="AQ167">
            <v>626.84701500000006</v>
          </cell>
          <cell r="AR167">
            <v>626.84701500000006</v>
          </cell>
          <cell r="AS167">
            <v>626.84701500000006</v>
          </cell>
          <cell r="AT167">
            <v>626.84701500000006</v>
          </cell>
          <cell r="AU167">
            <v>626.84701500000006</v>
          </cell>
          <cell r="AV167">
            <v>626.84701500000006</v>
          </cell>
          <cell r="AW167">
            <v>626.84701500000006</v>
          </cell>
          <cell r="AX167">
            <v>626.84701500000006</v>
          </cell>
          <cell r="AY167">
            <v>626.84701500000006</v>
          </cell>
          <cell r="AZ167">
            <v>626.84701500000006</v>
          </cell>
          <cell r="BA167">
            <v>626.84701500000006</v>
          </cell>
          <cell r="BB167">
            <v>626.84701500000006</v>
          </cell>
          <cell r="BC167">
            <v>626.84701500000006</v>
          </cell>
          <cell r="BD167">
            <v>626.84701500000006</v>
          </cell>
          <cell r="BE167">
            <v>626.84701500000006</v>
          </cell>
          <cell r="BF167">
            <v>626.84701500000006</v>
          </cell>
          <cell r="BG167">
            <v>626.84701500000006</v>
          </cell>
          <cell r="BH167">
            <v>626.84701500000006</v>
          </cell>
          <cell r="BI167">
            <v>626.84701500000006</v>
          </cell>
          <cell r="BJ167">
            <v>626.84701500000006</v>
          </cell>
          <cell r="BK167">
            <v>626.84701500000006</v>
          </cell>
          <cell r="BL167">
            <v>626.84701500000006</v>
          </cell>
          <cell r="BM167">
            <v>626.84701500000006</v>
          </cell>
          <cell r="BN167">
            <v>626.84701500000006</v>
          </cell>
        </row>
        <row r="168">
          <cell r="A168" t="str">
            <v xml:space="preserve">   Capital surplus</v>
          </cell>
          <cell r="H168">
            <v>260.152644802</v>
          </cell>
          <cell r="I168">
            <v>451.66445785600001</v>
          </cell>
          <cell r="J168">
            <v>1713.4845303029999</v>
          </cell>
          <cell r="K168">
            <v>2830.0516641889999</v>
          </cell>
          <cell r="L168">
            <v>1378.029722148</v>
          </cell>
          <cell r="M168">
            <v>1378.029722148</v>
          </cell>
          <cell r="N168">
            <v>1378.029722148</v>
          </cell>
          <cell r="O168">
            <v>1378.029722148</v>
          </cell>
          <cell r="P168">
            <v>1378.029722148</v>
          </cell>
          <cell r="Q168">
            <v>1378.029722148</v>
          </cell>
          <cell r="AD168">
            <v>260.152644802</v>
          </cell>
          <cell r="AE168">
            <v>260.152644802</v>
          </cell>
          <cell r="AF168">
            <v>421.21136038200001</v>
          </cell>
          <cell r="AG168">
            <v>430.86824440700002</v>
          </cell>
          <cell r="AH168">
            <v>451.66445785600001</v>
          </cell>
          <cell r="AI168">
            <v>13.685020303</v>
          </cell>
          <cell r="AJ168">
            <v>1713.4845303029999</v>
          </cell>
          <cell r="AK168">
            <v>1713.4845303029999</v>
          </cell>
          <cell r="AL168">
            <v>1713.4845303029999</v>
          </cell>
          <cell r="AM168">
            <v>2830.0516641889999</v>
          </cell>
          <cell r="AN168">
            <v>2830.0516641889999</v>
          </cell>
          <cell r="AO168">
            <v>2830.0516641889999</v>
          </cell>
          <cell r="AP168">
            <v>2830.0516641889999</v>
          </cell>
          <cell r="AQ168">
            <v>1378.029722148</v>
          </cell>
          <cell r="AR168">
            <v>1378.029722148</v>
          </cell>
          <cell r="AS168">
            <v>1378.029722148</v>
          </cell>
          <cell r="AT168">
            <v>1378.029722148</v>
          </cell>
          <cell r="AU168">
            <v>1378.029722148</v>
          </cell>
          <cell r="AV168">
            <v>1378.029722148</v>
          </cell>
          <cell r="AW168">
            <v>1378.029722148</v>
          </cell>
          <cell r="AX168">
            <v>1378.029722148</v>
          </cell>
          <cell r="AY168">
            <v>1378.029722148</v>
          </cell>
          <cell r="AZ168">
            <v>1378.029722148</v>
          </cell>
          <cell r="BA168">
            <v>1378.029722148</v>
          </cell>
          <cell r="BB168">
            <v>1378.029722148</v>
          </cell>
          <cell r="BC168">
            <v>1378.029722148</v>
          </cell>
          <cell r="BD168">
            <v>1378.029722148</v>
          </cell>
          <cell r="BE168">
            <v>1378.029722148</v>
          </cell>
          <cell r="BF168">
            <v>1378.029722148</v>
          </cell>
          <cell r="BG168">
            <v>1378.029722148</v>
          </cell>
          <cell r="BH168">
            <v>1378.029722148</v>
          </cell>
          <cell r="BI168">
            <v>1378.029722148</v>
          </cell>
          <cell r="BJ168">
            <v>1378.029722148</v>
          </cell>
          <cell r="BK168">
            <v>1378.029722148</v>
          </cell>
          <cell r="BL168">
            <v>1378.029722148</v>
          </cell>
          <cell r="BM168">
            <v>1378.029722148</v>
          </cell>
          <cell r="BN168">
            <v>1378.029722148</v>
          </cell>
        </row>
        <row r="169">
          <cell r="A169" t="str">
            <v xml:space="preserve">   Retained earnings</v>
          </cell>
          <cell r="H169">
            <v>1163.6129794149999</v>
          </cell>
          <cell r="I169">
            <v>-4435.1980536370002</v>
          </cell>
          <cell r="J169">
            <v>-4516.7985270469999</v>
          </cell>
          <cell r="K169">
            <v>-1449.4809161410001</v>
          </cell>
          <cell r="L169">
            <v>1193.679248018901</v>
          </cell>
          <cell r="M169">
            <v>2363.7600399143848</v>
          </cell>
          <cell r="N169">
            <v>3544.3099757373543</v>
          </cell>
          <cell r="O169">
            <v>4452.3496347078553</v>
          </cell>
          <cell r="P169">
            <v>5345.022468680394</v>
          </cell>
          <cell r="Q169">
            <v>6216.4943228460843</v>
          </cell>
          <cell r="AD169">
            <v>1163.6129794149999</v>
          </cell>
          <cell r="AE169">
            <v>779.09310576058601</v>
          </cell>
          <cell r="AF169">
            <v>416.7602947570121</v>
          </cell>
          <cell r="AG169">
            <v>146.810406164</v>
          </cell>
          <cell r="AH169">
            <v>-4435.1980536370002</v>
          </cell>
          <cell r="AI169">
            <v>-4314.1140299239996</v>
          </cell>
          <cell r="AJ169">
            <v>-4795.7987882844827</v>
          </cell>
          <cell r="AK169">
            <v>-4842.5866778189293</v>
          </cell>
          <cell r="AL169">
            <v>-4516.7985270469999</v>
          </cell>
          <cell r="AM169">
            <v>-2520.7832039469999</v>
          </cell>
          <cell r="AN169">
            <v>-2040.99148868775</v>
          </cell>
          <cell r="AO169">
            <v>-1677.5980877623845</v>
          </cell>
          <cell r="AP169">
            <v>-1449.4809161410001</v>
          </cell>
          <cell r="AQ169">
            <v>353.57640766700001</v>
          </cell>
          <cell r="AR169">
            <v>640.56436855498441</v>
          </cell>
          <cell r="AS169">
            <v>949.22887898385</v>
          </cell>
          <cell r="AT169">
            <v>1193.679248018901</v>
          </cell>
          <cell r="AU169">
            <v>1868.334677757</v>
          </cell>
          <cell r="AV169">
            <v>2159.6847949389753</v>
          </cell>
          <cell r="AW169">
            <v>2453.3750737047417</v>
          </cell>
          <cell r="AX169">
            <v>2173.0160009954834</v>
          </cell>
          <cell r="AY169">
            <v>2464.6118351437572</v>
          </cell>
          <cell r="AZ169">
            <v>2758.5687691636767</v>
          </cell>
          <cell r="BA169">
            <v>3054.8868030552421</v>
          </cell>
          <cell r="BB169">
            <v>3353.5659368184533</v>
          </cell>
          <cell r="BC169">
            <v>3609.7575111061938</v>
          </cell>
          <cell r="BD169">
            <v>3828.8431658680302</v>
          </cell>
          <cell r="BE169">
            <v>4049.6885447644995</v>
          </cell>
          <cell r="BF169">
            <v>4261.6055957889539</v>
          </cell>
          <cell r="BG169">
            <v>4482.0957857801714</v>
          </cell>
          <cell r="BH169">
            <v>4704.3713214393338</v>
          </cell>
          <cell r="BI169">
            <v>4928.4322027664412</v>
          </cell>
          <cell r="BJ169">
            <v>5154.2784297614935</v>
          </cell>
          <cell r="BK169">
            <v>5374.7686197527109</v>
          </cell>
          <cell r="BL169">
            <v>5597.0441554118734</v>
          </cell>
          <cell r="BM169">
            <v>5821.1050367389807</v>
          </cell>
          <cell r="BN169">
            <v>6025.7502839271847</v>
          </cell>
        </row>
        <row r="170">
          <cell r="A170" t="str">
            <v xml:space="preserve">   Capital adjustment</v>
          </cell>
          <cell r="H170">
            <v>-19.055993956999998</v>
          </cell>
          <cell r="I170">
            <v>-15.642964764</v>
          </cell>
          <cell r="J170">
            <v>-352.02318212500001</v>
          </cell>
          <cell r="K170">
            <v>-200.893376969</v>
          </cell>
          <cell r="L170">
            <v>-177.98637133082656</v>
          </cell>
          <cell r="M170">
            <v>-177.98637133082656</v>
          </cell>
          <cell r="N170">
            <v>-177.98637133082656</v>
          </cell>
          <cell r="O170">
            <v>-177.98637133082656</v>
          </cell>
          <cell r="P170">
            <v>-177.98637133082656</v>
          </cell>
          <cell r="Q170">
            <v>-177.98637133082656</v>
          </cell>
          <cell r="AD170">
            <v>-19.055993956999998</v>
          </cell>
          <cell r="AE170">
            <v>-36.394542825000002</v>
          </cell>
          <cell r="AF170">
            <v>-47.859417116082362</v>
          </cell>
          <cell r="AG170">
            <v>-41.272198402999997</v>
          </cell>
          <cell r="AH170">
            <v>-15.642964764</v>
          </cell>
          <cell r="AI170">
            <v>2266.4099977269998</v>
          </cell>
          <cell r="AJ170">
            <v>2210.7434382340002</v>
          </cell>
          <cell r="AK170">
            <v>-347.776151185</v>
          </cell>
          <cell r="AL170">
            <v>-352.02318212500001</v>
          </cell>
          <cell r="AM170">
            <v>-210.036505138</v>
          </cell>
          <cell r="AN170">
            <v>-206.85219258999999</v>
          </cell>
          <cell r="AO170">
            <v>-202.31636827400001</v>
          </cell>
          <cell r="AP170">
            <v>-200.893376969</v>
          </cell>
          <cell r="AQ170">
            <v>-191.46150022</v>
          </cell>
          <cell r="AR170">
            <v>-186.896318898</v>
          </cell>
          <cell r="AS170">
            <v>-184.717894495</v>
          </cell>
          <cell r="AT170">
            <v>-177.98637133082656</v>
          </cell>
          <cell r="AU170">
            <v>9.5939482310000006</v>
          </cell>
          <cell r="AV170">
            <v>9.5939482310000006</v>
          </cell>
          <cell r="AW170">
            <v>9.5939482310000006</v>
          </cell>
          <cell r="AX170">
            <v>9.5939482310000006</v>
          </cell>
          <cell r="AY170">
            <v>9.5939482310000006</v>
          </cell>
          <cell r="AZ170">
            <v>9.5939482310000006</v>
          </cell>
          <cell r="BA170">
            <v>9.5939482310000006</v>
          </cell>
          <cell r="BB170">
            <v>9.5939482310000006</v>
          </cell>
          <cell r="BC170">
            <v>9.5939482310000006</v>
          </cell>
          <cell r="BD170">
            <v>9.5939482310000006</v>
          </cell>
          <cell r="BE170">
            <v>9.5939482310000006</v>
          </cell>
          <cell r="BF170">
            <v>9.5939482310000006</v>
          </cell>
          <cell r="BG170">
            <v>9.5939482310000006</v>
          </cell>
          <cell r="BH170">
            <v>9.5939482310000006</v>
          </cell>
          <cell r="BI170">
            <v>9.5939482310000006</v>
          </cell>
          <cell r="BJ170">
            <v>9.5939482310000006</v>
          </cell>
          <cell r="BK170">
            <v>9.5939482310000006</v>
          </cell>
          <cell r="BL170">
            <v>9.5939482310000006</v>
          </cell>
          <cell r="BM170">
            <v>9.5939482310000006</v>
          </cell>
          <cell r="BN170">
            <v>9.5939482310000006</v>
          </cell>
        </row>
        <row r="172">
          <cell r="A172" t="str">
            <v>Balance sheet (Managed)</v>
          </cell>
        </row>
        <row r="173">
          <cell r="A173" t="str">
            <v>Total assets</v>
          </cell>
          <cell r="H173">
            <v>33784.023648237999</v>
          </cell>
          <cell r="I173">
            <v>17488.753342242999</v>
          </cell>
          <cell r="J173">
            <v>12372.647515225</v>
          </cell>
          <cell r="K173">
            <v>11938.167895600509</v>
          </cell>
          <cell r="L173">
            <v>12336.656306016757</v>
          </cell>
          <cell r="M173">
            <v>13149.198569444059</v>
          </cell>
          <cell r="N173">
            <v>13980.072612782911</v>
          </cell>
          <cell r="O173">
            <v>14863.76227575504</v>
          </cell>
          <cell r="P173">
            <v>15803.641013977418</v>
          </cell>
          <cell r="Q173">
            <v>16803.298579699167</v>
          </cell>
          <cell r="AD173">
            <v>33784.023648237999</v>
          </cell>
          <cell r="AE173">
            <v>34084.649993316591</v>
          </cell>
          <cell r="AF173">
            <v>29913.593266764543</v>
          </cell>
          <cell r="AG173">
            <v>26054.161063340001</v>
          </cell>
          <cell r="AH173">
            <v>17488.753342242999</v>
          </cell>
          <cell r="AI173">
            <v>17224.177455721001</v>
          </cell>
          <cell r="AJ173">
            <v>15492.807988232602</v>
          </cell>
          <cell r="AK173">
            <v>13583.160505000467</v>
          </cell>
          <cell r="AL173">
            <v>12372.647515225</v>
          </cell>
          <cell r="AM173">
            <v>11852.102733154001</v>
          </cell>
          <cell r="AN173">
            <v>11428.82305093025</v>
          </cell>
          <cell r="AO173">
            <v>11467.023444456001</v>
          </cell>
          <cell r="AP173">
            <v>11938.167895600509</v>
          </cell>
          <cell r="AQ173">
            <v>12243.7056119836</v>
          </cell>
          <cell r="AR173">
            <v>12132.138458926496</v>
          </cell>
          <cell r="AS173">
            <v>12656.720870173276</v>
          </cell>
          <cell r="AT173">
            <v>12336.656306016757</v>
          </cell>
          <cell r="AU173">
            <v>12533.661963597</v>
          </cell>
          <cell r="AV173">
            <v>12541.835174632444</v>
          </cell>
          <cell r="AW173">
            <v>12845.516872038252</v>
          </cell>
          <cell r="AX173">
            <v>13149.198569444059</v>
          </cell>
          <cell r="AY173">
            <v>13356.917080278772</v>
          </cell>
          <cell r="AZ173">
            <v>13356.917080278772</v>
          </cell>
          <cell r="BA173">
            <v>13668.494846530841</v>
          </cell>
          <cell r="BB173">
            <v>13980.072612782911</v>
          </cell>
          <cell r="BC173">
            <v>14200.995028525944</v>
          </cell>
          <cell r="BD173">
            <v>14200.995028525944</v>
          </cell>
          <cell r="BE173">
            <v>14532.378652140491</v>
          </cell>
          <cell r="BF173">
            <v>14863.76227575504</v>
          </cell>
          <cell r="BG173">
            <v>15098.731960310633</v>
          </cell>
          <cell r="BH173">
            <v>15098.731960310635</v>
          </cell>
          <cell r="BI173">
            <v>15451.186487144027</v>
          </cell>
          <cell r="BJ173">
            <v>15803.641013977418</v>
          </cell>
          <cell r="BK173">
            <v>16053.555405407855</v>
          </cell>
          <cell r="BL173">
            <v>16053.555405407855</v>
          </cell>
          <cell r="BM173">
            <v>16428.426992553512</v>
          </cell>
          <cell r="BN173">
            <v>16803.298579699167</v>
          </cell>
        </row>
        <row r="174">
          <cell r="A174" t="str">
            <v xml:space="preserve">   IEA</v>
          </cell>
          <cell r="H174">
            <v>33542.835446251003</v>
          </cell>
          <cell r="I174">
            <v>21129.175706642</v>
          </cell>
          <cell r="J174">
            <v>12191.570449344999</v>
          </cell>
          <cell r="K174">
            <v>11246.288696866</v>
          </cell>
          <cell r="L174">
            <v>11928.949069917</v>
          </cell>
          <cell r="M174">
            <v>12704.330759461605</v>
          </cell>
          <cell r="N174">
            <v>13530.11225882661</v>
          </cell>
          <cell r="O174">
            <v>14409.569555650338</v>
          </cell>
          <cell r="P174">
            <v>15346.191576767609</v>
          </cell>
          <cell r="Q174">
            <v>16343.694029257504</v>
          </cell>
          <cell r="AD174">
            <v>33542.835446251003</v>
          </cell>
          <cell r="AE174">
            <v>32293.532561083</v>
          </cell>
          <cell r="AF174">
            <v>27839.229362406</v>
          </cell>
          <cell r="AG174">
            <v>24862.888205915002</v>
          </cell>
          <cell r="AH174">
            <v>21129.175706642</v>
          </cell>
          <cell r="AI174">
            <v>17481.811230675743</v>
          </cell>
          <cell r="AJ174">
            <v>15389.262216839807</v>
          </cell>
          <cell r="AK174">
            <v>13828.691387755744</v>
          </cell>
          <cell r="AL174">
            <v>12191.570449344999</v>
          </cell>
          <cell r="AM174">
            <v>11002.361199977</v>
          </cell>
          <cell r="AN174">
            <v>10711.834970256999</v>
          </cell>
          <cell r="AO174">
            <v>10695.290453112</v>
          </cell>
          <cell r="AP174">
            <v>11246.288696866</v>
          </cell>
          <cell r="AQ174">
            <v>11621.088525367</v>
          </cell>
          <cell r="AR174">
            <v>11868.824092519</v>
          </cell>
          <cell r="AS174">
            <v>12029.755763561001</v>
          </cell>
          <cell r="AT174">
            <v>11928.949069917</v>
          </cell>
          <cell r="AU174">
            <v>11692.806925130999</v>
          </cell>
          <cell r="AV174">
            <v>12266.123681360536</v>
          </cell>
          <cell r="AW174">
            <v>12485.22722041107</v>
          </cell>
          <cell r="AX174">
            <v>12704.330759461605</v>
          </cell>
          <cell r="AY174">
            <v>12910.776134302856</v>
          </cell>
          <cell r="AZ174">
            <v>12910.776134302856</v>
          </cell>
          <cell r="BA174">
            <v>13220.444196564733</v>
          </cell>
          <cell r="BB174">
            <v>13530.11225882661</v>
          </cell>
          <cell r="BC174">
            <v>13749.976583032541</v>
          </cell>
          <cell r="BD174">
            <v>13749.976583032541</v>
          </cell>
          <cell r="BE174">
            <v>14079.77306934144</v>
          </cell>
          <cell r="BF174">
            <v>14409.569555650338</v>
          </cell>
          <cell r="BG174">
            <v>14643.725060929655</v>
          </cell>
          <cell r="BH174">
            <v>14643.725060929655</v>
          </cell>
          <cell r="BI174">
            <v>14994.958318848632</v>
          </cell>
          <cell r="BJ174">
            <v>15346.191576767609</v>
          </cell>
          <cell r="BK174">
            <v>15595.567189890084</v>
          </cell>
          <cell r="BL174">
            <v>15595.567189890082</v>
          </cell>
          <cell r="BM174">
            <v>15969.630609573793</v>
          </cell>
          <cell r="BN174">
            <v>16343.694029257504</v>
          </cell>
        </row>
        <row r="175">
          <cell r="A175" t="str">
            <v xml:space="preserve">      Growth</v>
          </cell>
          <cell r="H175" t="str">
            <v>NA</v>
          </cell>
          <cell r="I175">
            <v>-0.37008379209624764</v>
          </cell>
          <cell r="J175">
            <v>-0.42299829304213921</v>
          </cell>
          <cell r="K175">
            <v>-7.7535683889665363E-2</v>
          </cell>
          <cell r="L175">
            <v>6.0700946903598174E-2</v>
          </cell>
          <cell r="M175">
            <v>6.4999999999999947E-2</v>
          </cell>
          <cell r="N175">
            <v>6.4999999999999947E-2</v>
          </cell>
          <cell r="O175">
            <v>6.4999999999999947E-2</v>
          </cell>
          <cell r="P175">
            <v>6.4999999999999947E-2</v>
          </cell>
          <cell r="Q175">
            <v>6.4999999999999947E-2</v>
          </cell>
          <cell r="Y175">
            <v>6.5000000000000002E-2</v>
          </cell>
          <cell r="AD175" t="str">
            <v>NA</v>
          </cell>
          <cell r="AE175">
            <v>7.5266659788124191E-2</v>
          </cell>
          <cell r="AF175">
            <v>-0.10835897069877676</v>
          </cell>
          <cell r="AG175">
            <v>-0.24673583523221954</v>
          </cell>
          <cell r="AH175">
            <v>-0.37008379209624764</v>
          </cell>
          <cell r="AI175">
            <v>-0.45865906129628231</v>
          </cell>
          <cell r="AJ175">
            <v>-0.44720947492815966</v>
          </cell>
          <cell r="AK175">
            <v>-0.44380189166977668</v>
          </cell>
          <cell r="AL175">
            <v>-0.42299829304213921</v>
          </cell>
          <cell r="AM175">
            <v>-0.37063951470480938</v>
          </cell>
          <cell r="AN175">
            <v>-0.30394096745355992</v>
          </cell>
          <cell r="AO175">
            <v>-0.22658694498151377</v>
          </cell>
          <cell r="AP175">
            <v>-7.7535683889665363E-2</v>
          </cell>
          <cell r="AQ175">
            <v>5.6235867387383509E-2</v>
          </cell>
          <cell r="AR175">
            <v>0.10801035728001351</v>
          </cell>
          <cell r="AS175">
            <v>0.12477130156485949</v>
          </cell>
          <cell r="AT175">
            <v>6.0700946903598174E-2</v>
          </cell>
          <cell r="AU175">
            <v>6.1714012080236191E-3</v>
          </cell>
          <cell r="AV175">
            <v>3.3474216632122467E-2</v>
          </cell>
          <cell r="AW175">
            <v>3.7862070170179729E-2</v>
          </cell>
          <cell r="AX175">
            <v>6.4999999999999947E-2</v>
          </cell>
          <cell r="AY175">
            <v>0.10416397165971425</v>
          </cell>
          <cell r="AZ175">
            <v>5.2555515474047132E-2</v>
          </cell>
          <cell r="BA175">
            <v>5.8886952009308713E-2</v>
          </cell>
          <cell r="BB175">
            <v>6.4999999999999947E-2</v>
          </cell>
          <cell r="BC175">
            <v>6.4999999999999947E-2</v>
          </cell>
          <cell r="BD175">
            <v>6.4999999999999947E-2</v>
          </cell>
          <cell r="BE175">
            <v>6.4999999999999947E-2</v>
          </cell>
          <cell r="BF175">
            <v>6.4999999999999947E-2</v>
          </cell>
          <cell r="BG175">
            <v>6.4999999999999947E-2</v>
          </cell>
          <cell r="BH175">
            <v>6.4999999999999947E-2</v>
          </cell>
          <cell r="BI175">
            <v>6.4999999999999947E-2</v>
          </cell>
          <cell r="BJ175">
            <v>6.4999999999999947E-2</v>
          </cell>
          <cell r="BK175">
            <v>6.5000000000000169E-2</v>
          </cell>
          <cell r="BL175">
            <v>6.4999999999999947E-2</v>
          </cell>
          <cell r="BM175">
            <v>6.4999999999999947E-2</v>
          </cell>
          <cell r="BN175">
            <v>6.4999999999999947E-2</v>
          </cell>
        </row>
        <row r="176">
          <cell r="A176" t="str">
            <v xml:space="preserve">      Avg. IEA</v>
          </cell>
          <cell r="H176">
            <v>31951.302205695501</v>
          </cell>
          <cell r="I176">
            <v>27336.0055764465</v>
          </cell>
          <cell r="J176">
            <v>16660.373077993499</v>
          </cell>
          <cell r="K176">
            <v>11718.929573105499</v>
          </cell>
          <cell r="L176">
            <v>11587.6188833915</v>
          </cell>
          <cell r="M176">
            <v>12316.639914689302</v>
          </cell>
          <cell r="N176">
            <v>13117.221509144107</v>
          </cell>
          <cell r="O176">
            <v>13969.840907238475</v>
          </cell>
          <cell r="P176">
            <v>14877.880566208973</v>
          </cell>
          <cell r="Q176">
            <v>15844.942803012556</v>
          </cell>
          <cell r="AD176">
            <v>33274.84996431</v>
          </cell>
          <cell r="AE176">
            <v>33542.835446251003</v>
          </cell>
          <cell r="AF176">
            <v>30066.3809617445</v>
          </cell>
          <cell r="AG176">
            <v>26351.058784160501</v>
          </cell>
          <cell r="AH176">
            <v>22996.031956278501</v>
          </cell>
          <cell r="AI176">
            <v>19305.493468658871</v>
          </cell>
          <cell r="AJ176">
            <v>16435.536723757774</v>
          </cell>
          <cell r="AK176">
            <v>14608.976802297775</v>
          </cell>
          <cell r="AL176">
            <v>13010.130918550371</v>
          </cell>
          <cell r="AM176">
            <v>11596.965824661</v>
          </cell>
          <cell r="AN176">
            <v>10857.098085116999</v>
          </cell>
          <cell r="AO176">
            <v>10703.562711684499</v>
          </cell>
          <cell r="AP176">
            <v>10970.789574989001</v>
          </cell>
          <cell r="AQ176">
            <v>11433.6886111165</v>
          </cell>
          <cell r="AR176">
            <v>11744.956308943001</v>
          </cell>
          <cell r="AS176">
            <v>11949.289928040002</v>
          </cell>
          <cell r="AT176">
            <v>11979.352416739001</v>
          </cell>
          <cell r="AU176">
            <v>11810.877997524</v>
          </cell>
          <cell r="AV176">
            <v>11979.465303245768</v>
          </cell>
          <cell r="AW176">
            <v>12375.675450885803</v>
          </cell>
          <cell r="AX176">
            <v>12594.778989936338</v>
          </cell>
          <cell r="AY176">
            <v>12807.55344688223</v>
          </cell>
          <cell r="AZ176">
            <v>12910.776134302856</v>
          </cell>
          <cell r="BA176">
            <v>13065.610165433794</v>
          </cell>
          <cell r="BB176">
            <v>13375.278227695671</v>
          </cell>
          <cell r="BC176">
            <v>13640.044420929575</v>
          </cell>
          <cell r="BD176">
            <v>13749.976583032541</v>
          </cell>
          <cell r="BE176">
            <v>13914.874826186991</v>
          </cell>
          <cell r="BF176">
            <v>14244.671312495888</v>
          </cell>
          <cell r="BG176">
            <v>14526.647308289997</v>
          </cell>
          <cell r="BH176">
            <v>14643.725060929655</v>
          </cell>
          <cell r="BI176">
            <v>14819.341689889145</v>
          </cell>
          <cell r="BJ176">
            <v>15170.57494780812</v>
          </cell>
          <cell r="BK176">
            <v>15470.879383328847</v>
          </cell>
          <cell r="BL176">
            <v>15595.567189890084</v>
          </cell>
          <cell r="BM176">
            <v>15782.598899731936</v>
          </cell>
          <cell r="BN176">
            <v>16156.662319415649</v>
          </cell>
        </row>
        <row r="177">
          <cell r="A177" t="str">
            <v xml:space="preserve">      LLR</v>
          </cell>
          <cell r="H177">
            <v>2278.197090484</v>
          </cell>
          <cell r="I177">
            <v>5022.842407227</v>
          </cell>
          <cell r="J177">
            <v>2494.0883880830002</v>
          </cell>
          <cell r="K177">
            <v>1312.1929442216951</v>
          </cell>
          <cell r="L177">
            <v>1104.91902898024</v>
          </cell>
          <cell r="M177">
            <v>1143.3897683515445</v>
          </cell>
          <cell r="N177">
            <v>1217.7101032943949</v>
          </cell>
          <cell r="O177">
            <v>1296.8612600085303</v>
          </cell>
          <cell r="P177">
            <v>1381.1572419090849</v>
          </cell>
          <cell r="Q177">
            <v>1470.9324626331752</v>
          </cell>
          <cell r="AD177">
            <v>2278.197090484</v>
          </cell>
          <cell r="AE177">
            <v>2522.8298856689999</v>
          </cell>
          <cell r="AF177">
            <v>2019.277092735</v>
          </cell>
          <cell r="AG177">
            <v>2088.4149246880002</v>
          </cell>
          <cell r="AH177">
            <v>5022.842407227</v>
          </cell>
          <cell r="AI177">
            <v>4280.200485286</v>
          </cell>
          <cell r="AJ177">
            <v>3766.2418246218622</v>
          </cell>
          <cell r="AK177">
            <v>3358.5596008490002</v>
          </cell>
          <cell r="AL177">
            <v>2494.0883880830002</v>
          </cell>
          <cell r="AM177">
            <v>1839.454195173</v>
          </cell>
          <cell r="AN177">
            <v>1600.13556830875</v>
          </cell>
          <cell r="AO177">
            <v>1428.602340935</v>
          </cell>
          <cell r="AP177">
            <v>1312.1929442216951</v>
          </cell>
          <cell r="AQ177">
            <v>1156.5126967455944</v>
          </cell>
          <cell r="AR177">
            <v>1147.8654559906133</v>
          </cell>
          <cell r="AS177">
            <v>1118.388093622</v>
          </cell>
          <cell r="AT177">
            <v>1104.91902898024</v>
          </cell>
          <cell r="AU177">
            <v>968.85839242600002</v>
          </cell>
          <cell r="AV177">
            <v>1163.0961542887549</v>
          </cell>
          <cell r="AW177">
            <v>1153.2429613201498</v>
          </cell>
          <cell r="AX177">
            <v>1143.3897683515445</v>
          </cell>
          <cell r="AY177">
            <v>1161.9698520872571</v>
          </cell>
          <cell r="AZ177">
            <v>1161.9698520872571</v>
          </cell>
          <cell r="BA177">
            <v>1189.8399776908259</v>
          </cell>
          <cell r="BB177">
            <v>1217.7101032943949</v>
          </cell>
          <cell r="BC177">
            <v>1237.4978924729287</v>
          </cell>
          <cell r="BD177">
            <v>1237.4978924729287</v>
          </cell>
          <cell r="BE177">
            <v>1267.1795762407296</v>
          </cell>
          <cell r="BF177">
            <v>1296.8612600085303</v>
          </cell>
          <cell r="BG177">
            <v>1317.9352554836689</v>
          </cell>
          <cell r="BH177">
            <v>1317.9352554836689</v>
          </cell>
          <cell r="BI177">
            <v>1349.546248696377</v>
          </cell>
          <cell r="BJ177">
            <v>1381.1572419090849</v>
          </cell>
          <cell r="BK177">
            <v>1403.6010470901074</v>
          </cell>
          <cell r="BL177">
            <v>1403.6010470901074</v>
          </cell>
          <cell r="BM177">
            <v>1437.2667548616414</v>
          </cell>
          <cell r="BN177">
            <v>1470.9324626331752</v>
          </cell>
        </row>
        <row r="178">
          <cell r="A178" t="str">
            <v xml:space="preserve">      LLR as % of IEA</v>
          </cell>
          <cell r="H178">
            <v>6.7919037260120121E-2</v>
          </cell>
          <cell r="I178">
            <v>0.23772069847703803</v>
          </cell>
          <cell r="J178">
            <v>0.20457482474843894</v>
          </cell>
          <cell r="K178">
            <v>0.11667786410172482</v>
          </cell>
          <cell r="L178">
            <v>9.262501017517781E-2</v>
          </cell>
          <cell r="M178">
            <v>0.09</v>
          </cell>
          <cell r="N178">
            <v>0.09</v>
          </cell>
          <cell r="O178">
            <v>0.09</v>
          </cell>
          <cell r="P178">
            <v>0.09</v>
          </cell>
          <cell r="Q178">
            <v>0.09</v>
          </cell>
          <cell r="Y178">
            <v>0.09</v>
          </cell>
          <cell r="AE178">
            <v>7.8121830768965395E-2</v>
          </cell>
          <cell r="AF178">
            <v>7.2533512564174091E-2</v>
          </cell>
          <cell r="AG178">
            <v>8.3997277685186875E-2</v>
          </cell>
          <cell r="AH178">
            <v>0.23772069847703803</v>
          </cell>
          <cell r="AI178">
            <v>0.24483735860134631</v>
          </cell>
          <cell r="AJ178">
            <v>0.24473179880583398</v>
          </cell>
          <cell r="AK178">
            <v>0.24286893869240223</v>
          </cell>
          <cell r="AL178">
            <v>0.20457482474843894</v>
          </cell>
          <cell r="AM178">
            <v>0.16718722115547754</v>
          </cell>
          <cell r="AN178">
            <v>0.14938015501095414</v>
          </cell>
          <cell r="AO178">
            <v>0.1335730289137983</v>
          </cell>
          <cell r="AP178">
            <v>0.11667786410172482</v>
          </cell>
          <cell r="AQ178">
            <v>9.951844822635246E-2</v>
          </cell>
          <cell r="AR178">
            <v>9.6712652158533599E-2</v>
          </cell>
          <cell r="AS178">
            <v>9.2968478795694115E-2</v>
          </cell>
          <cell r="AT178">
            <v>9.262501017517781E-2</v>
          </cell>
          <cell r="AU178">
            <v>8.2859350935117357E-2</v>
          </cell>
          <cell r="AV178">
            <v>9.4821818571435304E-2</v>
          </cell>
          <cell r="AW178">
            <v>9.2368600183327682E-2</v>
          </cell>
          <cell r="AX178">
            <v>0.09</v>
          </cell>
          <cell r="AY178">
            <v>9.0000000000000011E-2</v>
          </cell>
          <cell r="AZ178">
            <v>9.0000000000000011E-2</v>
          </cell>
          <cell r="BA178">
            <v>0.09</v>
          </cell>
          <cell r="BB178">
            <v>0.09</v>
          </cell>
          <cell r="BC178">
            <v>0.09</v>
          </cell>
          <cell r="BD178">
            <v>0.09</v>
          </cell>
          <cell r="BE178">
            <v>0.09</v>
          </cell>
          <cell r="BF178">
            <v>0.09</v>
          </cell>
          <cell r="BG178">
            <v>0.09</v>
          </cell>
          <cell r="BH178">
            <v>0.09</v>
          </cell>
          <cell r="BI178">
            <v>9.0000000000000011E-2</v>
          </cell>
          <cell r="BJ178">
            <v>0.09</v>
          </cell>
          <cell r="BK178">
            <v>0.09</v>
          </cell>
          <cell r="BL178">
            <v>0.09</v>
          </cell>
          <cell r="BM178">
            <v>0.09</v>
          </cell>
          <cell r="BN178">
            <v>0.09</v>
          </cell>
        </row>
        <row r="179">
          <cell r="A179" t="str">
            <v xml:space="preserve">   Other assets</v>
          </cell>
          <cell r="H179">
            <v>2519.3852924709954</v>
          </cell>
          <cell r="I179">
            <v>1382.4200428279992</v>
          </cell>
          <cell r="J179">
            <v>2675.1654539630013</v>
          </cell>
          <cell r="K179">
            <v>2004.0721429562036</v>
          </cell>
          <cell r="L179">
            <v>1512.6262650799972</v>
          </cell>
          <cell r="M179">
            <v>1588.2575783339971</v>
          </cell>
          <cell r="N179">
            <v>1667.6704572506972</v>
          </cell>
          <cell r="O179">
            <v>1751.053980113232</v>
          </cell>
          <cell r="P179">
            <v>1838.6066791188937</v>
          </cell>
          <cell r="Q179">
            <v>1930.5370130748383</v>
          </cell>
          <cell r="Y179">
            <v>0.05</v>
          </cell>
          <cell r="AD179">
            <v>2519.3852924709954</v>
          </cell>
          <cell r="AE179">
            <v>4313.9473179025899</v>
          </cell>
          <cell r="AF179">
            <v>4093.6409970935429</v>
          </cell>
          <cell r="AG179">
            <v>3279.6877821129997</v>
          </cell>
          <cell r="AH179">
            <v>1382.4200428279992</v>
          </cell>
          <cell r="AI179">
            <v>4022.566710331258</v>
          </cell>
          <cell r="AJ179">
            <v>3869.7875960146575</v>
          </cell>
          <cell r="AK179">
            <v>3113.0287180937239</v>
          </cell>
          <cell r="AL179">
            <v>2675.1654539630013</v>
          </cell>
          <cell r="AM179">
            <v>2689.1957283500005</v>
          </cell>
          <cell r="AN179">
            <v>2317.1236489820008</v>
          </cell>
          <cell r="AO179">
            <v>2200.3353322790008</v>
          </cell>
          <cell r="AP179">
            <v>2004.0721429562036</v>
          </cell>
          <cell r="AQ179">
            <v>1779.1297833621938</v>
          </cell>
          <cell r="AR179">
            <v>1411.1798223981093</v>
          </cell>
          <cell r="AS179">
            <v>1745.3532002342752</v>
          </cell>
          <cell r="AT179">
            <v>1512.6262650799972</v>
          </cell>
          <cell r="AU179">
            <v>1809.7134308920013</v>
          </cell>
          <cell r="AV179">
            <v>1438.8076475606636</v>
          </cell>
          <cell r="AW179">
            <v>1513.532612947331</v>
          </cell>
          <cell r="AX179">
            <v>1588.2575783339983</v>
          </cell>
          <cell r="AY179">
            <v>1608.1107980631732</v>
          </cell>
          <cell r="AZ179">
            <v>1608.1107980631732</v>
          </cell>
          <cell r="BA179">
            <v>1637.8906276569337</v>
          </cell>
          <cell r="BB179">
            <v>1667.6704572506962</v>
          </cell>
          <cell r="BC179">
            <v>1688.5163379663311</v>
          </cell>
          <cell r="BD179">
            <v>1688.5163379663311</v>
          </cell>
          <cell r="BE179">
            <v>1719.7851590397809</v>
          </cell>
          <cell r="BF179">
            <v>1751.0539801132322</v>
          </cell>
          <cell r="BG179">
            <v>1772.9421548646471</v>
          </cell>
          <cell r="BH179">
            <v>1772.942154864649</v>
          </cell>
          <cell r="BI179">
            <v>1805.7744169917714</v>
          </cell>
          <cell r="BJ179">
            <v>1838.6066791188937</v>
          </cell>
          <cell r="BK179">
            <v>1861.5892626078785</v>
          </cell>
          <cell r="BL179">
            <v>1861.5892626078803</v>
          </cell>
          <cell r="BM179">
            <v>1896.0631378413605</v>
          </cell>
          <cell r="BN179">
            <v>1930.5370130748386</v>
          </cell>
        </row>
        <row r="180">
          <cell r="A180" t="str">
            <v>Total liabilities</v>
          </cell>
          <cell r="H180">
            <v>32009.314017977998</v>
          </cell>
          <cell r="I180">
            <v>20701.940782787999</v>
          </cell>
          <cell r="J180">
            <v>12942.395084094</v>
          </cell>
          <cell r="K180">
            <v>10131.6435095214</v>
          </cell>
          <cell r="L180">
            <v>9316.0866921809393</v>
          </cell>
          <cell r="M180">
            <v>8958.5481637125013</v>
          </cell>
          <cell r="N180">
            <v>8608.8722712283834</v>
          </cell>
          <cell r="O180">
            <v>8584.5222752300106</v>
          </cell>
          <cell r="P180">
            <v>8631.728179479851</v>
          </cell>
          <cell r="Q180">
            <v>8759.9138910359106</v>
          </cell>
          <cell r="AD180">
            <v>32009.314017977998</v>
          </cell>
          <cell r="AE180">
            <v>32711.795107414997</v>
          </cell>
          <cell r="AF180">
            <v>28528.481028741615</v>
          </cell>
          <cell r="AG180">
            <v>24922.754611172</v>
          </cell>
          <cell r="AH180">
            <v>20701.940782787999</v>
          </cell>
          <cell r="AI180">
            <v>17518.307347614998</v>
          </cell>
          <cell r="AJ180">
            <v>16324.289197980082</v>
          </cell>
          <cell r="AK180">
            <v>14474.449193701465</v>
          </cell>
          <cell r="AL180">
            <v>12942.395084094</v>
          </cell>
          <cell r="AM180">
            <v>11126.02376305</v>
          </cell>
          <cell r="AN180">
            <v>10219.768053018999</v>
          </cell>
          <cell r="AO180">
            <v>9890.0392213032064</v>
          </cell>
          <cell r="AP180">
            <v>10131.6435095214</v>
          </cell>
          <cell r="AQ180">
            <v>10076.713967388099</v>
          </cell>
          <cell r="AR180">
            <v>9673.5936721215112</v>
          </cell>
          <cell r="AS180">
            <v>9887.3331485361505</v>
          </cell>
          <cell r="AT180">
            <v>9316.0866921809393</v>
          </cell>
          <cell r="AU180">
            <v>8650.8566004610002</v>
          </cell>
          <cell r="AV180">
            <v>8367.6796943144691</v>
          </cell>
          <cell r="AW180">
            <v>8377.671112954511</v>
          </cell>
          <cell r="AX180">
            <v>8961.7118830695763</v>
          </cell>
          <cell r="AY180">
            <v>8877.8345597560146</v>
          </cell>
          <cell r="AZ180">
            <v>8583.8776257360951</v>
          </cell>
          <cell r="BA180">
            <v>8599.1373580965992</v>
          </cell>
          <cell r="BB180">
            <v>8612.0359905854584</v>
          </cell>
          <cell r="BC180">
            <v>8576.7668320407502</v>
          </cell>
          <cell r="BD180">
            <v>8357.6811772789151</v>
          </cell>
          <cell r="BE180">
            <v>8468.2194219969915</v>
          </cell>
          <cell r="BF180">
            <v>8587.6859945870856</v>
          </cell>
          <cell r="BG180">
            <v>8602.1654891514627</v>
          </cell>
          <cell r="BH180">
            <v>8379.8899534923021</v>
          </cell>
          <cell r="BI180">
            <v>8508.283598998587</v>
          </cell>
          <cell r="BJ180">
            <v>8634.891898836926</v>
          </cell>
          <cell r="BK180">
            <v>8664.3161002761444</v>
          </cell>
          <cell r="BL180">
            <v>8442.040564616982</v>
          </cell>
          <cell r="BM180">
            <v>8592.8512704355308</v>
          </cell>
          <cell r="BN180">
            <v>8763.077610392982</v>
          </cell>
        </row>
        <row r="181">
          <cell r="A181" t="str">
            <v xml:space="preserve">   IBL</v>
          </cell>
          <cell r="H181">
            <v>30451.988687936999</v>
          </cell>
          <cell r="I181">
            <v>19731.47543427</v>
          </cell>
          <cell r="J181">
            <v>12013.334715540403</v>
          </cell>
          <cell r="K181">
            <v>9005.4867115049983</v>
          </cell>
          <cell r="L181">
            <v>7859.3292817990005</v>
          </cell>
          <cell r="M181">
            <v>7428.9528828114653</v>
          </cell>
          <cell r="N181">
            <v>7002.7972262822959</v>
          </cell>
          <cell r="O181">
            <v>6898.1434780366189</v>
          </cell>
          <cell r="P181">
            <v>6861.0304424267897</v>
          </cell>
          <cell r="Q181">
            <v>6900.6812671301959</v>
          </cell>
          <cell r="AD181">
            <v>30451.988687936999</v>
          </cell>
          <cell r="AE181">
            <v>31468.392807941</v>
          </cell>
          <cell r="AF181">
            <v>27321.440907538003</v>
          </cell>
          <cell r="AG181">
            <v>23474.983348079</v>
          </cell>
          <cell r="AH181">
            <v>19731.47543427</v>
          </cell>
          <cell r="AI181">
            <v>16568.972854265969</v>
          </cell>
          <cell r="AJ181">
            <v>15373.816305085</v>
          </cell>
          <cell r="AK181">
            <v>13415.375245137464</v>
          </cell>
          <cell r="AL181">
            <v>12013.334715540403</v>
          </cell>
          <cell r="AM181">
            <v>10037.190876352</v>
          </cell>
          <cell r="AN181">
            <v>9347.8210076299893</v>
          </cell>
          <cell r="AO181">
            <v>8950.4488214369612</v>
          </cell>
          <cell r="AP181">
            <v>9005.4867115049983</v>
          </cell>
          <cell r="AQ181">
            <v>8852.2686983999993</v>
          </cell>
          <cell r="AR181">
            <v>8397.8377707809996</v>
          </cell>
          <cell r="AS181">
            <v>8400.2627876879997</v>
          </cell>
          <cell r="AT181">
            <v>7859.3292817990005</v>
          </cell>
          <cell r="AU181">
            <v>7182.24485026</v>
          </cell>
          <cell r="AV181">
            <v>7941.5652926494886</v>
          </cell>
          <cell r="AW181">
            <v>7685.2590877304774</v>
          </cell>
          <cell r="AX181">
            <v>7428.9528828114653</v>
          </cell>
          <cell r="AY181">
            <v>7322.4139686791732</v>
          </cell>
          <cell r="AZ181">
            <v>7322.4139686791732</v>
          </cell>
          <cell r="BA181">
            <v>7162.605597480735</v>
          </cell>
          <cell r="BB181">
            <v>7002.7972262822959</v>
          </cell>
          <cell r="BC181">
            <v>6976.6337892208767</v>
          </cell>
          <cell r="BD181">
            <v>6976.6337892208767</v>
          </cell>
          <cell r="BE181">
            <v>6937.3886336287478</v>
          </cell>
          <cell r="BF181">
            <v>6898.1434780366189</v>
          </cell>
          <cell r="BG181">
            <v>6888.8652191341616</v>
          </cell>
          <cell r="BH181">
            <v>6888.8652191341616</v>
          </cell>
          <cell r="BI181">
            <v>6874.9478307804757</v>
          </cell>
          <cell r="BJ181">
            <v>6861.0304424267897</v>
          </cell>
          <cell r="BK181">
            <v>6870.9431486026415</v>
          </cell>
          <cell r="BL181">
            <v>6870.9431486026415</v>
          </cell>
          <cell r="BM181">
            <v>6885.8122078664182</v>
          </cell>
          <cell r="BN181">
            <v>6900.6812671301959</v>
          </cell>
        </row>
        <row r="182">
          <cell r="A182" t="str">
            <v xml:space="preserve">   Other liabilities</v>
          </cell>
          <cell r="H182">
            <v>1557.3253300409997</v>
          </cell>
          <cell r="I182">
            <v>970.46534851799879</v>
          </cell>
          <cell r="J182">
            <v>929.06036855359707</v>
          </cell>
          <cell r="K182">
            <v>1126.1567980164018</v>
          </cell>
          <cell r="L182">
            <v>1456.7574103819388</v>
          </cell>
          <cell r="M182">
            <v>1529.5952809010357</v>
          </cell>
          <cell r="N182">
            <v>1606.0750449460875</v>
          </cell>
          <cell r="O182">
            <v>1686.3787971933918</v>
          </cell>
          <cell r="P182">
            <v>1770.6977370530615</v>
          </cell>
          <cell r="Q182">
            <v>1859.2326239057147</v>
          </cell>
          <cell r="Y182">
            <v>0.05</v>
          </cell>
          <cell r="AD182">
            <v>1557.3253300409997</v>
          </cell>
          <cell r="AE182">
            <v>1243.4022994739971</v>
          </cell>
          <cell r="AF182">
            <v>1207.0401212036122</v>
          </cell>
          <cell r="AG182">
            <v>1447.771263093</v>
          </cell>
          <cell r="AH182">
            <v>970.46534851799879</v>
          </cell>
          <cell r="AI182">
            <v>949.3344933490298</v>
          </cell>
          <cell r="AJ182">
            <v>950.47289289508262</v>
          </cell>
          <cell r="AK182">
            <v>1059.0739485640006</v>
          </cell>
          <cell r="AL182">
            <v>929.06036855359707</v>
          </cell>
          <cell r="AM182">
            <v>1088.8328866979991</v>
          </cell>
          <cell r="AN182">
            <v>871.94704538900987</v>
          </cell>
          <cell r="AO182">
            <v>939.59039986624521</v>
          </cell>
          <cell r="AP182">
            <v>1126.1567980164018</v>
          </cell>
          <cell r="AQ182">
            <v>1224.4452689881</v>
          </cell>
          <cell r="AR182">
            <v>1275.7559013405116</v>
          </cell>
          <cell r="AS182">
            <v>1487.0703608481508</v>
          </cell>
          <cell r="AT182">
            <v>1456.7574103819388</v>
          </cell>
          <cell r="AU182">
            <v>1468.6117502010002</v>
          </cell>
          <cell r="AV182">
            <v>426.11440166498051</v>
          </cell>
          <cell r="AW182">
            <v>692.41202522403364</v>
          </cell>
          <cell r="AX182">
            <v>1532.759000258111</v>
          </cell>
          <cell r="AY182">
            <v>1555.4205910768414</v>
          </cell>
          <cell r="AZ182">
            <v>1261.4636570569219</v>
          </cell>
          <cell r="BA182">
            <v>1436.5317606158642</v>
          </cell>
          <cell r="BB182">
            <v>1609.2387643031625</v>
          </cell>
          <cell r="BC182">
            <v>1600.1330428198735</v>
          </cell>
          <cell r="BD182">
            <v>1381.0473880580385</v>
          </cell>
          <cell r="BE182">
            <v>1530.8307883682437</v>
          </cell>
          <cell r="BF182">
            <v>1689.5425165504666</v>
          </cell>
          <cell r="BG182">
            <v>1713.300270017301</v>
          </cell>
          <cell r="BH182">
            <v>1491.0247343581404</v>
          </cell>
          <cell r="BI182">
            <v>1633.3357682181113</v>
          </cell>
          <cell r="BJ182">
            <v>1773.8614564101363</v>
          </cell>
          <cell r="BK182">
            <v>1793.3729516735029</v>
          </cell>
          <cell r="BL182">
            <v>1571.0974160143405</v>
          </cell>
          <cell r="BM182">
            <v>1707.0390625691125</v>
          </cell>
          <cell r="BN182">
            <v>1862.3963432627861</v>
          </cell>
        </row>
        <row r="183">
          <cell r="A183" t="str">
            <v>Total shareholders' equity</v>
          </cell>
          <cell r="H183">
            <v>1774.7096302599998</v>
          </cell>
          <cell r="I183">
            <v>-3213.1874405449998</v>
          </cell>
          <cell r="J183">
            <v>-569.74756886899922</v>
          </cell>
          <cell r="K183">
            <v>1806.5243860791088</v>
          </cell>
          <cell r="L183">
            <v>3020.569613835818</v>
          </cell>
          <cell r="M183">
            <v>4190.6504057315578</v>
          </cell>
          <cell r="N183">
            <v>5371.2003415545278</v>
          </cell>
          <cell r="O183">
            <v>6279.2400005250283</v>
          </cell>
          <cell r="P183">
            <v>7171.912834497567</v>
          </cell>
          <cell r="Q183">
            <v>8043.3846886632573</v>
          </cell>
          <cell r="AD183">
            <v>1774.7096302599998</v>
          </cell>
          <cell r="AE183">
            <v>1372.8548859015937</v>
          </cell>
          <cell r="AF183">
            <v>1385.1122380229281</v>
          </cell>
          <cell r="AG183">
            <v>1131.4064521680011</v>
          </cell>
          <cell r="AH183">
            <v>-3213.1874405449998</v>
          </cell>
          <cell r="AI183">
            <v>-294.12989189399741</v>
          </cell>
          <cell r="AJ183">
            <v>-831.48120974748053</v>
          </cell>
          <cell r="AK183">
            <v>-891.28868870099723</v>
          </cell>
          <cell r="AL183">
            <v>-569.74756886899922</v>
          </cell>
          <cell r="AM183">
            <v>726.0789701040012</v>
          </cell>
          <cell r="AN183">
            <v>1209.0549979112511</v>
          </cell>
          <cell r="AO183">
            <v>1576.9842231527946</v>
          </cell>
          <cell r="AP183">
            <v>1806.5243860791088</v>
          </cell>
          <cell r="AQ183">
            <v>2166.9916445955005</v>
          </cell>
          <cell r="AR183">
            <v>2458.5447868049851</v>
          </cell>
          <cell r="AS183">
            <v>2769.3877216371257</v>
          </cell>
          <cell r="AT183">
            <v>3020.569613835818</v>
          </cell>
          <cell r="AU183">
            <v>3882.8053631359999</v>
          </cell>
          <cell r="AV183">
            <v>4174.1554803179752</v>
          </cell>
          <cell r="AW183">
            <v>4467.8457590837415</v>
          </cell>
          <cell r="AX183">
            <v>4187.4866863744828</v>
          </cell>
          <cell r="AY183">
            <v>4479.0825205227566</v>
          </cell>
          <cell r="AZ183">
            <v>4773.0394545426761</v>
          </cell>
          <cell r="BA183">
            <v>5069.3574884342415</v>
          </cell>
          <cell r="BB183">
            <v>5368.0366221974527</v>
          </cell>
          <cell r="BC183">
            <v>5624.2281964851936</v>
          </cell>
          <cell r="BD183">
            <v>5843.3138512470296</v>
          </cell>
          <cell r="BE183">
            <v>6064.1592301434994</v>
          </cell>
          <cell r="BF183">
            <v>6276.0762811679533</v>
          </cell>
          <cell r="BG183">
            <v>6496.5664711591708</v>
          </cell>
          <cell r="BH183">
            <v>6718.8420068183332</v>
          </cell>
          <cell r="BI183">
            <v>6942.9028881454406</v>
          </cell>
          <cell r="BJ183">
            <v>7168.7491151404929</v>
          </cell>
          <cell r="BK183">
            <v>7389.2393051317104</v>
          </cell>
          <cell r="BL183">
            <v>7611.5148407908728</v>
          </cell>
          <cell r="BM183">
            <v>7835.5757221179801</v>
          </cell>
          <cell r="BN183">
            <v>8040.2209693061841</v>
          </cell>
        </row>
        <row r="184">
          <cell r="A184" t="str">
            <v xml:space="preserve">   CAR</v>
          </cell>
          <cell r="H184" t="str">
            <v>NM</v>
          </cell>
          <cell r="I184" t="str">
            <v>NM</v>
          </cell>
          <cell r="J184" t="str">
            <v>NM</v>
          </cell>
          <cell r="K184">
            <v>0.25600000000000001</v>
          </cell>
          <cell r="L184">
            <v>0.34200000000000003</v>
          </cell>
          <cell r="M184">
            <v>0.37624227995898074</v>
          </cell>
          <cell r="N184">
            <v>0.4536485059892979</v>
          </cell>
          <cell r="O184">
            <v>0.49885336344883352</v>
          </cell>
          <cell r="P184">
            <v>0.53591963344723725</v>
          </cell>
          <cell r="Q184">
            <v>0.56531027887885943</v>
          </cell>
          <cell r="AD184" t="str">
            <v>NM</v>
          </cell>
          <cell r="AP184">
            <v>0.25600000000000001</v>
          </cell>
          <cell r="AQ184">
            <v>0.27</v>
          </cell>
          <cell r="AR184">
            <v>0.307</v>
          </cell>
          <cell r="AS184">
            <v>0.32700000000000001</v>
          </cell>
          <cell r="AT184">
            <v>0.34300000000000003</v>
          </cell>
          <cell r="AU184">
            <v>0.36599999999999999</v>
          </cell>
          <cell r="AV184">
            <v>0.39320675933071664</v>
          </cell>
          <cell r="AW184">
            <v>0.41092260247980866</v>
          </cell>
          <cell r="AX184">
            <v>0.37624227995898074</v>
          </cell>
          <cell r="AY184">
            <v>0.39618340108224986</v>
          </cell>
          <cell r="AZ184">
            <v>0.42218445316336439</v>
          </cell>
          <cell r="BA184">
            <v>0.4381730546478908</v>
          </cell>
          <cell r="BB184">
            <v>0.4536485059892979</v>
          </cell>
          <cell r="BC184">
            <v>0.46790490730581108</v>
          </cell>
          <cell r="BD184">
            <v>0.48613163093829687</v>
          </cell>
          <cell r="BE184">
            <v>0.49300046979998857</v>
          </cell>
          <cell r="BF184">
            <v>0.49885336344883352</v>
          </cell>
          <cell r="BG184">
            <v>0.5083430063862926</v>
          </cell>
          <cell r="BH184">
            <v>0.52573561131763891</v>
          </cell>
          <cell r="BI184">
            <v>0.53087551894083584</v>
          </cell>
          <cell r="BJ184">
            <v>0.53591963344723725</v>
          </cell>
          <cell r="BK184">
            <v>0.54380342992197916</v>
          </cell>
          <cell r="BL184">
            <v>0.56016156824824126</v>
          </cell>
          <cell r="BM184">
            <v>0.56349280082557307</v>
          </cell>
          <cell r="BN184">
            <v>0.56531027887885943</v>
          </cell>
        </row>
        <row r="186">
          <cell r="A186" t="str">
            <v>Income statement (Stated)</v>
          </cell>
        </row>
        <row r="187">
          <cell r="A187" t="str">
            <v>Opreating revenue</v>
          </cell>
          <cell r="H187">
            <v>5631.1537365149998</v>
          </cell>
          <cell r="I187">
            <v>4392.6345656619997</v>
          </cell>
          <cell r="J187">
            <v>3432.2684772969997</v>
          </cell>
          <cell r="K187">
            <v>2729.7121418010001</v>
          </cell>
          <cell r="L187">
            <v>2703.3975773309999</v>
          </cell>
          <cell r="M187">
            <v>2702.0648857544629</v>
          </cell>
          <cell r="N187">
            <v>2877.699103328503</v>
          </cell>
          <cell r="O187">
            <v>3064.7495450448559</v>
          </cell>
          <cell r="P187">
            <v>3263.958265472771</v>
          </cell>
          <cell r="Q187">
            <v>3476.1155527285009</v>
          </cell>
          <cell r="AE187">
            <v>1386.201805962</v>
          </cell>
          <cell r="AF187">
            <v>1233.4019875108575</v>
          </cell>
          <cell r="AG187">
            <v>1231.5669755401427</v>
          </cell>
          <cell r="AH187">
            <v>541.46379664899951</v>
          </cell>
          <cell r="AI187">
            <v>1121.7982115539999</v>
          </cell>
          <cell r="AJ187">
            <v>681.67165924000028</v>
          </cell>
          <cell r="AK187">
            <v>787.64507224299996</v>
          </cell>
          <cell r="AL187">
            <v>841.15353425999956</v>
          </cell>
          <cell r="AM187">
            <v>701.89217845299993</v>
          </cell>
          <cell r="AN187">
            <v>670.75253782100015</v>
          </cell>
          <cell r="AO187">
            <v>658.62592038599951</v>
          </cell>
          <cell r="AP187">
            <v>698.44150514100056</v>
          </cell>
          <cell r="AQ187">
            <v>677.29638000300008</v>
          </cell>
          <cell r="AR187">
            <v>692.79318837599988</v>
          </cell>
          <cell r="AS187">
            <v>674.5923107860001</v>
          </cell>
          <cell r="AT187">
            <v>658.71569816599981</v>
          </cell>
          <cell r="AU187">
            <v>633.31712340400009</v>
          </cell>
          <cell r="AV187">
            <v>672.81415655286128</v>
          </cell>
          <cell r="AW187">
            <v>678.2182863243703</v>
          </cell>
          <cell r="AX187">
            <v>717.71531947323149</v>
          </cell>
          <cell r="AY187">
            <v>710.79167852214027</v>
          </cell>
          <cell r="AZ187">
            <v>716.54707672879726</v>
          </cell>
          <cell r="BA187">
            <v>722.30247493545437</v>
          </cell>
          <cell r="BB187">
            <v>728.05787314211102</v>
          </cell>
          <cell r="BC187">
            <v>756.99313762607937</v>
          </cell>
          <cell r="BD187">
            <v>763.12263671616915</v>
          </cell>
          <cell r="BE187">
            <v>769.25213580625882</v>
          </cell>
          <cell r="BF187">
            <v>775.38163489634871</v>
          </cell>
          <cell r="BG187">
            <v>806.1976915717745</v>
          </cell>
          <cell r="BH187">
            <v>812.72560810272</v>
          </cell>
          <cell r="BI187">
            <v>819.25352463366562</v>
          </cell>
          <cell r="BJ187">
            <v>825.78144116461101</v>
          </cell>
          <cell r="BK187">
            <v>806.1976915717745</v>
          </cell>
          <cell r="BL187">
            <v>812.72560810272</v>
          </cell>
          <cell r="BM187">
            <v>819.25352463366562</v>
          </cell>
          <cell r="BN187">
            <v>1037.9387284203408</v>
          </cell>
        </row>
        <row r="188">
          <cell r="A188" t="str">
            <v xml:space="preserve">   ABS related revenue</v>
          </cell>
          <cell r="H188">
            <v>2230.5226477669999</v>
          </cell>
          <cell r="I188">
            <v>1896.601214994</v>
          </cell>
          <cell r="J188">
            <v>1437.833109423</v>
          </cell>
          <cell r="K188">
            <v>832.42513011699998</v>
          </cell>
          <cell r="L188">
            <v>596.73801920100004</v>
          </cell>
          <cell r="M188">
            <v>501.73266199073015</v>
          </cell>
          <cell r="N188">
            <v>534.34528502012756</v>
          </cell>
          <cell r="O188">
            <v>569.07772854643588</v>
          </cell>
          <cell r="P188">
            <v>606.06778090195405</v>
          </cell>
          <cell r="Q188">
            <v>645.4621866605811</v>
          </cell>
          <cell r="AE188">
            <v>655.56577849200005</v>
          </cell>
          <cell r="AF188">
            <v>620.47819148685733</v>
          </cell>
          <cell r="AG188">
            <v>696.23050514414263</v>
          </cell>
          <cell r="AH188">
            <v>-75.673260129000028</v>
          </cell>
          <cell r="AI188">
            <v>593.85810486499997</v>
          </cell>
          <cell r="AJ188">
            <v>218.12303151100002</v>
          </cell>
          <cell r="AK188">
            <v>310.31347039999991</v>
          </cell>
          <cell r="AL188">
            <v>315.53850264700009</v>
          </cell>
          <cell r="AM188">
            <v>243.084421948</v>
          </cell>
          <cell r="AN188">
            <v>197.26289387200001</v>
          </cell>
          <cell r="AO188">
            <v>197.653578837</v>
          </cell>
          <cell r="AP188">
            <v>194.42423545999998</v>
          </cell>
          <cell r="AQ188">
            <v>175.567875109</v>
          </cell>
          <cell r="AR188">
            <v>162.962107129</v>
          </cell>
          <cell r="AS188">
            <v>140.89295243499998</v>
          </cell>
          <cell r="AT188">
            <v>117.31508452800006</v>
          </cell>
          <cell r="AU188">
            <v>116.584330725</v>
          </cell>
          <cell r="AV188">
            <v>140.07937761683638</v>
          </cell>
          <cell r="AW188">
            <v>141.20451318002381</v>
          </cell>
          <cell r="AX188">
            <v>103.86444046886999</v>
          </cell>
          <cell r="AY188">
            <v>97.057522982114634</v>
          </cell>
          <cell r="AZ188">
            <v>97.843413856463741</v>
          </cell>
          <cell r="BA188">
            <v>98.629304730812834</v>
          </cell>
          <cell r="BB188">
            <v>240.81504345073631</v>
          </cell>
          <cell r="BC188">
            <v>252.88963346831144</v>
          </cell>
          <cell r="BD188">
            <v>254.93732280813583</v>
          </cell>
          <cell r="BE188">
            <v>256.98501214796022</v>
          </cell>
          <cell r="BF188">
            <v>-195.73423987797162</v>
          </cell>
          <cell r="BG188">
            <v>-203.51332202015737</v>
          </cell>
          <cell r="BH188">
            <v>-205.16120317011817</v>
          </cell>
          <cell r="BI188">
            <v>-206.80908432007897</v>
          </cell>
          <cell r="BJ188">
            <v>1221.5513904123086</v>
          </cell>
          <cell r="BK188">
            <v>1192.5817922207123</v>
          </cell>
          <cell r="BL188">
            <v>1202.2383249512443</v>
          </cell>
          <cell r="BM188">
            <v>1211.8948576817766</v>
          </cell>
          <cell r="BN188">
            <v>-2961.2527881931519</v>
          </cell>
        </row>
        <row r="189">
          <cell r="A189" t="str">
            <v xml:space="preserve">   Other revenue</v>
          </cell>
          <cell r="H189">
            <v>3400.6310887479999</v>
          </cell>
          <cell r="I189">
            <v>2496.0333506679999</v>
          </cell>
          <cell r="J189">
            <v>1994.4353678739997</v>
          </cell>
          <cell r="K189">
            <v>1897.2870116840002</v>
          </cell>
          <cell r="L189">
            <v>2106.6595581299998</v>
          </cell>
          <cell r="M189">
            <v>2200.3322237637326</v>
          </cell>
          <cell r="N189">
            <v>2343.3538183083756</v>
          </cell>
          <cell r="O189">
            <v>2495.67181649842</v>
          </cell>
          <cell r="P189">
            <v>2657.8904845708171</v>
          </cell>
          <cell r="Q189">
            <v>2830.6533660679197</v>
          </cell>
          <cell r="AE189">
            <v>730.63602746999993</v>
          </cell>
          <cell r="AF189">
            <v>612.92379602400013</v>
          </cell>
          <cell r="AG189">
            <v>535.3364703960001</v>
          </cell>
          <cell r="AH189">
            <v>617.13705677799976</v>
          </cell>
          <cell r="AI189">
            <v>527.94010668899989</v>
          </cell>
          <cell r="AJ189">
            <v>463.54862772900026</v>
          </cell>
          <cell r="AK189">
            <v>477.33160184300004</v>
          </cell>
          <cell r="AL189">
            <v>525.61503161299947</v>
          </cell>
          <cell r="AM189">
            <v>458.80775650499993</v>
          </cell>
          <cell r="AN189">
            <v>473.4896439490002</v>
          </cell>
          <cell r="AO189">
            <v>460.97234154899934</v>
          </cell>
          <cell r="AP189">
            <v>504.0172696810007</v>
          </cell>
          <cell r="AQ189">
            <v>501.72850489400008</v>
          </cell>
          <cell r="AR189">
            <v>529.83108124699993</v>
          </cell>
          <cell r="AS189">
            <v>533.69935835100011</v>
          </cell>
          <cell r="AT189">
            <v>541.40061363799975</v>
          </cell>
          <cell r="AU189">
            <v>516.73279267900011</v>
          </cell>
          <cell r="AV189">
            <v>532.7347789360249</v>
          </cell>
          <cell r="AW189">
            <v>537.01377314434649</v>
          </cell>
          <cell r="AX189">
            <v>613.8508790043611</v>
          </cell>
          <cell r="AY189">
            <v>613.73415554002565</v>
          </cell>
          <cell r="AZ189">
            <v>618.70366287233355</v>
          </cell>
          <cell r="BA189">
            <v>623.67317020464156</v>
          </cell>
          <cell r="BB189">
            <v>487.24282969137471</v>
          </cell>
          <cell r="BC189">
            <v>504.10350415776793</v>
          </cell>
          <cell r="BD189">
            <v>508.18531390803332</v>
          </cell>
          <cell r="BE189">
            <v>512.2671236582986</v>
          </cell>
          <cell r="BF189">
            <v>971.11587477432022</v>
          </cell>
          <cell r="BG189">
            <v>1009.7110135919319</v>
          </cell>
          <cell r="BH189">
            <v>1017.8868112728381</v>
          </cell>
          <cell r="BI189">
            <v>1026.0626089537445</v>
          </cell>
          <cell r="BJ189">
            <v>-395.76994924769724</v>
          </cell>
          <cell r="BK189">
            <v>-386.38410064893776</v>
          </cell>
          <cell r="BL189">
            <v>-389.51271684852429</v>
          </cell>
          <cell r="BM189">
            <v>-392.64133304811094</v>
          </cell>
          <cell r="BN189">
            <v>3999.1915166134927</v>
          </cell>
        </row>
        <row r="190">
          <cell r="A190" t="str">
            <v>Operating expenses</v>
          </cell>
          <cell r="H190">
            <v>2439.6186236009999</v>
          </cell>
          <cell r="I190">
            <v>2593.0075714750001</v>
          </cell>
          <cell r="J190">
            <v>1698.7087752350001</v>
          </cell>
          <cell r="K190">
            <v>1356.0185848840001</v>
          </cell>
          <cell r="L190">
            <v>1393.249190125</v>
          </cell>
          <cell r="M190">
            <v>1351.2267399484958</v>
          </cell>
          <cell r="N190">
            <v>1407.8939400697275</v>
          </cell>
          <cell r="O190">
            <v>1474.6813956000096</v>
          </cell>
          <cell r="P190">
            <v>1552.9231665684733</v>
          </cell>
          <cell r="Q190">
            <v>1638.8272282770195</v>
          </cell>
          <cell r="AE190">
            <v>654.87415488099998</v>
          </cell>
          <cell r="AF190">
            <v>610.74699420800005</v>
          </cell>
          <cell r="AG190">
            <v>641.97173513899997</v>
          </cell>
          <cell r="AH190">
            <v>685.41468724700007</v>
          </cell>
          <cell r="AI190">
            <v>478.606837025</v>
          </cell>
          <cell r="AJ190">
            <v>398.96007861999999</v>
          </cell>
          <cell r="AK190">
            <v>392.50340488092968</v>
          </cell>
          <cell r="AL190">
            <v>428.6384547090704</v>
          </cell>
          <cell r="AM190">
            <v>314.56119360899999</v>
          </cell>
          <cell r="AN190">
            <v>319.06418420900008</v>
          </cell>
          <cell r="AO190">
            <v>320.08751199499989</v>
          </cell>
          <cell r="AP190">
            <v>402.30569507100017</v>
          </cell>
          <cell r="AQ190">
            <v>353.36574320699998</v>
          </cell>
          <cell r="AR190">
            <v>336.139526698</v>
          </cell>
          <cell r="AS190">
            <v>325.70898270215025</v>
          </cell>
          <cell r="AT190">
            <v>378.03493751784981</v>
          </cell>
          <cell r="AU190">
            <v>331.43829403899997</v>
          </cell>
          <cell r="AV190">
            <v>336.45545824717544</v>
          </cell>
          <cell r="AW190">
            <v>339.15791172707242</v>
          </cell>
          <cell r="AX190">
            <v>344.17507593524789</v>
          </cell>
          <cell r="AY190">
            <v>347.74980319722266</v>
          </cell>
          <cell r="AZ190">
            <v>350.56559107736217</v>
          </cell>
          <cell r="BA190">
            <v>353.38137895750162</v>
          </cell>
          <cell r="BB190">
            <v>356.19716683764113</v>
          </cell>
          <cell r="BC190">
            <v>364.24630471320239</v>
          </cell>
          <cell r="BD190">
            <v>367.19566750440242</v>
          </cell>
          <cell r="BE190">
            <v>370.1450302956024</v>
          </cell>
          <cell r="BF190">
            <v>373.09439308680248</v>
          </cell>
          <cell r="BG190">
            <v>383.57202214241283</v>
          </cell>
          <cell r="BH190">
            <v>386.67786847554981</v>
          </cell>
          <cell r="BI190">
            <v>389.7837148086868</v>
          </cell>
          <cell r="BJ190">
            <v>392.88956114182372</v>
          </cell>
          <cell r="BK190">
            <v>383.57202214241283</v>
          </cell>
          <cell r="BL190">
            <v>386.67786847554981</v>
          </cell>
          <cell r="BM190">
            <v>389.7837148086868</v>
          </cell>
          <cell r="BN190">
            <v>478.79362285037007</v>
          </cell>
        </row>
        <row r="191">
          <cell r="A191" t="str">
            <v xml:space="preserve">   Interest expenses</v>
          </cell>
          <cell r="H191">
            <v>866.915562271</v>
          </cell>
          <cell r="I191">
            <v>1105.1195764879999</v>
          </cell>
          <cell r="J191">
            <v>736.30000774400003</v>
          </cell>
          <cell r="K191">
            <v>397.85756054400002</v>
          </cell>
          <cell r="L191">
            <v>325.96956768000001</v>
          </cell>
          <cell r="M191">
            <v>289.85391110095031</v>
          </cell>
          <cell r="N191">
            <v>253.04702608068973</v>
          </cell>
          <cell r="O191">
            <v>225.34213532191575</v>
          </cell>
          <cell r="P191">
            <v>208.5384460008105</v>
          </cell>
          <cell r="Q191">
            <v>195.243544779427</v>
          </cell>
          <cell r="AE191">
            <v>249.00295505400001</v>
          </cell>
          <cell r="AF191">
            <v>236.96825849500001</v>
          </cell>
          <cell r="AG191">
            <v>223.29431754400002</v>
          </cell>
          <cell r="AH191">
            <v>395.85404539499984</v>
          </cell>
          <cell r="AI191">
            <v>208.002661128</v>
          </cell>
          <cell r="AJ191">
            <v>196.129032994</v>
          </cell>
          <cell r="AK191">
            <v>175.79993669013913</v>
          </cell>
          <cell r="AL191">
            <v>156.36837693186089</v>
          </cell>
          <cell r="AM191">
            <v>115.494934122</v>
          </cell>
          <cell r="AN191">
            <v>97.64647944299999</v>
          </cell>
          <cell r="AO191">
            <v>92.43674818400001</v>
          </cell>
          <cell r="AP191">
            <v>92.27939879500002</v>
          </cell>
          <cell r="AQ191">
            <v>85.181193883000006</v>
          </cell>
          <cell r="AR191">
            <v>84.134670326000006</v>
          </cell>
          <cell r="AS191">
            <v>81.004171665000001</v>
          </cell>
          <cell r="AT191">
            <v>75.649531805999999</v>
          </cell>
          <cell r="AU191">
            <v>67.763388223999996</v>
          </cell>
          <cell r="AV191">
            <v>72.17362386413663</v>
          </cell>
          <cell r="AW191">
            <v>72.753331686338527</v>
          </cell>
          <cell r="AX191">
            <v>77.163567326475174</v>
          </cell>
          <cell r="AY191">
            <v>62.502615441930367</v>
          </cell>
          <cell r="AZ191">
            <v>63.008709494091747</v>
          </cell>
          <cell r="BA191">
            <v>63.51480354625312</v>
          </cell>
          <cell r="BB191">
            <v>64.020897598414507</v>
          </cell>
          <cell r="BC191">
            <v>55.659507424513187</v>
          </cell>
          <cell r="BD191">
            <v>56.11019169515702</v>
          </cell>
          <cell r="BE191">
            <v>56.560875965800854</v>
          </cell>
          <cell r="BF191">
            <v>57.011560236444694</v>
          </cell>
          <cell r="BG191">
            <v>51.508996162200191</v>
          </cell>
          <cell r="BH191">
            <v>51.926073054201815</v>
          </cell>
          <cell r="BI191">
            <v>52.343149946203432</v>
          </cell>
          <cell r="BJ191">
            <v>52.760226838205057</v>
          </cell>
          <cell r="BK191">
            <v>51.508996162200191</v>
          </cell>
          <cell r="BL191">
            <v>51.926073054201815</v>
          </cell>
          <cell r="BM191">
            <v>52.343149946203432</v>
          </cell>
          <cell r="BN191">
            <v>39.465325616821559</v>
          </cell>
        </row>
        <row r="192">
          <cell r="A192" t="str">
            <v xml:space="preserve">   SG&amp;A</v>
          </cell>
          <cell r="H192">
            <v>1572.7030613300001</v>
          </cell>
          <cell r="I192">
            <v>1487.887994987</v>
          </cell>
          <cell r="J192">
            <v>962.40876749100005</v>
          </cell>
          <cell r="K192">
            <v>958.16102434000004</v>
          </cell>
          <cell r="L192">
            <v>1067.2796224450001</v>
          </cell>
          <cell r="M192">
            <v>1061.3728288475454</v>
          </cell>
          <cell r="N192">
            <v>1154.8469139890378</v>
          </cell>
          <cell r="O192">
            <v>1249.3392602780939</v>
          </cell>
          <cell r="P192">
            <v>1344.3847205676627</v>
          </cell>
          <cell r="Q192">
            <v>1443.5836834975926</v>
          </cell>
          <cell r="AE192">
            <v>405.871199827</v>
          </cell>
          <cell r="AF192">
            <v>373.778735713</v>
          </cell>
          <cell r="AG192">
            <v>418.67741759500007</v>
          </cell>
          <cell r="AH192">
            <v>289.56064185199989</v>
          </cell>
          <cell r="AI192">
            <v>270.604175897</v>
          </cell>
          <cell r="AJ192">
            <v>202.83104562599999</v>
          </cell>
          <cell r="AK192">
            <v>216.70346819079066</v>
          </cell>
          <cell r="AL192">
            <v>272.27007777720939</v>
          </cell>
          <cell r="AM192">
            <v>199.066259487</v>
          </cell>
          <cell r="AN192">
            <v>221.41770476600001</v>
          </cell>
          <cell r="AO192">
            <v>227.65076381099999</v>
          </cell>
          <cell r="AP192">
            <v>310.02629627600004</v>
          </cell>
          <cell r="AQ192">
            <v>268.18454932399999</v>
          </cell>
          <cell r="AR192">
            <v>252.00485637200001</v>
          </cell>
          <cell r="AS192">
            <v>244.70481103715019</v>
          </cell>
          <cell r="AT192">
            <v>302.3854057118499</v>
          </cell>
          <cell r="AU192">
            <v>263.67490581499999</v>
          </cell>
          <cell r="AV192">
            <v>264.28183438303881</v>
          </cell>
          <cell r="AW192">
            <v>266.40458004073389</v>
          </cell>
          <cell r="AX192">
            <v>267.01150860877271</v>
          </cell>
          <cell r="AY192">
            <v>285.24718775529232</v>
          </cell>
          <cell r="AZ192">
            <v>287.55688158327041</v>
          </cell>
          <cell r="BA192">
            <v>289.8665754112485</v>
          </cell>
          <cell r="BB192">
            <v>292.1762692392266</v>
          </cell>
          <cell r="BC192">
            <v>308.58679728868918</v>
          </cell>
          <cell r="BD192">
            <v>311.08547580924539</v>
          </cell>
          <cell r="BE192">
            <v>313.58415432980155</v>
          </cell>
          <cell r="BF192">
            <v>316.08283285035782</v>
          </cell>
          <cell r="BG192">
            <v>332.06302598021267</v>
          </cell>
          <cell r="BH192">
            <v>334.75179542134799</v>
          </cell>
          <cell r="BI192">
            <v>337.44056486248337</v>
          </cell>
          <cell r="BJ192">
            <v>340.12933430361863</v>
          </cell>
          <cell r="BK192">
            <v>332.06302598021267</v>
          </cell>
          <cell r="BL192">
            <v>334.75179542134799</v>
          </cell>
          <cell r="BM192">
            <v>337.44056486248337</v>
          </cell>
          <cell r="BN192">
            <v>439.32829723354848</v>
          </cell>
        </row>
        <row r="193">
          <cell r="A193" t="str">
            <v>Provisioning expenses</v>
          </cell>
          <cell r="H193">
            <v>2697.4574824249999</v>
          </cell>
          <cell r="I193">
            <v>7134.3511772840002</v>
          </cell>
          <cell r="J193">
            <v>2580.442989316</v>
          </cell>
          <cell r="K193">
            <v>125.259430991</v>
          </cell>
          <cell r="L193">
            <v>118.966112426406</v>
          </cell>
          <cell r="M193">
            <v>307.91599786723259</v>
          </cell>
          <cell r="N193">
            <v>459.1027528200438</v>
          </cell>
          <cell r="O193">
            <v>488.94443175334663</v>
          </cell>
          <cell r="P193">
            <v>595.11522264835889</v>
          </cell>
          <cell r="Q193">
            <v>633.7977121205023</v>
          </cell>
          <cell r="AE193">
            <v>1108.4421188660001</v>
          </cell>
          <cell r="AF193">
            <v>993.23341886000003</v>
          </cell>
          <cell r="AG193">
            <v>807.68133218999992</v>
          </cell>
          <cell r="AH193">
            <v>4224.9943073680006</v>
          </cell>
          <cell r="AI193">
            <v>1259.2513831450001</v>
          </cell>
          <cell r="AJ193">
            <v>700.84298572900002</v>
          </cell>
          <cell r="AK193">
            <v>465.05056284299985</v>
          </cell>
          <cell r="AL193">
            <v>155.298057599</v>
          </cell>
          <cell r="AM193">
            <v>94.592368898999993</v>
          </cell>
          <cell r="AN193">
            <v>-3.2828218049999975</v>
          </cell>
          <cell r="AO193">
            <v>-22.769618886663352</v>
          </cell>
          <cell r="AP193">
            <v>56.719502783663359</v>
          </cell>
          <cell r="AQ193">
            <v>-18.211236221</v>
          </cell>
          <cell r="AR193">
            <v>70.375085078313106</v>
          </cell>
          <cell r="AS193">
            <v>61.564521177686885</v>
          </cell>
          <cell r="AT193">
            <v>5.2377423914060017</v>
          </cell>
          <cell r="AU193">
            <v>0</v>
          </cell>
          <cell r="AV193">
            <v>76.671083468940921</v>
          </cell>
          <cell r="AW193">
            <v>77.286915464675374</v>
          </cell>
          <cell r="AX193">
            <v>153.9579989336163</v>
          </cell>
          <cell r="AY193">
            <v>113.39837994655082</v>
          </cell>
          <cell r="AZ193">
            <v>114.31658545219091</v>
          </cell>
          <cell r="BA193">
            <v>115.234790957831</v>
          </cell>
          <cell r="BB193">
            <v>116.15299646347108</v>
          </cell>
          <cell r="BC193">
            <v>120.76927464307661</v>
          </cell>
          <cell r="BD193">
            <v>121.74716350658331</v>
          </cell>
          <cell r="BE193">
            <v>122.72505237009001</v>
          </cell>
          <cell r="BF193">
            <v>123.70294123359673</v>
          </cell>
          <cell r="BG193">
            <v>146.99345999414464</v>
          </cell>
          <cell r="BH193">
            <v>148.18369043944136</v>
          </cell>
          <cell r="BI193">
            <v>149.37392088473808</v>
          </cell>
          <cell r="BJ193">
            <v>150.5641513300348</v>
          </cell>
          <cell r="BK193">
            <v>146.99345999414464</v>
          </cell>
          <cell r="BL193">
            <v>148.18369043944136</v>
          </cell>
          <cell r="BM193">
            <v>149.37392088473808</v>
          </cell>
          <cell r="BN193">
            <v>189.24664080217821</v>
          </cell>
        </row>
        <row r="194">
          <cell r="A194" t="str">
            <v>Operating profits</v>
          </cell>
          <cell r="H194">
            <v>494.07763048900006</v>
          </cell>
          <cell r="I194">
            <v>-5334.7241830970006</v>
          </cell>
          <cell r="J194">
            <v>-846.88328725400038</v>
          </cell>
          <cell r="K194">
            <v>1248.434125926</v>
          </cell>
          <cell r="L194">
            <v>1191.1822747795939</v>
          </cell>
          <cell r="M194">
            <v>1042.9221479387345</v>
          </cell>
          <cell r="N194">
            <v>1010.7024104387317</v>
          </cell>
          <cell r="O194">
            <v>1101.1237176914997</v>
          </cell>
          <cell r="P194">
            <v>1115.9198762559388</v>
          </cell>
          <cell r="Q194">
            <v>1203.4906123309793</v>
          </cell>
          <cell r="AE194">
            <v>-377.1144677850001</v>
          </cell>
          <cell r="AF194">
            <v>-370.57842555714262</v>
          </cell>
          <cell r="AG194">
            <v>-218.08609178885717</v>
          </cell>
          <cell r="AH194">
            <v>-4368.9451979660007</v>
          </cell>
          <cell r="AI194">
            <v>-616.06000861600023</v>
          </cell>
          <cell r="AJ194">
            <v>-418.13140510899984</v>
          </cell>
          <cell r="AK194">
            <v>-69.908895480929459</v>
          </cell>
          <cell r="AL194">
            <v>257.21702195192915</v>
          </cell>
          <cell r="AM194">
            <v>292.73861594499994</v>
          </cell>
          <cell r="AN194">
            <v>354.9711754170001</v>
          </cell>
          <cell r="AO194">
            <v>361.30802727766297</v>
          </cell>
          <cell r="AP194">
            <v>239.41630728633697</v>
          </cell>
          <cell r="AQ194">
            <v>342.14187301700008</v>
          </cell>
          <cell r="AR194">
            <v>286.27857659968674</v>
          </cell>
          <cell r="AS194">
            <v>287.31880690616299</v>
          </cell>
          <cell r="AT194">
            <v>275.44301825674398</v>
          </cell>
          <cell r="AU194">
            <v>301.87882936500012</v>
          </cell>
          <cell r="AV194">
            <v>259.6876148367449</v>
          </cell>
          <cell r="AW194">
            <v>261.77345913262252</v>
          </cell>
          <cell r="AX194">
            <v>219.5822446043673</v>
          </cell>
          <cell r="AY194">
            <v>249.64349537836679</v>
          </cell>
          <cell r="AZ194">
            <v>251.66490019924419</v>
          </cell>
          <cell r="BA194">
            <v>253.68630502012175</v>
          </cell>
          <cell r="BB194">
            <v>255.7077098409988</v>
          </cell>
          <cell r="BC194">
            <v>271.9775582698004</v>
          </cell>
          <cell r="BD194">
            <v>274.17980570518341</v>
          </cell>
          <cell r="BE194">
            <v>276.38205314056643</v>
          </cell>
          <cell r="BF194">
            <v>278.5843005759495</v>
          </cell>
          <cell r="BG194">
            <v>275.63220943521702</v>
          </cell>
          <cell r="BH194">
            <v>277.86404918772882</v>
          </cell>
          <cell r="BI194">
            <v>280.09588894024074</v>
          </cell>
          <cell r="BJ194">
            <v>282.32772869275249</v>
          </cell>
          <cell r="BK194">
            <v>275.63220943521702</v>
          </cell>
          <cell r="BL194">
            <v>277.86404918772882</v>
          </cell>
          <cell r="BM194">
            <v>280.09588894024074</v>
          </cell>
          <cell r="BN194">
            <v>369.89846476779252</v>
          </cell>
        </row>
        <row r="195">
          <cell r="A195" t="str">
            <v>Net non-op income</v>
          </cell>
          <cell r="H195">
            <v>6.9539340109999443</v>
          </cell>
          <cell r="I195">
            <v>-238.36101234099999</v>
          </cell>
          <cell r="J195">
            <v>53.344025035000001</v>
          </cell>
          <cell r="K195">
            <v>114.639048867</v>
          </cell>
          <cell r="L195">
            <v>-4.4052661692749025E-2</v>
          </cell>
          <cell r="M195">
            <v>127.15864395674907</v>
          </cell>
          <cell r="N195">
            <v>169.84752538423777</v>
          </cell>
          <cell r="O195">
            <v>112.47913377968803</v>
          </cell>
          <cell r="P195">
            <v>115.35299818894123</v>
          </cell>
          <cell r="Q195">
            <v>-1.4604686541645151</v>
          </cell>
          <cell r="AE195">
            <v>-23.53841091</v>
          </cell>
          <cell r="AF195">
            <v>8.2456145539999994</v>
          </cell>
          <cell r="AG195">
            <v>-51.863796805000007</v>
          </cell>
          <cell r="AH195">
            <v>-171.20441918</v>
          </cell>
          <cell r="AI195">
            <v>69.820089715999998</v>
          </cell>
          <cell r="AJ195">
            <v>-63.553354689323101</v>
          </cell>
          <cell r="AK195">
            <v>-21.493838811676895</v>
          </cell>
          <cell r="AL195">
            <v>68.571128819999998</v>
          </cell>
          <cell r="AM195">
            <v>-0.967728959</v>
          </cell>
          <cell r="AN195">
            <v>124.820539842</v>
          </cell>
          <cell r="AO195">
            <v>2.0853736480000009</v>
          </cell>
          <cell r="AP195">
            <v>-11.299135664000005</v>
          </cell>
          <cell r="AQ195">
            <v>11.43453465</v>
          </cell>
          <cell r="AR195">
            <v>0.70938428800000075</v>
          </cell>
          <cell r="AS195">
            <v>18.804677622</v>
          </cell>
          <cell r="AT195">
            <v>-30.992649221692748</v>
          </cell>
          <cell r="AU195">
            <v>43.540123170000001</v>
          </cell>
          <cell r="AV195">
            <v>31.662502345230518</v>
          </cell>
          <cell r="AW195">
            <v>31.916819633144019</v>
          </cell>
          <cell r="AX195">
            <v>20.039198808374536</v>
          </cell>
          <cell r="AY195">
            <v>41.952338769906731</v>
          </cell>
          <cell r="AZ195">
            <v>42.292033820675208</v>
          </cell>
          <cell r="BA195">
            <v>42.631728871443677</v>
          </cell>
          <cell r="BB195">
            <v>42.971423922212153</v>
          </cell>
          <cell r="BC195">
            <v>27.782346043582944</v>
          </cell>
          <cell r="BD195">
            <v>28.00730431114232</v>
          </cell>
          <cell r="BE195">
            <v>28.232262578701693</v>
          </cell>
          <cell r="BF195">
            <v>28.457220846261066</v>
          </cell>
          <cell r="BG195">
            <v>28.492190552668482</v>
          </cell>
          <cell r="BH195">
            <v>28.722896549046364</v>
          </cell>
          <cell r="BI195">
            <v>28.95360254542425</v>
          </cell>
          <cell r="BJ195">
            <v>29.184308541802139</v>
          </cell>
          <cell r="BK195">
            <v>28.492190552668482</v>
          </cell>
          <cell r="BL195">
            <v>28.722896549046364</v>
          </cell>
          <cell r="BM195">
            <v>28.95360254542425</v>
          </cell>
          <cell r="BN195">
            <v>-87.629158301303605</v>
          </cell>
        </row>
        <row r="196">
          <cell r="A196" t="str">
            <v>Pretax profits</v>
          </cell>
          <cell r="H196">
            <v>501.0315645</v>
          </cell>
          <cell r="I196">
            <v>-5556.9521903970008</v>
          </cell>
          <cell r="J196">
            <v>-81.600473410000404</v>
          </cell>
          <cell r="K196">
            <v>1363.0731747929999</v>
          </cell>
          <cell r="L196">
            <v>1191.138222117901</v>
          </cell>
          <cell r="M196">
            <v>1170.0807918954836</v>
          </cell>
          <cell r="N196">
            <v>1180.5499358229695</v>
          </cell>
          <cell r="O196">
            <v>1213.6028514711877</v>
          </cell>
          <cell r="P196">
            <v>1231.27287444488</v>
          </cell>
          <cell r="Q196">
            <v>1202.0301436768148</v>
          </cell>
          <cell r="AE196">
            <v>-384.51987365400009</v>
          </cell>
          <cell r="AF196">
            <v>-362.33281100314264</v>
          </cell>
          <cell r="AG196">
            <v>-269.94988859385717</v>
          </cell>
          <cell r="AH196">
            <v>-4540.1496171460012</v>
          </cell>
          <cell r="AI196">
            <v>121.08402371299974</v>
          </cell>
          <cell r="AJ196">
            <v>-481.68475979832283</v>
          </cell>
          <cell r="AK196">
            <v>-46.78788809660648</v>
          </cell>
          <cell r="AL196">
            <v>325.78815077192917</v>
          </cell>
          <cell r="AM196">
            <v>291.77088698599994</v>
          </cell>
          <cell r="AN196">
            <v>479.79171525900006</v>
          </cell>
          <cell r="AO196">
            <v>363.39340092566306</v>
          </cell>
          <cell r="AP196">
            <v>228.11717162233685</v>
          </cell>
          <cell r="AQ196">
            <v>353.57640766700013</v>
          </cell>
          <cell r="AR196">
            <v>286.98796088768665</v>
          </cell>
          <cell r="AS196">
            <v>306.12348452816309</v>
          </cell>
          <cell r="AT196">
            <v>244.45036903505115</v>
          </cell>
          <cell r="AU196">
            <v>345.41895253500013</v>
          </cell>
          <cell r="AV196">
            <v>291.35011718197541</v>
          </cell>
          <cell r="AW196">
            <v>293.69027876576655</v>
          </cell>
          <cell r="AX196">
            <v>239.62144341274183</v>
          </cell>
          <cell r="AY196">
            <v>291.59583414827352</v>
          </cell>
          <cell r="AZ196">
            <v>293.9569340199194</v>
          </cell>
          <cell r="BA196">
            <v>296.31803389156545</v>
          </cell>
          <cell r="BB196">
            <v>298.67913376321098</v>
          </cell>
          <cell r="BC196">
            <v>299.75990431338334</v>
          </cell>
          <cell r="BD196">
            <v>302.18711001632573</v>
          </cell>
          <cell r="BE196">
            <v>304.61431571926812</v>
          </cell>
          <cell r="BF196">
            <v>307.04152142221056</v>
          </cell>
          <cell r="BG196">
            <v>304.12439998788551</v>
          </cell>
          <cell r="BH196">
            <v>306.58694573677519</v>
          </cell>
          <cell r="BI196">
            <v>309.04949148566499</v>
          </cell>
          <cell r="BJ196">
            <v>311.51203723455461</v>
          </cell>
          <cell r="BK196">
            <v>304.12439998788551</v>
          </cell>
          <cell r="BL196">
            <v>306.58694573677519</v>
          </cell>
          <cell r="BM196">
            <v>309.04949148566499</v>
          </cell>
          <cell r="BN196">
            <v>282.2693064664889</v>
          </cell>
        </row>
        <row r="197">
          <cell r="A197" t="str">
            <v xml:space="preserve">   Income taxes</v>
          </cell>
          <cell r="H197">
            <v>150.63719141000001</v>
          </cell>
          <cell r="I197">
            <v>0</v>
          </cell>
          <cell r="J197">
            <v>0</v>
          </cell>
          <cell r="K197">
            <v>0</v>
          </cell>
          <cell r="L197">
            <v>-2.5410259009999998</v>
          </cell>
          <cell r="M197">
            <v>0</v>
          </cell>
          <cell r="N197">
            <v>0</v>
          </cell>
          <cell r="O197">
            <v>305.56319250068691</v>
          </cell>
          <cell r="P197">
            <v>338.60004047234219</v>
          </cell>
          <cell r="Q197">
            <v>330.55828951112409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-2.5410259009999998</v>
          </cell>
          <cell r="AT197">
            <v>0</v>
          </cell>
          <cell r="AU197">
            <v>-519.98051612200004</v>
          </cell>
          <cell r="AV197">
            <v>0</v>
          </cell>
          <cell r="AW197">
            <v>0</v>
          </cell>
          <cell r="AX197">
            <v>519.98051612200004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43.568330025642766</v>
          </cell>
          <cell r="BD197">
            <v>83.101455254489579</v>
          </cell>
          <cell r="BE197">
            <v>83.768936822798736</v>
          </cell>
          <cell r="BF197">
            <v>95.124470397755829</v>
          </cell>
          <cell r="BG197">
            <v>83.634209996668488</v>
          </cell>
          <cell r="BH197">
            <v>84.311410077613218</v>
          </cell>
          <cell r="BI197">
            <v>84.988610158557861</v>
          </cell>
          <cell r="BJ197">
            <v>85.665810239502633</v>
          </cell>
          <cell r="BK197">
            <v>83.634209996668488</v>
          </cell>
          <cell r="BL197">
            <v>84.311410077613218</v>
          </cell>
          <cell r="BM197">
            <v>84.988610158557861</v>
          </cell>
          <cell r="BN197">
            <v>77.624059278284534</v>
          </cell>
        </row>
        <row r="198">
          <cell r="A198" t="str">
            <v>Net profits</v>
          </cell>
          <cell r="H198">
            <v>350.39437308999999</v>
          </cell>
          <cell r="I198">
            <v>-5598.8110330510008</v>
          </cell>
          <cell r="J198">
            <v>-81.600473410000404</v>
          </cell>
          <cell r="K198">
            <v>1363.0731747929999</v>
          </cell>
          <cell r="L198">
            <v>1193.679248018901</v>
          </cell>
          <cell r="M198">
            <v>1170.0807918954836</v>
          </cell>
          <cell r="N198">
            <v>1180.5499358229695</v>
          </cell>
          <cell r="O198">
            <v>908.0396589705008</v>
          </cell>
          <cell r="P198">
            <v>892.67283397253777</v>
          </cell>
          <cell r="Q198">
            <v>871.47185416569073</v>
          </cell>
          <cell r="AE198">
            <v>-384.51987365400009</v>
          </cell>
          <cell r="AF198">
            <v>-362.33281100314264</v>
          </cell>
          <cell r="AG198">
            <v>-269.94988859385717</v>
          </cell>
          <cell r="AH198">
            <v>-4582.0084598000012</v>
          </cell>
          <cell r="AI198">
            <v>121.08402371299974</v>
          </cell>
          <cell r="AJ198">
            <v>-481.68475979832283</v>
          </cell>
          <cell r="AK198">
            <v>-46.78788809660648</v>
          </cell>
          <cell r="AL198">
            <v>325.78815077192917</v>
          </cell>
          <cell r="AM198">
            <v>291.77088698599994</v>
          </cell>
          <cell r="AN198">
            <v>479.79171525900006</v>
          </cell>
          <cell r="AO198">
            <v>363.39340092566306</v>
          </cell>
          <cell r="AP198">
            <v>228.11717162233685</v>
          </cell>
          <cell r="AQ198">
            <v>353.57640766700013</v>
          </cell>
          <cell r="AR198">
            <v>286.98796088768665</v>
          </cell>
          <cell r="AS198">
            <v>308.6645104291631</v>
          </cell>
          <cell r="AT198">
            <v>244.45036903505115</v>
          </cell>
          <cell r="AU198">
            <v>865.39946865700017</v>
          </cell>
          <cell r="AV198">
            <v>291.35011718197541</v>
          </cell>
          <cell r="AW198">
            <v>293.69027876576655</v>
          </cell>
          <cell r="AX198">
            <v>-280.35907270925821</v>
          </cell>
          <cell r="AY198">
            <v>291.59583414827352</v>
          </cell>
          <cell r="AZ198">
            <v>293.9569340199194</v>
          </cell>
          <cell r="BA198">
            <v>296.31803389156545</v>
          </cell>
          <cell r="BB198">
            <v>298.67913376321098</v>
          </cell>
          <cell r="BC198">
            <v>256.19157428774059</v>
          </cell>
          <cell r="BD198">
            <v>219.08565476183617</v>
          </cell>
          <cell r="BE198">
            <v>220.84537889646938</v>
          </cell>
          <cell r="BF198">
            <v>211.91705102445474</v>
          </cell>
          <cell r="BG198">
            <v>220.49018999121702</v>
          </cell>
          <cell r="BH198">
            <v>222.27553565916196</v>
          </cell>
          <cell r="BI198">
            <v>224.06088132710713</v>
          </cell>
          <cell r="BJ198">
            <v>225.84622699505198</v>
          </cell>
          <cell r="BK198">
            <v>220.49018999121702</v>
          </cell>
          <cell r="BL198">
            <v>222.27553565916196</v>
          </cell>
          <cell r="BM198">
            <v>224.06088132710713</v>
          </cell>
          <cell r="BN198">
            <v>204.64524718820437</v>
          </cell>
        </row>
        <row r="200">
          <cell r="A200" t="str">
            <v>Income statement (Adjusted)</v>
          </cell>
          <cell r="AU200">
            <v>0.247</v>
          </cell>
          <cell r="AV200">
            <v>0.249</v>
          </cell>
          <cell r="AW200">
            <v>0.251</v>
          </cell>
          <cell r="AX200">
            <v>0.253</v>
          </cell>
          <cell r="AY200">
            <v>0.247</v>
          </cell>
          <cell r="AZ200">
            <v>0.249</v>
          </cell>
          <cell r="BA200">
            <v>0.251</v>
          </cell>
          <cell r="BB200">
            <v>0.253</v>
          </cell>
          <cell r="BC200">
            <v>0.247</v>
          </cell>
          <cell r="BD200">
            <v>0.249</v>
          </cell>
          <cell r="BE200">
            <v>0.251</v>
          </cell>
          <cell r="BF200">
            <v>0.253</v>
          </cell>
          <cell r="BG200">
            <v>0.247</v>
          </cell>
          <cell r="BH200">
            <v>0.249</v>
          </cell>
          <cell r="BI200">
            <v>0.251</v>
          </cell>
          <cell r="BJ200">
            <v>0.253</v>
          </cell>
          <cell r="BK200">
            <v>0.247</v>
          </cell>
          <cell r="BL200">
            <v>0.249</v>
          </cell>
          <cell r="BM200">
            <v>0.251</v>
          </cell>
          <cell r="BN200">
            <v>0.253</v>
          </cell>
        </row>
        <row r="201">
          <cell r="A201" t="str">
            <v>Net interest income</v>
          </cell>
          <cell r="H201">
            <v>2466.328781235</v>
          </cell>
          <cell r="I201">
            <v>1295.5570329789998</v>
          </cell>
          <cell r="J201">
            <v>1096.2485332249998</v>
          </cell>
          <cell r="K201">
            <v>1258.873010435</v>
          </cell>
          <cell r="L201">
            <v>1586.3900235169999</v>
          </cell>
          <cell r="M201">
            <v>1673.2125797721546</v>
          </cell>
          <cell r="N201">
            <v>1837.6187866991672</v>
          </cell>
          <cell r="O201">
            <v>2001.2169552886319</v>
          </cell>
          <cell r="P201">
            <v>2162.7469854994224</v>
          </cell>
          <cell r="Q201">
            <v>2330.1754397683208</v>
          </cell>
          <cell r="AE201">
            <v>423.78943630499998</v>
          </cell>
          <cell r="AF201">
            <v>369.22774891500001</v>
          </cell>
          <cell r="AG201">
            <v>291.60989857899995</v>
          </cell>
          <cell r="AH201">
            <v>210.92994917999988</v>
          </cell>
          <cell r="AI201">
            <v>294.37467453300002</v>
          </cell>
          <cell r="AJ201">
            <v>255.00410349200007</v>
          </cell>
          <cell r="AK201">
            <v>287.02713966686088</v>
          </cell>
          <cell r="AL201">
            <v>259.84261553313877</v>
          </cell>
          <cell r="AM201">
            <v>282.76668578499994</v>
          </cell>
          <cell r="AN201">
            <v>315.89966258100003</v>
          </cell>
          <cell r="AO201">
            <v>306.43041332099978</v>
          </cell>
          <cell r="AP201">
            <v>353.77624874800028</v>
          </cell>
          <cell r="AQ201">
            <v>366.76667728699999</v>
          </cell>
          <cell r="AR201">
            <v>394.23812477599995</v>
          </cell>
          <cell r="AS201">
            <v>405.89680904700009</v>
          </cell>
          <cell r="AT201">
            <v>419.48841240699983</v>
          </cell>
          <cell r="AU201">
            <v>412.40661923600004</v>
          </cell>
          <cell r="AV201">
            <v>416.62993236326651</v>
          </cell>
          <cell r="AW201">
            <v>419.97635752281087</v>
          </cell>
          <cell r="AX201">
            <v>424.19967065007728</v>
          </cell>
          <cell r="AY201">
            <v>453.89184031469432</v>
          </cell>
          <cell r="AZ201">
            <v>457.56707788809257</v>
          </cell>
          <cell r="BA201">
            <v>461.24231546149099</v>
          </cell>
          <cell r="BB201">
            <v>464.91755303488901</v>
          </cell>
          <cell r="BC201">
            <v>494.30058795629202</v>
          </cell>
          <cell r="BD201">
            <v>498.30302186686936</v>
          </cell>
          <cell r="BE201">
            <v>502.30545577744658</v>
          </cell>
          <cell r="BF201">
            <v>506.30788968802403</v>
          </cell>
          <cell r="BG201">
            <v>534.19850541835729</v>
          </cell>
          <cell r="BH201">
            <v>538.52399938935616</v>
          </cell>
          <cell r="BI201">
            <v>542.84949336035504</v>
          </cell>
          <cell r="BJ201">
            <v>547.17498733135369</v>
          </cell>
          <cell r="BK201">
            <v>534.19850541835729</v>
          </cell>
          <cell r="BL201">
            <v>538.52399938935616</v>
          </cell>
          <cell r="BM201">
            <v>542.84949336035504</v>
          </cell>
          <cell r="BN201">
            <v>714.60344160025204</v>
          </cell>
        </row>
        <row r="202">
          <cell r="A202" t="str">
            <v xml:space="preserve">   Interest income</v>
          </cell>
          <cell r="H202">
            <v>3333.244343506</v>
          </cell>
          <cell r="I202">
            <v>2400.6766094669997</v>
          </cell>
          <cell r="J202">
            <v>1832.5485409689998</v>
          </cell>
          <cell r="K202">
            <v>1656.730570979</v>
          </cell>
          <cell r="L202">
            <v>1912.3595911969999</v>
          </cell>
          <cell r="M202">
            <v>1963.0664908731051</v>
          </cell>
          <cell r="N202">
            <v>2090.6658127798569</v>
          </cell>
          <cell r="O202">
            <v>2226.5590906105476</v>
          </cell>
          <cell r="P202">
            <v>2371.2854315002328</v>
          </cell>
          <cell r="Q202">
            <v>2525.4189845477476</v>
          </cell>
          <cell r="AE202">
            <v>672.79239135900002</v>
          </cell>
          <cell r="AF202">
            <v>606.19600740999999</v>
          </cell>
          <cell r="AG202">
            <v>514.90421612299997</v>
          </cell>
          <cell r="AH202">
            <v>606.78399457499972</v>
          </cell>
          <cell r="AI202">
            <v>502.37733566100002</v>
          </cell>
          <cell r="AJ202">
            <v>451.13313648600007</v>
          </cell>
          <cell r="AK202">
            <v>462.82707635700001</v>
          </cell>
          <cell r="AL202">
            <v>416.21099246499966</v>
          </cell>
          <cell r="AM202">
            <v>398.26161990699995</v>
          </cell>
          <cell r="AN202">
            <v>413.54614202400001</v>
          </cell>
          <cell r="AO202">
            <v>398.86716150499979</v>
          </cell>
          <cell r="AP202">
            <v>446.0556475430003</v>
          </cell>
          <cell r="AQ202">
            <v>451.94787116999998</v>
          </cell>
          <cell r="AR202">
            <v>478.37279510199994</v>
          </cell>
          <cell r="AS202">
            <v>486.90098071200009</v>
          </cell>
          <cell r="AT202">
            <v>495.13794421299986</v>
          </cell>
          <cell r="AU202">
            <v>480.17000746000002</v>
          </cell>
          <cell r="AV202">
            <v>488.80355622740313</v>
          </cell>
          <cell r="AW202">
            <v>492.7296892091494</v>
          </cell>
          <cell r="AX202">
            <v>501.36323797655245</v>
          </cell>
          <cell r="AY202">
            <v>516.39445575662467</v>
          </cell>
          <cell r="AZ202">
            <v>520.57578738218433</v>
          </cell>
          <cell r="BA202">
            <v>524.75711900774411</v>
          </cell>
          <cell r="BB202">
            <v>528.93845063330355</v>
          </cell>
          <cell r="BC202">
            <v>549.96009538080523</v>
          </cell>
          <cell r="BD202">
            <v>554.41321356202639</v>
          </cell>
          <cell r="BE202">
            <v>558.86633174324743</v>
          </cell>
          <cell r="BF202">
            <v>563.3194499244687</v>
          </cell>
          <cell r="BG202">
            <v>585.7075015805575</v>
          </cell>
          <cell r="BH202">
            <v>590.45007244355793</v>
          </cell>
          <cell r="BI202">
            <v>595.19264330655847</v>
          </cell>
          <cell r="BJ202">
            <v>599.93521416955878</v>
          </cell>
          <cell r="BK202">
            <v>585.7075015805575</v>
          </cell>
          <cell r="BL202">
            <v>590.45007244355793</v>
          </cell>
          <cell r="BM202">
            <v>595.19264330655847</v>
          </cell>
          <cell r="BN202">
            <v>754.06876721707363</v>
          </cell>
        </row>
        <row r="203">
          <cell r="A203" t="str">
            <v xml:space="preserve">      as % avg. IEA</v>
          </cell>
          <cell r="H203">
            <v>0.22705022369048625</v>
          </cell>
          <cell r="I203">
            <v>0.17767155226364328</v>
          </cell>
          <cell r="J203">
            <v>0.18065838994200234</v>
          </cell>
          <cell r="K203">
            <v>0.20403404621440149</v>
          </cell>
          <cell r="L203">
            <v>0.22045629804518035</v>
          </cell>
          <cell r="M203">
            <v>0.21</v>
          </cell>
          <cell r="N203">
            <v>0.21000000000000002</v>
          </cell>
          <cell r="O203">
            <v>0.21000000000000002</v>
          </cell>
          <cell r="P203">
            <v>0.21</v>
          </cell>
          <cell r="Q203">
            <v>0.21</v>
          </cell>
          <cell r="Y203">
            <v>0.21</v>
          </cell>
          <cell r="AE203">
            <v>0.18612002627548649</v>
          </cell>
          <cell r="AF203">
            <v>0.18730513133242233</v>
          </cell>
          <cell r="AG203">
            <v>0.19088447319919208</v>
          </cell>
          <cell r="AH203">
            <v>0.21797791080514689</v>
          </cell>
          <cell r="AI203">
            <v>0.16521480712007197</v>
          </cell>
          <cell r="AJ203">
            <v>0.16131009724312503</v>
          </cell>
          <cell r="AK203">
            <v>0.18244135539345419</v>
          </cell>
          <cell r="AL203">
            <v>0.18655163474800746</v>
          </cell>
          <cell r="AM203">
            <v>0.20158889321833359</v>
          </cell>
          <cell r="AN203">
            <v>0.2022229231102193</v>
          </cell>
          <cell r="AO203">
            <v>0.18926801532817616</v>
          </cell>
          <cell r="AP203">
            <v>0.21425243378647418</v>
          </cell>
          <cell r="AQ203">
            <v>0.21312019890756964</v>
          </cell>
          <cell r="AR203">
            <v>0.2175777082348464</v>
          </cell>
          <cell r="AS203">
            <v>0.21637353945113608</v>
          </cell>
          <cell r="AT203">
            <v>0.21840540054168248</v>
          </cell>
          <cell r="AU203">
            <v>0.21408742322326269</v>
          </cell>
          <cell r="AV203">
            <v>0.21493045758257787</v>
          </cell>
          <cell r="AW203">
            <v>0.20991688682448262</v>
          </cell>
          <cell r="AX203">
            <v>0.20982366536162153</v>
          </cell>
          <cell r="AY203">
            <v>0.21249656540607564</v>
          </cell>
          <cell r="AZ203">
            <v>0.21250450184501846</v>
          </cell>
          <cell r="BA203">
            <v>0.21167285323609847</v>
          </cell>
          <cell r="BB203">
            <v>0.20841973285841484</v>
          </cell>
          <cell r="BC203">
            <v>0.21249656540607559</v>
          </cell>
          <cell r="BD203">
            <v>0.21250450184501846</v>
          </cell>
          <cell r="BE203">
            <v>0.21167285323609844</v>
          </cell>
          <cell r="BF203">
            <v>0.208419732858415</v>
          </cell>
          <cell r="BG203">
            <v>0.21249656540607564</v>
          </cell>
          <cell r="BH203">
            <v>0.21250450184501843</v>
          </cell>
          <cell r="BI203">
            <v>0.21167285323609847</v>
          </cell>
          <cell r="BJ203">
            <v>0.20841973285841489</v>
          </cell>
          <cell r="BK203">
            <v>0.19952729146110387</v>
          </cell>
          <cell r="BL203">
            <v>0.19953474351644923</v>
          </cell>
          <cell r="BM203">
            <v>0.19875385280384833</v>
          </cell>
          <cell r="BN203">
            <v>0.24597775074310499</v>
          </cell>
        </row>
        <row r="204">
          <cell r="A204" t="str">
            <v xml:space="preserve">   Interest expenses</v>
          </cell>
          <cell r="H204">
            <v>866.915562271</v>
          </cell>
          <cell r="I204">
            <v>1105.1195764879999</v>
          </cell>
          <cell r="J204">
            <v>736.30000774400003</v>
          </cell>
          <cell r="K204">
            <v>397.85756054400002</v>
          </cell>
          <cell r="L204">
            <v>325.96956768000001</v>
          </cell>
          <cell r="M204">
            <v>289.85391110095031</v>
          </cell>
          <cell r="N204">
            <v>253.04702608068973</v>
          </cell>
          <cell r="O204">
            <v>225.34213532191575</v>
          </cell>
          <cell r="P204">
            <v>208.5384460008105</v>
          </cell>
          <cell r="Q204">
            <v>195.243544779427</v>
          </cell>
          <cell r="AE204">
            <v>249.00295505400001</v>
          </cell>
          <cell r="AF204">
            <v>236.96825849500001</v>
          </cell>
          <cell r="AG204">
            <v>223.29431754400002</v>
          </cell>
          <cell r="AH204">
            <v>395.85404539499984</v>
          </cell>
          <cell r="AI204">
            <v>208.002661128</v>
          </cell>
          <cell r="AJ204">
            <v>196.129032994</v>
          </cell>
          <cell r="AK204">
            <v>175.79993669013913</v>
          </cell>
          <cell r="AL204">
            <v>156.36837693186089</v>
          </cell>
          <cell r="AM204">
            <v>115.494934122</v>
          </cell>
          <cell r="AN204">
            <v>97.64647944299999</v>
          </cell>
          <cell r="AO204">
            <v>92.43674818400001</v>
          </cell>
          <cell r="AP204">
            <v>92.27939879500002</v>
          </cell>
          <cell r="AQ204">
            <v>85.181193883000006</v>
          </cell>
          <cell r="AR204">
            <v>84.134670326000006</v>
          </cell>
          <cell r="AS204">
            <v>81.004171665000001</v>
          </cell>
          <cell r="AT204">
            <v>75.649531805999999</v>
          </cell>
          <cell r="AU204">
            <v>67.763388223999996</v>
          </cell>
          <cell r="AV204">
            <v>72.17362386413663</v>
          </cell>
          <cell r="AW204">
            <v>72.753331686338527</v>
          </cell>
          <cell r="AX204">
            <v>77.163567326475174</v>
          </cell>
          <cell r="AY204">
            <v>62.502615441930367</v>
          </cell>
          <cell r="AZ204">
            <v>63.008709494091747</v>
          </cell>
          <cell r="BA204">
            <v>63.51480354625312</v>
          </cell>
          <cell r="BB204">
            <v>64.020897598414507</v>
          </cell>
          <cell r="BC204">
            <v>55.659507424513187</v>
          </cell>
          <cell r="BD204">
            <v>56.11019169515702</v>
          </cell>
          <cell r="BE204">
            <v>56.560875965800854</v>
          </cell>
          <cell r="BF204">
            <v>57.011560236444694</v>
          </cell>
          <cell r="BG204">
            <v>51.508996162200191</v>
          </cell>
          <cell r="BH204">
            <v>51.926073054201815</v>
          </cell>
          <cell r="BI204">
            <v>52.343149946203432</v>
          </cell>
          <cell r="BJ204">
            <v>52.760226838205057</v>
          </cell>
          <cell r="BK204">
            <v>51.508996162200191</v>
          </cell>
          <cell r="BL204">
            <v>51.926073054201815</v>
          </cell>
          <cell r="BM204">
            <v>52.343149946203432</v>
          </cell>
          <cell r="BN204">
            <v>39.465325616821559</v>
          </cell>
        </row>
        <row r="205">
          <cell r="A205" t="str">
            <v xml:space="preserve">      as % avg. IBL</v>
          </cell>
          <cell r="H205">
            <v>5.6177985287326579E-2</v>
          </cell>
          <cell r="I205">
            <v>7.9311109461876264E-2</v>
          </cell>
          <cell r="J205">
            <v>7.2979587243164806E-2</v>
          </cell>
          <cell r="K205">
            <v>5.7595838866865028E-2</v>
          </cell>
          <cell r="L205">
            <v>5.8157802030175891E-2</v>
          </cell>
          <cell r="M205">
            <v>0.06</v>
          </cell>
          <cell r="N205">
            <v>0.06</v>
          </cell>
          <cell r="O205">
            <v>0.06</v>
          </cell>
          <cell r="P205">
            <v>0.06</v>
          </cell>
          <cell r="Q205">
            <v>0.06</v>
          </cell>
          <cell r="Y205">
            <v>0.06</v>
          </cell>
          <cell r="AE205">
            <v>6.1753793451808668E-2</v>
          </cell>
          <cell r="AF205">
            <v>6.072926411256354E-2</v>
          </cell>
          <cell r="AG205">
            <v>6.6072988004755473E-2</v>
          </cell>
          <cell r="AH205">
            <v>0.126259039716307</v>
          </cell>
          <cell r="AI205">
            <v>7.0605006094768691E-2</v>
          </cell>
          <cell r="AJ205">
            <v>7.2582100150105355E-2</v>
          </cell>
          <cell r="AK205">
            <v>7.019287054387896E-2</v>
          </cell>
          <cell r="AL205">
            <v>7.2340851145758417E-2</v>
          </cell>
          <cell r="AM205">
            <v>6.4785369086131167E-2</v>
          </cell>
          <cell r="AN205">
            <v>6.0116469684230976E-2</v>
          </cell>
          <cell r="AO205">
            <v>5.8688587040613263E-2</v>
          </cell>
          <cell r="AP205">
            <v>6.0513028411718885E-2</v>
          </cell>
          <cell r="AQ205">
            <v>5.6492025634066835E-2</v>
          </cell>
          <cell r="AR205">
            <v>5.7975621838722027E-2</v>
          </cell>
          <cell r="AS205">
            <v>5.7881392224783786E-2</v>
          </cell>
          <cell r="AT205">
            <v>5.6499375414224291E-2</v>
          </cell>
          <cell r="AU205">
            <v>5.6311322413104464E-2</v>
          </cell>
          <cell r="AV205">
            <v>5.9903976199247852E-2</v>
          </cell>
          <cell r="AW205">
            <v>5.8292908508003526E-2</v>
          </cell>
          <cell r="AX205">
            <v>6.5935588060059627E-2</v>
          </cell>
          <cell r="AY205">
            <v>5.6200347935673883E-2</v>
          </cell>
          <cell r="AZ205">
            <v>5.7653801316625092E-2</v>
          </cell>
          <cell r="BA205">
            <v>5.9694809886271426E-2</v>
          </cell>
          <cell r="BB205">
            <v>6.3625442034658641E-2</v>
          </cell>
          <cell r="BC205">
            <v>5.7515732254367895E-2</v>
          </cell>
          <cell r="BD205">
            <v>5.8562417128935618E-2</v>
          </cell>
          <cell r="BE205">
            <v>5.9933594247849602E-2</v>
          </cell>
          <cell r="BF205">
            <v>6.2312847478950065E-2</v>
          </cell>
          <cell r="BG205">
            <v>5.7705361821958664E-2</v>
          </cell>
          <cell r="BH205">
            <v>5.8692287358706373E-2</v>
          </cell>
          <cell r="BI205">
            <v>5.9967273298392305E-2</v>
          </cell>
          <cell r="BJ205">
            <v>6.2132878567001969E-2</v>
          </cell>
          <cell r="BK205">
            <v>6.1958188787983794E-2</v>
          </cell>
          <cell r="BL205">
            <v>6.2909771604299461E-2</v>
          </cell>
          <cell r="BM205">
            <v>6.4107720688814596E-2</v>
          </cell>
          <cell r="BN205">
            <v>4.9414962856525281E-2</v>
          </cell>
        </row>
        <row r="206">
          <cell r="A206" t="str">
            <v>Non-interest come</v>
          </cell>
          <cell r="H206">
            <v>2297.9093930089998</v>
          </cell>
          <cell r="I206">
            <v>1991.957956195</v>
          </cell>
          <cell r="J206">
            <v>1599.7199363279999</v>
          </cell>
          <cell r="K206">
            <v>1072.9815708220001</v>
          </cell>
          <cell r="L206">
            <v>791.03798613399999</v>
          </cell>
          <cell r="M206">
            <v>738.99839488135808</v>
          </cell>
          <cell r="N206">
            <v>787.03329054864639</v>
          </cell>
          <cell r="O206">
            <v>838.19045443430844</v>
          </cell>
          <cell r="P206">
            <v>892.67283397253834</v>
          </cell>
          <cell r="Q206">
            <v>950.69656818075339</v>
          </cell>
          <cell r="AE206">
            <v>713.40941460299996</v>
          </cell>
          <cell r="AF206">
            <v>627.20598010085746</v>
          </cell>
          <cell r="AG206">
            <v>716.66275941714275</v>
          </cell>
          <cell r="AH206">
            <v>-65.320197926000219</v>
          </cell>
          <cell r="AI206">
            <v>619.4208758929999</v>
          </cell>
          <cell r="AJ206">
            <v>230.53852275400021</v>
          </cell>
          <cell r="AK206">
            <v>324.81799588599995</v>
          </cell>
          <cell r="AL206">
            <v>424.9425417949999</v>
          </cell>
          <cell r="AM206">
            <v>303.63055854599997</v>
          </cell>
          <cell r="AN206">
            <v>257.20639579700014</v>
          </cell>
          <cell r="AO206">
            <v>259.75875888099972</v>
          </cell>
          <cell r="AP206">
            <v>252.38585759800026</v>
          </cell>
          <cell r="AQ206">
            <v>225.3485088330001</v>
          </cell>
          <cell r="AR206">
            <v>214.42039327399993</v>
          </cell>
          <cell r="AS206">
            <v>187.69133007400001</v>
          </cell>
          <cell r="AT206">
            <v>163.57775395299996</v>
          </cell>
          <cell r="AU206">
            <v>153.14711594400006</v>
          </cell>
          <cell r="AV206">
            <v>184.01060032545817</v>
          </cell>
          <cell r="AW206">
            <v>185.48859711522087</v>
          </cell>
          <cell r="AX206">
            <v>216.35208149667903</v>
          </cell>
          <cell r="AY206">
            <v>194.39722276551566</v>
          </cell>
          <cell r="AZ206">
            <v>195.97128934661296</v>
          </cell>
          <cell r="BA206">
            <v>197.54535592771023</v>
          </cell>
          <cell r="BB206">
            <v>199.11942250880747</v>
          </cell>
          <cell r="BC206">
            <v>207.03304224527417</v>
          </cell>
          <cell r="BD206">
            <v>208.7094231541428</v>
          </cell>
          <cell r="BE206">
            <v>210.38580406301142</v>
          </cell>
          <cell r="BF206">
            <v>212.06218497188001</v>
          </cell>
          <cell r="BG206">
            <v>220.49018999121697</v>
          </cell>
          <cell r="BH206">
            <v>222.27553565916205</v>
          </cell>
          <cell r="BI206">
            <v>224.06088132710713</v>
          </cell>
          <cell r="BJ206">
            <v>225.84622699505223</v>
          </cell>
          <cell r="BK206">
            <v>220.49018999121697</v>
          </cell>
          <cell r="BL206">
            <v>222.27553565916205</v>
          </cell>
          <cell r="BM206">
            <v>224.06088132710713</v>
          </cell>
          <cell r="BN206">
            <v>283.86996120326728</v>
          </cell>
        </row>
        <row r="207">
          <cell r="A207" t="str">
            <v xml:space="preserve">   as % of managed IEA</v>
          </cell>
          <cell r="H207">
            <v>7.1919115478159892E-2</v>
          </cell>
          <cell r="I207">
            <v>7.2869386517514068E-2</v>
          </cell>
          <cell r="J207">
            <v>9.6019454596791232E-2</v>
          </cell>
          <cell r="K207">
            <v>9.155969102198995E-2</v>
          </cell>
          <cell r="L207">
            <v>6.8265792488894542E-2</v>
          </cell>
          <cell r="M207">
            <v>0.06</v>
          </cell>
          <cell r="N207">
            <v>0.06</v>
          </cell>
          <cell r="O207">
            <v>0.06</v>
          </cell>
          <cell r="P207">
            <v>0.06</v>
          </cell>
          <cell r="Q207">
            <v>0.06</v>
          </cell>
          <cell r="Y207">
            <v>0.06</v>
          </cell>
          <cell r="AE207">
            <v>8.5074431557363869E-2</v>
          </cell>
          <cell r="AF207">
            <v>8.3442830169536436E-2</v>
          </cell>
          <cell r="AG207">
            <v>0.10878693949829832</v>
          </cell>
          <cell r="AH207">
            <v>-1.1361994634585841E-2</v>
          </cell>
          <cell r="AI207">
            <v>0.1283408532185073</v>
          </cell>
          <cell r="AJ207">
            <v>5.6107330506768034E-2</v>
          </cell>
          <cell r="AK207">
            <v>8.8936549159256903E-2</v>
          </cell>
          <cell r="AL207">
            <v>0.13064973579600175</v>
          </cell>
          <cell r="AM207">
            <v>0.10472758586571955</v>
          </cell>
          <cell r="AN207">
            <v>9.4760641851280983E-2</v>
          </cell>
          <cell r="AO207">
            <v>9.7073756048510901E-2</v>
          </cell>
          <cell r="AP207">
            <v>9.202103672588334E-2</v>
          </cell>
          <cell r="AQ207">
            <v>7.8836678694888751E-2</v>
          </cell>
          <cell r="AR207">
            <v>7.3025522661411046E-2</v>
          </cell>
          <cell r="AS207">
            <v>6.2829283147132181E-2</v>
          </cell>
          <cell r="AT207">
            <v>5.4619898726555309E-2</v>
          </cell>
          <cell r="AU207">
            <v>5.1866462756149173E-2</v>
          </cell>
          <cell r="AV207">
            <v>6.1442007858431395E-2</v>
          </cell>
          <cell r="AW207">
            <v>5.9952637850387167E-2</v>
          </cell>
          <cell r="AX207">
            <v>6.8711672247540601E-2</v>
          </cell>
          <cell r="AY207">
            <v>6.0713304401735897E-2</v>
          </cell>
          <cell r="AZ207">
            <v>6.0715571955719555E-2</v>
          </cell>
          <cell r="BA207">
            <v>6.0477958067456691E-2</v>
          </cell>
          <cell r="BB207">
            <v>5.9548495102404252E-2</v>
          </cell>
          <cell r="BC207">
            <v>6.0713304401735897E-2</v>
          </cell>
          <cell r="BD207">
            <v>6.0715571955719555E-2</v>
          </cell>
          <cell r="BE207">
            <v>6.0477958067456698E-2</v>
          </cell>
          <cell r="BF207">
            <v>5.9548495102404272E-2</v>
          </cell>
          <cell r="BG207">
            <v>6.0713304401735883E-2</v>
          </cell>
          <cell r="BH207">
            <v>6.0715571955719555E-2</v>
          </cell>
          <cell r="BI207">
            <v>6.0477958067456691E-2</v>
          </cell>
          <cell r="BJ207">
            <v>5.9548495102404286E-2</v>
          </cell>
          <cell r="BK207">
            <v>5.7007797560315383E-2</v>
          </cell>
          <cell r="BL207">
            <v>5.7009926718985492E-2</v>
          </cell>
          <cell r="BM207">
            <v>5.6786815086813804E-2</v>
          </cell>
          <cell r="BN207">
            <v>7.0279357355172906E-2</v>
          </cell>
        </row>
        <row r="209">
          <cell r="A209" t="str">
            <v>LLPE</v>
          </cell>
          <cell r="H209">
            <v>2697.4574824249999</v>
          </cell>
          <cell r="I209">
            <v>7134.3511772840002</v>
          </cell>
          <cell r="J209">
            <v>2580.442989316</v>
          </cell>
          <cell r="K209">
            <v>125.259430991</v>
          </cell>
          <cell r="L209">
            <v>118.966112426406</v>
          </cell>
          <cell r="M209">
            <v>307.91599786723259</v>
          </cell>
          <cell r="N209">
            <v>459.1027528200438</v>
          </cell>
          <cell r="O209">
            <v>488.94443175334663</v>
          </cell>
          <cell r="P209">
            <v>595.11522264835889</v>
          </cell>
          <cell r="Q209">
            <v>633.7977121205023</v>
          </cell>
          <cell r="AE209">
            <v>1108.4421188660001</v>
          </cell>
          <cell r="AF209">
            <v>993.23341886000003</v>
          </cell>
          <cell r="AG209">
            <v>807.68133218999992</v>
          </cell>
          <cell r="AH209">
            <v>4224.9943073680006</v>
          </cell>
          <cell r="AI209">
            <v>1259.2513831450001</v>
          </cell>
          <cell r="AJ209">
            <v>700.84298572900002</v>
          </cell>
          <cell r="AK209">
            <v>465.05056284299985</v>
          </cell>
          <cell r="AL209">
            <v>155.298057599</v>
          </cell>
          <cell r="AM209">
            <v>94.592368898999993</v>
          </cell>
          <cell r="AN209">
            <v>-3.2828218049999975</v>
          </cell>
          <cell r="AO209">
            <v>-22.769618886663352</v>
          </cell>
          <cell r="AP209">
            <v>56.719502783663359</v>
          </cell>
          <cell r="AQ209">
            <v>-18.211236221</v>
          </cell>
          <cell r="AR209">
            <v>70.375085078313106</v>
          </cell>
          <cell r="AS209">
            <v>61.564521177686885</v>
          </cell>
          <cell r="AT209">
            <v>5.2377423914060017</v>
          </cell>
          <cell r="AU209">
            <v>0</v>
          </cell>
          <cell r="AV209">
            <v>76.671083468940921</v>
          </cell>
          <cell r="AW209">
            <v>77.286915464675374</v>
          </cell>
          <cell r="AX209">
            <v>153.9579989336163</v>
          </cell>
          <cell r="AY209">
            <v>113.39837994655082</v>
          </cell>
          <cell r="AZ209">
            <v>114.31658545219091</v>
          </cell>
          <cell r="BA209">
            <v>115.234790957831</v>
          </cell>
          <cell r="BB209">
            <v>116.15299646347108</v>
          </cell>
          <cell r="BC209">
            <v>120.76927464307661</v>
          </cell>
          <cell r="BD209">
            <v>121.74716350658331</v>
          </cell>
          <cell r="BE209">
            <v>122.72505237009001</v>
          </cell>
          <cell r="BF209">
            <v>123.70294123359673</v>
          </cell>
          <cell r="BG209">
            <v>146.99345999414464</v>
          </cell>
          <cell r="BH209">
            <v>148.18369043944136</v>
          </cell>
          <cell r="BI209">
            <v>149.37392088473808</v>
          </cell>
          <cell r="BJ209">
            <v>150.5641513300348</v>
          </cell>
          <cell r="BK209">
            <v>146.99345999414464</v>
          </cell>
          <cell r="BL209">
            <v>148.18369043944136</v>
          </cell>
          <cell r="BM209">
            <v>149.37392088473808</v>
          </cell>
          <cell r="BN209">
            <v>189.24664080217821</v>
          </cell>
        </row>
        <row r="210">
          <cell r="A210" t="str">
            <v xml:space="preserve">   as % of avg. IEA (managed)</v>
          </cell>
          <cell r="H210">
            <v>8.4424023317089175E-2</v>
          </cell>
          <cell r="I210">
            <v>0.26098733252495254</v>
          </cell>
          <cell r="J210">
            <v>0.15488506633290694</v>
          </cell>
          <cell r="K210">
            <v>1.0688640989742414E-2</v>
          </cell>
          <cell r="L210">
            <v>1.0266657336902905E-2</v>
          </cell>
          <cell r="M210">
            <v>2.5000000000000001E-2</v>
          </cell>
          <cell r="N210">
            <v>3.5000000000000003E-2</v>
          </cell>
          <cell r="O210">
            <v>3.5000000000000003E-2</v>
          </cell>
          <cell r="P210">
            <v>0.04</v>
          </cell>
          <cell r="Q210">
            <v>0.04</v>
          </cell>
          <cell r="AE210">
            <v>0.13218228025381651</v>
          </cell>
          <cell r="AF210">
            <v>0.13213873929473033</v>
          </cell>
          <cell r="AG210">
            <v>0.12260324547953169</v>
          </cell>
          <cell r="AH210">
            <v>0.73490840774631461</v>
          </cell>
          <cell r="AI210">
            <v>0.26091047818887558</v>
          </cell>
          <cell r="AJ210">
            <v>0.17056771494804249</v>
          </cell>
          <cell r="AK210">
            <v>0.12733282258887682</v>
          </cell>
          <cell r="AL210">
            <v>4.7746808566720804E-2</v>
          </cell>
          <cell r="AM210">
            <v>3.2626592275661934E-2</v>
          </cell>
          <cell r="AN210">
            <v>-1.2094656525209503E-3</v>
          </cell>
          <cell r="AO210">
            <v>-8.509173814362574E-3</v>
          </cell>
          <cell r="AP210">
            <v>2.0680189842660516E-2</v>
          </cell>
          <cell r="AQ210">
            <v>-6.3710800041533308E-3</v>
          </cell>
          <cell r="AR210">
            <v>2.3967763941268021E-2</v>
          </cell>
          <cell r="AS210">
            <v>2.0608595673361516E-2</v>
          </cell>
          <cell r="AT210">
            <v>1.7489233839008507E-3</v>
          </cell>
          <cell r="AU210">
            <v>0</v>
          </cell>
          <cell r="AV210">
            <v>2.5600836607679752E-2</v>
          </cell>
          <cell r="AW210">
            <v>2.4980265770994659E-2</v>
          </cell>
          <cell r="AX210">
            <v>4.889581597474129E-2</v>
          </cell>
          <cell r="AY210">
            <v>3.5416094234345948E-2</v>
          </cell>
          <cell r="AZ210">
            <v>3.5417416974169745E-2</v>
          </cell>
          <cell r="BA210">
            <v>3.527880887268308E-2</v>
          </cell>
          <cell r="BB210">
            <v>3.4736622143069162E-2</v>
          </cell>
          <cell r="BC210">
            <v>3.5416094234345941E-2</v>
          </cell>
          <cell r="BD210">
            <v>3.5417416974169745E-2</v>
          </cell>
          <cell r="BE210">
            <v>3.527880887268308E-2</v>
          </cell>
          <cell r="BF210">
            <v>3.4736622143069176E-2</v>
          </cell>
          <cell r="BG210">
            <v>4.0475536267823922E-2</v>
          </cell>
          <cell r="BH210">
            <v>4.0477047970479706E-2</v>
          </cell>
          <cell r="BI210">
            <v>4.0318638711637794E-2</v>
          </cell>
          <cell r="BJ210">
            <v>3.9698996734936182E-2</v>
          </cell>
          <cell r="BK210">
            <v>3.8005198373543589E-2</v>
          </cell>
          <cell r="BL210">
            <v>3.8006617812656997E-2</v>
          </cell>
          <cell r="BM210">
            <v>3.7857876724542536E-2</v>
          </cell>
          <cell r="BN210">
            <v>4.6852904903448608E-2</v>
          </cell>
        </row>
        <row r="211">
          <cell r="A211" t="str">
            <v>SG&amp;A</v>
          </cell>
          <cell r="H211">
            <v>1572.7030613300001</v>
          </cell>
          <cell r="I211">
            <v>1487.887994987</v>
          </cell>
          <cell r="J211">
            <v>962.40876749100005</v>
          </cell>
          <cell r="K211">
            <v>958.16102434000004</v>
          </cell>
          <cell r="L211">
            <v>1067.2796224450001</v>
          </cell>
          <cell r="M211">
            <v>1061.3728288475454</v>
          </cell>
          <cell r="N211">
            <v>1154.8469139890378</v>
          </cell>
          <cell r="O211">
            <v>1249.3392602780939</v>
          </cell>
          <cell r="P211">
            <v>1344.3847205676627</v>
          </cell>
          <cell r="Q211">
            <v>1443.5836834975926</v>
          </cell>
          <cell r="AE211">
            <v>405.871199827</v>
          </cell>
          <cell r="AF211">
            <v>373.778735713</v>
          </cell>
          <cell r="AG211">
            <v>418.67741759500007</v>
          </cell>
          <cell r="AH211">
            <v>289.56064185199989</v>
          </cell>
          <cell r="AI211">
            <v>270.604175897</v>
          </cell>
          <cell r="AJ211">
            <v>202.83104562599999</v>
          </cell>
          <cell r="AK211">
            <v>216.70346819079066</v>
          </cell>
          <cell r="AL211">
            <v>272.27007777720939</v>
          </cell>
          <cell r="AM211">
            <v>199.066259487</v>
          </cell>
          <cell r="AN211">
            <v>221.41770476600001</v>
          </cell>
          <cell r="AO211">
            <v>227.65076381099999</v>
          </cell>
          <cell r="AP211">
            <v>310.02629627600004</v>
          </cell>
          <cell r="AQ211">
            <v>268.18454932399999</v>
          </cell>
          <cell r="AR211">
            <v>252.00485637200001</v>
          </cell>
          <cell r="AS211">
            <v>244.70481103715019</v>
          </cell>
          <cell r="AT211">
            <v>302.3854057118499</v>
          </cell>
          <cell r="AU211">
            <v>263.67490581499999</v>
          </cell>
          <cell r="AV211">
            <v>264.28183438303881</v>
          </cell>
          <cell r="AW211">
            <v>266.40458004073389</v>
          </cell>
          <cell r="AX211">
            <v>267.01150860877271</v>
          </cell>
          <cell r="AY211">
            <v>285.24718775529232</v>
          </cell>
          <cell r="AZ211">
            <v>287.55688158327041</v>
          </cell>
          <cell r="BA211">
            <v>289.8665754112485</v>
          </cell>
          <cell r="BB211">
            <v>292.1762692392266</v>
          </cell>
          <cell r="BC211">
            <v>308.58679728868918</v>
          </cell>
          <cell r="BD211">
            <v>311.08547580924539</v>
          </cell>
          <cell r="BE211">
            <v>313.58415432980155</v>
          </cell>
          <cell r="BF211">
            <v>316.08283285035782</v>
          </cell>
          <cell r="BG211">
            <v>332.06302598021267</v>
          </cell>
          <cell r="BH211">
            <v>334.75179542134799</v>
          </cell>
          <cell r="BI211">
            <v>337.44056486248337</v>
          </cell>
          <cell r="BJ211">
            <v>340.12933430361863</v>
          </cell>
          <cell r="BK211">
            <v>332.06302598021267</v>
          </cell>
          <cell r="BL211">
            <v>334.75179542134799</v>
          </cell>
          <cell r="BM211">
            <v>337.44056486248337</v>
          </cell>
          <cell r="BN211">
            <v>439.32829723354848</v>
          </cell>
        </row>
        <row r="212">
          <cell r="A212" t="str">
            <v xml:space="preserve">   Cost / income ratio</v>
          </cell>
          <cell r="H212">
            <v>0.33010588551853004</v>
          </cell>
          <cell r="I212">
            <v>0.45258744063120981</v>
          </cell>
          <cell r="J212">
            <v>0.35698072079105975</v>
          </cell>
          <cell r="K212">
            <v>0.41090084778078129</v>
          </cell>
          <cell r="L212">
            <v>0.44892195183721834</v>
          </cell>
          <cell r="M212">
            <v>0.43999999999999995</v>
          </cell>
          <cell r="N212">
            <v>0.44</v>
          </cell>
          <cell r="O212">
            <v>0.44000000000000006</v>
          </cell>
          <cell r="P212">
            <v>0.44</v>
          </cell>
          <cell r="Q212">
            <v>0.44</v>
          </cell>
          <cell r="Y212">
            <v>0.44</v>
          </cell>
          <cell r="AE212">
            <v>0.35690433515908926</v>
          </cell>
          <cell r="AF212">
            <v>0.3751165028126538</v>
          </cell>
          <cell r="AG212">
            <v>0.41524226038925455</v>
          </cell>
          <cell r="AH212">
            <v>1.9886074892532044</v>
          </cell>
          <cell r="AI212">
            <v>0.2961320787465509</v>
          </cell>
          <cell r="AJ212">
            <v>0.41774096580191006</v>
          </cell>
          <cell r="AK212">
            <v>0.35418025836714101</v>
          </cell>
          <cell r="AL212">
            <v>0.39759926871011558</v>
          </cell>
          <cell r="AM212">
            <v>0.3394733884094352</v>
          </cell>
          <cell r="AN212">
            <v>0.38634682277248034</v>
          </cell>
          <cell r="AO212">
            <v>0.40207544578365928</v>
          </cell>
          <cell r="AP212">
            <v>0.51145773223084878</v>
          </cell>
          <cell r="AQ212">
            <v>0.45292631503230657</v>
          </cell>
          <cell r="AR212">
            <v>0.41403323686221438</v>
          </cell>
          <cell r="AS212">
            <v>0.41224680028060384</v>
          </cell>
          <cell r="AT212">
            <v>0.51861250602071385</v>
          </cell>
          <cell r="AU212">
            <v>0.46622432036644507</v>
          </cell>
          <cell r="AV212">
            <v>0.43999999999999995</v>
          </cell>
          <cell r="AW212">
            <v>0.43999999999999989</v>
          </cell>
          <cell r="AX212">
            <v>0.4168461138602863</v>
          </cell>
          <cell r="AY212">
            <v>0.43999999999999989</v>
          </cell>
          <cell r="AZ212">
            <v>0.43999999999999995</v>
          </cell>
          <cell r="BA212">
            <v>0.43999999999999995</v>
          </cell>
          <cell r="BB212">
            <v>0.44000000000000022</v>
          </cell>
          <cell r="BC212">
            <v>0.44000000000000011</v>
          </cell>
          <cell r="BD212">
            <v>0.44000000000000006</v>
          </cell>
          <cell r="BE212">
            <v>0.44000000000000006</v>
          </cell>
          <cell r="BF212">
            <v>0.44000000000000006</v>
          </cell>
          <cell r="BG212">
            <v>0.44</v>
          </cell>
          <cell r="BH212">
            <v>0.43999999999999995</v>
          </cell>
          <cell r="BI212">
            <v>0.44</v>
          </cell>
          <cell r="BJ212">
            <v>0.44000000000000006</v>
          </cell>
          <cell r="BK212">
            <v>0.44</v>
          </cell>
          <cell r="BL212">
            <v>0.43999999999999995</v>
          </cell>
          <cell r="BM212">
            <v>0.44</v>
          </cell>
          <cell r="BN212">
            <v>0.44</v>
          </cell>
        </row>
        <row r="213">
          <cell r="H213">
            <v>0</v>
          </cell>
          <cell r="I213">
            <v>0</v>
          </cell>
          <cell r="J213">
            <v>0</v>
          </cell>
          <cell r="K213">
            <v>4.0431524547803618E-2</v>
          </cell>
        </row>
        <row r="214">
          <cell r="A214" t="str">
            <v>Op profits</v>
          </cell>
          <cell r="H214">
            <v>494.07763048899938</v>
          </cell>
          <cell r="I214">
            <v>-5334.7241830970006</v>
          </cell>
          <cell r="J214">
            <v>-846.88328725400049</v>
          </cell>
          <cell r="K214">
            <v>1248.434125926</v>
          </cell>
          <cell r="L214">
            <v>1191.1822747795939</v>
          </cell>
          <cell r="M214">
            <v>1042.9221479387347</v>
          </cell>
          <cell r="N214">
            <v>1010.7024104387317</v>
          </cell>
          <cell r="O214">
            <v>1101.1237176914999</v>
          </cell>
          <cell r="P214">
            <v>1115.9198762559392</v>
          </cell>
          <cell r="Q214">
            <v>1203.4906123309793</v>
          </cell>
          <cell r="AE214">
            <v>-377.11446778500016</v>
          </cell>
          <cell r="AF214">
            <v>-370.57842555714257</v>
          </cell>
          <cell r="AG214">
            <v>-218.08609178885729</v>
          </cell>
          <cell r="AH214">
            <v>-4368.9451979660007</v>
          </cell>
          <cell r="AI214">
            <v>-616.06000861600023</v>
          </cell>
          <cell r="AJ214">
            <v>-418.13140510899973</v>
          </cell>
          <cell r="AK214">
            <v>-69.908895480929687</v>
          </cell>
          <cell r="AL214">
            <v>257.21702195192927</v>
          </cell>
          <cell r="AM214">
            <v>292.73861594499988</v>
          </cell>
          <cell r="AN214">
            <v>354.97117541700015</v>
          </cell>
          <cell r="AO214">
            <v>361.30802727766292</v>
          </cell>
          <cell r="AP214">
            <v>239.41630728633709</v>
          </cell>
          <cell r="AQ214">
            <v>342.14187301700014</v>
          </cell>
          <cell r="AR214">
            <v>286.2785765996868</v>
          </cell>
          <cell r="AS214">
            <v>287.31880690616299</v>
          </cell>
          <cell r="AT214">
            <v>275.44301825674393</v>
          </cell>
          <cell r="AU214">
            <v>301.87882936500012</v>
          </cell>
          <cell r="AV214">
            <v>259.68761483674496</v>
          </cell>
          <cell r="AW214">
            <v>261.77345913262241</v>
          </cell>
          <cell r="AX214">
            <v>219.58224460436736</v>
          </cell>
          <cell r="AY214">
            <v>249.64349537836688</v>
          </cell>
          <cell r="AZ214">
            <v>251.66490019924424</v>
          </cell>
          <cell r="BA214">
            <v>253.68630502012172</v>
          </cell>
          <cell r="BB214">
            <v>255.70770984099875</v>
          </cell>
          <cell r="BC214">
            <v>271.97755826980034</v>
          </cell>
          <cell r="BD214">
            <v>274.17980570518341</v>
          </cell>
          <cell r="BE214">
            <v>276.38205314056643</v>
          </cell>
          <cell r="BF214">
            <v>278.58430057594956</v>
          </cell>
          <cell r="BG214">
            <v>275.63220943521691</v>
          </cell>
          <cell r="BH214">
            <v>277.86404918772894</v>
          </cell>
          <cell r="BI214">
            <v>280.09588894024068</v>
          </cell>
          <cell r="BJ214">
            <v>282.32772869275254</v>
          </cell>
          <cell r="BK214">
            <v>275.63220943521691</v>
          </cell>
          <cell r="BL214">
            <v>277.86404918772894</v>
          </cell>
          <cell r="BM214">
            <v>280.09588894024068</v>
          </cell>
          <cell r="BN214">
            <v>369.89846476779258</v>
          </cell>
        </row>
        <row r="215">
          <cell r="A215" t="str">
            <v>Net non-op income</v>
          </cell>
          <cell r="H215">
            <v>6.9539340109999443</v>
          </cell>
          <cell r="I215">
            <v>-238.36101234099999</v>
          </cell>
          <cell r="J215">
            <v>53.344025035000001</v>
          </cell>
          <cell r="K215">
            <v>114.639048867</v>
          </cell>
          <cell r="L215">
            <v>-4.4052661692749025E-2</v>
          </cell>
          <cell r="M215">
            <v>127.15864395674907</v>
          </cell>
          <cell r="N215">
            <v>169.84752538423777</v>
          </cell>
          <cell r="O215">
            <v>112.47913377968803</v>
          </cell>
          <cell r="P215">
            <v>115.35299818894123</v>
          </cell>
          <cell r="Q215">
            <v>-1.4604686541645151</v>
          </cell>
          <cell r="AE215">
            <v>-23.53841091</v>
          </cell>
          <cell r="AF215">
            <v>8.2456145539999994</v>
          </cell>
          <cell r="AG215">
            <v>-51.863796805000007</v>
          </cell>
          <cell r="AH215">
            <v>-171.20441918</v>
          </cell>
          <cell r="AI215">
            <v>69.820089715999998</v>
          </cell>
          <cell r="AJ215">
            <v>-63.553354689323101</v>
          </cell>
          <cell r="AK215">
            <v>-21.493838811676895</v>
          </cell>
          <cell r="AL215">
            <v>68.571128819999998</v>
          </cell>
          <cell r="AM215">
            <v>-0.967728959</v>
          </cell>
          <cell r="AN215">
            <v>124.820539842</v>
          </cell>
          <cell r="AO215">
            <v>2.0853736480000009</v>
          </cell>
          <cell r="AP215">
            <v>-11.299135664000005</v>
          </cell>
          <cell r="AQ215">
            <v>11.43453465</v>
          </cell>
          <cell r="AR215">
            <v>0.70938428800000075</v>
          </cell>
          <cell r="AS215">
            <v>18.804677622</v>
          </cell>
          <cell r="AT215">
            <v>-30.992649221692748</v>
          </cell>
          <cell r="AU215">
            <v>43.540123170000001</v>
          </cell>
          <cell r="AV215">
            <v>31.662502345230518</v>
          </cell>
          <cell r="AW215">
            <v>31.916819633144019</v>
          </cell>
          <cell r="AX215">
            <v>20.039198808374536</v>
          </cell>
          <cell r="AY215">
            <v>41.952338769906731</v>
          </cell>
          <cell r="AZ215">
            <v>42.292033820675208</v>
          </cell>
          <cell r="BA215">
            <v>42.631728871443677</v>
          </cell>
          <cell r="BB215">
            <v>42.971423922212153</v>
          </cell>
          <cell r="BC215">
            <v>27.782346043582944</v>
          </cell>
          <cell r="BD215">
            <v>28.00730431114232</v>
          </cell>
          <cell r="BE215">
            <v>28.232262578701693</v>
          </cell>
          <cell r="BF215">
            <v>28.457220846261066</v>
          </cell>
          <cell r="BG215">
            <v>28.492190552668482</v>
          </cell>
          <cell r="BH215">
            <v>28.722896549046364</v>
          </cell>
          <cell r="BI215">
            <v>28.95360254542425</v>
          </cell>
          <cell r="BJ215">
            <v>29.184308541802139</v>
          </cell>
          <cell r="BK215">
            <v>28.492190552668482</v>
          </cell>
          <cell r="BL215">
            <v>28.722896549046364</v>
          </cell>
          <cell r="BM215">
            <v>28.95360254542425</v>
          </cell>
          <cell r="BN215">
            <v>-87.629158301303605</v>
          </cell>
        </row>
        <row r="216">
          <cell r="A216" t="str">
            <v>Pretax profits</v>
          </cell>
          <cell r="H216">
            <v>501.03156449999932</v>
          </cell>
          <cell r="I216">
            <v>-5573.0851954380005</v>
          </cell>
          <cell r="J216">
            <v>-793.53926221900053</v>
          </cell>
          <cell r="K216">
            <v>1363.0731747929999</v>
          </cell>
          <cell r="L216">
            <v>1191.138222117901</v>
          </cell>
          <cell r="M216">
            <v>1170.0807918954838</v>
          </cell>
          <cell r="N216">
            <v>1180.5499358229695</v>
          </cell>
          <cell r="O216">
            <v>1213.6028514711879</v>
          </cell>
          <cell r="P216">
            <v>1231.2728744448805</v>
          </cell>
          <cell r="Q216">
            <v>1202.0301436768148</v>
          </cell>
          <cell r="AE216">
            <v>-400.65287869500014</v>
          </cell>
          <cell r="AF216">
            <v>-362.33281100314258</v>
          </cell>
          <cell r="AG216">
            <v>-269.94988859385728</v>
          </cell>
          <cell r="AH216">
            <v>-4540.1496171460003</v>
          </cell>
          <cell r="AI216">
            <v>-546.23991890000025</v>
          </cell>
          <cell r="AJ216">
            <v>-481.68475979832283</v>
          </cell>
          <cell r="AK216">
            <v>-91.402734292606581</v>
          </cell>
          <cell r="AL216">
            <v>325.78815077192928</v>
          </cell>
          <cell r="AM216">
            <v>291.77088698599988</v>
          </cell>
          <cell r="AN216">
            <v>479.79171525900017</v>
          </cell>
          <cell r="AO216">
            <v>363.39340092566295</v>
          </cell>
          <cell r="AP216">
            <v>228.11717162233708</v>
          </cell>
          <cell r="AQ216">
            <v>353.57640766700013</v>
          </cell>
          <cell r="AR216">
            <v>286.98796088768682</v>
          </cell>
          <cell r="AS216">
            <v>306.12348452816298</v>
          </cell>
          <cell r="AT216">
            <v>244.45036903505118</v>
          </cell>
          <cell r="AU216">
            <v>345.41895253500013</v>
          </cell>
          <cell r="AV216">
            <v>291.35011718197546</v>
          </cell>
          <cell r="AW216">
            <v>293.69027876576644</v>
          </cell>
          <cell r="AX216">
            <v>239.62144341274188</v>
          </cell>
          <cell r="AY216">
            <v>291.59583414827364</v>
          </cell>
          <cell r="AZ216">
            <v>293.95693401991946</v>
          </cell>
          <cell r="BA216">
            <v>296.31803389156539</v>
          </cell>
          <cell r="BB216">
            <v>298.67913376321087</v>
          </cell>
          <cell r="BC216">
            <v>299.75990431338329</v>
          </cell>
          <cell r="BD216">
            <v>302.18711001632573</v>
          </cell>
          <cell r="BE216">
            <v>304.61431571926812</v>
          </cell>
          <cell r="BF216">
            <v>307.04152142221062</v>
          </cell>
          <cell r="BG216">
            <v>304.1243999878854</v>
          </cell>
          <cell r="BH216">
            <v>306.58694573677531</v>
          </cell>
          <cell r="BI216">
            <v>309.04949148566493</v>
          </cell>
          <cell r="BJ216">
            <v>311.51203723455467</v>
          </cell>
          <cell r="BK216">
            <v>304.1243999878854</v>
          </cell>
          <cell r="BL216">
            <v>306.58694573677531</v>
          </cell>
          <cell r="BM216">
            <v>309.04949148566493</v>
          </cell>
          <cell r="BN216">
            <v>282.26930646648896</v>
          </cell>
        </row>
        <row r="217">
          <cell r="A217" t="str">
            <v xml:space="preserve">   Income taxes</v>
          </cell>
          <cell r="H217">
            <v>150.63719141000001</v>
          </cell>
          <cell r="I217">
            <v>0</v>
          </cell>
          <cell r="J217">
            <v>0</v>
          </cell>
          <cell r="K217">
            <v>0</v>
          </cell>
          <cell r="L217">
            <v>-2.5410259009999998</v>
          </cell>
          <cell r="M217">
            <v>0</v>
          </cell>
          <cell r="N217">
            <v>0</v>
          </cell>
          <cell r="O217">
            <v>305.56319250068691</v>
          </cell>
          <cell r="P217">
            <v>338.60004047234219</v>
          </cell>
          <cell r="Q217">
            <v>330.55828951112409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-2.5410259009999998</v>
          </cell>
          <cell r="AT217">
            <v>0</v>
          </cell>
          <cell r="AU217">
            <v>-519.98051612200004</v>
          </cell>
          <cell r="AV217">
            <v>0</v>
          </cell>
          <cell r="AW217">
            <v>0</v>
          </cell>
          <cell r="AX217">
            <v>519.98051612200004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43.568330025642766</v>
          </cell>
          <cell r="BD217">
            <v>83.101455254489579</v>
          </cell>
          <cell r="BE217">
            <v>83.768936822798736</v>
          </cell>
          <cell r="BF217">
            <v>95.124470397755829</v>
          </cell>
          <cell r="BG217">
            <v>83.634209996668488</v>
          </cell>
          <cell r="BH217">
            <v>84.311410077613218</v>
          </cell>
          <cell r="BI217">
            <v>84.988610158557861</v>
          </cell>
          <cell r="BJ217">
            <v>85.665810239502633</v>
          </cell>
          <cell r="BK217">
            <v>83.634209996668488</v>
          </cell>
          <cell r="BL217">
            <v>84.311410077613218</v>
          </cell>
          <cell r="BM217">
            <v>84.988610158557861</v>
          </cell>
          <cell r="BN217">
            <v>77.624059278284534</v>
          </cell>
        </row>
        <row r="218">
          <cell r="A218" t="str">
            <v xml:space="preserve">   Effective tax rate</v>
          </cell>
          <cell r="M218">
            <v>0</v>
          </cell>
          <cell r="N218">
            <v>0</v>
          </cell>
          <cell r="O218">
            <v>0.27500000000000002</v>
          </cell>
          <cell r="P218">
            <v>0.27500000000000002</v>
          </cell>
          <cell r="Q218">
            <v>0.27500000000000002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0.27500000000000002</v>
          </cell>
          <cell r="BD218">
            <v>0.27500000000000002</v>
          </cell>
          <cell r="BE218">
            <v>0.27500000000000002</v>
          </cell>
          <cell r="BF218">
            <v>0.27500000000000002</v>
          </cell>
          <cell r="BG218">
            <v>0.27500000000000002</v>
          </cell>
          <cell r="BH218">
            <v>0.27500000000000002</v>
          </cell>
          <cell r="BI218">
            <v>0.27500000000000002</v>
          </cell>
          <cell r="BJ218">
            <v>0.27500000000000002</v>
          </cell>
          <cell r="BK218">
            <v>0.27500000000000002</v>
          </cell>
          <cell r="BL218">
            <v>0.27500000000000002</v>
          </cell>
          <cell r="BM218">
            <v>0.27500000000000002</v>
          </cell>
          <cell r="BN218">
            <v>0.27500000000000002</v>
          </cell>
        </row>
        <row r="219">
          <cell r="A219" t="str">
            <v>Net profits</v>
          </cell>
          <cell r="H219">
            <v>350.39437308999931</v>
          </cell>
          <cell r="I219">
            <v>-5573.0851954380005</v>
          </cell>
          <cell r="J219">
            <v>-793.53926221900053</v>
          </cell>
          <cell r="K219">
            <v>1363.0731747929999</v>
          </cell>
          <cell r="L219">
            <v>1193.679248018901</v>
          </cell>
          <cell r="M219">
            <v>1170.0807918954838</v>
          </cell>
          <cell r="N219">
            <v>1180.5499358229695</v>
          </cell>
          <cell r="O219">
            <v>908.03965897050091</v>
          </cell>
          <cell r="P219">
            <v>892.67283397253834</v>
          </cell>
          <cell r="Q219">
            <v>871.47185416569062</v>
          </cell>
          <cell r="AE219">
            <v>-400.65287869500014</v>
          </cell>
          <cell r="AF219">
            <v>-362.33281100314258</v>
          </cell>
          <cell r="AG219">
            <v>-269.94988859385728</v>
          </cell>
          <cell r="AH219">
            <v>-4540.1496171460003</v>
          </cell>
          <cell r="AI219">
            <v>-546.23991890000025</v>
          </cell>
          <cell r="AJ219">
            <v>-481.68475979832283</v>
          </cell>
          <cell r="AK219">
            <v>-91.402734292606581</v>
          </cell>
          <cell r="AL219">
            <v>325.78815077192928</v>
          </cell>
          <cell r="AM219">
            <v>291.77088698599988</v>
          </cell>
          <cell r="AN219">
            <v>479.79171525900017</v>
          </cell>
          <cell r="AO219">
            <v>363.39340092566295</v>
          </cell>
          <cell r="AP219">
            <v>228.11717162233708</v>
          </cell>
          <cell r="AQ219">
            <v>353.57640766700013</v>
          </cell>
          <cell r="AR219">
            <v>286.98796088768682</v>
          </cell>
          <cell r="AS219">
            <v>308.66451042916299</v>
          </cell>
          <cell r="AT219">
            <v>244.45036903505118</v>
          </cell>
          <cell r="AU219">
            <v>865.39946865700017</v>
          </cell>
          <cell r="AV219">
            <v>291.35011718197546</v>
          </cell>
          <cell r="AW219">
            <v>293.69027876576644</v>
          </cell>
          <cell r="AX219">
            <v>-280.35907270925816</v>
          </cell>
          <cell r="AY219">
            <v>291.59583414827364</v>
          </cell>
          <cell r="AZ219">
            <v>293.95693401991946</v>
          </cell>
          <cell r="BA219">
            <v>296.31803389156539</v>
          </cell>
          <cell r="BB219">
            <v>298.67913376321087</v>
          </cell>
          <cell r="BC219">
            <v>256.19157428774054</v>
          </cell>
          <cell r="BD219">
            <v>219.08565476183617</v>
          </cell>
          <cell r="BE219">
            <v>220.84537889646938</v>
          </cell>
          <cell r="BF219">
            <v>211.91705102445479</v>
          </cell>
          <cell r="BG219">
            <v>220.49018999121691</v>
          </cell>
          <cell r="BH219">
            <v>222.27553565916207</v>
          </cell>
          <cell r="BI219">
            <v>224.06088132710707</v>
          </cell>
          <cell r="BJ219">
            <v>225.84622699505204</v>
          </cell>
          <cell r="BK219">
            <v>220.49018999121691</v>
          </cell>
          <cell r="BL219">
            <v>222.27553565916207</v>
          </cell>
          <cell r="BM219">
            <v>224.06088132710707</v>
          </cell>
          <cell r="BN219">
            <v>204.64524718820442</v>
          </cell>
        </row>
        <row r="220">
          <cell r="A220" t="str">
            <v xml:space="preserve">   Return on avg IEA</v>
          </cell>
          <cell r="H220">
            <v>1.0966513065233989E-2</v>
          </cell>
          <cell r="I220">
            <v>-0.20387342912455114</v>
          </cell>
          <cell r="J220">
            <v>-4.7630341679873761E-2</v>
          </cell>
          <cell r="K220">
            <v>0.11631379523955851</v>
          </cell>
          <cell r="L220">
            <v>0.1030133334579892</v>
          </cell>
          <cell r="M220">
            <v>9.5000000000000001E-2</v>
          </cell>
          <cell r="N220">
            <v>0.09</v>
          </cell>
          <cell r="O220">
            <v>6.5000000000000002E-2</v>
          </cell>
          <cell r="P220">
            <v>0.06</v>
          </cell>
          <cell r="Q220">
            <v>5.5E-2</v>
          </cell>
          <cell r="AE220">
            <v>-4.7778057324581971E-2</v>
          </cell>
          <cell r="AF220">
            <v>-4.8204379697598221E-2</v>
          </cell>
          <cell r="AG220">
            <v>-4.0977463684475995E-2</v>
          </cell>
          <cell r="AH220">
            <v>-0.78972748442479423</v>
          </cell>
          <cell r="AI220">
            <v>-0.11317813135142758</v>
          </cell>
          <cell r="AJ220">
            <v>-0.11723006504607579</v>
          </cell>
          <cell r="AK220">
            <v>-2.5026457507477264E-2</v>
          </cell>
          <cell r="AL220">
            <v>0.10016444963129691</v>
          </cell>
          <cell r="AM220">
            <v>0.10063697398005529</v>
          </cell>
          <cell r="AN220">
            <v>0.17676609771692223</v>
          </cell>
          <cell r="AO220">
            <v>0.13580278294776227</v>
          </cell>
          <cell r="AP220">
            <v>8.317256294565864E-2</v>
          </cell>
          <cell r="AQ220">
            <v>0.12369635720994972</v>
          </cell>
          <cell r="AR220">
            <v>9.7739984156148665E-2</v>
          </cell>
          <cell r="AS220">
            <v>0.10332480416425618</v>
          </cell>
          <cell r="AT220">
            <v>8.1623901036077889E-2</v>
          </cell>
          <cell r="AU220">
            <v>0.29308556699626231</v>
          </cell>
          <cell r="AV220">
            <v>9.7283179109183049E-2</v>
          </cell>
          <cell r="AW220">
            <v>9.4925009929779702E-2</v>
          </cell>
          <cell r="AX220">
            <v>-8.9039775269824012E-2</v>
          </cell>
          <cell r="AY220">
            <v>9.1069956602603891E-2</v>
          </cell>
          <cell r="AZ220">
            <v>9.1073357933579346E-2</v>
          </cell>
          <cell r="BA220">
            <v>9.0716937101185058E-2</v>
          </cell>
          <cell r="BB220">
            <v>8.9322742653606277E-2</v>
          </cell>
          <cell r="BC220">
            <v>7.5129249255122585E-2</v>
          </cell>
          <cell r="BD220">
            <v>6.3734117200515861E-2</v>
          </cell>
          <cell r="BE220">
            <v>6.348469006155949E-2</v>
          </cell>
          <cell r="BF220">
            <v>5.9507740508846781E-2</v>
          </cell>
          <cell r="BG220">
            <v>6.0713304401735869E-2</v>
          </cell>
          <cell r="BH220">
            <v>6.0715571955719562E-2</v>
          </cell>
          <cell r="BI220">
            <v>6.0477958067456677E-2</v>
          </cell>
          <cell r="BJ220">
            <v>5.9548495102404231E-2</v>
          </cell>
          <cell r="BK220">
            <v>5.7007797560315369E-2</v>
          </cell>
          <cell r="BL220">
            <v>5.7009926718985499E-2</v>
          </cell>
          <cell r="BM220">
            <v>5.678681508681379E-2</v>
          </cell>
          <cell r="BN220">
            <v>5.0665228533564102E-2</v>
          </cell>
        </row>
        <row r="221">
          <cell r="A221" t="str">
            <v xml:space="preserve">   ROA</v>
          </cell>
          <cell r="I221">
            <v>-0.21738963725224661</v>
          </cell>
          <cell r="J221">
            <v>-5.3148160463513242E-2</v>
          </cell>
          <cell r="K221">
            <v>0.11213718271136465</v>
          </cell>
          <cell r="L221">
            <v>9.8347097231655689E-2</v>
          </cell>
          <cell r="M221">
            <v>9.1821977140904301E-2</v>
          </cell>
          <cell r="N221">
            <v>8.7031452330085135E-2</v>
          </cell>
          <cell r="O221">
            <v>6.2962477942303044E-2</v>
          </cell>
          <cell r="P221">
            <v>5.8216395143661087E-2</v>
          </cell>
          <cell r="Q221">
            <v>5.3453152305940041E-2</v>
          </cell>
          <cell r="AE221">
            <v>-4.7226840566949126E-2</v>
          </cell>
          <cell r="AF221">
            <v>-4.5292844621458224E-2</v>
          </cell>
          <cell r="AG221">
            <v>-3.8586488498596583E-2</v>
          </cell>
          <cell r="AH221">
            <v>-0.83414712664504065</v>
          </cell>
          <cell r="AI221">
            <v>-0.12588736389427277</v>
          </cell>
          <cell r="AJ221">
            <v>-0.11778218641163776</v>
          </cell>
          <cell r="AK221">
            <v>-2.5148667859886831E-2</v>
          </cell>
          <cell r="AL221">
            <v>0.10041317936026228</v>
          </cell>
          <cell r="AM221">
            <v>9.6354640273089695E-2</v>
          </cell>
          <cell r="AN221">
            <v>0.16487032163884291</v>
          </cell>
          <cell r="AO221">
            <v>0.12697268947846604</v>
          </cell>
          <cell r="AP221">
            <v>7.7971478483725584E-2</v>
          </cell>
          <cell r="AQ221">
            <v>0.11697237852347832</v>
          </cell>
          <cell r="AR221">
            <v>9.4187658914400604E-2</v>
          </cell>
          <cell r="AS221">
            <v>9.9613945549102398E-2</v>
          </cell>
          <cell r="AT221">
            <v>7.8244846164423773E-2</v>
          </cell>
          <cell r="AU221">
            <v>0.27837181954018958</v>
          </cell>
          <cell r="AV221">
            <v>9.2951335106426489E-2</v>
          </cell>
          <cell r="AW221">
            <v>9.25469590450749E-2</v>
          </cell>
          <cell r="AX221">
            <v>-8.6281867048057556E-2</v>
          </cell>
          <cell r="AY221">
            <v>8.8008620501532533E-2</v>
          </cell>
          <cell r="AZ221">
            <v>8.8031371985962587E-2</v>
          </cell>
          <cell r="BA221">
            <v>8.771537978967521E-2</v>
          </cell>
          <cell r="BB221">
            <v>8.6421586710481724E-2</v>
          </cell>
          <cell r="BC221">
            <v>7.2727286999504703E-2</v>
          </cell>
          <cell r="BD221">
            <v>6.1709944781123453E-2</v>
          </cell>
          <cell r="BE221">
            <v>6.1488186204898765E-2</v>
          </cell>
          <cell r="BF221">
            <v>5.7672073771657735E-2</v>
          </cell>
          <cell r="BG221">
            <v>5.8870984038655691E-2</v>
          </cell>
          <cell r="BH221">
            <v>5.888588160739535E-2</v>
          </cell>
          <cell r="BI221">
            <v>5.8674037172960172E-2</v>
          </cell>
          <cell r="BJ221">
            <v>5.7807703974548832E-2</v>
          </cell>
          <cell r="BK221">
            <v>5.5369640715037298E-2</v>
          </cell>
          <cell r="BL221">
            <v>5.5383503540726083E-2</v>
          </cell>
          <cell r="BM221">
            <v>5.5184041067929297E-2</v>
          </cell>
          <cell r="BN221">
            <v>4.9265030608961459E-2</v>
          </cell>
        </row>
        <row r="223">
          <cell r="A223" t="str">
            <v>VALUE ADDITION TO PRICE TARGET</v>
          </cell>
          <cell r="Q223">
            <v>0.14300000000000013</v>
          </cell>
        </row>
        <row r="224">
          <cell r="A224" t="str">
            <v>Tax carried forward</v>
          </cell>
          <cell r="H224">
            <v>0.4</v>
          </cell>
          <cell r="I224">
            <v>0.3</v>
          </cell>
          <cell r="J224">
            <v>0.2</v>
          </cell>
          <cell r="K224">
            <v>0.1</v>
          </cell>
          <cell r="Q224">
            <v>115.92695400000011</v>
          </cell>
        </row>
        <row r="225">
          <cell r="H225">
            <v>2006</v>
          </cell>
          <cell r="I225">
            <v>2007</v>
          </cell>
          <cell r="J225">
            <v>2008</v>
          </cell>
          <cell r="K225">
            <v>2009</v>
          </cell>
        </row>
        <row r="226">
          <cell r="H226">
            <v>321.77221777125806</v>
          </cell>
          <cell r="I226">
            <v>324.65123235131665</v>
          </cell>
          <cell r="J226">
            <v>249.71090621688776</v>
          </cell>
          <cell r="K226">
            <v>38.865643660537643</v>
          </cell>
          <cell r="M226">
            <v>3400</v>
          </cell>
          <cell r="N226">
            <v>935.00000000000011</v>
          </cell>
          <cell r="Q226">
            <v>46392</v>
          </cell>
          <cell r="Y226">
            <v>46392</v>
          </cell>
        </row>
        <row r="227">
          <cell r="H227">
            <v>321.77221777125806</v>
          </cell>
          <cell r="I227">
            <v>289.86717174224697</v>
          </cell>
          <cell r="J227">
            <v>199.06800559381995</v>
          </cell>
          <cell r="K227">
            <v>27.663797476125204</v>
          </cell>
          <cell r="L227">
            <v>838.37119258345012</v>
          </cell>
          <cell r="Q227">
            <v>17.892081999999998</v>
          </cell>
          <cell r="Y227">
            <v>0</v>
          </cell>
        </row>
        <row r="228">
          <cell r="H228">
            <v>0.12</v>
          </cell>
          <cell r="P228">
            <v>5.5E-2</v>
          </cell>
          <cell r="Q228">
            <v>830.04946814399989</v>
          </cell>
          <cell r="Y228">
            <v>0</v>
          </cell>
        </row>
        <row r="229">
          <cell r="A229" t="str">
            <v>Written off assets</v>
          </cell>
          <cell r="H229">
            <v>9000</v>
          </cell>
          <cell r="Q229">
            <v>45.652720747919993</v>
          </cell>
          <cell r="Y229">
            <v>0</v>
          </cell>
        </row>
        <row r="230">
          <cell r="A230" t="str">
            <v xml:space="preserve">   Recovery ratio</v>
          </cell>
          <cell r="H230">
            <v>0.08</v>
          </cell>
        </row>
        <row r="231">
          <cell r="A231" t="str">
            <v xml:space="preserve">   Value of written off assets</v>
          </cell>
          <cell r="H231">
            <v>720</v>
          </cell>
          <cell r="L231">
            <v>1021.7894363041793</v>
          </cell>
          <cell r="Q231">
            <v>70.274233252080109</v>
          </cell>
          <cell r="Y231">
            <v>115.92695400000011</v>
          </cell>
          <cell r="Z231">
            <v>0.64963669662761747</v>
          </cell>
        </row>
        <row r="232">
          <cell r="L232">
            <v>-285.71428571428572</v>
          </cell>
          <cell r="Q232">
            <v>171.01657954187655</v>
          </cell>
          <cell r="Y232">
            <v>282.11522534401547</v>
          </cell>
          <cell r="Z232">
            <v>410.92058700000001</v>
          </cell>
          <cell r="AE232">
            <v>0</v>
          </cell>
        </row>
        <row r="233">
          <cell r="A233" t="str">
            <v>Value of excess capital</v>
          </cell>
          <cell r="H233">
            <v>1552.0468673972084</v>
          </cell>
          <cell r="L233">
            <v>-150</v>
          </cell>
          <cell r="Q233">
            <v>6480.0981195939867</v>
          </cell>
          <cell r="Y233">
            <v>6480.0981195939867</v>
          </cell>
        </row>
        <row r="234">
          <cell r="L234">
            <v>586.07515058989361</v>
          </cell>
          <cell r="Q234">
            <v>2.6391047849224799E-2</v>
          </cell>
          <cell r="Y234">
            <v>4.3535640994536592E-2</v>
          </cell>
        </row>
        <row r="235">
          <cell r="A235" t="str">
            <v>Value to SFG</v>
          </cell>
          <cell r="H235">
            <v>2048.5882774034239</v>
          </cell>
          <cell r="L235">
            <v>146.5187876474734</v>
          </cell>
        </row>
        <row r="236">
          <cell r="A236" t="str">
            <v xml:space="preserve">   # of shares</v>
          </cell>
          <cell r="H236">
            <v>410.92058700000001</v>
          </cell>
          <cell r="L236">
            <v>596.51878764747335</v>
          </cell>
        </row>
        <row r="237">
          <cell r="A237" t="str">
            <v xml:space="preserve">  Per share value</v>
          </cell>
          <cell r="H237">
            <v>4985.3629684497264</v>
          </cell>
        </row>
        <row r="239">
          <cell r="A239" t="str">
            <v>Goodwill creation</v>
          </cell>
          <cell r="H239">
            <v>3914.3974554892129</v>
          </cell>
        </row>
        <row r="240">
          <cell r="A240" t="str">
            <v xml:space="preserve">   Amortization</v>
          </cell>
          <cell r="M240">
            <v>293.57980916169095</v>
          </cell>
          <cell r="N240">
            <v>391.43974554892128</v>
          </cell>
          <cell r="O240">
            <v>391.43974554892128</v>
          </cell>
          <cell r="P240">
            <v>391.43974554892128</v>
          </cell>
          <cell r="Q240">
            <v>391.43974554892128</v>
          </cell>
          <cell r="AV240">
            <v>97.85993638723032</v>
          </cell>
          <cell r="AW240">
            <v>97.85993638723032</v>
          </cell>
          <cell r="AX240">
            <v>97.85993638723032</v>
          </cell>
          <cell r="AY240">
            <v>97.85993638723032</v>
          </cell>
          <cell r="AZ240">
            <v>97.85993638723032</v>
          </cell>
          <cell r="BA240">
            <v>97.85993638723032</v>
          </cell>
          <cell r="BB240">
            <v>97.85993638723032</v>
          </cell>
          <cell r="BC240">
            <v>97.85993638723032</v>
          </cell>
          <cell r="BD240">
            <v>97.85993638723032</v>
          </cell>
          <cell r="BE240">
            <v>97.85993638723032</v>
          </cell>
          <cell r="BF240">
            <v>97.85993638723032</v>
          </cell>
          <cell r="BG240">
            <v>97.85993638723032</v>
          </cell>
          <cell r="BH240">
            <v>97.85993638723032</v>
          </cell>
          <cell r="BI240">
            <v>97.85993638723032</v>
          </cell>
          <cell r="BJ240">
            <v>97.85993638723032</v>
          </cell>
          <cell r="BK240">
            <v>97.85993638723032</v>
          </cell>
          <cell r="BL240">
            <v>97.85993638723032</v>
          </cell>
          <cell r="BM240">
            <v>97.85993638723032</v>
          </cell>
          <cell r="BN240">
            <v>97.85993638723032</v>
          </cell>
        </row>
        <row r="241">
          <cell r="AU241">
            <v>3914.3974554892129</v>
          </cell>
          <cell r="AV241">
            <v>3816.5375191019825</v>
          </cell>
          <cell r="AW241">
            <v>3718.6775827147521</v>
          </cell>
          <cell r="AX241">
            <v>3620.8176463275217</v>
          </cell>
          <cell r="AY241">
            <v>3522.9577099402914</v>
          </cell>
          <cell r="AZ241">
            <v>3425.097773553061</v>
          </cell>
          <cell r="BA241">
            <v>3327.2378371658306</v>
          </cell>
          <cell r="BB241">
            <v>3229.3779007786002</v>
          </cell>
          <cell r="BC241">
            <v>3131.5179643913698</v>
          </cell>
          <cell r="BD241">
            <v>3033.6580280041394</v>
          </cell>
          <cell r="BE241">
            <v>2935.798091616909</v>
          </cell>
          <cell r="BF241">
            <v>2837.9381552296786</v>
          </cell>
          <cell r="BG241">
            <v>2740.0782188424482</v>
          </cell>
          <cell r="BH241">
            <v>2642.2182824552178</v>
          </cell>
          <cell r="BI241">
            <v>2544.3583460679874</v>
          </cell>
          <cell r="BJ241">
            <v>2446.498409680757</v>
          </cell>
          <cell r="BK241">
            <v>2348.6384732935267</v>
          </cell>
          <cell r="BL241">
            <v>2250.7785369062963</v>
          </cell>
          <cell r="BM241">
            <v>2152.9186005190659</v>
          </cell>
          <cell r="BN241">
            <v>2055.0586641318355</v>
          </cell>
        </row>
        <row r="243">
          <cell r="A243" t="str">
            <v>Funding cost</v>
          </cell>
        </row>
        <row r="244">
          <cell r="A244" t="str">
            <v xml:space="preserve">   CRPS</v>
          </cell>
          <cell r="M244">
            <v>20.742201821250003</v>
          </cell>
          <cell r="N244">
            <v>27.656269095000003</v>
          </cell>
          <cell r="O244">
            <v>27.656269095000003</v>
          </cell>
          <cell r="P244">
            <v>27.656269095000003</v>
          </cell>
          <cell r="Q244">
            <v>27.656269095000003</v>
          </cell>
          <cell r="AV244">
            <v>6.9140672737500006</v>
          </cell>
          <cell r="AW244">
            <v>6.9140672737500006</v>
          </cell>
          <cell r="AX244">
            <v>6.9140672737500006</v>
          </cell>
          <cell r="AY244">
            <v>6.9140672737500006</v>
          </cell>
          <cell r="AZ244">
            <v>6.9140672737500006</v>
          </cell>
          <cell r="BA244">
            <v>6.9140672737500006</v>
          </cell>
          <cell r="BB244">
            <v>6.9140672737500006</v>
          </cell>
          <cell r="BC244">
            <v>6.9140672737500006</v>
          </cell>
          <cell r="BD244">
            <v>6.9140672737500006</v>
          </cell>
          <cell r="BE244">
            <v>6.9140672737500006</v>
          </cell>
          <cell r="BF244">
            <v>6.9140672737500006</v>
          </cell>
          <cell r="BG244">
            <v>6.9140672737500006</v>
          </cell>
          <cell r="BH244">
            <v>6.9140672737500006</v>
          </cell>
          <cell r="BI244">
            <v>6.9140672737500006</v>
          </cell>
          <cell r="BJ244">
            <v>6.9140672737500006</v>
          </cell>
          <cell r="BK244">
            <v>6.9140672737500006</v>
          </cell>
          <cell r="BL244">
            <v>6.9140672737500006</v>
          </cell>
          <cell r="BM244">
            <v>6.9140672737500006</v>
          </cell>
          <cell r="BN244">
            <v>6.9140672737500006</v>
          </cell>
        </row>
        <row r="245">
          <cell r="A245" t="str">
            <v xml:space="preserve">   RPS</v>
          </cell>
          <cell r="M245">
            <v>152.19749999999999</v>
          </cell>
          <cell r="N245">
            <v>202.93</v>
          </cell>
          <cell r="O245">
            <v>202.93</v>
          </cell>
          <cell r="P245">
            <v>202.93</v>
          </cell>
          <cell r="Q245">
            <v>202.93</v>
          </cell>
          <cell r="AV245">
            <v>50.732499999999995</v>
          </cell>
          <cell r="AW245">
            <v>50.732499999999995</v>
          </cell>
          <cell r="AX245">
            <v>50.732499999999995</v>
          </cell>
          <cell r="AY245">
            <v>50.732500000000002</v>
          </cell>
          <cell r="AZ245">
            <v>50.732500000000002</v>
          </cell>
          <cell r="BA245">
            <v>50.732500000000002</v>
          </cell>
          <cell r="BB245">
            <v>50.732500000000002</v>
          </cell>
          <cell r="BC245">
            <v>50.732500000000002</v>
          </cell>
          <cell r="BD245">
            <v>50.732500000000002</v>
          </cell>
          <cell r="BE245">
            <v>50.732500000000002</v>
          </cell>
          <cell r="BF245">
            <v>50.732500000000002</v>
          </cell>
          <cell r="BG245">
            <v>50.732500000000002</v>
          </cell>
          <cell r="BH245">
            <v>50.732500000000002</v>
          </cell>
          <cell r="BI245">
            <v>50.732500000000002</v>
          </cell>
          <cell r="BJ245">
            <v>50.732500000000002</v>
          </cell>
          <cell r="BK245">
            <v>50.732500000000002</v>
          </cell>
          <cell r="BL245">
            <v>50.732500000000002</v>
          </cell>
          <cell r="BM245">
            <v>50.732500000000002</v>
          </cell>
          <cell r="BN245">
            <v>50.732500000000002</v>
          </cell>
        </row>
        <row r="255">
          <cell r="A255" t="str">
            <v>Tender Offer</v>
          </cell>
        </row>
        <row r="256">
          <cell r="A256" t="str">
            <v xml:space="preserve">   Price (Won)</v>
          </cell>
          <cell r="H256">
            <v>46392</v>
          </cell>
        </row>
        <row r="257">
          <cell r="A257" t="str">
            <v xml:space="preserve">   Period</v>
          </cell>
        </row>
      </sheetData>
      <sheetData sheetId="6" refreshError="1"/>
      <sheetData sheetId="7" refreshError="1"/>
      <sheetData sheetId="8" refreshError="1"/>
      <sheetData sheetId="9" refreshError="1">
        <row r="2">
          <cell r="B2" t="str">
            <v>SHINHAN FINANCIAL GROUP (055550.KS)</v>
          </cell>
          <cell r="O2" t="str">
            <v>Foreign exchange rate</v>
          </cell>
          <cell r="W2">
            <v>965.2</v>
          </cell>
        </row>
        <row r="3">
          <cell r="O3" t="str">
            <v>Current share price</v>
          </cell>
          <cell r="W3">
            <v>58900</v>
          </cell>
          <cell r="X3">
            <v>61.023622047244089</v>
          </cell>
        </row>
        <row r="5">
          <cell r="B5" t="str">
            <v>Profit and Loss Statements</v>
          </cell>
          <cell r="O5" t="str">
            <v>Per Share Data and Valuations</v>
          </cell>
        </row>
        <row r="6">
          <cell r="B6" t="str">
            <v>Won billions, Year ending Dec 31</v>
          </cell>
          <cell r="C6">
            <v>2000</v>
          </cell>
          <cell r="D6">
            <v>2001</v>
          </cell>
          <cell r="E6">
            <v>2002</v>
          </cell>
          <cell r="F6">
            <v>2003</v>
          </cell>
          <cell r="G6">
            <v>2004</v>
          </cell>
          <cell r="H6">
            <v>2005</v>
          </cell>
          <cell r="I6">
            <v>2006</v>
          </cell>
          <cell r="J6">
            <v>2007</v>
          </cell>
          <cell r="K6" t="str">
            <v>2008E</v>
          </cell>
          <cell r="L6" t="str">
            <v>2009E</v>
          </cell>
          <cell r="M6" t="str">
            <v>2010E</v>
          </cell>
          <cell r="O6" t="str">
            <v>Won billions, Year ending Dec 31</v>
          </cell>
          <cell r="P6">
            <v>2000</v>
          </cell>
          <cell r="Q6">
            <v>2001</v>
          </cell>
          <cell r="R6">
            <v>2002</v>
          </cell>
          <cell r="S6">
            <v>2003</v>
          </cell>
          <cell r="T6">
            <v>2004</v>
          </cell>
          <cell r="U6">
            <v>2005</v>
          </cell>
          <cell r="V6">
            <v>2006</v>
          </cell>
          <cell r="W6">
            <v>2007</v>
          </cell>
          <cell r="X6" t="str">
            <v>2008E</v>
          </cell>
          <cell r="Y6" t="str">
            <v>2009E</v>
          </cell>
          <cell r="Z6" t="str">
            <v>2010E</v>
          </cell>
        </row>
        <row r="7">
          <cell r="B7" t="str">
            <v>Avg Earning Assets</v>
          </cell>
          <cell r="C7">
            <v>0</v>
          </cell>
          <cell r="D7">
            <v>0</v>
          </cell>
          <cell r="E7">
            <v>49724.987999999998</v>
          </cell>
          <cell r="F7">
            <v>57957.267000000007</v>
          </cell>
          <cell r="G7">
            <v>112895.58162500002</v>
          </cell>
          <cell r="H7">
            <v>114974.23262499998</v>
          </cell>
          <cell r="I7">
            <v>120580.75200000001</v>
          </cell>
          <cell r="J7">
            <v>138812.614</v>
          </cell>
          <cell r="K7">
            <v>156516.76335599885</v>
          </cell>
          <cell r="L7">
            <v>168104.09170572687</v>
          </cell>
          <cell r="M7">
            <v>183115.62515496527</v>
          </cell>
          <cell r="O7" t="str">
            <v>Book Value Per Share (Won)</v>
          </cell>
          <cell r="P7" t="e">
            <v>#DIV/0!</v>
          </cell>
          <cell r="Q7">
            <v>0</v>
          </cell>
          <cell r="R7">
            <v>12451.998142403514</v>
          </cell>
          <cell r="S7">
            <v>12234.947540557414</v>
          </cell>
          <cell r="T7">
            <v>17506.335706253656</v>
          </cell>
          <cell r="U7">
            <v>22965.11908125148</v>
          </cell>
          <cell r="V7">
            <v>27798.766366076343</v>
          </cell>
          <cell r="W7">
            <v>35090.084731713381</v>
          </cell>
          <cell r="X7">
            <v>38673.070574065168</v>
          </cell>
          <cell r="Y7">
            <v>43296.866391284449</v>
          </cell>
          <cell r="Z7">
            <v>48332.025647816103</v>
          </cell>
        </row>
        <row r="8">
          <cell r="B8" t="str">
            <v>Net Interest Margin (%)</v>
          </cell>
          <cell r="C8" t="e">
            <v>#DIV/0!</v>
          </cell>
          <cell r="D8" t="e">
            <v>#DIV/0!</v>
          </cell>
          <cell r="E8">
            <v>2.5436245454699762</v>
          </cell>
          <cell r="F8">
            <v>2.0384052960951382</v>
          </cell>
          <cell r="G8">
            <v>3.1026550642394182</v>
          </cell>
          <cell r="H8">
            <v>2.9873692758946273</v>
          </cell>
          <cell r="I8">
            <v>2.5144859654814553</v>
          </cell>
          <cell r="J8">
            <v>2.3191199324291967</v>
          </cell>
          <cell r="K8">
            <v>2.1933726161836997</v>
          </cell>
          <cell r="L8">
            <v>2.1218156277862024</v>
          </cell>
          <cell r="M8">
            <v>2.0908781077618204</v>
          </cell>
          <cell r="O8" t="str">
            <v>Price/Book (x)</v>
          </cell>
          <cell r="P8" t="e">
            <v>#DIV/0!</v>
          </cell>
          <cell r="Q8" t="e">
            <v>#DIV/0!</v>
          </cell>
          <cell r="R8">
            <v>4.7301645347524106</v>
          </cell>
          <cell r="S8">
            <v>4.814078671343168</v>
          </cell>
          <cell r="T8">
            <v>3.3644962023068938</v>
          </cell>
          <cell r="U8">
            <v>2.5647591807214027</v>
          </cell>
          <cell r="V8">
            <v>2.1187990583595613</v>
          </cell>
          <cell r="W8">
            <v>1.6785368416841673</v>
          </cell>
          <cell r="X8">
            <v>1.5230236214938506</v>
          </cell>
          <cell r="Y8">
            <v>1.3603755862538915</v>
          </cell>
          <cell r="Z8">
            <v>1.2186536610153731</v>
          </cell>
        </row>
        <row r="9">
          <cell r="B9" t="str">
            <v xml:space="preserve">  Interest Income</v>
          </cell>
          <cell r="C9">
            <v>0</v>
          </cell>
          <cell r="D9">
            <v>0</v>
          </cell>
          <cell r="E9">
            <v>4093.9695122271314</v>
          </cell>
          <cell r="F9">
            <v>5645.5872263039464</v>
          </cell>
          <cell r="G9">
            <v>7980.9449999999997</v>
          </cell>
          <cell r="H9">
            <v>7884.7379999999994</v>
          </cell>
          <cell r="I9">
            <v>9262.9760000000006</v>
          </cell>
          <cell r="J9">
            <v>13320.949000000001</v>
          </cell>
          <cell r="K9">
            <v>15333.669285486485</v>
          </cell>
          <cell r="L9">
            <v>16380.001282212468</v>
          </cell>
          <cell r="M9">
            <v>17964.533621263272</v>
          </cell>
          <cell r="O9" t="str">
            <v>ROAA (%)</v>
          </cell>
          <cell r="P9" t="e">
            <v>#DIV/0!</v>
          </cell>
          <cell r="Q9" t="e">
            <v>#DIV/0!</v>
          </cell>
          <cell r="R9">
            <v>1.8406863534163227</v>
          </cell>
          <cell r="S9">
            <v>0.39444653993212997</v>
          </cell>
          <cell r="T9">
            <v>0.74210067252642919</v>
          </cell>
          <cell r="U9">
            <v>1.1322192125998027</v>
          </cell>
          <cell r="V9">
            <v>1.1205480808626735</v>
          </cell>
          <cell r="W9">
            <v>1.1246407990881466</v>
          </cell>
          <cell r="X9">
            <v>1.1471067263024362</v>
          </cell>
          <cell r="Y9">
            <v>1.1251049747283821</v>
          </cell>
          <cell r="Z9">
            <v>1.1350010193471678</v>
          </cell>
        </row>
        <row r="10">
          <cell r="B10" t="str">
            <v xml:space="preserve">  Interest Expense</v>
          </cell>
          <cell r="C10">
            <v>0</v>
          </cell>
          <cell r="D10">
            <v>0</v>
          </cell>
          <cell r="E10">
            <v>2352.14</v>
          </cell>
          <cell r="F10">
            <v>2996.8960000000002</v>
          </cell>
          <cell r="G10">
            <v>3985.7900000000004</v>
          </cell>
          <cell r="H10">
            <v>3841.9270000000001</v>
          </cell>
          <cell r="I10">
            <v>4782.1670000000004</v>
          </cell>
          <cell r="J10">
            <v>6867.6059999999998</v>
          </cell>
          <cell r="K10">
            <v>8503.8665613400481</v>
          </cell>
          <cell r="L10">
            <v>9051.3068073174618</v>
          </cell>
          <cell r="M10">
            <v>9932.789299601649</v>
          </cell>
          <cell r="O10" t="str">
            <v>ROAE (Reported, %)</v>
          </cell>
          <cell r="S10">
            <v>9.319788443136142</v>
          </cell>
          <cell r="T10">
            <v>18.493212606186336</v>
          </cell>
          <cell r="U10">
            <v>21.581550838516041</v>
          </cell>
          <cell r="V10">
            <v>17.903234941104078</v>
          </cell>
          <cell r="W10">
            <v>17.454531018625993</v>
          </cell>
          <cell r="X10">
            <v>14.580874080497095</v>
          </cell>
          <cell r="Y10">
            <v>14.129812046500506</v>
          </cell>
          <cell r="Z10">
            <v>13.97476780686093</v>
          </cell>
        </row>
        <row r="11">
          <cell r="B11" t="str">
            <v>Net Interest Income (NII)</v>
          </cell>
          <cell r="C11">
            <v>0</v>
          </cell>
          <cell r="D11">
            <v>0</v>
          </cell>
          <cell r="E11">
            <v>1741.8295122271315</v>
          </cell>
          <cell r="F11">
            <v>2648.6912263039462</v>
          </cell>
          <cell r="G11">
            <v>3995.1549999999993</v>
          </cell>
          <cell r="H11">
            <v>4042.8109999999992</v>
          </cell>
          <cell r="I11">
            <v>4480.8090000000002</v>
          </cell>
          <cell r="J11">
            <v>6453.3430000000008</v>
          </cell>
          <cell r="K11">
            <v>6829.802724146437</v>
          </cell>
          <cell r="L11">
            <v>7328.6944748950064</v>
          </cell>
          <cell r="M11">
            <v>8031.744321661623</v>
          </cell>
          <cell r="O11" t="str">
            <v>ROAE (ModelWare, %)</v>
          </cell>
          <cell r="T11">
            <v>20.174543848069664</v>
          </cell>
          <cell r="U11">
            <v>22.968598483969629</v>
          </cell>
          <cell r="V11">
            <v>19.550041310098013</v>
          </cell>
          <cell r="W11">
            <v>17.91244842551021</v>
          </cell>
          <cell r="X11">
            <v>17.570013356211028</v>
          </cell>
          <cell r="Y11">
            <v>16.819680463970368</v>
          </cell>
          <cell r="Z11">
            <v>16.381086815182027</v>
          </cell>
        </row>
        <row r="12">
          <cell r="B12" t="str">
            <v>Loan Loss Prov Exp (LLPE)</v>
          </cell>
          <cell r="C12">
            <v>0</v>
          </cell>
          <cell r="D12">
            <v>0</v>
          </cell>
          <cell r="E12">
            <v>210.54599999999999</v>
          </cell>
          <cell r="F12">
            <v>1096.3929999999998</v>
          </cell>
          <cell r="G12">
            <v>1384.81</v>
          </cell>
          <cell r="H12">
            <v>902.69299999999998</v>
          </cell>
          <cell r="I12">
            <v>584.55900000000008</v>
          </cell>
          <cell r="J12">
            <v>866.42300000000012</v>
          </cell>
          <cell r="K12">
            <v>640.41421074056257</v>
          </cell>
          <cell r="L12">
            <v>779.5551711577657</v>
          </cell>
          <cell r="M12">
            <v>974.64059532565352</v>
          </cell>
        </row>
        <row r="13">
          <cell r="B13" t="str">
            <v>NII After LLPE</v>
          </cell>
          <cell r="C13">
            <v>0</v>
          </cell>
          <cell r="D13">
            <v>0</v>
          </cell>
          <cell r="E13">
            <v>1531.2835122271315</v>
          </cell>
          <cell r="F13">
            <v>1552.2982263039464</v>
          </cell>
          <cell r="G13">
            <v>2610.3449999999993</v>
          </cell>
          <cell r="H13">
            <v>3140.1179999999995</v>
          </cell>
          <cell r="I13">
            <v>3896.25</v>
          </cell>
          <cell r="J13">
            <v>5586.920000000001</v>
          </cell>
          <cell r="K13">
            <v>6189.3885134058746</v>
          </cell>
          <cell r="L13">
            <v>6549.1393037372409</v>
          </cell>
          <cell r="M13">
            <v>7057.1037263359694</v>
          </cell>
          <cell r="O13" t="str">
            <v>MW EPS Growth (%)</v>
          </cell>
          <cell r="S13">
            <v>-43.00337837184518</v>
          </cell>
          <cell r="T13">
            <v>143.37954558801238</v>
          </cell>
          <cell r="U13">
            <v>56.245570769616073</v>
          </cell>
          <cell r="V13">
            <v>8.927047444434443</v>
          </cell>
          <cell r="W13">
            <v>9.9238632538054983</v>
          </cell>
          <cell r="X13">
            <v>18.800169290303479</v>
          </cell>
          <cell r="Y13">
            <v>6.3801906980504919</v>
          </cell>
          <cell r="Z13">
            <v>8.8686418581237056</v>
          </cell>
        </row>
        <row r="14">
          <cell r="O14" t="str">
            <v>Current P/MW EPS</v>
          </cell>
          <cell r="P14" t="e">
            <v>#DIV/0!</v>
          </cell>
          <cell r="Q14" t="e">
            <v>#DIV/0!</v>
          </cell>
          <cell r="R14">
            <v>28.023307521997893</v>
          </cell>
          <cell r="S14">
            <v>49.166611496417396</v>
          </cell>
          <cell r="T14">
            <v>20.201620221464939</v>
          </cell>
          <cell r="U14">
            <v>12.929403452499916</v>
          </cell>
          <cell r="V14">
            <v>11.869782350518062</v>
          </cell>
          <cell r="W14">
            <v>10.798185215808578</v>
          </cell>
          <cell r="X14">
            <v>9.0893685424149719</v>
          </cell>
          <cell r="Y14">
            <v>8.5442303522600689</v>
          </cell>
          <cell r="Z14">
            <v>7.8482014714529154</v>
          </cell>
        </row>
        <row r="15">
          <cell r="B15" t="str">
            <v>Non-interest Income</v>
          </cell>
        </row>
        <row r="16">
          <cell r="B16" t="str">
            <v>Fees and Commissions</v>
          </cell>
          <cell r="C16">
            <v>0</v>
          </cell>
          <cell r="D16">
            <v>0</v>
          </cell>
          <cell r="E16">
            <v>284.00548777286809</v>
          </cell>
          <cell r="F16">
            <v>560.02877369605358</v>
          </cell>
          <cell r="G16">
            <v>718.28499999999985</v>
          </cell>
          <cell r="H16">
            <v>943.00099999999998</v>
          </cell>
          <cell r="I16">
            <v>786.91399999999999</v>
          </cell>
          <cell r="J16">
            <v>590.197</v>
          </cell>
          <cell r="K16">
            <v>681.11272646689088</v>
          </cell>
          <cell r="L16">
            <v>767.98008956179763</v>
          </cell>
          <cell r="M16">
            <v>819.50997851175975</v>
          </cell>
          <cell r="O16" t="str">
            <v>Gross Dividends</v>
          </cell>
          <cell r="P16">
            <v>0</v>
          </cell>
          <cell r="Q16">
            <v>150.812285352</v>
          </cell>
          <cell r="R16">
            <v>157.49299999999999</v>
          </cell>
          <cell r="S16">
            <v>185.54912639999998</v>
          </cell>
          <cell r="T16">
            <v>266.29053524999995</v>
          </cell>
          <cell r="U16">
            <v>295.9627792</v>
          </cell>
          <cell r="V16">
            <v>335.32384230000002</v>
          </cell>
          <cell r="W16">
            <v>356.57962830000002</v>
          </cell>
          <cell r="X16">
            <v>452.01264570000001</v>
          </cell>
          <cell r="Y16">
            <v>534.1967631</v>
          </cell>
          <cell r="Z16">
            <v>616.38088049999999</v>
          </cell>
        </row>
        <row r="17">
          <cell r="B17" t="str">
            <v>Dividend Income</v>
          </cell>
          <cell r="C17">
            <v>0</v>
          </cell>
          <cell r="D17">
            <v>0</v>
          </cell>
          <cell r="E17">
            <v>16.09</v>
          </cell>
          <cell r="F17">
            <v>8.4960000000000004</v>
          </cell>
          <cell r="G17">
            <v>78.173000000000002</v>
          </cell>
          <cell r="H17">
            <v>90.212000000000003</v>
          </cell>
          <cell r="I17">
            <v>97.061000000000007</v>
          </cell>
          <cell r="J17">
            <v>106.523</v>
          </cell>
          <cell r="K17">
            <v>110.55519089680313</v>
          </cell>
          <cell r="L17">
            <v>117.63362409418171</v>
          </cell>
          <cell r="M17">
            <v>123.65242509085931</v>
          </cell>
          <cell r="O17" t="str">
            <v>Gross DPS (Won)</v>
          </cell>
          <cell r="P17">
            <v>0</v>
          </cell>
          <cell r="Q17">
            <v>574.58669542322627</v>
          </cell>
          <cell r="R17">
            <v>600.00201685832212</v>
          </cell>
          <cell r="S17">
            <v>600</v>
          </cell>
          <cell r="T17">
            <v>750</v>
          </cell>
          <cell r="U17">
            <v>800</v>
          </cell>
          <cell r="V17">
            <v>900</v>
          </cell>
          <cell r="W17">
            <v>900</v>
          </cell>
          <cell r="X17">
            <v>1100</v>
          </cell>
          <cell r="Y17">
            <v>1300</v>
          </cell>
          <cell r="Z17">
            <v>1500</v>
          </cell>
        </row>
        <row r="18">
          <cell r="B18" t="str">
            <v>Forex Income</v>
          </cell>
          <cell r="C18">
            <v>0</v>
          </cell>
          <cell r="D18">
            <v>0</v>
          </cell>
          <cell r="E18">
            <v>85.564000000000021</v>
          </cell>
          <cell r="F18">
            <v>120.42400000000001</v>
          </cell>
          <cell r="G18">
            <v>149.31499999999994</v>
          </cell>
          <cell r="H18">
            <v>53.08199999999988</v>
          </cell>
          <cell r="I18">
            <v>124.31200000000013</v>
          </cell>
          <cell r="J18">
            <v>158.28400000000011</v>
          </cell>
          <cell r="K18">
            <v>-24.557502560363901</v>
          </cell>
          <cell r="L18">
            <v>0</v>
          </cell>
          <cell r="M18">
            <v>0</v>
          </cell>
          <cell r="O18" t="str">
            <v>Dividend Yield (Current Price, %)</v>
          </cell>
          <cell r="P18">
            <v>0</v>
          </cell>
          <cell r="Q18">
            <v>0.97552919426693763</v>
          </cell>
          <cell r="R18">
            <v>1.0186791457696469</v>
          </cell>
          <cell r="S18">
            <v>1.0186757215619695</v>
          </cell>
          <cell r="T18">
            <v>1.2733446519524618</v>
          </cell>
          <cell r="U18">
            <v>1.3582342954159592</v>
          </cell>
          <cell r="V18">
            <v>1.5280135823429541</v>
          </cell>
          <cell r="W18">
            <v>1.5280135823429541</v>
          </cell>
          <cell r="X18">
            <v>1.8675721561969438</v>
          </cell>
          <cell r="Y18">
            <v>2.2071307300509337</v>
          </cell>
          <cell r="Z18">
            <v>2.5466893039049237</v>
          </cell>
        </row>
        <row r="19">
          <cell r="B19" t="str">
            <v>Other trading income</v>
          </cell>
          <cell r="C19">
            <v>0</v>
          </cell>
          <cell r="D19">
            <v>0</v>
          </cell>
          <cell r="E19">
            <v>70.039000000000172</v>
          </cell>
          <cell r="F19">
            <v>54.36600000000012</v>
          </cell>
          <cell r="G19">
            <v>258.37800000000004</v>
          </cell>
          <cell r="H19">
            <v>152.58600000000035</v>
          </cell>
          <cell r="I19">
            <v>266.34400000000062</v>
          </cell>
          <cell r="J19">
            <v>156.21800000000036</v>
          </cell>
          <cell r="K19">
            <v>251.36587948925239</v>
          </cell>
          <cell r="L19">
            <v>308.92084917054422</v>
          </cell>
          <cell r="M19">
            <v>330.7706676874318</v>
          </cell>
          <cell r="O19" t="str">
            <v>Dividend Payout Ratio (%)</v>
          </cell>
          <cell r="P19" t="e">
            <v>#DIV/0!</v>
          </cell>
          <cell r="Q19" t="e">
            <v>#DIV/0!</v>
          </cell>
          <cell r="R19">
            <v>26.154546194302881</v>
          </cell>
          <cell r="S19">
            <v>51.117151641376694</v>
          </cell>
          <cell r="T19">
            <v>27.369656976640123</v>
          </cell>
          <cell r="U19">
            <v>18.120936123595342</v>
          </cell>
          <cell r="V19">
            <v>19.339113261303069</v>
          </cell>
          <cell r="W19">
            <v>16.326040681605729</v>
          </cell>
          <cell r="X19">
            <v>20.455007142560472</v>
          </cell>
          <cell r="Y19">
            <v>22.448243362362387</v>
          </cell>
          <cell r="Z19">
            <v>23.194200838310451</v>
          </cell>
        </row>
        <row r="20">
          <cell r="B20" t="str">
            <v>Other Income</v>
          </cell>
          <cell r="C20">
            <v>0</v>
          </cell>
          <cell r="D20">
            <v>0</v>
          </cell>
          <cell r="E20">
            <v>-106.20799999999986</v>
          </cell>
          <cell r="F20">
            <v>-161.6880000000005</v>
          </cell>
          <cell r="G20">
            <v>-156.81999999999826</v>
          </cell>
          <cell r="H20">
            <v>-174.83300000000094</v>
          </cell>
          <cell r="I20">
            <v>226.38765746088018</v>
          </cell>
          <cell r="J20">
            <v>1059.8640000000009</v>
          </cell>
          <cell r="K20">
            <v>293.53675247954277</v>
          </cell>
          <cell r="L20">
            <v>242.73044249755469</v>
          </cell>
          <cell r="M20">
            <v>265.92746223075414</v>
          </cell>
        </row>
        <row r="21">
          <cell r="B21" t="str">
            <v>Total Non-interest Income</v>
          </cell>
          <cell r="C21">
            <v>0</v>
          </cell>
          <cell r="D21">
            <v>0</v>
          </cell>
          <cell r="E21">
            <v>349.49048777286839</v>
          </cell>
          <cell r="F21">
            <v>581.62677369605308</v>
          </cell>
          <cell r="G21">
            <v>1047.3310000000015</v>
          </cell>
          <cell r="H21">
            <v>1064.0479999999993</v>
          </cell>
          <cell r="I21">
            <v>1501.0186574608811</v>
          </cell>
          <cell r="J21">
            <v>2071.0860000000011</v>
          </cell>
          <cell r="K21">
            <v>1312.0130467721251</v>
          </cell>
          <cell r="L21">
            <v>1437.2650053240782</v>
          </cell>
          <cell r="M21">
            <v>1539.8605335208051</v>
          </cell>
          <cell r="O21" t="str">
            <v>Issued Shares (m)</v>
          </cell>
          <cell r="P21">
            <v>0</v>
          </cell>
          <cell r="Q21">
            <v>292.34419200000002</v>
          </cell>
          <cell r="R21">
            <v>292.36112500000002</v>
          </cell>
          <cell r="S21">
            <v>339.12190299999997</v>
          </cell>
          <cell r="T21">
            <v>364.03961399999997</v>
          </cell>
          <cell r="U21">
            <v>381.56761399999999</v>
          </cell>
          <cell r="V21">
            <v>381.56761399999999</v>
          </cell>
          <cell r="W21">
            <v>410.92058700000001</v>
          </cell>
          <cell r="X21">
            <v>410.92058700000001</v>
          </cell>
          <cell r="Y21">
            <v>410.92058700000001</v>
          </cell>
          <cell r="Z21">
            <v>410.92058700000001</v>
          </cell>
        </row>
        <row r="22">
          <cell r="O22" t="str">
            <v>Market Cap (Wonbn)</v>
          </cell>
          <cell r="P22">
            <v>0</v>
          </cell>
          <cell r="Q22">
            <v>17219.072908800001</v>
          </cell>
          <cell r="R22">
            <v>17220.070262499998</v>
          </cell>
          <cell r="S22">
            <v>19974.280086700001</v>
          </cell>
          <cell r="T22">
            <v>21441.933264599997</v>
          </cell>
          <cell r="U22">
            <v>22474.3324646</v>
          </cell>
          <cell r="V22">
            <v>22474.3324646</v>
          </cell>
          <cell r="W22">
            <v>24203.222574300002</v>
          </cell>
          <cell r="X22">
            <v>24203.222574300002</v>
          </cell>
          <cell r="Y22">
            <v>24203.222574300002</v>
          </cell>
          <cell r="Z22">
            <v>24203.222574300002</v>
          </cell>
        </row>
        <row r="23">
          <cell r="B23" t="str">
            <v>Non-interest Expense</v>
          </cell>
          <cell r="O23" t="str">
            <v>Market Cap (US$mn)</v>
          </cell>
          <cell r="P23">
            <v>0</v>
          </cell>
          <cell r="Q23">
            <v>17839.901480314962</v>
          </cell>
          <cell r="R23">
            <v>17840.934793307086</v>
          </cell>
          <cell r="S23">
            <v>20694.446836614174</v>
          </cell>
          <cell r="T23">
            <v>22215.015814960625</v>
          </cell>
          <cell r="U23">
            <v>23284.637862204723</v>
          </cell>
          <cell r="V23">
            <v>23284.637862204723</v>
          </cell>
          <cell r="W23">
            <v>25075.862592519687</v>
          </cell>
          <cell r="X23">
            <v>25075.862592519687</v>
          </cell>
          <cell r="Y23">
            <v>25075.862592519687</v>
          </cell>
          <cell r="Z23">
            <v>25075.862592519687</v>
          </cell>
        </row>
        <row r="24">
          <cell r="B24" t="str">
            <v>Salaries &amp; Benefits</v>
          </cell>
          <cell r="C24">
            <v>0</v>
          </cell>
          <cell r="D24">
            <v>0</v>
          </cell>
          <cell r="E24">
            <v>563.56799999999998</v>
          </cell>
          <cell r="F24">
            <v>739.86200000000008</v>
          </cell>
          <cell r="G24">
            <v>1249.345</v>
          </cell>
          <cell r="H24">
            <v>1458.665</v>
          </cell>
          <cell r="I24">
            <v>1705.1170000000002</v>
          </cell>
          <cell r="J24">
            <v>2079.808</v>
          </cell>
          <cell r="K24">
            <v>2208.3588068099407</v>
          </cell>
          <cell r="L24">
            <v>2412.8204672103607</v>
          </cell>
          <cell r="M24">
            <v>2571.928177527634</v>
          </cell>
        </row>
        <row r="25">
          <cell r="B25" t="str">
            <v>Net Occupancy &amp; Equipment</v>
          </cell>
          <cell r="C25">
            <v>0</v>
          </cell>
          <cell r="D25">
            <v>0</v>
          </cell>
          <cell r="E25">
            <v>30.073</v>
          </cell>
          <cell r="F25">
            <v>47.597999999999999</v>
          </cell>
          <cell r="G25">
            <v>77.260999999999996</v>
          </cell>
          <cell r="H25">
            <v>88.057999999999993</v>
          </cell>
          <cell r="I25">
            <v>117.727</v>
          </cell>
          <cell r="J25">
            <v>163.23599999999999</v>
          </cell>
          <cell r="K25">
            <v>184.0946179960942</v>
          </cell>
          <cell r="L25">
            <v>194.38932776474522</v>
          </cell>
          <cell r="M25">
            <v>204.65487740003638</v>
          </cell>
          <cell r="O25" t="str">
            <v>PERFORMANCE RATIOS</v>
          </cell>
        </row>
        <row r="26">
          <cell r="B26" t="str">
            <v>Other Expenses</v>
          </cell>
          <cell r="C26">
            <v>0</v>
          </cell>
          <cell r="D26">
            <v>0</v>
          </cell>
          <cell r="E26">
            <v>348.11599999999999</v>
          </cell>
          <cell r="F26">
            <v>560.67899999999997</v>
          </cell>
          <cell r="G26">
            <v>861.28100000000018</v>
          </cell>
          <cell r="H26">
            <v>881.26499999999976</v>
          </cell>
          <cell r="I26">
            <v>1150.1221496401095</v>
          </cell>
          <cell r="J26">
            <v>1723.6419999999998</v>
          </cell>
          <cell r="K26">
            <v>1645.2775116999671</v>
          </cell>
          <cell r="L26">
            <v>1708.8365000409808</v>
          </cell>
          <cell r="M26">
            <v>1812.9344399135971</v>
          </cell>
          <cell r="O26" t="str">
            <v>Won billions, Year ending Dec 31</v>
          </cell>
          <cell r="P26">
            <v>2000</v>
          </cell>
          <cell r="Q26">
            <v>2001</v>
          </cell>
          <cell r="R26">
            <v>2002</v>
          </cell>
          <cell r="S26">
            <v>2003</v>
          </cell>
          <cell r="T26">
            <v>2004</v>
          </cell>
          <cell r="U26">
            <v>2005</v>
          </cell>
          <cell r="V26">
            <v>2006</v>
          </cell>
          <cell r="W26">
            <v>2007</v>
          </cell>
          <cell r="X26" t="str">
            <v>2008E</v>
          </cell>
          <cell r="Y26" t="str">
            <v>2009E</v>
          </cell>
          <cell r="Z26" t="str">
            <v>2010E</v>
          </cell>
        </row>
        <row r="27">
          <cell r="B27" t="str">
            <v>Total Non-interest Expense</v>
          </cell>
          <cell r="C27">
            <v>0</v>
          </cell>
          <cell r="D27">
            <v>0</v>
          </cell>
          <cell r="E27">
            <v>941.75699999999995</v>
          </cell>
          <cell r="F27">
            <v>1348.1390000000001</v>
          </cell>
          <cell r="G27">
            <v>2187.8870000000002</v>
          </cell>
          <cell r="H27">
            <v>2427.9879999999998</v>
          </cell>
          <cell r="I27">
            <v>2972.9661496401095</v>
          </cell>
          <cell r="J27">
            <v>3966.6859999999997</v>
          </cell>
          <cell r="K27">
            <v>4037.7309365060019</v>
          </cell>
          <cell r="L27">
            <v>4316.0462950160872</v>
          </cell>
          <cell r="M27">
            <v>4589.5174948412678</v>
          </cell>
          <cell r="O27" t="str">
            <v>Growth (%)</v>
          </cell>
        </row>
        <row r="28">
          <cell r="O28" t="str">
            <v>Net Interest Income</v>
          </cell>
          <cell r="P28" t="e">
            <v>#DIV/0!</v>
          </cell>
          <cell r="Q28" t="e">
            <v>#DIV/0!</v>
          </cell>
          <cell r="R28" t="e">
            <v>#DIV/0!</v>
          </cell>
          <cell r="S28">
            <v>52.06374721009788</v>
          </cell>
          <cell r="T28">
            <v>50.83505998450957</v>
          </cell>
          <cell r="U28">
            <v>1.1928448333043296</v>
          </cell>
          <cell r="V28">
            <v>10.833996444553096</v>
          </cell>
          <cell r="W28">
            <v>44.02182730841686</v>
          </cell>
          <cell r="X28">
            <v>5.8335613672857001</v>
          </cell>
          <cell r="Y28">
            <v>7.3046290046528295</v>
          </cell>
          <cell r="Z28">
            <v>9.5931116950633832</v>
          </cell>
        </row>
        <row r="29">
          <cell r="B29" t="str">
            <v>Pre-tax Operating Profit</v>
          </cell>
          <cell r="C29">
            <v>0</v>
          </cell>
          <cell r="D29">
            <v>0</v>
          </cell>
          <cell r="E29">
            <v>939.01699999999994</v>
          </cell>
          <cell r="F29">
            <v>785.78599999999915</v>
          </cell>
          <cell r="G29">
            <v>1469.7890000000007</v>
          </cell>
          <cell r="H29">
            <v>1776.1779999999994</v>
          </cell>
          <cell r="I29">
            <v>2424.302507820772</v>
          </cell>
          <cell r="J29">
            <v>3691.3200000000024</v>
          </cell>
          <cell r="K29">
            <v>3463.6706236719974</v>
          </cell>
          <cell r="L29">
            <v>3670.3580140452323</v>
          </cell>
          <cell r="M29">
            <v>4007.4467650155075</v>
          </cell>
          <cell r="O29" t="str">
            <v>Non-interest Income</v>
          </cell>
          <cell r="P29" t="e">
            <v>#DIV/0!</v>
          </cell>
          <cell r="Q29" t="e">
            <v>#DIV/0!</v>
          </cell>
          <cell r="R29" t="e">
            <v>#DIV/0!</v>
          </cell>
          <cell r="S29">
            <v>66.421345943483459</v>
          </cell>
          <cell r="T29">
            <v>80.069255296578973</v>
          </cell>
          <cell r="U29">
            <v>1.5961525057501147</v>
          </cell>
          <cell r="V29">
            <v>41.066818175578732</v>
          </cell>
          <cell r="W29">
            <v>37.978697979906826</v>
          </cell>
          <cell r="X29">
            <v>-36.650962501213158</v>
          </cell>
          <cell r="Y29">
            <v>9.5465482496613685</v>
          </cell>
          <cell r="Z29">
            <v>7.1382471441718165</v>
          </cell>
        </row>
        <row r="30">
          <cell r="B30" t="str">
            <v>Associate Profit/Loss</v>
          </cell>
          <cell r="C30">
            <v>0</v>
          </cell>
          <cell r="D30">
            <v>0</v>
          </cell>
          <cell r="E30">
            <v>-86.700999999999993</v>
          </cell>
          <cell r="F30">
            <v>-154.80699999999999</v>
          </cell>
          <cell r="G30">
            <v>-136.00800000000001</v>
          </cell>
          <cell r="H30">
            <v>235.04500000000002</v>
          </cell>
          <cell r="I30">
            <v>89.374492179227758</v>
          </cell>
          <cell r="J30">
            <v>195.19999999999996</v>
          </cell>
          <cell r="K30">
            <v>115.26840718750049</v>
          </cell>
          <cell r="L30">
            <v>94.894787908159159</v>
          </cell>
          <cell r="M30">
            <v>94.929184250876901</v>
          </cell>
          <cell r="O30" t="str">
            <v>Non-interest Expense</v>
          </cell>
          <cell r="P30" t="e">
            <v>#DIV/0!</v>
          </cell>
          <cell r="Q30" t="e">
            <v>#DIV/0!</v>
          </cell>
          <cell r="R30" t="e">
            <v>#DIV/0!</v>
          </cell>
          <cell r="S30">
            <v>43.151471133211672</v>
          </cell>
          <cell r="T30">
            <v>62.289422678225307</v>
          </cell>
          <cell r="U30">
            <v>10.974104238473004</v>
          </cell>
          <cell r="V30">
            <v>22.445668991778778</v>
          </cell>
          <cell r="W30">
            <v>33.425198954255976</v>
          </cell>
          <cell r="X30">
            <v>1.7910400900399415</v>
          </cell>
          <cell r="Y30">
            <v>6.8928653961009667</v>
          </cell>
          <cell r="Z30">
            <v>6.3361507530854899</v>
          </cell>
        </row>
        <row r="31">
          <cell r="O31" t="str">
            <v>Recurrent Net Profit After Tax (FD)</v>
          </cell>
          <cell r="P31" t="e">
            <v>#DIV/0!</v>
          </cell>
          <cell r="Q31" t="e">
            <v>#DIV/0!</v>
          </cell>
          <cell r="R31" t="e">
            <v>#DIV/0!</v>
          </cell>
          <cell r="S31">
            <v>-28.701637719056571</v>
          </cell>
          <cell r="T31">
            <v>163.12278635744221</v>
          </cell>
          <cell r="U31">
            <v>24.921595152984001</v>
          </cell>
          <cell r="V31">
            <v>15.139496538870944</v>
          </cell>
          <cell r="W31">
            <v>79.030705112855856</v>
          </cell>
          <cell r="X31">
            <v>-24.880338826641513</v>
          </cell>
          <cell r="Y31">
            <v>6.2652160099088583</v>
          </cell>
          <cell r="Z31">
            <v>9.6678432295888239</v>
          </cell>
        </row>
        <row r="32">
          <cell r="B32" t="str">
            <v>Profit Before Tax</v>
          </cell>
          <cell r="C32">
            <v>0</v>
          </cell>
          <cell r="D32">
            <v>0</v>
          </cell>
          <cell r="E32">
            <v>852.31599999999992</v>
          </cell>
          <cell r="F32">
            <v>630.97899999999913</v>
          </cell>
          <cell r="G32">
            <v>1333.7810000000006</v>
          </cell>
          <cell r="H32">
            <v>2011.2229999999995</v>
          </cell>
          <cell r="I32">
            <v>2513.6769999999997</v>
          </cell>
          <cell r="J32">
            <v>3886.5200000000023</v>
          </cell>
          <cell r="K32">
            <v>3578.939030859498</v>
          </cell>
          <cell r="L32">
            <v>3765.2528019533916</v>
          </cell>
          <cell r="M32">
            <v>4102.3759492663839</v>
          </cell>
          <cell r="O32" t="str">
            <v>Net Profit</v>
          </cell>
          <cell r="P32" t="e">
            <v>#DIV/0!</v>
          </cell>
          <cell r="Q32" t="e">
            <v>#DIV/0!</v>
          </cell>
          <cell r="R32" t="e">
            <v>#DIV/0!</v>
          </cell>
          <cell r="S32">
            <v>-39.719311880670304</v>
          </cell>
          <cell r="T32">
            <v>168.03660485497454</v>
          </cell>
          <cell r="U32">
            <v>67.868840700506965</v>
          </cell>
          <cell r="V32">
            <v>6.1625666129573764</v>
          </cell>
          <cell r="W32">
            <v>25.96438673189747</v>
          </cell>
          <cell r="X32">
            <v>1.1754852330420285</v>
          </cell>
          <cell r="Y32">
            <v>7.688156084542408</v>
          </cell>
          <cell r="Z32">
            <v>10.556950206565352</v>
          </cell>
        </row>
        <row r="33">
          <cell r="B33" t="str">
            <v>Effective Tax</v>
          </cell>
          <cell r="C33" t="e">
            <v>#DIV/0!</v>
          </cell>
          <cell r="D33" t="e">
            <v>#DIV/0!</v>
          </cell>
          <cell r="E33">
            <v>254.57200000000012</v>
          </cell>
          <cell r="F33">
            <v>253.94699999999997</v>
          </cell>
          <cell r="G33">
            <v>212.6519999999999</v>
          </cell>
          <cell r="H33">
            <v>263.64200000000017</v>
          </cell>
          <cell r="I33">
            <v>671.16400000000021</v>
          </cell>
          <cell r="J33">
            <v>536.90699999999993</v>
          </cell>
          <cell r="K33">
            <v>1109.5656834863616</v>
          </cell>
          <cell r="L33">
            <v>1160.0239205371827</v>
          </cell>
          <cell r="M33">
            <v>1252.7327860482567</v>
          </cell>
        </row>
        <row r="34">
          <cell r="B34" t="str">
            <v xml:space="preserve">Minority Interests 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70.834000000000003</v>
          </cell>
          <cell r="H34">
            <v>15.513999999999999</v>
          </cell>
          <cell r="I34">
            <v>9.7949999999999999</v>
          </cell>
          <cell r="J34">
            <v>953.23599999999999</v>
          </cell>
          <cell r="K34">
            <v>8.2159999999999993</v>
          </cell>
          <cell r="L34">
            <v>8.2159999999999993</v>
          </cell>
          <cell r="M34">
            <v>8.2159999999999993</v>
          </cell>
          <cell r="O34" t="str">
            <v>Gross Customer Loans</v>
          </cell>
          <cell r="P34" t="e">
            <v>#DIV/0!</v>
          </cell>
          <cell r="Q34" t="e">
            <v>#DIV/0!</v>
          </cell>
          <cell r="R34" t="e">
            <v>#DIV/0!</v>
          </cell>
          <cell r="S34">
            <v>112.0591625455357</v>
          </cell>
          <cell r="T34">
            <v>1.4278304222505422</v>
          </cell>
          <cell r="U34">
            <v>9.3789743971032458</v>
          </cell>
          <cell r="V34">
            <v>14.628122186557135</v>
          </cell>
          <cell r="W34">
            <v>21.502643353002448</v>
          </cell>
          <cell r="X34">
            <v>11.999994187491092</v>
          </cell>
          <cell r="Y34">
            <v>10.744482349571459</v>
          </cell>
          <cell r="Z34">
            <v>9.6392354917727694</v>
          </cell>
        </row>
        <row r="35">
          <cell r="B35" t="str">
            <v>Preference Dividend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77.354288769028159</v>
          </cell>
          <cell r="H35">
            <v>98.802707353298402</v>
          </cell>
          <cell r="I35">
            <v>98.802707353298402</v>
          </cell>
          <cell r="J35">
            <v>212.261235167</v>
          </cell>
          <cell r="K35">
            <v>251.36762425197904</v>
          </cell>
          <cell r="L35">
            <v>217.33107524131938</v>
          </cell>
          <cell r="M35">
            <v>210.52353369065969</v>
          </cell>
          <cell r="O35" t="str">
            <v>Total Deposits</v>
          </cell>
          <cell r="P35" t="e">
            <v>#DIV/0!</v>
          </cell>
          <cell r="Q35" t="e">
            <v>#DIV/0!</v>
          </cell>
          <cell r="R35" t="e">
            <v>#DIV/0!</v>
          </cell>
          <cell r="S35">
            <v>126.20694401396553</v>
          </cell>
          <cell r="T35">
            <v>-7.3687727405757908E-2</v>
          </cell>
          <cell r="U35">
            <v>4.5818232461681596</v>
          </cell>
          <cell r="V35">
            <v>8.9810159646481083</v>
          </cell>
          <cell r="W35">
            <v>11.087676311363271</v>
          </cell>
          <cell r="X35">
            <v>10.285917801372136</v>
          </cell>
          <cell r="Y35">
            <v>8.1412280812280144</v>
          </cell>
          <cell r="Z35">
            <v>8.198434245722396</v>
          </cell>
        </row>
        <row r="36">
          <cell r="B36" t="str">
            <v>Net Profit</v>
          </cell>
          <cell r="C36" t="e">
            <v>#DIV/0!</v>
          </cell>
          <cell r="D36" t="e">
            <v>#DIV/0!</v>
          </cell>
          <cell r="E36">
            <v>602.16299999999978</v>
          </cell>
          <cell r="F36">
            <v>362.98799999999915</v>
          </cell>
          <cell r="G36">
            <v>972.94071123097262</v>
          </cell>
          <cell r="H36">
            <v>1633.2642926467008</v>
          </cell>
          <cell r="I36">
            <v>1733.9152926467009</v>
          </cell>
          <cell r="J36">
            <v>2184.1157648330022</v>
          </cell>
          <cell r="K36">
            <v>2209.7897231211573</v>
          </cell>
          <cell r="L36">
            <v>2379.6818061748895</v>
          </cell>
          <cell r="M36">
            <v>2630.9036295274677</v>
          </cell>
          <cell r="O36" t="str">
            <v>Avg Earning Assets</v>
          </cell>
          <cell r="P36" t="e">
            <v>#DIV/0!</v>
          </cell>
          <cell r="Q36" t="e">
            <v>#DIV/0!</v>
          </cell>
          <cell r="R36" t="e">
            <v>#DIV/0!</v>
          </cell>
          <cell r="S36">
            <v>16.555617871642347</v>
          </cell>
          <cell r="T36">
            <v>94.791071885774073</v>
          </cell>
          <cell r="U36">
            <v>1.8412155463306989</v>
          </cell>
          <cell r="V36">
            <v>4.8763268490656264</v>
          </cell>
          <cell r="W36">
            <v>15.120043371432935</v>
          </cell>
          <cell r="X36">
            <v>12.753991763312555</v>
          </cell>
          <cell r="Y36">
            <v>7.4032506814446064</v>
          </cell>
          <cell r="Z36">
            <v>8.9299036667808807</v>
          </cell>
        </row>
        <row r="37">
          <cell r="B37" t="str">
            <v>EPS - Reported (Won)</v>
          </cell>
          <cell r="C37" t="e">
            <v>#DIV/0!</v>
          </cell>
          <cell r="D37" t="e">
            <v>#DIV/0!</v>
          </cell>
          <cell r="E37">
            <v>2059.6548190187723</v>
          </cell>
          <cell r="F37">
            <v>1070.37615910052</v>
          </cell>
          <cell r="G37">
            <v>2672.6231811436123</v>
          </cell>
          <cell r="H37">
            <v>4280.4059692725941</v>
          </cell>
          <cell r="I37">
            <v>4544.1888384340209</v>
          </cell>
          <cell r="J37">
            <v>5315.1772725200599</v>
          </cell>
          <cell r="K37">
            <v>5377.6563964685402</v>
          </cell>
          <cell r="L37">
            <v>5791.09901391942</v>
          </cell>
          <cell r="M37">
            <v>6402.4624532317912</v>
          </cell>
          <cell r="O37" t="str">
            <v>Total Interest-bearing Liab</v>
          </cell>
          <cell r="P37" t="e">
            <v>#DIV/0!</v>
          </cell>
          <cell r="Q37" t="e">
            <v>#DIV/0!</v>
          </cell>
          <cell r="R37" t="e">
            <v>#DIV/0!</v>
          </cell>
          <cell r="S37">
            <v>18.42290985145063</v>
          </cell>
          <cell r="T37">
            <v>87.310985986774554</v>
          </cell>
          <cell r="U37">
            <v>1.0543712250567827</v>
          </cell>
          <cell r="V37">
            <v>3.4256103458454756</v>
          </cell>
          <cell r="W37">
            <v>14.48919305119205</v>
          </cell>
          <cell r="X37">
            <v>13.378534846101765</v>
          </cell>
          <cell r="Y37">
            <v>7.8362534515066251</v>
          </cell>
          <cell r="Z37">
            <v>8.3293874291353589</v>
          </cell>
        </row>
        <row r="38">
          <cell r="B38" t="str">
            <v>EPS - ModelWare (Won)</v>
          </cell>
          <cell r="E38">
            <v>2101.8218478944482</v>
          </cell>
          <cell r="F38">
            <v>1197.9674459422904</v>
          </cell>
          <cell r="G38">
            <v>2915.6077262266645</v>
          </cell>
          <cell r="H38">
            <v>4555.5079332458772</v>
          </cell>
          <cell r="I38">
            <v>4962.1802877817117</v>
          </cell>
          <cell r="J38">
            <v>5454.6202739484606</v>
          </cell>
          <cell r="K38">
            <v>6480.0981195939867</v>
          </cell>
          <cell r="L38">
            <v>6893.5407370448675</v>
          </cell>
          <cell r="M38">
            <v>7504.9041763572377</v>
          </cell>
          <cell r="O38" t="str">
            <v>Risk-weighted Assets</v>
          </cell>
          <cell r="P38" t="e">
            <v>#DIV/0!</v>
          </cell>
          <cell r="Q38" t="e">
            <v>#DIV/0!</v>
          </cell>
          <cell r="R38" t="e">
            <v>#DIV/0!</v>
          </cell>
          <cell r="S38">
            <v>116.37673691113801</v>
          </cell>
          <cell r="T38">
            <v>2.0997881346845659</v>
          </cell>
          <cell r="U38">
            <v>11.323326356639729</v>
          </cell>
          <cell r="V38">
            <v>14.409505820219358</v>
          </cell>
          <cell r="W38">
            <v>19.319302295931418</v>
          </cell>
          <cell r="X38">
            <v>-1.2046334551493287</v>
          </cell>
          <cell r="Y38">
            <v>6.8887306472265042</v>
          </cell>
          <cell r="Z38">
            <v>8.8836818361297532</v>
          </cell>
        </row>
        <row r="40">
          <cell r="B40" t="str">
            <v>Selective Balance Sheet Data</v>
          </cell>
          <cell r="O40" t="str">
            <v>Revenue Breakdown (%)</v>
          </cell>
        </row>
        <row r="41">
          <cell r="B41" t="str">
            <v>Won billions, Year ending Dec 31</v>
          </cell>
          <cell r="C41">
            <v>2000</v>
          </cell>
          <cell r="D41">
            <v>2001</v>
          </cell>
          <cell r="E41">
            <v>2002</v>
          </cell>
          <cell r="F41">
            <v>2003</v>
          </cell>
          <cell r="G41">
            <v>2004</v>
          </cell>
          <cell r="H41">
            <v>2005</v>
          </cell>
          <cell r="I41">
            <v>2006</v>
          </cell>
          <cell r="J41">
            <v>2007</v>
          </cell>
          <cell r="K41" t="str">
            <v>2008E</v>
          </cell>
          <cell r="L41" t="str">
            <v>2009E</v>
          </cell>
          <cell r="M41" t="str">
            <v>2010E</v>
          </cell>
          <cell r="O41" t="str">
            <v>NII/Operating Income</v>
          </cell>
          <cell r="P41" t="e">
            <v>#DIV/0!</v>
          </cell>
          <cell r="Q41" t="e">
            <v>#DIV/0!</v>
          </cell>
          <cell r="R41">
            <v>83.288521710074576</v>
          </cell>
          <cell r="S41">
            <v>81.994751795456267</v>
          </cell>
          <cell r="T41">
            <v>79.229867965919951</v>
          </cell>
          <cell r="U41">
            <v>79.164335651326979</v>
          </cell>
          <cell r="V41">
            <v>74.907022679118413</v>
          </cell>
          <cell r="W41">
            <v>75.704108744409737</v>
          </cell>
          <cell r="X41">
            <v>83.885498226839601</v>
          </cell>
          <cell r="Y41">
            <v>83.60401951928533</v>
          </cell>
          <cell r="Z41">
            <v>83.912201174006199</v>
          </cell>
        </row>
        <row r="42">
          <cell r="B42" t="str">
            <v>Total Assets</v>
          </cell>
          <cell r="C42">
            <v>0</v>
          </cell>
          <cell r="D42">
            <v>0</v>
          </cell>
          <cell r="E42">
            <v>66767.594474691636</v>
          </cell>
          <cell r="F42">
            <v>139220.77600000001</v>
          </cell>
          <cell r="G42">
            <v>146831.17100000003</v>
          </cell>
          <cell r="H42">
            <v>160217.90100000001</v>
          </cell>
          <cell r="I42">
            <v>177725.16899999999</v>
          </cell>
          <cell r="J42">
            <v>220876.014</v>
          </cell>
          <cell r="K42">
            <v>243388.67246111063</v>
          </cell>
          <cell r="L42">
            <v>260155.0625328169</v>
          </cell>
          <cell r="M42">
            <v>283266.41056881676</v>
          </cell>
          <cell r="O42" t="str">
            <v>Non-interest Inc/Opg Income</v>
          </cell>
          <cell r="P42" t="e">
            <v>#DIV/0!</v>
          </cell>
          <cell r="Q42" t="e">
            <v>#DIV/0!</v>
          </cell>
          <cell r="R42">
            <v>16.711478289925427</v>
          </cell>
          <cell r="S42">
            <v>18.00524820454374</v>
          </cell>
          <cell r="T42">
            <v>20.770132034080042</v>
          </cell>
          <cell r="U42">
            <v>20.835664348673021</v>
          </cell>
          <cell r="V42">
            <v>25.092977320881587</v>
          </cell>
          <cell r="W42">
            <v>24.295891255590266</v>
          </cell>
          <cell r="X42">
            <v>16.114501773160406</v>
          </cell>
          <cell r="Y42">
            <v>16.39598048071467</v>
          </cell>
          <cell r="Z42">
            <v>16.087798825993811</v>
          </cell>
        </row>
        <row r="43">
          <cell r="B43" t="str">
            <v>RWA</v>
          </cell>
          <cell r="C43">
            <v>0</v>
          </cell>
          <cell r="D43">
            <v>0</v>
          </cell>
          <cell r="E43">
            <v>40358.226834557849</v>
          </cell>
          <cell r="F43">
            <v>87325.814299811536</v>
          </cell>
          <cell r="G43">
            <v>89159.471386995661</v>
          </cell>
          <cell r="H43">
            <v>99255.289309999993</v>
          </cell>
          <cell r="I43">
            <v>113557.486</v>
          </cell>
          <cell r="J43">
            <v>135496</v>
          </cell>
          <cell r="K43">
            <v>133863.76985361087</v>
          </cell>
          <cell r="L43">
            <v>143085.28439304931</v>
          </cell>
          <cell r="M43">
            <v>155796.52581284923</v>
          </cell>
          <cell r="O43" t="str">
            <v>Forex Income/Operating Income</v>
          </cell>
          <cell r="P43" t="e">
            <v>#DIV/0!</v>
          </cell>
          <cell r="Q43" t="e">
            <v>#DIV/0!</v>
          </cell>
          <cell r="R43">
            <v>4.0913872578084671</v>
          </cell>
          <cell r="S43">
            <v>3.7279301913929226</v>
          </cell>
          <cell r="T43">
            <v>2.9611386129778032</v>
          </cell>
          <cell r="U43">
            <v>1.0394256038790164</v>
          </cell>
          <cell r="V43">
            <v>2.0781608417780308</v>
          </cell>
          <cell r="W43">
            <v>1.8568281816881818</v>
          </cell>
          <cell r="X43">
            <v>-0.30162193853710006</v>
          </cell>
          <cell r="Y43">
            <v>0</v>
          </cell>
          <cell r="Z43">
            <v>0</v>
          </cell>
        </row>
        <row r="44">
          <cell r="B44" t="str">
            <v>Total Liquid Assets</v>
          </cell>
          <cell r="C44">
            <v>0</v>
          </cell>
          <cell r="D44">
            <v>0</v>
          </cell>
          <cell r="E44">
            <v>21689.015449180937</v>
          </cell>
          <cell r="F44">
            <v>40708.053</v>
          </cell>
          <cell r="G44">
            <v>40374.689000000006</v>
          </cell>
          <cell r="H44">
            <v>44036.509999999995</v>
          </cell>
          <cell r="I44">
            <v>46064.578000000001</v>
          </cell>
          <cell r="J44">
            <v>64514.883999999991</v>
          </cell>
          <cell r="K44">
            <v>71361.631428163935</v>
          </cell>
          <cell r="L44">
            <v>72253.458598232988</v>
          </cell>
          <cell r="M44">
            <v>79340.875471888838</v>
          </cell>
        </row>
        <row r="45">
          <cell r="B45" t="str">
            <v>Gross Customer Loans</v>
          </cell>
          <cell r="C45">
            <v>0</v>
          </cell>
          <cell r="D45">
            <v>0</v>
          </cell>
          <cell r="E45">
            <v>46048.02727117802</v>
          </cell>
          <cell r="F45">
            <v>97649.061000000002</v>
          </cell>
          <cell r="G45">
            <v>99043.323999999993</v>
          </cell>
          <cell r="H45">
            <v>108332.572</v>
          </cell>
          <cell r="I45">
            <v>124179.59299999999</v>
          </cell>
          <cell r="J45">
            <v>150881.48799999998</v>
          </cell>
          <cell r="K45">
            <v>168987.25779000006</v>
          </cell>
          <cell r="L45">
            <v>187144.06387627145</v>
          </cell>
          <cell r="M45">
            <v>205183.32090217891</v>
          </cell>
          <cell r="O45" t="str">
            <v>Efficiency (%)</v>
          </cell>
        </row>
        <row r="46">
          <cell r="B46" t="str">
            <v>Total Customer Deposits</v>
          </cell>
          <cell r="C46">
            <v>0</v>
          </cell>
          <cell r="D46">
            <v>0</v>
          </cell>
          <cell r="E46">
            <v>33851.352686086015</v>
          </cell>
          <cell r="F46">
            <v>75496.45</v>
          </cell>
          <cell r="G46">
            <v>74764.328999999998</v>
          </cell>
          <cell r="H46">
            <v>77204.725000000006</v>
          </cell>
          <cell r="I46">
            <v>82270.615999999995</v>
          </cell>
          <cell r="J46">
            <v>90349.616999999984</v>
          </cell>
          <cell r="K46">
            <v>99384.578699999984</v>
          </cell>
          <cell r="L46">
            <v>106341.49920899999</v>
          </cell>
          <cell r="M46">
            <v>113785.40415362999</v>
          </cell>
          <cell r="O46" t="str">
            <v>Cost/Income</v>
          </cell>
          <cell r="P46" t="e">
            <v>#DIV/0!</v>
          </cell>
          <cell r="Q46" t="e">
            <v>#DIV/0!</v>
          </cell>
          <cell r="R46">
            <v>45.031702465428538</v>
          </cell>
          <cell r="S46">
            <v>37.9</v>
          </cell>
          <cell r="T46">
            <v>43.389054525882663</v>
          </cell>
          <cell r="U46">
            <v>47.543666273143636</v>
          </cell>
          <cell r="V46">
            <v>49.699963286840173</v>
          </cell>
          <cell r="W46">
            <v>46.533157822066421</v>
          </cell>
          <cell r="X46">
            <v>49.592511672005863</v>
          </cell>
          <cell r="Y46">
            <v>49.236439031637161</v>
          </cell>
          <cell r="Z46">
            <v>47.949299665837437</v>
          </cell>
        </row>
        <row r="47">
          <cell r="B47" t="str">
            <v>Certificates of Deposits</v>
          </cell>
          <cell r="C47">
            <v>0</v>
          </cell>
          <cell r="D47">
            <v>0</v>
          </cell>
          <cell r="E47">
            <v>2776.6493348669974</v>
          </cell>
          <cell r="F47">
            <v>7163.7519999999931</v>
          </cell>
          <cell r="G47">
            <v>8061.3179999999993</v>
          </cell>
          <cell r="H47">
            <v>10686.451000000001</v>
          </cell>
          <cell r="I47">
            <v>13238.382000000012</v>
          </cell>
          <cell r="J47">
            <v>15842.782000000007</v>
          </cell>
          <cell r="K47">
            <v>17743.915840000009</v>
          </cell>
          <cell r="L47">
            <v>20228.064057600011</v>
          </cell>
          <cell r="M47">
            <v>23059.993025664015</v>
          </cell>
          <cell r="O47" t="str">
            <v>Expenses/Avg Assets</v>
          </cell>
          <cell r="P47" t="e">
            <v>#DIV/0!</v>
          </cell>
          <cell r="Q47" t="e">
            <v>#DIV/0!</v>
          </cell>
          <cell r="R47">
            <v>2.8210002394409295</v>
          </cell>
          <cell r="S47">
            <v>1.3089467108199069</v>
          </cell>
          <cell r="T47">
            <v>1.5297130629214</v>
          </cell>
          <cell r="U47">
            <v>1.5814983475996303</v>
          </cell>
          <cell r="V47">
            <v>1.7594479150823299</v>
          </cell>
          <cell r="W47">
            <v>1.9903031747901261</v>
          </cell>
          <cell r="X47">
            <v>1.7394090286228241</v>
          </cell>
          <cell r="Y47">
            <v>1.7142686901141315</v>
          </cell>
          <cell r="Z47">
            <v>1.689118933282532</v>
          </cell>
        </row>
        <row r="48">
          <cell r="B48" t="str">
            <v>Other Interest Bearing Liability</v>
          </cell>
          <cell r="C48">
            <v>0</v>
          </cell>
          <cell r="D48">
            <v>0</v>
          </cell>
          <cell r="E48">
            <v>19747.217395110012</v>
          </cell>
          <cell r="F48">
            <v>34957.455000000002</v>
          </cell>
          <cell r="G48">
            <v>35009.203999999998</v>
          </cell>
          <cell r="H48">
            <v>38756.544999999998</v>
          </cell>
          <cell r="I48">
            <v>46376.911000000007</v>
          </cell>
          <cell r="J48">
            <v>66791.438999999984</v>
          </cell>
          <cell r="K48">
            <v>75266.209151861054</v>
          </cell>
          <cell r="L48">
            <v>79599.477080950572</v>
          </cell>
          <cell r="M48">
            <v>88750.24193201735</v>
          </cell>
        </row>
        <row r="49">
          <cell r="B49" t="str">
            <v>EOP Shareholders' Equity</v>
          </cell>
          <cell r="C49">
            <v>0</v>
          </cell>
          <cell r="D49">
            <v>0</v>
          </cell>
          <cell r="E49">
            <v>3961.3668422400751</v>
          </cell>
          <cell r="F49">
            <v>6119.0149999999994</v>
          </cell>
          <cell r="G49">
            <v>7834.8869999999988</v>
          </cell>
          <cell r="H49">
            <v>10210.873</v>
          </cell>
          <cell r="I49">
            <v>11512.105</v>
          </cell>
          <cell r="J49">
            <v>18174.415000000001</v>
          </cell>
          <cell r="K49">
            <v>19242.199384163687</v>
          </cell>
          <cell r="L49">
            <v>20952.503752767178</v>
          </cell>
          <cell r="M49">
            <v>23011.554350099646</v>
          </cell>
          <cell r="O49" t="str">
            <v>Rev Per Employee</v>
          </cell>
          <cell r="P49">
            <v>0</v>
          </cell>
          <cell r="Q49">
            <v>0</v>
          </cell>
          <cell r="R49">
            <v>0.17988302081541371</v>
          </cell>
          <cell r="S49">
            <v>0.40897866683547501</v>
          </cell>
          <cell r="T49">
            <v>0.44308123544659733</v>
          </cell>
          <cell r="U49">
            <v>0.44566358320970406</v>
          </cell>
          <cell r="V49">
            <v>0.53764404614963879</v>
          </cell>
          <cell r="W49">
            <v>0.79589458942159585</v>
          </cell>
          <cell r="X49">
            <v>0.75067451326927548</v>
          </cell>
          <cell r="Y49">
            <v>0.77410451079292508</v>
          </cell>
          <cell r="Z49">
            <v>0.8269919522362561</v>
          </cell>
        </row>
        <row r="50">
          <cell r="O50" t="str">
            <v>Exp Per Employee</v>
          </cell>
          <cell r="P50">
            <v>0</v>
          </cell>
          <cell r="Q50">
            <v>0</v>
          </cell>
          <cell r="R50">
            <v>8.1004386719421978E-2</v>
          </cell>
          <cell r="S50">
            <v>0.17068291447743245</v>
          </cell>
          <cell r="T50">
            <v>0.19224875884187867</v>
          </cell>
          <cell r="U50">
            <v>0.21188480670215551</v>
          </cell>
          <cell r="V50">
            <v>0.26720889355025251</v>
          </cell>
          <cell r="W50">
            <v>0.37035488539283878</v>
          </cell>
          <cell r="X50">
            <v>0.37227834561183865</v>
          </cell>
          <cell r="Y50">
            <v>0.3811414954977117</v>
          </cell>
          <cell r="Z50">
            <v>0.39653684939012163</v>
          </cell>
        </row>
        <row r="51">
          <cell r="B51" t="str">
            <v>Avg Loans</v>
          </cell>
          <cell r="C51">
            <v>0</v>
          </cell>
          <cell r="D51">
            <v>0</v>
          </cell>
          <cell r="E51">
            <v>23024.01363558901</v>
          </cell>
          <cell r="F51">
            <v>71848.544135589007</v>
          </cell>
          <cell r="G51">
            <v>98346.192500000005</v>
          </cell>
          <cell r="H51">
            <v>103687.948</v>
          </cell>
          <cell r="I51">
            <v>116256.08249999999</v>
          </cell>
          <cell r="J51">
            <v>137530.5405</v>
          </cell>
          <cell r="K51">
            <v>159934.37289500004</v>
          </cell>
          <cell r="L51">
            <v>178065.66083313577</v>
          </cell>
          <cell r="M51">
            <v>196163.69238922518</v>
          </cell>
          <cell r="O51" t="str">
            <v>Rev Per Branch</v>
          </cell>
          <cell r="P51">
            <v>0</v>
          </cell>
          <cell r="Q51">
            <v>0</v>
          </cell>
          <cell r="R51">
            <v>2.8905597788527984</v>
          </cell>
          <cell r="S51">
            <v>5.7123218390804587</v>
          </cell>
          <cell r="T51">
            <v>6.1795171568627465</v>
          </cell>
          <cell r="U51">
            <v>6.1086830143540656</v>
          </cell>
          <cell r="V51">
            <v>6.7476905329507959</v>
          </cell>
          <cell r="W51">
            <v>9.316315846994538</v>
          </cell>
          <cell r="X51">
            <v>8.9274295733756155</v>
          </cell>
          <cell r="Y51">
            <v>9.6117976756788206</v>
          </cell>
          <cell r="Z51">
            <v>10.495180762261434</v>
          </cell>
        </row>
        <row r="52">
          <cell r="B52" t="str">
            <v>Avg Total Assets</v>
          </cell>
          <cell r="C52">
            <v>0</v>
          </cell>
          <cell r="D52">
            <v>0</v>
          </cell>
          <cell r="E52">
            <v>33383.797237345818</v>
          </cell>
          <cell r="F52">
            <v>102994.18523734582</v>
          </cell>
          <cell r="G52">
            <v>143025.97350000002</v>
          </cell>
          <cell r="H52">
            <v>153524.53600000002</v>
          </cell>
          <cell r="I52">
            <v>168971.535</v>
          </cell>
          <cell r="J52">
            <v>199300.59149999998</v>
          </cell>
          <cell r="K52">
            <v>232132.3432305553</v>
          </cell>
          <cell r="L52">
            <v>251771.86749696377</v>
          </cell>
          <cell r="M52">
            <v>271710.7365508168</v>
          </cell>
          <cell r="O52" t="str">
            <v>Exp Per Branch</v>
          </cell>
          <cell r="P52">
            <v>0</v>
          </cell>
          <cell r="Q52">
            <v>0</v>
          </cell>
          <cell r="R52">
            <v>1.3016682791983414</v>
          </cell>
          <cell r="S52">
            <v>2.3839770114942529</v>
          </cell>
          <cell r="T52">
            <v>2.6812340686274512</v>
          </cell>
          <cell r="U52">
            <v>2.904291866028708</v>
          </cell>
          <cell r="V52">
            <v>3.3535997175861358</v>
          </cell>
          <cell r="W52">
            <v>4.3351759562841528</v>
          </cell>
          <cell r="X52">
            <v>4.4273365531864055</v>
          </cell>
          <cell r="Y52">
            <v>4.73250690242992</v>
          </cell>
          <cell r="Z52">
            <v>5.0323656741680569</v>
          </cell>
        </row>
        <row r="53">
          <cell r="B53" t="str">
            <v>Avg Total Deposits</v>
          </cell>
          <cell r="C53">
            <v>0</v>
          </cell>
          <cell r="D53">
            <v>0</v>
          </cell>
          <cell r="E53">
            <v>0</v>
          </cell>
          <cell r="F53">
            <v>63157.468750182001</v>
          </cell>
          <cell r="G53">
            <v>87560.33249999999</v>
          </cell>
          <cell r="H53">
            <v>89533.250499999995</v>
          </cell>
          <cell r="I53">
            <v>95648.982000000004</v>
          </cell>
          <cell r="J53">
            <v>105290.0295</v>
          </cell>
          <cell r="K53">
            <v>116519.99062</v>
          </cell>
          <cell r="L53">
            <v>127194.52713829999</v>
          </cell>
          <cell r="M53">
            <v>137587.52828144701</v>
          </cell>
          <cell r="O53" t="str">
            <v>Net Profit Per Branch</v>
          </cell>
          <cell r="P53" t="e">
            <v>#DIV/0!</v>
          </cell>
          <cell r="Q53" t="e">
            <v>#DIV/0!</v>
          </cell>
          <cell r="R53">
            <v>0.83229163787145788</v>
          </cell>
          <cell r="S53">
            <v>0.64188859416445476</v>
          </cell>
          <cell r="T53">
            <v>1.1923293029791331</v>
          </cell>
          <cell r="U53">
            <v>1.9536654218261971</v>
          </cell>
          <cell r="V53">
            <v>1.955911215619516</v>
          </cell>
          <cell r="W53">
            <v>2.3870117648448113</v>
          </cell>
          <cell r="X53">
            <v>2.4230150472819707</v>
          </cell>
          <cell r="Y53">
            <v>2.609300226068958</v>
          </cell>
          <cell r="Z53">
            <v>2.8847627516748551</v>
          </cell>
        </row>
        <row r="54">
          <cell r="B54" t="str">
            <v>Avg Shareholders' Equity</v>
          </cell>
          <cell r="F54">
            <v>5040.1909211200373</v>
          </cell>
          <cell r="G54">
            <v>6976.9509999999991</v>
          </cell>
          <cell r="H54">
            <v>9022.8799999999992</v>
          </cell>
          <cell r="I54">
            <v>10861.489</v>
          </cell>
          <cell r="J54">
            <v>14843.26</v>
          </cell>
          <cell r="K54">
            <v>18708.307192081844</v>
          </cell>
          <cell r="L54">
            <v>20097.351568465434</v>
          </cell>
          <cell r="M54">
            <v>21982.029051433412</v>
          </cell>
        </row>
        <row r="55">
          <cell r="B55" t="str">
            <v>Avg Equity/Avg Assets (%)</v>
          </cell>
          <cell r="C55" t="e">
            <v>#DIV/0!</v>
          </cell>
          <cell r="D55" t="e">
            <v>#DIV/0!</v>
          </cell>
          <cell r="E55">
            <v>5.4524656969496359</v>
          </cell>
          <cell r="F55">
            <v>4.4487415305500964</v>
          </cell>
          <cell r="G55">
            <v>4.6392556104503626</v>
          </cell>
          <cell r="H55">
            <v>5.8245699566875739</v>
          </cell>
          <cell r="I55">
            <v>6.3615871750232946</v>
          </cell>
          <cell r="J55">
            <v>7.3605719830490317</v>
          </cell>
          <cell r="K55">
            <v>7.9627142581003385</v>
          </cell>
          <cell r="L55">
            <v>7.8823030411468666</v>
          </cell>
          <cell r="M55">
            <v>7.9975121069127617</v>
          </cell>
          <cell r="O55" t="str">
            <v>Net Interest Margin Analysis (%)</v>
          </cell>
        </row>
        <row r="56">
          <cell r="B56" t="str">
            <v>Avg EA/Avg Assets (%)</v>
          </cell>
          <cell r="C56" t="e">
            <v>#DIV/0!</v>
          </cell>
          <cell r="D56" t="e">
            <v>#DIV/0!</v>
          </cell>
          <cell r="E56">
            <v>148.94946685206202</v>
          </cell>
          <cell r="F56">
            <v>56.272368062759945</v>
          </cell>
          <cell r="G56">
            <v>78.933622238201366</v>
          </cell>
          <cell r="H56">
            <v>74.889809551354034</v>
          </cell>
          <cell r="I56">
            <v>71.361576966203216</v>
          </cell>
          <cell r="J56">
            <v>69.64987557500551</v>
          </cell>
          <cell r="K56">
            <v>67.425659508612895</v>
          </cell>
          <cell r="L56">
            <v>66.768417526932041</v>
          </cell>
          <cell r="M56">
            <v>67.393591979284182</v>
          </cell>
          <cell r="O56" t="str">
            <v>Int Income/Avg EA</v>
          </cell>
          <cell r="P56" t="e">
            <v>#DIV/0!</v>
          </cell>
          <cell r="Q56" t="e">
            <v>#DIV/0!</v>
          </cell>
          <cell r="R56">
            <v>6.8304571536548186</v>
          </cell>
          <cell r="S56">
            <v>5.812725779495433</v>
          </cell>
          <cell r="T56">
            <v>6.4593240724097365</v>
          </cell>
          <cell r="U56">
            <v>6.1475321376469747</v>
          </cell>
          <cell r="V56">
            <v>6.1167174392145096</v>
          </cell>
          <cell r="W56">
            <v>6.3407976741940768</v>
          </cell>
          <cell r="X56">
            <v>6.5572836374824899</v>
          </cell>
          <cell r="Y56">
            <v>6.4528461878514509</v>
          </cell>
          <cell r="Z56">
            <v>6.4544183387152829</v>
          </cell>
        </row>
        <row r="57">
          <cell r="B57" t="str">
            <v>Avg Loans/Avg EA (%)</v>
          </cell>
          <cell r="C57" t="e">
            <v>#DIV/0!</v>
          </cell>
          <cell r="D57" t="e">
            <v>#DIV/0!</v>
          </cell>
          <cell r="E57">
            <v>46.302703251711215</v>
          </cell>
          <cell r="F57">
            <v>123.96813696475542</v>
          </cell>
          <cell r="G57">
            <v>87.112525649295975</v>
          </cell>
          <cell r="H57">
            <v>90.183639962345879</v>
          </cell>
          <cell r="I57">
            <v>96.413466139272359</v>
          </cell>
          <cell r="J57">
            <v>99.076399858012905</v>
          </cell>
          <cell r="K57">
            <v>102.18354217511374</v>
          </cell>
          <cell r="L57">
            <v>105.92583382494165</v>
          </cell>
          <cell r="M57">
            <v>107.12558921349159</v>
          </cell>
          <cell r="O57" t="str">
            <v>Int Exp/Avg Int Bearing Liab.</v>
          </cell>
          <cell r="P57" t="e">
            <v>#DIV/0!</v>
          </cell>
          <cell r="Q57" t="e">
            <v>#DIV/0!</v>
          </cell>
          <cell r="R57">
            <v>4.313763861049023</v>
          </cell>
          <cell r="S57">
            <v>3.7381446179738971</v>
          </cell>
          <cell r="T57">
            <v>3.4572568134634758</v>
          </cell>
          <cell r="U57">
            <v>3.2802055377221655</v>
          </cell>
          <cell r="V57">
            <v>3.7915133097783258</v>
          </cell>
          <cell r="W57">
            <v>4.2563240606711652</v>
          </cell>
          <cell r="X57">
            <v>4.593084030785155</v>
          </cell>
          <cell r="Y57">
            <v>4.540172851023037</v>
          </cell>
          <cell r="Z57">
            <v>4.599609432165896</v>
          </cell>
        </row>
        <row r="58">
          <cell r="O58" t="str">
            <v xml:space="preserve">Net Interest Spread </v>
          </cell>
          <cell r="P58">
            <v>0</v>
          </cell>
          <cell r="Q58">
            <v>0</v>
          </cell>
          <cell r="R58">
            <v>2.5166932926057961</v>
          </cell>
          <cell r="S58">
            <v>2.0745811615215359</v>
          </cell>
          <cell r="T58">
            <v>3.0020672589462603</v>
          </cell>
          <cell r="U58">
            <v>2.8673265999248092</v>
          </cell>
          <cell r="V58">
            <v>2.3252041294361843</v>
          </cell>
          <cell r="W58">
            <v>2.0844736135229116</v>
          </cell>
          <cell r="X58">
            <v>1.9641996066973353</v>
          </cell>
          <cell r="Y58">
            <v>1.9126733368284139</v>
          </cell>
          <cell r="Z58">
            <v>1.8548089065493871</v>
          </cell>
        </row>
        <row r="59">
          <cell r="B59" t="str">
            <v>Asset Quality</v>
          </cell>
          <cell r="O59" t="str">
            <v>Contribution From Free Funds</v>
          </cell>
          <cell r="P59" t="e">
            <v>#DIV/0!</v>
          </cell>
          <cell r="Q59" t="e">
            <v>#DIV/0!</v>
          </cell>
          <cell r="R59">
            <v>2.6931252864180077E-2</v>
          </cell>
          <cell r="S59">
            <v>-3.6175865426397724E-2</v>
          </cell>
          <cell r="T59">
            <v>0.10058780529315792</v>
          </cell>
          <cell r="U59">
            <v>0.1200426759698181</v>
          </cell>
          <cell r="V59">
            <v>0.18928183604527105</v>
          </cell>
          <cell r="W59">
            <v>0.23464631890628507</v>
          </cell>
          <cell r="X59">
            <v>0.22917300948636443</v>
          </cell>
          <cell r="Y59">
            <v>0.20914229095778847</v>
          </cell>
          <cell r="Z59">
            <v>0.23606920121243324</v>
          </cell>
        </row>
        <row r="60">
          <cell r="B60" t="str">
            <v>Won billions, Year ending Dec 31</v>
          </cell>
          <cell r="C60">
            <v>2000</v>
          </cell>
          <cell r="D60">
            <v>2001</v>
          </cell>
          <cell r="E60">
            <v>2002</v>
          </cell>
          <cell r="F60">
            <v>2003</v>
          </cell>
          <cell r="G60">
            <v>2004</v>
          </cell>
          <cell r="H60">
            <v>2005</v>
          </cell>
          <cell r="I60">
            <v>2006</v>
          </cell>
          <cell r="J60">
            <v>2007</v>
          </cell>
          <cell r="K60" t="str">
            <v>2008E</v>
          </cell>
          <cell r="L60" t="str">
            <v>2009E</v>
          </cell>
          <cell r="M60" t="str">
            <v>2010E</v>
          </cell>
          <cell r="O60" t="str">
            <v>Net Interest Margin</v>
          </cell>
          <cell r="P60" t="e">
            <v>#DIV/0!</v>
          </cell>
          <cell r="Q60" t="e">
            <v>#DIV/0!</v>
          </cell>
          <cell r="R60">
            <v>2.5436245454699762</v>
          </cell>
          <cell r="S60">
            <v>2.0384052960951382</v>
          </cell>
          <cell r="T60">
            <v>3.1026550642394182</v>
          </cell>
          <cell r="U60">
            <v>2.9873692758946273</v>
          </cell>
          <cell r="V60">
            <v>2.5144859654814553</v>
          </cell>
          <cell r="W60">
            <v>2.3191199324291967</v>
          </cell>
          <cell r="X60">
            <v>2.1933726161836997</v>
          </cell>
          <cell r="Y60">
            <v>2.1218156277862024</v>
          </cell>
          <cell r="Z60">
            <v>2.0908781077618204</v>
          </cell>
        </row>
        <row r="61">
          <cell r="B61" t="str">
            <v>Non-performing Loans (NPL)</v>
          </cell>
          <cell r="C61">
            <v>0</v>
          </cell>
          <cell r="D61">
            <v>1015.9639100000001</v>
          </cell>
          <cell r="E61">
            <v>702.2805179363703</v>
          </cell>
          <cell r="F61">
            <v>3444.8</v>
          </cell>
          <cell r="G61">
            <v>1702.1000000000001</v>
          </cell>
          <cell r="H61">
            <v>1210.4462781789998</v>
          </cell>
          <cell r="I61">
            <v>1078.5999999999999</v>
          </cell>
          <cell r="J61">
            <v>1590.1569686790003</v>
          </cell>
          <cell r="K61">
            <v>2030.8519399963293</v>
          </cell>
          <cell r="L61">
            <v>2646.0640784072971</v>
          </cell>
          <cell r="M61">
            <v>3363.1542232852744</v>
          </cell>
        </row>
        <row r="62">
          <cell r="B62" t="str">
            <v>Gross NPL Ratio (%)</v>
          </cell>
          <cell r="C62">
            <v>0</v>
          </cell>
          <cell r="D62">
            <v>2.7610022100621237</v>
          </cell>
          <cell r="E62">
            <v>1.5289946470795288</v>
          </cell>
          <cell r="F62">
            <v>3.4854367065618042</v>
          </cell>
          <cell r="G62">
            <v>1.7078126332582488</v>
          </cell>
          <cell r="H62">
            <v>1.110445535649885</v>
          </cell>
          <cell r="I62">
            <v>0.84865317812196339</v>
          </cell>
          <cell r="J62">
            <v>0.99705310837549344</v>
          </cell>
          <cell r="K62">
            <v>1.1523761970019661</v>
          </cell>
          <cell r="L62">
            <v>1.3466089810653352</v>
          </cell>
          <cell r="M62">
            <v>1.5419310496906753</v>
          </cell>
          <cell r="O62" t="str">
            <v>Liquidity (%)</v>
          </cell>
        </row>
        <row r="63">
          <cell r="B63" t="str">
            <v>Loan Loss Reserve (LLR)</v>
          </cell>
          <cell r="C63">
            <v>0</v>
          </cell>
          <cell r="D63">
            <v>557</v>
          </cell>
          <cell r="E63">
            <v>2886.0508423473698</v>
          </cell>
          <cell r="F63">
            <v>2823.1096119999997</v>
          </cell>
          <cell r="G63">
            <v>1941.75</v>
          </cell>
          <cell r="H63">
            <v>1772.4233314994103</v>
          </cell>
          <cell r="I63">
            <v>1942.2000000000003</v>
          </cell>
          <cell r="J63">
            <v>3050.4851436695494</v>
          </cell>
          <cell r="K63">
            <v>3600.913511971065</v>
          </cell>
          <cell r="L63">
            <v>4691.8666988627001</v>
          </cell>
          <cell r="M63">
            <v>5959.2513421799431</v>
          </cell>
          <cell r="O63" t="str">
            <v>Avg Loans/Avg EA</v>
          </cell>
          <cell r="P63" t="e">
            <v>#DIV/0!</v>
          </cell>
          <cell r="Q63" t="e">
            <v>#DIV/0!</v>
          </cell>
          <cell r="R63">
            <v>46.302703251711215</v>
          </cell>
          <cell r="S63">
            <v>123.96813696475542</v>
          </cell>
          <cell r="T63">
            <v>87.112525649295975</v>
          </cell>
          <cell r="U63">
            <v>90.183639962345879</v>
          </cell>
          <cell r="V63">
            <v>96.413466139272359</v>
          </cell>
          <cell r="W63">
            <v>99.076399858012905</v>
          </cell>
          <cell r="X63">
            <v>102.18354217511374</v>
          </cell>
          <cell r="Y63">
            <v>105.92583382494165</v>
          </cell>
          <cell r="Z63">
            <v>107.12558921349159</v>
          </cell>
        </row>
        <row r="64">
          <cell r="B64" t="str">
            <v>LLR/NPL (%)</v>
          </cell>
          <cell r="C64" t="str">
            <v>na</v>
          </cell>
          <cell r="D64">
            <v>54.824782112585083</v>
          </cell>
          <cell r="E64">
            <v>410.95413707729517</v>
          </cell>
          <cell r="F64">
            <v>81.952787157454694</v>
          </cell>
          <cell r="G64">
            <v>114.07966629457729</v>
          </cell>
          <cell r="H64">
            <v>146.42726104010589</v>
          </cell>
          <cell r="I64">
            <v>180.06675319859079</v>
          </cell>
          <cell r="J64">
            <v>191.83547308563479</v>
          </cell>
          <cell r="K64">
            <v>177.31048931009582</v>
          </cell>
          <cell r="L64">
            <v>177.31493115188655</v>
          </cell>
          <cell r="M64">
            <v>177.19233037010977</v>
          </cell>
          <cell r="O64" t="str">
            <v>Avg Liquid Assets/AEA</v>
          </cell>
          <cell r="P64" t="e">
            <v>#DIV/0!</v>
          </cell>
          <cell r="Q64" t="e">
            <v>#DIV/0!</v>
          </cell>
          <cell r="R64">
            <v>21.808970018435136</v>
          </cell>
          <cell r="S64">
            <v>53.830237068615503</v>
          </cell>
          <cell r="T64">
            <v>35.910502799537696</v>
          </cell>
          <cell r="U64">
            <v>36.708746417693263</v>
          </cell>
          <cell r="V64">
            <v>37.361306222406036</v>
          </cell>
          <cell r="W64">
            <v>39.830480391356943</v>
          </cell>
          <cell r="X64">
            <v>43.406377858425145</v>
          </cell>
          <cell r="Y64">
            <v>42.716119687854189</v>
          </cell>
          <cell r="Z64">
            <v>41.393063519793046</v>
          </cell>
        </row>
        <row r="65">
          <cell r="B65" t="str">
            <v>LLR/Total Credit (%)</v>
          </cell>
          <cell r="C65" t="e">
            <v>#DIV/0!</v>
          </cell>
          <cell r="D65">
            <v>1.5137134457902177</v>
          </cell>
          <cell r="E65">
            <v>6.283466757863712</v>
          </cell>
          <cell r="F65">
            <v>2.8564125256363941</v>
          </cell>
          <cell r="G65">
            <v>1.9482669529576433</v>
          </cell>
          <cell r="H65">
            <v>1.6259949831942591</v>
          </cell>
          <cell r="I65">
            <v>1.5281422237608731</v>
          </cell>
          <cell r="J65">
            <v>1.9127015473671547</v>
          </cell>
          <cell r="K65">
            <v>2.0432838735972596</v>
          </cell>
          <cell r="L65">
            <v>2.3877387876611205</v>
          </cell>
          <cell r="M65">
            <v>2.7321835596472033</v>
          </cell>
          <cell r="O65" t="str">
            <v>Avg Loans/Avg Deposits</v>
          </cell>
          <cell r="P65" t="e">
            <v>#DIV/0!</v>
          </cell>
          <cell r="Q65" t="e">
            <v>#DIV/0!</v>
          </cell>
          <cell r="R65" t="e">
            <v>#DIV/0!</v>
          </cell>
          <cell r="S65">
            <v>113.7609621750111</v>
          </cell>
          <cell r="T65">
            <v>112.3182035655244</v>
          </cell>
          <cell r="U65">
            <v>115.80943104483849</v>
          </cell>
          <cell r="V65">
            <v>121.54450582652305</v>
          </cell>
          <cell r="W65">
            <v>130.62066859806512</v>
          </cell>
          <cell r="X65">
            <v>137.25917076030748</v>
          </cell>
          <cell r="Y65">
            <v>139.99475043413074</v>
          </cell>
          <cell r="Z65">
            <v>142.57374548364271</v>
          </cell>
        </row>
        <row r="66">
          <cell r="O66" t="str">
            <v>Avg Loans/Avg Depo &amp; Equity</v>
          </cell>
          <cell r="P66" t="e">
            <v>#DIV/0!</v>
          </cell>
          <cell r="Q66" t="e">
            <v>#DIV/0!</v>
          </cell>
          <cell r="R66">
            <v>122.82148869330368</v>
          </cell>
          <cell r="S66">
            <v>121.25140126636254</v>
          </cell>
          <cell r="T66">
            <v>120.2780095034925</v>
          </cell>
          <cell r="U66">
            <v>122.09114849209148</v>
          </cell>
          <cell r="V66">
            <v>128.47829745423377</v>
          </cell>
          <cell r="W66">
            <v>136.19611817336107</v>
          </cell>
          <cell r="X66">
            <v>141.09640424646136</v>
          </cell>
          <cell r="Y66">
            <v>145.11278201539329</v>
          </cell>
          <cell r="Z66">
            <v>148.84164763646658</v>
          </cell>
        </row>
        <row r="67">
          <cell r="B67" t="str">
            <v>Specific Reserve</v>
          </cell>
          <cell r="C67">
            <v>0</v>
          </cell>
          <cell r="D67">
            <v>173.31301500000001</v>
          </cell>
          <cell r="E67">
            <v>222.35739149480787</v>
          </cell>
          <cell r="F67">
            <v>462.04250000000002</v>
          </cell>
          <cell r="G67">
            <v>477.67849999999999</v>
          </cell>
          <cell r="H67">
            <v>528.22919854546501</v>
          </cell>
          <cell r="I67">
            <v>622.12099999999998</v>
          </cell>
          <cell r="J67">
            <v>780.54542193505972</v>
          </cell>
          <cell r="K67">
            <v>860.2492158058709</v>
          </cell>
          <cell r="L67">
            <v>957.20285274076321</v>
          </cell>
          <cell r="M67">
            <v>1060.269556984882</v>
          </cell>
          <cell r="O67" t="str">
            <v>Period-End Loans/Deposits</v>
          </cell>
          <cell r="P67" t="e">
            <v>#DIV/0!</v>
          </cell>
          <cell r="Q67" t="e">
            <v>#DIV/0!</v>
          </cell>
          <cell r="R67">
            <v>118.9185265911994</v>
          </cell>
          <cell r="S67">
            <v>111.48094179868266</v>
          </cell>
          <cell r="T67">
            <v>113.15608274649296</v>
          </cell>
          <cell r="U67">
            <v>118.34653378027269</v>
          </cell>
          <cell r="V67">
            <v>124.47893621143315</v>
          </cell>
          <cell r="W67">
            <v>136.1493938271513</v>
          </cell>
          <cell r="X67">
            <v>138.26544332463874</v>
          </cell>
          <cell r="Y67">
            <v>141.59386960465937</v>
          </cell>
          <cell r="Z67">
            <v>143.47937400388361</v>
          </cell>
        </row>
        <row r="68">
          <cell r="B68" t="str">
            <v>Specific Reserve/NPLs (%)</v>
          </cell>
          <cell r="C68" t="str">
            <v>na</v>
          </cell>
          <cell r="D68">
            <v>17.058973581059586</v>
          </cell>
          <cell r="E68">
            <v>31.662189939171064</v>
          </cell>
          <cell r="F68">
            <v>13.412752554575011</v>
          </cell>
          <cell r="G68">
            <v>28.064067916103635</v>
          </cell>
          <cell r="H68">
            <v>43.639210435686174</v>
          </cell>
          <cell r="I68">
            <v>57.678564806230305</v>
          </cell>
          <cell r="J68">
            <v>49.086061144233227</v>
          </cell>
          <cell r="K68">
            <v>42.35903163907782</v>
          </cell>
          <cell r="L68">
            <v>36.174590802688236</v>
          </cell>
          <cell r="M68">
            <v>31.526046282503362</v>
          </cell>
        </row>
        <row r="69">
          <cell r="B69" t="str">
            <v>General Reserve</v>
          </cell>
          <cell r="C69">
            <v>0</v>
          </cell>
          <cell r="D69">
            <v>383.68698499999999</v>
          </cell>
          <cell r="E69">
            <v>2663.6934508525619</v>
          </cell>
          <cell r="F69">
            <v>2361.0671119999997</v>
          </cell>
          <cell r="G69">
            <v>1464.0715</v>
          </cell>
          <cell r="H69">
            <v>1244.1941329539454</v>
          </cell>
          <cell r="I69">
            <v>1320.0790000000002</v>
          </cell>
          <cell r="J69">
            <v>2269.9397217344895</v>
          </cell>
          <cell r="K69">
            <v>2740.6642961651942</v>
          </cell>
          <cell r="L69">
            <v>3734.6638461219368</v>
          </cell>
          <cell r="M69">
            <v>4898.9817851950611</v>
          </cell>
          <cell r="O69" t="str">
            <v>Capital Information</v>
          </cell>
        </row>
        <row r="70">
          <cell r="B70" t="str">
            <v>General Reserve/NPLs (%)</v>
          </cell>
          <cell r="C70" t="e">
            <v>#DIV/0!</v>
          </cell>
          <cell r="D70">
            <v>37.765808531525494</v>
          </cell>
          <cell r="E70">
            <v>379.2919471381241</v>
          </cell>
          <cell r="F70">
            <v>68.5400346028797</v>
          </cell>
          <cell r="G70">
            <v>86.015598378473641</v>
          </cell>
          <cell r="H70">
            <v>102.78805060441971</v>
          </cell>
          <cell r="I70">
            <v>122.38818839236049</v>
          </cell>
          <cell r="J70">
            <v>142.74941194140155</v>
          </cell>
          <cell r="K70">
            <v>134.95145767101801</v>
          </cell>
          <cell r="L70">
            <v>141.14034034919831</v>
          </cell>
          <cell r="M70">
            <v>145.66628408760641</v>
          </cell>
          <cell r="O70" t="str">
            <v>Tier 1 Ratio (%)</v>
          </cell>
          <cell r="P70" t="e">
            <v>#DIV/0!</v>
          </cell>
          <cell r="Q70" t="e">
            <v>#DIV/0!</v>
          </cell>
          <cell r="R70">
            <v>6.8123756062686791</v>
          </cell>
          <cell r="S70">
            <v>5.4802843554934402</v>
          </cell>
          <cell r="T70">
            <v>6.3272080024969855</v>
          </cell>
          <cell r="U70">
            <v>7.4047330888788494</v>
          </cell>
          <cell r="V70">
            <v>7.8106308200588392</v>
          </cell>
          <cell r="W70">
            <v>7.6363877900454629</v>
          </cell>
          <cell r="X70">
            <v>8.376806047056176</v>
          </cell>
          <cell r="Y70">
            <v>8.3370969111653732</v>
          </cell>
          <cell r="Z70">
            <v>8.2206549611334463</v>
          </cell>
        </row>
        <row r="71">
          <cell r="B71" t="str">
            <v>Net Charge-offs (NCO)</v>
          </cell>
          <cell r="C71">
            <v>1255.2463950000001</v>
          </cell>
          <cell r="D71">
            <v>1785.11</v>
          </cell>
          <cell r="E71">
            <v>188.6</v>
          </cell>
          <cell r="F71">
            <v>565.9</v>
          </cell>
          <cell r="G71">
            <v>1817.79</v>
          </cell>
          <cell r="H71">
            <v>797.197</v>
          </cell>
          <cell r="I71">
            <v>371.4</v>
          </cell>
          <cell r="J71">
            <v>801.97596778499997</v>
          </cell>
          <cell r="K71">
            <v>415.98584243904645</v>
          </cell>
          <cell r="L71">
            <v>-7.3980157338691868</v>
          </cell>
          <cell r="M71">
            <v>11.25595200841002</v>
          </cell>
          <cell r="O71" t="str">
            <v>Tier 2 Ratio (%)</v>
          </cell>
          <cell r="P71" t="e">
            <v>#DIV/0!</v>
          </cell>
          <cell r="Q71" t="e">
            <v>#DIV/0!</v>
          </cell>
          <cell r="R71">
            <v>4.2299674289411904</v>
          </cell>
          <cell r="S71">
            <v>4.5561204744126327</v>
          </cell>
          <cell r="T71">
            <v>4.7180386173666893</v>
          </cell>
          <cell r="U71">
            <v>4.493840702100111</v>
          </cell>
          <cell r="V71">
            <v>4.3088458298557262</v>
          </cell>
          <cell r="W71">
            <v>4.5160004723386669</v>
          </cell>
          <cell r="X71">
            <v>4.7273270300430204</v>
          </cell>
          <cell r="Y71">
            <v>4.8051417324854695</v>
          </cell>
          <cell r="Z71">
            <v>4.8193828470378302</v>
          </cell>
        </row>
        <row r="72">
          <cell r="B72" t="str">
            <v>NCO/Avg Total Credit (%)</v>
          </cell>
          <cell r="C72" t="e">
            <v>#DIV/0!</v>
          </cell>
          <cell r="D72">
            <v>4.8512477723780529</v>
          </cell>
          <cell r="E72">
            <v>0.4559531752059679</v>
          </cell>
          <cell r="F72">
            <v>0.7818189808982986</v>
          </cell>
          <cell r="G72">
            <v>1.8315301391035548</v>
          </cell>
          <cell r="H72">
            <v>0.76407085603612723</v>
          </cell>
          <cell r="I72">
            <v>0.31461117143916567</v>
          </cell>
          <cell r="J72">
            <v>0.55968501273387472</v>
          </cell>
          <cell r="K72">
            <v>0.24781908015903414</v>
          </cell>
          <cell r="L72">
            <v>-3.9696378831054358E-3</v>
          </cell>
          <cell r="M72">
            <v>5.4296385876669157E-3</v>
          </cell>
          <cell r="O72" t="str">
            <v>Total CAR (%)</v>
          </cell>
          <cell r="P72" t="e">
            <v>#DIV/0!</v>
          </cell>
          <cell r="Q72" t="e">
            <v>#DIV/0!</v>
          </cell>
          <cell r="R72">
            <v>11.042343035209869</v>
          </cell>
          <cell r="S72">
            <v>10.036404829906072</v>
          </cell>
          <cell r="T72">
            <v>11.045246619863676</v>
          </cell>
          <cell r="U72">
            <v>11.898573790978961</v>
          </cell>
          <cell r="V72">
            <v>12.119476649914565</v>
          </cell>
          <cell r="W72">
            <v>12.152388262384129</v>
          </cell>
          <cell r="X72">
            <v>13.104133077099196</v>
          </cell>
          <cell r="Y72">
            <v>13.142238643650842</v>
          </cell>
          <cell r="Z72">
            <v>13.040037808171277</v>
          </cell>
        </row>
        <row r="73">
          <cell r="B73" t="str">
            <v>LLPE/Avg Loans (%)</v>
          </cell>
          <cell r="C73" t="e">
            <v>#DIV/0!</v>
          </cell>
          <cell r="D73" t="e">
            <v>#DIV/0!</v>
          </cell>
          <cell r="E73">
            <v>0.9144626272916716</v>
          </cell>
          <cell r="F73">
            <v>1.5259780322492567</v>
          </cell>
          <cell r="G73">
            <v>1.4080972173884616</v>
          </cell>
          <cell r="H73">
            <v>0.87058623245201072</v>
          </cell>
          <cell r="I73">
            <v>0.50282014276543352</v>
          </cell>
          <cell r="J73">
            <v>0.6299858902975809</v>
          </cell>
          <cell r="K73">
            <v>0.40042312302747241</v>
          </cell>
          <cell r="L73">
            <v>0.43779085058307904</v>
          </cell>
          <cell r="M73">
            <v>0.49685065745590967</v>
          </cell>
        </row>
        <row r="152">
          <cell r="O152">
            <v>3810988.7930000001</v>
          </cell>
          <cell r="P152">
            <v>0</v>
          </cell>
        </row>
        <row r="167">
          <cell r="C167">
            <v>2891795.6310000001</v>
          </cell>
          <cell r="D167">
            <v>3078048.412</v>
          </cell>
          <cell r="E167">
            <v>4094917.1359999999</v>
          </cell>
          <cell r="F167">
            <v>4859382.1409999998</v>
          </cell>
        </row>
        <row r="171">
          <cell r="A171" t="str">
            <v>Contra Account of Guarantee Issued</v>
          </cell>
        </row>
        <row r="188">
          <cell r="O188">
            <v>2791587</v>
          </cell>
          <cell r="P188">
            <v>0</v>
          </cell>
        </row>
        <row r="192">
          <cell r="O192">
            <v>2348914.6860000002</v>
          </cell>
        </row>
        <row r="203">
          <cell r="C203">
            <v>331599</v>
          </cell>
          <cell r="D203">
            <v>316714</v>
          </cell>
          <cell r="E203">
            <v>620630</v>
          </cell>
          <cell r="F203">
            <v>1055526</v>
          </cell>
        </row>
        <row r="207">
          <cell r="A207" t="str">
            <v xml:space="preserve">    Guarantee Payment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IDUAL INCOME"/>
      <sheetName val="MAIN"/>
      <sheetName val="P&amp;L"/>
      <sheetName val="BS"/>
      <sheetName val="Update"/>
      <sheetName val="AFFILIATES"/>
      <sheetName val="Ratio"/>
      <sheetName val="Ace-In"/>
      <sheetName val="Ace-Out"/>
      <sheetName val="Results"/>
      <sheetName val="Cover"/>
      <sheetName val="AFFILIATES (2)"/>
      <sheetName val="Charts"/>
      <sheetName val="For report"/>
      <sheetName val="valuationExhibits"/>
      <sheetName val="Exhibits"/>
      <sheetName val="目標株価"/>
      <sheetName val="Annual"/>
      <sheetName val="CREDIT MODEL"/>
      <sheetName val="quaterly model"/>
      <sheetName val="Valuation_ROC RI"/>
      <sheetName val="PBPSBand"/>
      <sheetName val="Summary"/>
      <sheetName val="PEBandChart"/>
      <sheetName val="annual model"/>
      <sheetName val="RI-USGAAP"/>
      <sheetName val="Core biz -RI(USGAAP)"/>
      <sheetName val="PEBand_2353_Core"/>
      <sheetName val="Exhibit"/>
      <sheetName val="Valuation_S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B2" t="str">
            <v>HANA FINANCIAL GROUP (086790.KS)</v>
          </cell>
          <cell r="P2" t="str">
            <v>Foreign exchange rate</v>
          </cell>
          <cell r="X2">
            <v>1343</v>
          </cell>
        </row>
        <row r="3">
          <cell r="P3" t="str">
            <v>Current share price</v>
          </cell>
          <cell r="X3">
            <v>22050</v>
          </cell>
          <cell r="Y3">
            <v>16.418466120625464</v>
          </cell>
        </row>
        <row r="5">
          <cell r="B5" t="str">
            <v>Profit and Loss Statements</v>
          </cell>
          <cell r="P5" t="str">
            <v>Per Share Data and Valuations</v>
          </cell>
        </row>
        <row r="6">
          <cell r="B6" t="str">
            <v>Won billions, Year ending Dec 31</v>
          </cell>
          <cell r="C6">
            <v>2000</v>
          </cell>
          <cell r="D6">
            <v>2001</v>
          </cell>
          <cell r="E6">
            <v>2002</v>
          </cell>
          <cell r="F6">
            <v>2003</v>
          </cell>
          <cell r="G6">
            <v>2004</v>
          </cell>
          <cell r="H6">
            <v>2005</v>
          </cell>
          <cell r="I6">
            <v>2006</v>
          </cell>
          <cell r="J6">
            <v>2007</v>
          </cell>
          <cell r="K6">
            <v>2008</v>
          </cell>
          <cell r="L6" t="str">
            <v>2009E</v>
          </cell>
          <cell r="M6" t="str">
            <v>2010E</v>
          </cell>
          <cell r="N6" t="str">
            <v>2011E</v>
          </cell>
          <cell r="P6" t="str">
            <v>Won billions, Year ending Dec 31</v>
          </cell>
          <cell r="Q6">
            <v>2000</v>
          </cell>
          <cell r="R6">
            <v>2001</v>
          </cell>
          <cell r="S6">
            <v>2002</v>
          </cell>
          <cell r="T6">
            <v>2003</v>
          </cell>
          <cell r="U6">
            <v>2004</v>
          </cell>
          <cell r="V6">
            <v>2005</v>
          </cell>
          <cell r="W6">
            <v>2006</v>
          </cell>
          <cell r="X6">
            <v>2007</v>
          </cell>
          <cell r="Y6">
            <v>2008</v>
          </cell>
          <cell r="Z6" t="str">
            <v>2009E</v>
          </cell>
          <cell r="AA6" t="str">
            <v>2010E</v>
          </cell>
          <cell r="AB6" t="str">
            <v>2011E</v>
          </cell>
        </row>
        <row r="7">
          <cell r="B7" t="str">
            <v>Avg Earning Assets</v>
          </cell>
          <cell r="C7">
            <v>41630.420756499996</v>
          </cell>
          <cell r="D7">
            <v>57006.342904999998</v>
          </cell>
          <cell r="E7">
            <v>44447.248813375001</v>
          </cell>
          <cell r="F7">
            <v>66999.274650250009</v>
          </cell>
          <cell r="G7">
            <v>71044.64224999999</v>
          </cell>
          <cell r="H7">
            <v>76006.012629992125</v>
          </cell>
          <cell r="I7">
            <v>88759.657000000007</v>
          </cell>
          <cell r="J7">
            <v>99423.021999999997</v>
          </cell>
          <cell r="K7">
            <v>114830.74400000001</v>
          </cell>
          <cell r="L7">
            <v>123180.26802796163</v>
          </cell>
          <cell r="M7">
            <v>126804.02161527581</v>
          </cell>
          <cell r="N7">
            <v>131886.61177515215</v>
          </cell>
          <cell r="P7" t="str">
            <v>Book Value Per Share (Won)</v>
          </cell>
          <cell r="Q7">
            <v>9373.0969626120514</v>
          </cell>
          <cell r="R7">
            <v>10328.444430835849</v>
          </cell>
          <cell r="S7">
            <v>13830.078535870867</v>
          </cell>
          <cell r="T7">
            <v>16486.216283571532</v>
          </cell>
          <cell r="U7">
            <v>25270.053906182126</v>
          </cell>
          <cell r="V7">
            <v>30662.088049269507</v>
          </cell>
          <cell r="W7">
            <v>36739.657652704125</v>
          </cell>
          <cell r="X7">
            <v>44009.756395836928</v>
          </cell>
          <cell r="Y7">
            <v>42182.042973828371</v>
          </cell>
          <cell r="Z7">
            <v>43024.536958237666</v>
          </cell>
          <cell r="AA7">
            <v>44577.155484940078</v>
          </cell>
          <cell r="AB7">
            <v>46562.852459314177</v>
          </cell>
        </row>
        <row r="8">
          <cell r="B8" t="str">
            <v>Net Interest Margin (%)</v>
          </cell>
          <cell r="C8">
            <v>2.5959599671623828</v>
          </cell>
          <cell r="D8">
            <v>1.9422254990907144</v>
          </cell>
          <cell r="E8">
            <v>2.1527687372678668</v>
          </cell>
          <cell r="F8">
            <v>2.3246983017810745</v>
          </cell>
          <cell r="G8">
            <v>2.4383864498944683</v>
          </cell>
          <cell r="H8">
            <v>2.4167443290863639</v>
          </cell>
          <cell r="I8">
            <v>2.4020890481809785</v>
          </cell>
          <cell r="J8">
            <v>2.312278337305016</v>
          </cell>
          <cell r="K8">
            <v>2.0556045513386207</v>
          </cell>
          <cell r="L8">
            <v>1.6942136697422991</v>
          </cell>
          <cell r="M8">
            <v>1.8341097125864336</v>
          </cell>
          <cell r="N8">
            <v>1.8411394865284065</v>
          </cell>
          <cell r="P8" t="str">
            <v>Price/Book (x)</v>
          </cell>
          <cell r="Q8">
            <v>2.3524775309542094</v>
          </cell>
          <cell r="R8">
            <v>2.1348810217896057</v>
          </cell>
          <cell r="S8">
            <v>1.5943510329901054</v>
          </cell>
          <cell r="T8">
            <v>1.33748093684618</v>
          </cell>
          <cell r="U8">
            <v>0.87257431590225598</v>
          </cell>
          <cell r="V8">
            <v>0.71912910707740663</v>
          </cell>
          <cell r="W8">
            <v>0.60016890218292684</v>
          </cell>
          <cell r="X8">
            <v>0.50102526816271598</v>
          </cell>
          <cell r="Y8">
            <v>0.52273428325130689</v>
          </cell>
          <cell r="Z8">
            <v>0.51249825236708824</v>
          </cell>
          <cell r="AA8">
            <v>0.49464798191193154</v>
          </cell>
          <cell r="AB8">
            <v>0.47355346237146689</v>
          </cell>
        </row>
        <row r="9">
          <cell r="B9" t="str">
            <v xml:space="preserve">  Interest Income</v>
          </cell>
          <cell r="C9">
            <v>4431.0066329999991</v>
          </cell>
          <cell r="D9">
            <v>4190.6223290000007</v>
          </cell>
          <cell r="E9">
            <v>5124.4074480300005</v>
          </cell>
          <cell r="F9">
            <v>4338.7250000000004</v>
          </cell>
          <cell r="G9">
            <v>4424.4849299999996</v>
          </cell>
          <cell r="H9">
            <v>4480.9417508030001</v>
          </cell>
          <cell r="I9">
            <v>5786.2309999999998</v>
          </cell>
          <cell r="J9">
            <v>6967.6370000000006</v>
          </cell>
          <cell r="K9">
            <v>8617.6710000000003</v>
          </cell>
          <cell r="L9">
            <v>8465.5523646520851</v>
          </cell>
          <cell r="M9">
            <v>9093.7525957058497</v>
          </cell>
          <cell r="N9">
            <v>9585.4567269284453</v>
          </cell>
          <cell r="P9" t="str">
            <v>ROAA (%)</v>
          </cell>
          <cell r="Q9">
            <v>-1.0700583280595537</v>
          </cell>
          <cell r="R9">
            <v>0.66709903372522805</v>
          </cell>
          <cell r="S9">
            <v>0.87173232301160242</v>
          </cell>
          <cell r="T9">
            <v>0.72095581488141292</v>
          </cell>
          <cell r="U9">
            <v>1.6879745001747535</v>
          </cell>
          <cell r="V9">
            <v>1.0700503839549005</v>
          </cell>
          <cell r="W9">
            <v>1.0216945239813493</v>
          </cell>
          <cell r="X9">
            <v>1.0048569482589882</v>
          </cell>
          <cell r="Y9">
            <v>0.35849393984133643</v>
          </cell>
          <cell r="Z9">
            <v>3.851526571592942E-2</v>
          </cell>
          <cell r="AA9">
            <v>0.24799761331347236</v>
          </cell>
          <cell r="AB9">
            <v>0.29237241187453444</v>
          </cell>
        </row>
        <row r="10">
          <cell r="B10" t="str">
            <v xml:space="preserve">  Interest Expense</v>
          </cell>
          <cell r="C10">
            <v>3350.2975759999999</v>
          </cell>
          <cell r="D10">
            <v>3083.4306010000005</v>
          </cell>
          <cell r="E10">
            <v>3481.8585419999999</v>
          </cell>
          <cell r="F10">
            <v>2610.1930000000002</v>
          </cell>
          <cell r="G10">
            <v>2534.1690000000003</v>
          </cell>
          <cell r="H10">
            <v>2484.7829999999999</v>
          </cell>
          <cell r="I10">
            <v>3374.9969999999998</v>
          </cell>
          <cell r="J10">
            <v>4308.1169999999993</v>
          </cell>
          <cell r="K10">
            <v>5741.3739999999998</v>
          </cell>
          <cell r="L10">
            <v>5916.3122235986975</v>
          </cell>
          <cell r="M10">
            <v>6282.4635590898115</v>
          </cell>
          <cell r="N10">
            <v>6647.5463636071399</v>
          </cell>
          <cell r="P10" t="str">
            <v>ROAE (Reported, %)</v>
          </cell>
          <cell r="R10">
            <v>17.332831389844287</v>
          </cell>
          <cell r="S10">
            <v>22.954300184803195</v>
          </cell>
          <cell r="T10">
            <v>17.28037851266204</v>
          </cell>
          <cell r="U10">
            <v>32.819505718058295</v>
          </cell>
          <cell r="V10">
            <v>16.303057435303739</v>
          </cell>
          <cell r="W10">
            <v>14.619218084149038</v>
          </cell>
          <cell r="X10">
            <v>15.265262678924973</v>
          </cell>
          <cell r="Y10">
            <v>5.2951746096768195</v>
          </cell>
          <cell r="Z10">
            <v>0.28253815545441691</v>
          </cell>
          <cell r="AA10">
            <v>3.9959033986742982</v>
          </cell>
          <cell r="AB10">
            <v>4.7911296032005888</v>
          </cell>
        </row>
        <row r="11">
          <cell r="B11" t="str">
            <v>Net Interest Income (NII)</v>
          </cell>
          <cell r="C11">
            <v>1080.7090569999991</v>
          </cell>
          <cell r="D11">
            <v>1107.1917280000002</v>
          </cell>
          <cell r="E11">
            <v>1642.5489060300006</v>
          </cell>
          <cell r="F11">
            <v>1728.5320000000002</v>
          </cell>
          <cell r="G11">
            <v>1890.3159299999993</v>
          </cell>
          <cell r="H11">
            <v>1996.1587508030002</v>
          </cell>
          <cell r="I11">
            <v>2411.2339999999999</v>
          </cell>
          <cell r="J11">
            <v>2659.5200000000013</v>
          </cell>
          <cell r="K11">
            <v>2876.2970000000005</v>
          </cell>
          <cell r="L11">
            <v>2549.2401410533876</v>
          </cell>
          <cell r="M11">
            <v>2811.2890366160382</v>
          </cell>
          <cell r="N11">
            <v>2937.9103633213053</v>
          </cell>
          <cell r="P11" t="str">
            <v>ROAE (ModelWare, %)</v>
          </cell>
          <cell r="U11">
            <v>33.900054363817652</v>
          </cell>
          <cell r="V11">
            <v>17.155381375830554</v>
          </cell>
          <cell r="W11">
            <v>15.421409246407078</v>
          </cell>
          <cell r="X11">
            <v>14.235437974355611</v>
          </cell>
          <cell r="Y11">
            <v>5.5781010489121483</v>
          </cell>
          <cell r="Z11">
            <v>0.68742033471675812</v>
          </cell>
          <cell r="AA11">
            <v>4.4852467307741648</v>
          </cell>
          <cell r="AB11">
            <v>5.3233592181627225</v>
          </cell>
        </row>
        <row r="12">
          <cell r="B12" t="str">
            <v>Loan Loss Prov Exp (LLPE)</v>
          </cell>
          <cell r="C12">
            <v>1503.88949</v>
          </cell>
          <cell r="D12">
            <v>604.04272100000003</v>
          </cell>
          <cell r="E12">
            <v>356.85102099999995</v>
          </cell>
          <cell r="F12">
            <v>829.11900000000003</v>
          </cell>
          <cell r="G12">
            <v>353.24399999999997</v>
          </cell>
          <cell r="H12">
            <v>211.80599999999998</v>
          </cell>
          <cell r="I12">
            <v>322.286</v>
          </cell>
          <cell r="J12">
            <v>400.44299999999998</v>
          </cell>
          <cell r="K12">
            <v>1233.181</v>
          </cell>
          <cell r="L12">
            <v>1104.880062482757</v>
          </cell>
          <cell r="M12">
            <v>992.04354474518652</v>
          </cell>
          <cell r="N12">
            <v>960.10671873845263</v>
          </cell>
        </row>
        <row r="13">
          <cell r="B13" t="str">
            <v>NII After LLPE</v>
          </cell>
          <cell r="C13">
            <v>-423.1804330000009</v>
          </cell>
          <cell r="D13">
            <v>503.14900700000021</v>
          </cell>
          <cell r="E13">
            <v>1285.6978850300006</v>
          </cell>
          <cell r="F13">
            <v>899.41300000000012</v>
          </cell>
          <cell r="G13">
            <v>1537.0719299999994</v>
          </cell>
          <cell r="H13">
            <v>1784.3527508030002</v>
          </cell>
          <cell r="I13">
            <v>2088.9479999999999</v>
          </cell>
          <cell r="J13">
            <v>2259.0770000000011</v>
          </cell>
          <cell r="K13">
            <v>1643.1160000000004</v>
          </cell>
          <cell r="L13">
            <v>1444.3600785706305</v>
          </cell>
          <cell r="M13">
            <v>1819.2454918708518</v>
          </cell>
          <cell r="N13">
            <v>1977.8036445828527</v>
          </cell>
          <cell r="P13" t="str">
            <v>MW EPS Growth (%)</v>
          </cell>
          <cell r="T13">
            <v>-9.3836346492542013</v>
          </cell>
          <cell r="U13">
            <v>152.72110914950119</v>
          </cell>
          <cell r="V13">
            <v>-34.679647272624173</v>
          </cell>
          <cell r="W13">
            <v>9.4407569435800642</v>
          </cell>
          <cell r="X13">
            <v>12.423377316454175</v>
          </cell>
          <cell r="Y13">
            <v>-58.174406557708537</v>
          </cell>
          <cell r="Z13">
            <v>-87.81731026163429</v>
          </cell>
          <cell r="AA13">
            <v>570.81586674355322</v>
          </cell>
          <cell r="AB13">
            <v>23.479823560583334</v>
          </cell>
        </row>
        <row r="14">
          <cell r="P14" t="str">
            <v>Current P/MW EPS</v>
          </cell>
          <cell r="Q14" t="e">
            <v>#DIV/0!</v>
          </cell>
          <cell r="R14" t="e">
            <v>#DIV/0!</v>
          </cell>
          <cell r="S14">
            <v>7.0609115486004113</v>
          </cell>
          <cell r="T14">
            <v>7.7920930962856128</v>
          </cell>
          <cell r="U14">
            <v>3.0832775000508867</v>
          </cell>
          <cell r="V14">
            <v>4.7202401262580471</v>
          </cell>
          <cell r="W14">
            <v>4.3130550793718188</v>
          </cell>
          <cell r="X14">
            <v>3.8364396999311325</v>
          </cell>
          <cell r="Y14">
            <v>9.172469256711036</v>
          </cell>
          <cell r="Z14">
            <v>75.291002674270743</v>
          </cell>
          <cell r="AA14">
            <v>11.223795739920057</v>
          </cell>
          <cell r="AB14">
            <v>9.0895786989955383</v>
          </cell>
        </row>
        <row r="15">
          <cell r="B15" t="str">
            <v>Non-interest Income</v>
          </cell>
        </row>
        <row r="16">
          <cell r="B16" t="str">
            <v>Fees and Commissions</v>
          </cell>
          <cell r="C16">
            <v>443.29103599999996</v>
          </cell>
          <cell r="D16">
            <v>538.598837</v>
          </cell>
          <cell r="E16">
            <v>438.30765497000004</v>
          </cell>
          <cell r="F16">
            <v>270.185</v>
          </cell>
          <cell r="G16">
            <v>216.66806999999994</v>
          </cell>
          <cell r="H16">
            <v>258.62900000000002</v>
          </cell>
          <cell r="I16">
            <v>581.46600000000012</v>
          </cell>
          <cell r="J16">
            <v>620.41000000000008</v>
          </cell>
          <cell r="K16">
            <v>565.20400000000018</v>
          </cell>
          <cell r="L16">
            <v>486.45910292548109</v>
          </cell>
          <cell r="M16">
            <v>530.85512883276374</v>
          </cell>
          <cell r="N16">
            <v>539.64632580209764</v>
          </cell>
          <cell r="P16" t="str">
            <v>Gross Dividends</v>
          </cell>
          <cell r="Q16">
            <v>0</v>
          </cell>
          <cell r="R16">
            <v>0</v>
          </cell>
          <cell r="S16">
            <v>86.068103771932897</v>
          </cell>
          <cell r="T16">
            <v>84.962999999999965</v>
          </cell>
          <cell r="U16">
            <v>135.19027875</v>
          </cell>
          <cell r="V16">
            <v>75.806999999999988</v>
          </cell>
          <cell r="W16">
            <v>188.72295789999998</v>
          </cell>
          <cell r="X16">
            <v>275.40699999999998</v>
          </cell>
          <cell r="Y16">
            <v>42.0718216</v>
          </cell>
          <cell r="Z16">
            <v>0</v>
          </cell>
          <cell r="AA16">
            <v>41.8663186</v>
          </cell>
          <cell r="AB16">
            <v>41.8663186</v>
          </cell>
        </row>
        <row r="17">
          <cell r="B17" t="str">
            <v>Dividend Income</v>
          </cell>
          <cell r="C17">
            <v>8.3889549999999993</v>
          </cell>
          <cell r="D17">
            <v>6.6682290000000002</v>
          </cell>
          <cell r="E17">
            <v>7.1389420000000001</v>
          </cell>
          <cell r="F17">
            <v>93.081000000000003</v>
          </cell>
          <cell r="G17">
            <v>11.289</v>
          </cell>
          <cell r="H17">
            <v>13.642000000000001</v>
          </cell>
          <cell r="I17">
            <v>25.193000000000001</v>
          </cell>
          <cell r="J17">
            <v>57.429000000000002</v>
          </cell>
          <cell r="K17">
            <v>155.94200000000001</v>
          </cell>
          <cell r="L17">
            <v>33.313522691045925</v>
          </cell>
          <cell r="M17">
            <v>29.157752253437081</v>
          </cell>
          <cell r="N17">
            <v>22.79618953624977</v>
          </cell>
          <cell r="P17" t="str">
            <v>Gross DPS (Won)</v>
          </cell>
          <cell r="Q17">
            <v>0</v>
          </cell>
          <cell r="R17">
            <v>0</v>
          </cell>
          <cell r="S17">
            <v>511.19178775156371</v>
          </cell>
          <cell r="T17">
            <v>499.68769739459287</v>
          </cell>
          <cell r="U17">
            <v>750</v>
          </cell>
          <cell r="V17">
            <v>400</v>
          </cell>
          <cell r="W17">
            <v>900</v>
          </cell>
          <cell r="X17">
            <v>1300</v>
          </cell>
          <cell r="Y17">
            <v>200</v>
          </cell>
          <cell r="Z17">
            <v>0</v>
          </cell>
          <cell r="AA17">
            <v>200</v>
          </cell>
          <cell r="AB17">
            <v>200</v>
          </cell>
        </row>
        <row r="18">
          <cell r="B18" t="str">
            <v>Forex Income</v>
          </cell>
          <cell r="C18">
            <v>53.629543000000012</v>
          </cell>
          <cell r="D18">
            <v>44.452679999999987</v>
          </cell>
          <cell r="E18">
            <v>42.158178000000021</v>
          </cell>
          <cell r="F18">
            <v>36.711999999999989</v>
          </cell>
          <cell r="G18">
            <v>49.080999999999989</v>
          </cell>
          <cell r="H18">
            <v>-5.8139999999999645</v>
          </cell>
          <cell r="I18">
            <v>24.173000000000002</v>
          </cell>
          <cell r="J18">
            <v>49.385999999999967</v>
          </cell>
          <cell r="K18">
            <v>213.33300000000008</v>
          </cell>
          <cell r="L18">
            <v>-126.83634938645719</v>
          </cell>
          <cell r="M18">
            <v>0</v>
          </cell>
          <cell r="N18">
            <v>0</v>
          </cell>
          <cell r="P18" t="str">
            <v>Dividend Yield (Current Price, %)</v>
          </cell>
          <cell r="Q18">
            <v>0</v>
          </cell>
          <cell r="R18">
            <v>0</v>
          </cell>
          <cell r="S18">
            <v>2.3183301031816947</v>
          </cell>
          <cell r="T18">
            <v>2.2661573577986074</v>
          </cell>
          <cell r="U18">
            <v>3.4013605442176873</v>
          </cell>
          <cell r="V18">
            <v>1.8140589569160999</v>
          </cell>
          <cell r="W18">
            <v>4.0816326530612246</v>
          </cell>
          <cell r="X18">
            <v>5.895691609977324</v>
          </cell>
          <cell r="Y18">
            <v>0.90702947845804993</v>
          </cell>
          <cell r="Z18">
            <v>0</v>
          </cell>
          <cell r="AA18">
            <v>0.90702947845804993</v>
          </cell>
          <cell r="AB18">
            <v>0.90702947845804993</v>
          </cell>
        </row>
        <row r="19">
          <cell r="B19" t="str">
            <v>Other trading income</v>
          </cell>
          <cell r="C19">
            <v>-33.562145999999956</v>
          </cell>
          <cell r="D19">
            <v>55.459299000000016</v>
          </cell>
          <cell r="E19">
            <v>33.583663999999985</v>
          </cell>
          <cell r="F19">
            <v>37.261999999999944</v>
          </cell>
          <cell r="G19">
            <v>107.50399999999995</v>
          </cell>
          <cell r="H19">
            <v>57.330999999999996</v>
          </cell>
          <cell r="I19">
            <v>62.304000000000002</v>
          </cell>
          <cell r="J19">
            <v>123.79300000000043</v>
          </cell>
          <cell r="K19">
            <v>-1089.5950000000012</v>
          </cell>
          <cell r="L19">
            <v>181.54678016587911</v>
          </cell>
          <cell r="M19">
            <v>99.501461253457819</v>
          </cell>
          <cell r="N19">
            <v>119.74632637549075</v>
          </cell>
          <cell r="P19" t="str">
            <v>Dividend Payout Ratio (%)</v>
          </cell>
          <cell r="Q19">
            <v>0</v>
          </cell>
          <cell r="R19">
            <v>0</v>
          </cell>
          <cell r="S19">
            <v>14.030838929715959</v>
          </cell>
          <cell r="T19">
            <v>16.429050702792804</v>
          </cell>
          <cell r="U19">
            <v>10.15121126850458</v>
          </cell>
          <cell r="V19">
            <v>8.3602793266516073</v>
          </cell>
          <cell r="W19">
            <v>18.381008202756707</v>
          </cell>
          <cell r="X19">
            <v>21.092573672786958</v>
          </cell>
          <cell r="Y19">
            <v>8.7024862342433806</v>
          </cell>
          <cell r="Z19">
            <v>0</v>
          </cell>
          <cell r="AA19">
            <v>11.291081923139069</v>
          </cell>
          <cell r="AB19">
            <v>9.0514061898298479</v>
          </cell>
        </row>
        <row r="20">
          <cell r="B20" t="str">
            <v>Other Income</v>
          </cell>
          <cell r="C20">
            <v>-255.41181200000014</v>
          </cell>
          <cell r="D20">
            <v>0.33494699999985755</v>
          </cell>
          <cell r="E20">
            <v>-90.1765809999998</v>
          </cell>
          <cell r="F20">
            <v>-179.56100000000032</v>
          </cell>
          <cell r="G20">
            <v>-143.6659999999994</v>
          </cell>
          <cell r="H20">
            <v>-139.47475080300023</v>
          </cell>
          <cell r="I20">
            <v>-98.478999999999616</v>
          </cell>
          <cell r="J20">
            <v>162.35799999999929</v>
          </cell>
          <cell r="K20">
            <v>770.61999999999762</v>
          </cell>
          <cell r="L20">
            <v>-213.99433881707222</v>
          </cell>
          <cell r="M20">
            <v>-206.15842549332541</v>
          </cell>
          <cell r="N20">
            <v>-208.19256801537165</v>
          </cell>
        </row>
        <row r="21">
          <cell r="B21" t="str">
            <v>Total Non-interest Income</v>
          </cell>
          <cell r="C21">
            <v>216.33557599999986</v>
          </cell>
          <cell r="D21">
            <v>645.5139919999998</v>
          </cell>
          <cell r="E21">
            <v>431.01185797000016</v>
          </cell>
          <cell r="F21">
            <v>257.67899999999963</v>
          </cell>
          <cell r="G21">
            <v>240.87607000000051</v>
          </cell>
          <cell r="H21">
            <v>184.31324919699983</v>
          </cell>
          <cell r="I21">
            <v>594.65700000000049</v>
          </cell>
          <cell r="J21">
            <v>1013.3759999999997</v>
          </cell>
          <cell r="K21">
            <v>615.50399999999672</v>
          </cell>
          <cell r="L21">
            <v>360.48871757887667</v>
          </cell>
          <cell r="M21">
            <v>453.35591684633329</v>
          </cell>
          <cell r="N21">
            <v>473.99627369846655</v>
          </cell>
          <cell r="P21" t="str">
            <v>Issued Shares (m)</v>
          </cell>
          <cell r="Q21">
            <v>246.363</v>
          </cell>
          <cell r="R21">
            <v>253.108</v>
          </cell>
          <cell r="S21">
            <v>197.43220299999999</v>
          </cell>
          <cell r="T21">
            <v>197.43220299999999</v>
          </cell>
          <cell r="U21">
            <v>192.35344799999999</v>
          </cell>
          <cell r="V21">
            <v>204.25624300000001</v>
          </cell>
          <cell r="W21">
            <v>211.85159300000001</v>
          </cell>
          <cell r="X21">
            <v>211.85159300000001</v>
          </cell>
          <cell r="Y21">
            <v>211.85159300000001</v>
          </cell>
          <cell r="Z21">
            <v>211.85159300000001</v>
          </cell>
          <cell r="AA21">
            <v>211.85159300000001</v>
          </cell>
          <cell r="AB21">
            <v>211.85159300000001</v>
          </cell>
        </row>
        <row r="22">
          <cell r="P22" t="str">
            <v>Market Cap (Wonbn)</v>
          </cell>
          <cell r="Q22">
            <v>5432.3041499999999</v>
          </cell>
          <cell r="R22">
            <v>5581.0314000000008</v>
          </cell>
          <cell r="S22">
            <v>4353.3800761499997</v>
          </cell>
          <cell r="T22">
            <v>4353.3800761499997</v>
          </cell>
          <cell r="U22">
            <v>4241.393528399999</v>
          </cell>
          <cell r="V22">
            <v>4503.8501581500004</v>
          </cell>
          <cell r="W22">
            <v>4671.3276256499994</v>
          </cell>
          <cell r="X22">
            <v>4671.3276256499994</v>
          </cell>
          <cell r="Y22">
            <v>4671.3276256499994</v>
          </cell>
          <cell r="Z22">
            <v>4671.3276256499994</v>
          </cell>
          <cell r="AA22">
            <v>4671.3276256499994</v>
          </cell>
          <cell r="AB22">
            <v>4671.3276256499994</v>
          </cell>
        </row>
        <row r="23">
          <cell r="B23" t="str">
            <v>Non-interest Expense</v>
          </cell>
          <cell r="P23" t="str">
            <v>Market Cap (US$mn)</v>
          </cell>
          <cell r="Q23">
            <v>4044.9025688756519</v>
          </cell>
          <cell r="R23">
            <v>4155.6451228592714</v>
          </cell>
          <cell r="S23">
            <v>3241.533936075949</v>
          </cell>
          <cell r="T23">
            <v>3241.533936075949</v>
          </cell>
          <cell r="U23">
            <v>3158.1485691734915</v>
          </cell>
          <cell r="V23">
            <v>3353.5742056217427</v>
          </cell>
          <cell r="W23">
            <v>3478.2782022710344</v>
          </cell>
          <cell r="X23">
            <v>3478.2782022710344</v>
          </cell>
          <cell r="Y23">
            <v>3478.2782022710344</v>
          </cell>
          <cell r="Z23">
            <v>3478.2782022710344</v>
          </cell>
          <cell r="AA23">
            <v>3478.2782022710344</v>
          </cell>
          <cell r="AB23">
            <v>3478.2782022710344</v>
          </cell>
        </row>
        <row r="24">
          <cell r="B24" t="str">
            <v>Salaries &amp; Benefits</v>
          </cell>
          <cell r="C24">
            <v>421.96628399999997</v>
          </cell>
          <cell r="D24">
            <v>412.35855699999996</v>
          </cell>
          <cell r="E24">
            <v>434.26188100000002</v>
          </cell>
          <cell r="F24">
            <v>451.20699999999999</v>
          </cell>
          <cell r="G24">
            <v>487.63099999999997</v>
          </cell>
          <cell r="H24">
            <v>594.47199999999998</v>
          </cell>
          <cell r="I24">
            <v>796.83200000000011</v>
          </cell>
          <cell r="J24">
            <v>878.59899999999993</v>
          </cell>
          <cell r="K24">
            <v>917.33600000000001</v>
          </cell>
          <cell r="L24">
            <v>1027.1199059611799</v>
          </cell>
          <cell r="M24">
            <v>1012.5506193600037</v>
          </cell>
          <cell r="N24">
            <v>1052.8843644440062</v>
          </cell>
        </row>
        <row r="25">
          <cell r="B25" t="str">
            <v>Net Occupancy &amp; Equipment</v>
          </cell>
          <cell r="C25">
            <v>17.354278999999998</v>
          </cell>
          <cell r="D25">
            <v>20.735520999999999</v>
          </cell>
          <cell r="E25">
            <v>25.628824000000002</v>
          </cell>
          <cell r="F25">
            <v>38.527000000000001</v>
          </cell>
          <cell r="G25">
            <v>35.698999999999998</v>
          </cell>
          <cell r="H25">
            <v>37.822999999999993</v>
          </cell>
          <cell r="I25">
            <v>47.731000000000002</v>
          </cell>
          <cell r="J25">
            <v>60.82</v>
          </cell>
          <cell r="K25">
            <v>84.622</v>
          </cell>
          <cell r="L25">
            <v>90.507531535980704</v>
          </cell>
          <cell r="M25">
            <v>87.794604901773923</v>
          </cell>
          <cell r="N25">
            <v>85.751821183419111</v>
          </cell>
          <cell r="P25" t="str">
            <v>PERFORMANCE RATIOS</v>
          </cell>
        </row>
        <row r="26">
          <cell r="B26" t="str">
            <v>Other Expenses</v>
          </cell>
          <cell r="C26">
            <v>266.59823499999993</v>
          </cell>
          <cell r="D26">
            <v>319.07631100000015</v>
          </cell>
          <cell r="E26">
            <v>393.24414200000001</v>
          </cell>
          <cell r="F26">
            <v>392.26</v>
          </cell>
          <cell r="G26">
            <v>402.10500000000002</v>
          </cell>
          <cell r="H26">
            <v>408.57899999999995</v>
          </cell>
          <cell r="I26">
            <v>541.15600000000006</v>
          </cell>
          <cell r="J26">
            <v>657.49699999999984</v>
          </cell>
          <cell r="K26">
            <v>689.16600000000005</v>
          </cell>
          <cell r="L26">
            <v>705.42558679668764</v>
          </cell>
          <cell r="M26">
            <v>742.59184764250529</v>
          </cell>
          <cell r="N26">
            <v>767.12382766224027</v>
          </cell>
          <cell r="P26" t="str">
            <v>Won billions, Year ending Dec 31</v>
          </cell>
          <cell r="Q26">
            <v>2000</v>
          </cell>
          <cell r="R26">
            <v>2001</v>
          </cell>
          <cell r="S26">
            <v>2002</v>
          </cell>
          <cell r="T26">
            <v>2003</v>
          </cell>
          <cell r="U26">
            <v>2004</v>
          </cell>
          <cell r="V26">
            <v>2005</v>
          </cell>
          <cell r="W26">
            <v>2006</v>
          </cell>
          <cell r="X26">
            <v>2007</v>
          </cell>
          <cell r="Y26">
            <v>2008</v>
          </cell>
          <cell r="Z26" t="str">
            <v>2009E</v>
          </cell>
          <cell r="AA26" t="str">
            <v>2010E</v>
          </cell>
          <cell r="AB26" t="str">
            <v>2011E</v>
          </cell>
        </row>
        <row r="27">
          <cell r="B27" t="str">
            <v>Total Non-interest Expense</v>
          </cell>
          <cell r="C27">
            <v>705.91879799999992</v>
          </cell>
          <cell r="D27">
            <v>752.17038900000011</v>
          </cell>
          <cell r="E27">
            <v>853.13484700000004</v>
          </cell>
          <cell r="F27">
            <v>881.99399999999991</v>
          </cell>
          <cell r="G27">
            <v>925.43499999999995</v>
          </cell>
          <cell r="H27">
            <v>1040.8739999999998</v>
          </cell>
          <cell r="I27">
            <v>1385.7190000000001</v>
          </cell>
          <cell r="J27">
            <v>1596.9159999999997</v>
          </cell>
          <cell r="K27">
            <v>1691.124</v>
          </cell>
          <cell r="L27">
            <v>1823.0530242938482</v>
          </cell>
          <cell r="M27">
            <v>1842.9370719042827</v>
          </cell>
          <cell r="N27">
            <v>1905.7600132896655</v>
          </cell>
          <cell r="P27" t="str">
            <v>Growth (%)</v>
          </cell>
        </row>
        <row r="28">
          <cell r="P28" t="str">
            <v>Net Interest Income</v>
          </cell>
          <cell r="Q28">
            <v>106.65613880989694</v>
          </cell>
          <cell r="R28">
            <v>2.45049033580933</v>
          </cell>
          <cell r="S28">
            <v>48.352707529440679</v>
          </cell>
          <cell r="T28">
            <v>5.2347356997618055</v>
          </cell>
          <cell r="U28">
            <v>9.3596144011218296</v>
          </cell>
          <cell r="V28">
            <v>5.5992132914523429</v>
          </cell>
          <cell r="W28">
            <v>20.793699350316007</v>
          </cell>
          <cell r="X28">
            <v>10.297051219417174</v>
          </cell>
          <cell r="Y28">
            <v>8.1509821321140272</v>
          </cell>
          <cell r="Z28">
            <v>-11.370761049593025</v>
          </cell>
          <cell r="AA28">
            <v>10.27949039961249</v>
          </cell>
          <cell r="AB28">
            <v>4.5040308931621587</v>
          </cell>
        </row>
        <row r="29">
          <cell r="B29" t="str">
            <v>Pre-tax Operating Profit</v>
          </cell>
          <cell r="C29">
            <v>-912.76365500000099</v>
          </cell>
          <cell r="D29">
            <v>396.49261000000001</v>
          </cell>
          <cell r="E29">
            <v>863.57489600000076</v>
          </cell>
          <cell r="F29">
            <v>275.09799999999973</v>
          </cell>
          <cell r="G29">
            <v>852.51299999999992</v>
          </cell>
          <cell r="H29">
            <v>927.79200000000014</v>
          </cell>
          <cell r="I29">
            <v>1297.8860000000004</v>
          </cell>
          <cell r="J29">
            <v>1675.5370000000012</v>
          </cell>
          <cell r="K29">
            <v>567.49599999999714</v>
          </cell>
          <cell r="L29">
            <v>-18.204228144340959</v>
          </cell>
          <cell r="M29">
            <v>429.66433681290255</v>
          </cell>
          <cell r="N29">
            <v>546.03990499165366</v>
          </cell>
          <cell r="P29" t="str">
            <v>Non-interest Income</v>
          </cell>
          <cell r="Q29">
            <v>-14.398329944294208</v>
          </cell>
          <cell r="R29">
            <v>198.38550086648726</v>
          </cell>
          <cell r="S29">
            <v>-33.229664529099736</v>
          </cell>
          <cell r="T29">
            <v>-40.215333932196607</v>
          </cell>
          <cell r="U29">
            <v>-6.5208767497542119</v>
          </cell>
          <cell r="V29">
            <v>-23.48212539460668</v>
          </cell>
          <cell r="W29">
            <v>222.63388692389242</v>
          </cell>
          <cell r="X29">
            <v>70.41353250697442</v>
          </cell>
          <cell r="Y29">
            <v>-39.26203107237621</v>
          </cell>
          <cell r="Z29">
            <v>-41.431945595986605</v>
          </cell>
          <cell r="AA29">
            <v>25.761471785073773</v>
          </cell>
          <cell r="AB29">
            <v>4.5527930893045854</v>
          </cell>
        </row>
        <row r="30">
          <cell r="B30" t="str">
            <v>Associate Profit/Loss</v>
          </cell>
          <cell r="C30">
            <v>426.75069199999996</v>
          </cell>
          <cell r="D30">
            <v>140.88274299999995</v>
          </cell>
          <cell r="E30">
            <v>11.490430000000039</v>
          </cell>
          <cell r="F30">
            <v>217.70100000000002</v>
          </cell>
          <cell r="G30">
            <v>157.06899999999999</v>
          </cell>
          <cell r="H30">
            <v>240.27599999999995</v>
          </cell>
          <cell r="I30">
            <v>158.91</v>
          </cell>
          <cell r="J30">
            <v>81.469999999999956</v>
          </cell>
          <cell r="K30">
            <v>81.254999999999981</v>
          </cell>
          <cell r="L30">
            <v>48.462601086322643</v>
          </cell>
          <cell r="M30">
            <v>52.190825755326848</v>
          </cell>
          <cell r="N30">
            <v>53.441358901211217</v>
          </cell>
          <cell r="P30" t="str">
            <v>Non-interest Expense</v>
          </cell>
          <cell r="Q30">
            <v>136.11256364542524</v>
          </cell>
          <cell r="R30">
            <v>6.5519704434900516</v>
          </cell>
          <cell r="S30">
            <v>13.423083316830752</v>
          </cell>
          <cell r="T30">
            <v>3.3827188165483468</v>
          </cell>
          <cell r="U30">
            <v>4.9253169522695206</v>
          </cell>
          <cell r="V30">
            <v>12.474025728441207</v>
          </cell>
          <cell r="W30">
            <v>33.130330856568648</v>
          </cell>
          <cell r="X30">
            <v>15.240968767838181</v>
          </cell>
          <cell r="Y30">
            <v>5.8993710376751496</v>
          </cell>
          <cell r="Z30">
            <v>7.8012626095926851</v>
          </cell>
          <cell r="AA30">
            <v>1.0907004538793563</v>
          </cell>
          <cell r="AB30">
            <v>3.4088489695673019</v>
          </cell>
        </row>
        <row r="31">
          <cell r="P31" t="str">
            <v>Recurrent Net Profit After Tax (FD)</v>
          </cell>
          <cell r="Q31" t="str">
            <v>NM</v>
          </cell>
          <cell r="R31" t="str">
            <v>NM</v>
          </cell>
          <cell r="S31">
            <v>92.289899611111579</v>
          </cell>
          <cell r="T31">
            <v>-52.311149447730983</v>
          </cell>
          <cell r="U31">
            <v>289.53996825160164</v>
          </cell>
          <cell r="V31">
            <v>-35.955179788548044</v>
          </cell>
          <cell r="W31">
            <v>28.763167392692047</v>
          </cell>
          <cell r="X31">
            <v>36.061672010486603</v>
          </cell>
          <cell r="Y31">
            <v>-66.470062224641623</v>
          </cell>
          <cell r="Z31" t="str">
            <v>NM</v>
          </cell>
          <cell r="AA31" t="str">
            <v>NM</v>
          </cell>
          <cell r="AB31">
            <v>27.085228679201911</v>
          </cell>
        </row>
        <row r="32">
          <cell r="B32" t="str">
            <v>Profit Before Tax</v>
          </cell>
          <cell r="C32">
            <v>-486.01296300000104</v>
          </cell>
          <cell r="D32">
            <v>537.3753529999999</v>
          </cell>
          <cell r="E32">
            <v>875.06532600000082</v>
          </cell>
          <cell r="F32">
            <v>492.79899999999975</v>
          </cell>
          <cell r="G32">
            <v>1009.5819999999999</v>
          </cell>
          <cell r="H32">
            <v>1168.0680000000002</v>
          </cell>
          <cell r="I32">
            <v>1456.7960000000005</v>
          </cell>
          <cell r="J32">
            <v>1757.0070000000012</v>
          </cell>
          <cell r="K32">
            <v>648.75099999999713</v>
          </cell>
          <cell r="L32">
            <v>30.258372941981683</v>
          </cell>
          <cell r="M32">
            <v>481.85516256822939</v>
          </cell>
          <cell r="N32">
            <v>599.48126389286483</v>
          </cell>
          <cell r="P32" t="str">
            <v>Net Profit</v>
          </cell>
          <cell r="Q32" t="str">
            <v>NM</v>
          </cell>
          <cell r="R32" t="str">
            <v>NM</v>
          </cell>
          <cell r="S32">
            <v>43.765372177739323</v>
          </cell>
          <cell r="T32">
            <v>-15.693943919469033</v>
          </cell>
          <cell r="U32">
            <v>157.5195639184688</v>
          </cell>
          <cell r="V32">
            <v>-31.913513269983795</v>
          </cell>
          <cell r="W32">
            <v>13.231401750423522</v>
          </cell>
          <cell r="X32">
            <v>27.171558582214629</v>
          </cell>
          <cell r="Y32">
            <v>-62.974360231170209</v>
          </cell>
          <cell r="Z32">
            <v>-94.725224184289218</v>
          </cell>
          <cell r="AA32">
            <v>1354.0429599715058</v>
          </cell>
          <cell r="AB32">
            <v>24.743953440358467</v>
          </cell>
        </row>
        <row r="33">
          <cell r="B33" t="str">
            <v>Effective Tax</v>
          </cell>
          <cell r="C33">
            <v>13.252741000000006</v>
          </cell>
          <cell r="D33">
            <v>110.69337200000005</v>
          </cell>
          <cell r="E33">
            <v>261.64438800000005</v>
          </cell>
          <cell r="F33">
            <v>-24.351999999999972</v>
          </cell>
          <cell r="G33">
            <v>-322.18300000000005</v>
          </cell>
          <cell r="H33">
            <v>261.31600000000003</v>
          </cell>
          <cell r="I33">
            <v>415.85799999999995</v>
          </cell>
          <cell r="J33">
            <v>433.82999999999993</v>
          </cell>
          <cell r="K33">
            <v>165.084</v>
          </cell>
          <cell r="L33">
            <v>7.9436802519606671</v>
          </cell>
          <cell r="M33">
            <v>106.00813576501041</v>
          </cell>
          <cell r="N33">
            <v>131.88587805643027</v>
          </cell>
        </row>
        <row r="34">
          <cell r="B34" t="str">
            <v xml:space="preserve">Minority Interests 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14.21</v>
          </cell>
          <cell r="J34">
            <v>17.471</v>
          </cell>
          <cell r="K34">
            <v>0.22100000000000009</v>
          </cell>
          <cell r="L34">
            <v>-3.1859999999999991</v>
          </cell>
          <cell r="M34">
            <v>5.056</v>
          </cell>
          <cell r="N34">
            <v>5.056</v>
          </cell>
          <cell r="P34" t="str">
            <v>Gross Customer Loans</v>
          </cell>
          <cell r="Q34">
            <v>98.571347450617594</v>
          </cell>
          <cell r="R34">
            <v>18.111401357876588</v>
          </cell>
          <cell r="S34">
            <v>24.253726023955458</v>
          </cell>
          <cell r="T34">
            <v>8.5218154890679187</v>
          </cell>
          <cell r="U34">
            <v>6.1168569832166675</v>
          </cell>
          <cell r="V34">
            <v>12.339403243774028</v>
          </cell>
          <cell r="W34">
            <v>25.987519316939967</v>
          </cell>
          <cell r="X34">
            <v>5.6257915515370183</v>
          </cell>
          <cell r="Y34">
            <v>16.919757601310792</v>
          </cell>
          <cell r="Z34">
            <v>3.112279736774437</v>
          </cell>
          <cell r="AA34">
            <v>2.9666312698659603</v>
          </cell>
          <cell r="AB34">
            <v>4.9842277604434049</v>
          </cell>
        </row>
        <row r="35">
          <cell r="B35" t="str">
            <v>Preference Dividend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 t="str">
            <v>Total Deposits</v>
          </cell>
          <cell r="Q35">
            <v>80.822132561453813</v>
          </cell>
          <cell r="R35">
            <v>17.588712031559051</v>
          </cell>
          <cell r="S35">
            <v>11.708149820740065</v>
          </cell>
          <cell r="T35">
            <v>5.3625104341374019</v>
          </cell>
          <cell r="U35">
            <v>-2.0612986597465577</v>
          </cell>
          <cell r="V35">
            <v>12.055952603807384</v>
          </cell>
          <cell r="W35">
            <v>24.206983569405228</v>
          </cell>
          <cell r="X35">
            <v>1.805147296187859</v>
          </cell>
          <cell r="Y35">
            <v>16.897689626140068</v>
          </cell>
          <cell r="Z35">
            <v>3.7894857993363118</v>
          </cell>
          <cell r="AA35">
            <v>4.2068846213306532</v>
          </cell>
          <cell r="AB35">
            <v>4.2104445396361045</v>
          </cell>
        </row>
        <row r="36">
          <cell r="B36" t="str">
            <v>Net Profit</v>
          </cell>
          <cell r="C36">
            <v>-499.26570400000105</v>
          </cell>
          <cell r="D36">
            <v>426.68198099999984</v>
          </cell>
          <cell r="E36">
            <v>613.42093800000077</v>
          </cell>
          <cell r="F36">
            <v>517.15099999999973</v>
          </cell>
          <cell r="G36">
            <v>1331.7649999999999</v>
          </cell>
          <cell r="H36">
            <v>906.75200000000018</v>
          </cell>
          <cell r="I36">
            <v>1026.7280000000005</v>
          </cell>
          <cell r="J36">
            <v>1305.7060000000013</v>
          </cell>
          <cell r="K36">
            <v>483.44599999999713</v>
          </cell>
          <cell r="L36">
            <v>25.500692690021015</v>
          </cell>
          <cell r="M36">
            <v>370.79102680321898</v>
          </cell>
          <cell r="N36">
            <v>462.53938583643458</v>
          </cell>
          <cell r="P36" t="str">
            <v>Avg Earning Assets</v>
          </cell>
          <cell r="Q36">
            <v>88.167259551365262</v>
          </cell>
          <cell r="R36">
            <v>36.93434240896849</v>
          </cell>
          <cell r="S36">
            <v>-22.031046812728349</v>
          </cell>
          <cell r="T36">
            <v>50.738856597325956</v>
          </cell>
          <cell r="U36">
            <v>6.03792745648013</v>
          </cell>
          <cell r="V36">
            <v>6.9834546601466485</v>
          </cell>
          <cell r="W36">
            <v>16.779783504884538</v>
          </cell>
          <cell r="X36">
            <v>12.013751923354077</v>
          </cell>
          <cell r="Y36">
            <v>15.497137071532595</v>
          </cell>
          <cell r="Z36">
            <v>7.2711573025788567</v>
          </cell>
          <cell r="AA36">
            <v>2.9418296008997036</v>
          </cell>
          <cell r="AB36">
            <v>4.0082247354085832</v>
          </cell>
        </row>
        <row r="37">
          <cell r="B37" t="str">
            <v>EPS - Reported (Won)</v>
          </cell>
          <cell r="C37">
            <v>-2026.5449925516457</v>
          </cell>
          <cell r="D37">
            <v>1685.7704260631817</v>
          </cell>
          <cell r="E37">
            <v>3106.995356780782</v>
          </cell>
          <cell r="F37">
            <v>2619.3852479070993</v>
          </cell>
          <cell r="G37">
            <v>6923.5306871130269</v>
          </cell>
          <cell r="H37">
            <v>4439.2865876809456</v>
          </cell>
          <cell r="I37">
            <v>4846.4492782926609</v>
          </cell>
          <cell r="J37">
            <v>6163.3050831012688</v>
          </cell>
          <cell r="K37">
            <v>2282.0031379230513</v>
          </cell>
          <cell r="L37">
            <v>120.37054963292636</v>
          </cell>
          <cell r="M37">
            <v>1750.2395028165729</v>
          </cell>
          <cell r="N37">
            <v>2183.3179504882673</v>
          </cell>
          <cell r="P37" t="str">
            <v>Total Interest-bearing Liab</v>
          </cell>
          <cell r="Q37" t="e">
            <v>#DIV/0!</v>
          </cell>
          <cell r="R37" t="e">
            <v>#DIV/0!</v>
          </cell>
          <cell r="S37" t="e">
            <v>#DIV/0!</v>
          </cell>
          <cell r="T37">
            <v>50.468167415994799</v>
          </cell>
          <cell r="U37">
            <v>6.4602573761064264</v>
          </cell>
          <cell r="V37">
            <v>5.2918044571224954</v>
          </cell>
          <cell r="W37">
            <v>14.958415408508486</v>
          </cell>
          <cell r="X37">
            <v>12.049283619728568</v>
          </cell>
          <cell r="Y37">
            <v>16.479162767203981</v>
          </cell>
          <cell r="Z37">
            <v>6.9575956644489789</v>
          </cell>
          <cell r="AA37">
            <v>4.0218286723957553</v>
          </cell>
          <cell r="AB37">
            <v>3.7208456411233382</v>
          </cell>
        </row>
        <row r="38">
          <cell r="B38" t="str">
            <v>EPS - ModelWare (Won)</v>
          </cell>
          <cell r="E38">
            <v>3122.8262595033743</v>
          </cell>
          <cell r="F38">
            <v>2829.7916525806068</v>
          </cell>
          <cell r="G38">
            <v>7151.4808510217081</v>
          </cell>
          <cell r="H38">
            <v>4671.3725171181186</v>
          </cell>
          <cell r="I38">
            <v>5112.3854423884386</v>
          </cell>
          <cell r="J38">
            <v>5747.5163757678292</v>
          </cell>
          <cell r="K38">
            <v>2403.9328323577774</v>
          </cell>
          <cell r="L38">
            <v>292.8636784848552</v>
          </cell>
          <cell r="M38">
            <v>1964.5760232052346</v>
          </cell>
          <cell r="N38">
            <v>2425.8550071673485</v>
          </cell>
          <cell r="P38" t="str">
            <v>Risk-weighted Assets</v>
          </cell>
          <cell r="Q38" t="e">
            <v>#DIV/0!</v>
          </cell>
          <cell r="R38" t="e">
            <v>#DIV/0!</v>
          </cell>
          <cell r="S38" t="e">
            <v>#DIV/0!</v>
          </cell>
          <cell r="T38">
            <v>5.3618152214711223</v>
          </cell>
          <cell r="U38">
            <v>8.5345539660518064</v>
          </cell>
          <cell r="V38">
            <v>11.382386358592678</v>
          </cell>
          <cell r="W38">
            <v>31.04489215718278</v>
          </cell>
          <cell r="X38">
            <v>9.2516041331763823</v>
          </cell>
          <cell r="Y38">
            <v>3.7383962970121143</v>
          </cell>
          <cell r="Z38">
            <v>2.3509569004365849</v>
          </cell>
          <cell r="AA38">
            <v>4.282723025312074</v>
          </cell>
          <cell r="AB38">
            <v>5.1759185747033198</v>
          </cell>
        </row>
        <row r="40">
          <cell r="B40" t="str">
            <v>Selective Balance Sheet Data</v>
          </cell>
          <cell r="P40" t="str">
            <v>Revenue Breakdown (%)</v>
          </cell>
        </row>
        <row r="41">
          <cell r="B41" t="str">
            <v>Won billions, Year ending Dec 31</v>
          </cell>
          <cell r="C41">
            <v>2000</v>
          </cell>
          <cell r="D41">
            <v>2001</v>
          </cell>
          <cell r="E41">
            <v>2002</v>
          </cell>
          <cell r="F41">
            <v>2003</v>
          </cell>
          <cell r="G41">
            <v>2004</v>
          </cell>
          <cell r="H41">
            <v>2005</v>
          </cell>
          <cell r="I41">
            <v>2006</v>
          </cell>
          <cell r="J41">
            <v>2007</v>
          </cell>
          <cell r="K41">
            <v>2008</v>
          </cell>
          <cell r="L41" t="str">
            <v>2009E</v>
          </cell>
          <cell r="M41" t="str">
            <v>2010E</v>
          </cell>
          <cell r="N41" t="str">
            <v>2011E</v>
          </cell>
          <cell r="P41" t="str">
            <v>NII/Operating Income</v>
          </cell>
          <cell r="Q41">
            <v>83.320884224344184</v>
          </cell>
          <cell r="R41">
            <v>63.170429317706592</v>
          </cell>
          <cell r="S41">
            <v>79.213926813576606</v>
          </cell>
          <cell r="T41">
            <v>87.026604927673873</v>
          </cell>
          <cell r="U41">
            <v>88.697589424134435</v>
          </cell>
          <cell r="V41">
            <v>91.547093968782917</v>
          </cell>
          <cell r="W41">
            <v>80.216947321110439</v>
          </cell>
          <cell r="X41">
            <v>72.40934673892211</v>
          </cell>
          <cell r="Y41">
            <v>82.372878637700225</v>
          </cell>
          <cell r="Z41">
            <v>87.610917199057283</v>
          </cell>
          <cell r="AA41">
            <v>86.113163198175059</v>
          </cell>
          <cell r="AB41">
            <v>86.107583702451706</v>
          </cell>
        </row>
        <row r="42">
          <cell r="B42" t="str">
            <v>Total Assets</v>
          </cell>
          <cell r="C42">
            <v>60913.659992000001</v>
          </cell>
          <cell r="D42">
            <v>67033.145632</v>
          </cell>
          <cell r="E42">
            <v>74420.016474000004</v>
          </cell>
          <cell r="F42">
            <v>80566.457999999999</v>
          </cell>
          <cell r="G42">
            <v>82423.207999999984</v>
          </cell>
          <cell r="H42">
            <v>95915.497224970997</v>
          </cell>
          <cell r="I42">
            <v>116098.363</v>
          </cell>
          <cell r="J42">
            <v>126248.67</v>
          </cell>
          <cell r="K42">
            <v>157871.61400000003</v>
          </cell>
          <cell r="L42">
            <v>164305.24582727591</v>
          </cell>
          <cell r="M42">
            <v>171341.98442211625</v>
          </cell>
          <cell r="N42">
            <v>180210.50602008583</v>
          </cell>
          <cell r="P42" t="str">
            <v>Non-interest Inc/Opg Income</v>
          </cell>
          <cell r="Q42">
            <v>16.679115775655813</v>
          </cell>
          <cell r="R42">
            <v>36.829570682293422</v>
          </cell>
          <cell r="S42">
            <v>20.786073186423391</v>
          </cell>
          <cell r="T42">
            <v>12.973395072326136</v>
          </cell>
          <cell r="U42">
            <v>11.302410575865549</v>
          </cell>
          <cell r="V42">
            <v>8.4529060312170863</v>
          </cell>
          <cell r="W42">
            <v>19.783052678889568</v>
          </cell>
          <cell r="X42">
            <v>27.59065326107789</v>
          </cell>
          <cell r="Y42">
            <v>17.627121362299778</v>
          </cell>
          <cell r="Z42">
            <v>12.389082800942717</v>
          </cell>
          <cell r="AA42">
            <v>13.88683680182494</v>
          </cell>
          <cell r="AB42">
            <v>13.892416297548287</v>
          </cell>
        </row>
        <row r="43">
          <cell r="B43" t="str">
            <v>RWA</v>
          </cell>
          <cell r="C43">
            <v>0</v>
          </cell>
          <cell r="D43">
            <v>0</v>
          </cell>
          <cell r="E43">
            <v>48529.675000000003</v>
          </cell>
          <cell r="F43">
            <v>51131.746501080474</v>
          </cell>
          <cell r="G43">
            <v>55495.612999999998</v>
          </cell>
          <cell r="H43">
            <v>61812.338083729388</v>
          </cell>
          <cell r="I43">
            <v>81001.911781656396</v>
          </cell>
          <cell r="J43">
            <v>88495.888000000006</v>
          </cell>
          <cell r="K43">
            <v>91804.214999999997</v>
          </cell>
          <cell r="L43">
            <v>93962.492527434137</v>
          </cell>
          <cell r="M43">
            <v>97986.645830063688</v>
          </cell>
          <cell r="N43">
            <v>103058.35483231071</v>
          </cell>
          <cell r="P43" t="str">
            <v>Forex Income/Operating Income</v>
          </cell>
          <cell r="Q43">
            <v>4.1347492318716563</v>
          </cell>
          <cell r="R43">
            <v>2.5362318096388701</v>
          </cell>
          <cell r="S43">
            <v>2.0331296160655943</v>
          </cell>
          <cell r="T43">
            <v>1.8483434035960928</v>
          </cell>
          <cell r="U43">
            <v>2.3029834946827874</v>
          </cell>
          <cell r="V43">
            <v>-0.2666395165817293</v>
          </cell>
          <cell r="W43">
            <v>0.80418751045862935</v>
          </cell>
          <cell r="X43">
            <v>1.3446065448082372</v>
          </cell>
          <cell r="Y43">
            <v>6.1095406066955205</v>
          </cell>
          <cell r="Z43">
            <v>-4.3590435930197762</v>
          </cell>
          <cell r="AA43">
            <v>0</v>
          </cell>
          <cell r="AB43">
            <v>0</v>
          </cell>
        </row>
        <row r="44">
          <cell r="B44" t="str">
            <v>Total Liquid Assets</v>
          </cell>
          <cell r="C44">
            <v>25970.409538</v>
          </cell>
          <cell r="D44">
            <v>25632.494008999998</v>
          </cell>
          <cell r="E44">
            <v>21427.787038999999</v>
          </cell>
          <cell r="F44">
            <v>22380.150999999998</v>
          </cell>
          <cell r="G44">
            <v>21344.007000000001</v>
          </cell>
          <cell r="H44">
            <v>29272.919657278002</v>
          </cell>
          <cell r="I44">
            <v>28502.98</v>
          </cell>
          <cell r="J44">
            <v>32248.152000000002</v>
          </cell>
          <cell r="K44">
            <v>37034.952000000005</v>
          </cell>
          <cell r="L44">
            <v>37956.005942415839</v>
          </cell>
          <cell r="M44">
            <v>39498.546464023035</v>
          </cell>
          <cell r="N44">
            <v>40536.405440138929</v>
          </cell>
        </row>
        <row r="45">
          <cell r="B45" t="str">
            <v>Gross Customer Loans</v>
          </cell>
          <cell r="C45">
            <v>35416.187191999998</v>
          </cell>
          <cell r="D45">
            <v>41830.555</v>
          </cell>
          <cell r="E45">
            <v>51976.023203999997</v>
          </cell>
          <cell r="F45">
            <v>56405.324000000001</v>
          </cell>
          <cell r="G45">
            <v>59855.556999999993</v>
          </cell>
          <cell r="H45">
            <v>67241.375542037</v>
          </cell>
          <cell r="I45">
            <v>84715.741000000009</v>
          </cell>
          <cell r="J45">
            <v>89481.671999999991</v>
          </cell>
          <cell r="K45">
            <v>104621.75399999999</v>
          </cell>
          <cell r="L45">
            <v>107877.87564999999</v>
          </cell>
          <cell r="M45">
            <v>111078.21444230001</v>
          </cell>
          <cell r="N45">
            <v>116614.60564233798</v>
          </cell>
          <cell r="P45" t="str">
            <v>Efficiency (%)</v>
          </cell>
        </row>
        <row r="46">
          <cell r="B46" t="str">
            <v>Total Customer Deposits</v>
          </cell>
          <cell r="C46">
            <v>37867.318066</v>
          </cell>
          <cell r="D46">
            <v>44748.851478999997</v>
          </cell>
          <cell r="E46">
            <v>48922.024000000005</v>
          </cell>
          <cell r="F46">
            <v>53861.928999999996</v>
          </cell>
          <cell r="G46">
            <v>53017.877</v>
          </cell>
          <cell r="H46">
            <v>57070.172606144006</v>
          </cell>
          <cell r="I46">
            <v>69649.535000000003</v>
          </cell>
          <cell r="J46">
            <v>69313.578000000009</v>
          </cell>
          <cell r="K46">
            <v>79464.37000000001</v>
          </cell>
          <cell r="L46">
            <v>82642.944800000012</v>
          </cell>
          <cell r="M46">
            <v>85948.662592000022</v>
          </cell>
          <cell r="N46">
            <v>89386.609095680033</v>
          </cell>
          <cell r="P46" t="str">
            <v>Cost/Income</v>
          </cell>
          <cell r="Q46">
            <v>54.425173971634663</v>
          </cell>
          <cell r="R46">
            <v>42.914813389209463</v>
          </cell>
          <cell r="S46">
            <v>41.143469813455617</v>
          </cell>
          <cell r="T46">
            <v>37.9</v>
          </cell>
          <cell r="U46">
            <v>43.423351814383686</v>
          </cell>
          <cell r="V46">
            <v>47.736178221962938</v>
          </cell>
          <cell r="W46">
            <v>46.100108087751678</v>
          </cell>
          <cell r="X46">
            <v>43.478388715607501</v>
          </cell>
          <cell r="Y46">
            <v>48.431282309616194</v>
          </cell>
          <cell r="Z46">
            <v>62.653708055491656</v>
          </cell>
          <cell r="AA46">
            <v>56.451378271616527</v>
          </cell>
          <cell r="AB46">
            <v>55.856159503658233</v>
          </cell>
        </row>
        <row r="47">
          <cell r="B47" t="str">
            <v>Certificates of Deposits</v>
          </cell>
          <cell r="C47">
            <v>2050.8671610000001</v>
          </cell>
          <cell r="D47">
            <v>2741.2278759999999</v>
          </cell>
          <cell r="E47">
            <v>4536.4353770000016</v>
          </cell>
          <cell r="F47">
            <v>2192.4790000000066</v>
          </cell>
          <cell r="G47">
            <v>1569.5350000000035</v>
          </cell>
          <cell r="H47">
            <v>3993.2857669409932</v>
          </cell>
          <cell r="I47">
            <v>6969.4489999999932</v>
          </cell>
          <cell r="J47">
            <v>8384.7350000000006</v>
          </cell>
          <cell r="K47">
            <v>9836.7279999999882</v>
          </cell>
          <cell r="L47">
            <v>10033.462559999989</v>
          </cell>
          <cell r="M47">
            <v>10635.470313599988</v>
          </cell>
          <cell r="N47">
            <v>11273.598532415988</v>
          </cell>
          <cell r="P47" t="str">
            <v>Expenses/Avg Assets</v>
          </cell>
          <cell r="Q47">
            <v>1.5133501595664849</v>
          </cell>
          <cell r="R47">
            <v>1.1757548542640748</v>
          </cell>
          <cell r="S47">
            <v>1.2062435852239075</v>
          </cell>
          <cell r="T47">
            <v>1.1381560913535849</v>
          </cell>
          <cell r="U47">
            <v>1.1355750615502214</v>
          </cell>
          <cell r="V47">
            <v>1.167300164803772</v>
          </cell>
          <cell r="W47">
            <v>1.3071966130229349</v>
          </cell>
          <cell r="X47">
            <v>1.3178754286626646</v>
          </cell>
          <cell r="Y47">
            <v>1.1904282061044258</v>
          </cell>
          <cell r="Z47">
            <v>1.1317094748960028</v>
          </cell>
          <cell r="AA47">
            <v>1.0981392997254564</v>
          </cell>
          <cell r="AB47">
            <v>1.0841965652938459</v>
          </cell>
        </row>
        <row r="48">
          <cell r="B48" t="str">
            <v>Other Interest Bearing Liability</v>
          </cell>
          <cell r="C48">
            <v>12510.805729</v>
          </cell>
          <cell r="D48">
            <v>9952.527562999996</v>
          </cell>
          <cell r="E48">
            <v>12105.286842000001</v>
          </cell>
          <cell r="F48">
            <v>13721.209999999992</v>
          </cell>
          <cell r="G48">
            <v>15615.631999999998</v>
          </cell>
          <cell r="H48">
            <v>20422.343376655008</v>
          </cell>
          <cell r="I48">
            <v>22728.152999999991</v>
          </cell>
          <cell r="J48">
            <v>27214.11</v>
          </cell>
          <cell r="K48">
            <v>34422.557000000001</v>
          </cell>
          <cell r="L48">
            <v>34502.425195289237</v>
          </cell>
          <cell r="M48">
            <v>34489.549009130031</v>
          </cell>
          <cell r="N48">
            <v>36124.470438170771</v>
          </cell>
        </row>
        <row r="49">
          <cell r="B49" t="str">
            <v>EOP Shareholders' Equity</v>
          </cell>
          <cell r="C49">
            <v>2309.1842869999932</v>
          </cell>
          <cell r="D49">
            <v>2614.2119130000001</v>
          </cell>
          <cell r="E49">
            <v>2730.5028729999995</v>
          </cell>
          <cell r="F49">
            <v>3254.91</v>
          </cell>
          <cell r="G49">
            <v>4860.7820000000002</v>
          </cell>
          <cell r="H49">
            <v>6629.1442996239894</v>
          </cell>
          <cell r="I49">
            <v>8006.2560000000103</v>
          </cell>
          <cell r="J49">
            <v>9569.4559999999929</v>
          </cell>
          <cell r="K49">
            <v>9300.2389999999996</v>
          </cell>
          <cell r="L49">
            <v>9481.8816926900254</v>
          </cell>
          <cell r="M49">
            <v>9810.8064008932433</v>
          </cell>
          <cell r="N49">
            <v>10231.479468129677</v>
          </cell>
          <cell r="P49" t="str">
            <v>Rev Per Employee</v>
          </cell>
          <cell r="Q49">
            <v>6.5454412242632168E-2</v>
          </cell>
          <cell r="R49">
            <v>9.1599243251718102E-2</v>
          </cell>
          <cell r="S49">
            <v>0.16006490130842571</v>
          </cell>
          <cell r="T49">
            <v>0.27943317388857625</v>
          </cell>
          <cell r="U49">
            <v>0.30981130978339877</v>
          </cell>
          <cell r="V49">
            <v>0.31418904899135447</v>
          </cell>
          <cell r="W49">
            <v>0.41320929273489593</v>
          </cell>
          <cell r="X49">
            <v>0.48368947125831319</v>
          </cell>
          <cell r="Y49">
            <v>0.42518124809741215</v>
          </cell>
          <cell r="Z49">
            <v>0.34491807238409961</v>
          </cell>
          <cell r="AA49">
            <v>0.39420937673879991</v>
          </cell>
          <cell r="AB49">
            <v>0.40975382957014084</v>
          </cell>
        </row>
        <row r="50">
          <cell r="P50" t="str">
            <v>Exp Per Employee</v>
          </cell>
          <cell r="Q50">
            <v>3.5623677735163499E-2</v>
          </cell>
          <cell r="R50">
            <v>3.9309644307402865E-2</v>
          </cell>
          <cell r="S50">
            <v>6.5856254351769658E-2</v>
          </cell>
          <cell r="T50">
            <v>0.12408469330332018</v>
          </cell>
          <cell r="U50">
            <v>0.13453045500799535</v>
          </cell>
          <cell r="V50">
            <v>0.14998184438040343</v>
          </cell>
          <cell r="W50">
            <v>0.19048993057942126</v>
          </cell>
          <cell r="X50">
            <v>0.210300388490156</v>
          </cell>
          <cell r="Y50">
            <v>0.2059207305936073</v>
          </cell>
          <cell r="Z50">
            <v>0.21610396210216315</v>
          </cell>
          <cell r="AA50">
            <v>0.22253662644500183</v>
          </cell>
          <cell r="AB50">
            <v>0.22887275261704582</v>
          </cell>
        </row>
        <row r="51">
          <cell r="B51" t="str">
            <v>Avg Loans</v>
          </cell>
          <cell r="C51">
            <v>26625.842215500001</v>
          </cell>
          <cell r="D51">
            <v>38623.371096000003</v>
          </cell>
          <cell r="E51">
            <v>46903.289101999995</v>
          </cell>
          <cell r="F51">
            <v>54190.673601999995</v>
          </cell>
          <cell r="G51">
            <v>58130.440499999997</v>
          </cell>
          <cell r="H51">
            <v>63548.466271018493</v>
          </cell>
          <cell r="I51">
            <v>75978.558271018497</v>
          </cell>
          <cell r="J51">
            <v>87098.7065</v>
          </cell>
          <cell r="K51">
            <v>97051.712999999989</v>
          </cell>
          <cell r="L51">
            <v>106249.81482499998</v>
          </cell>
          <cell r="M51">
            <v>109478.04504615</v>
          </cell>
          <cell r="N51">
            <v>113846.410042319</v>
          </cell>
          <cell r="P51" t="str">
            <v>Rev Per Branch</v>
          </cell>
          <cell r="Q51">
            <v>1.1362633666228639</v>
          </cell>
          <cell r="R51">
            <v>1.536113689745837</v>
          </cell>
          <cell r="S51">
            <v>2.4366166439482968</v>
          </cell>
          <cell r="T51">
            <v>3.5468053571428566</v>
          </cell>
          <cell r="U51">
            <v>3.8961462522851922</v>
          </cell>
          <cell r="V51">
            <v>3.9681019108280258</v>
          </cell>
          <cell r="W51">
            <v>5.2967242290748908</v>
          </cell>
          <cell r="X51">
            <v>6.1729344537815143</v>
          </cell>
          <cell r="Y51">
            <v>5.6228679549114284</v>
          </cell>
          <cell r="Z51">
            <v>4.5967280547113178</v>
          </cell>
          <cell r="AA51">
            <v>5.1574169880922138</v>
          </cell>
          <cell r="AB51">
            <v>5.3900578783882658</v>
          </cell>
        </row>
        <row r="52">
          <cell r="B52" t="str">
            <v>Avg Total Assets</v>
          </cell>
          <cell r="C52">
            <v>46646.097966000001</v>
          </cell>
          <cell r="D52">
            <v>63973.402812</v>
          </cell>
          <cell r="E52">
            <v>70726.581053000002</v>
          </cell>
          <cell r="F52">
            <v>77493.237236999994</v>
          </cell>
          <cell r="G52">
            <v>81494.832999999984</v>
          </cell>
          <cell r="H52">
            <v>89169.352612485498</v>
          </cell>
          <cell r="I52">
            <v>106006.9301124855</v>
          </cell>
          <cell r="J52">
            <v>121173.5165</v>
          </cell>
          <cell r="K52">
            <v>142060.14200000002</v>
          </cell>
          <cell r="L52">
            <v>161088.42991363799</v>
          </cell>
          <cell r="M52">
            <v>167823.61512469608</v>
          </cell>
          <cell r="N52">
            <v>175776.24522110104</v>
          </cell>
          <cell r="P52" t="str">
            <v>Exp Per Branch</v>
          </cell>
          <cell r="Q52">
            <v>0.61841331406044675</v>
          </cell>
          <cell r="R52">
            <v>0.65922032340052594</v>
          </cell>
          <cell r="S52">
            <v>1.0025086333725031</v>
          </cell>
          <cell r="T52">
            <v>1.5749892857142855</v>
          </cell>
          <cell r="U52">
            <v>1.6918372943327238</v>
          </cell>
          <cell r="V52">
            <v>1.8942202001819832</v>
          </cell>
          <cell r="W52">
            <v>2.4417955947136565</v>
          </cell>
          <cell r="X52">
            <v>2.6838924369747894</v>
          </cell>
          <cell r="Y52">
            <v>2.7232270531400968</v>
          </cell>
          <cell r="Z52">
            <v>2.8800205755037096</v>
          </cell>
          <cell r="AA52">
            <v>2.9114329729925479</v>
          </cell>
          <cell r="AB52">
            <v>3.0106793258920468</v>
          </cell>
        </row>
        <row r="53">
          <cell r="B53" t="str">
            <v>Avg Total Deposits</v>
          </cell>
          <cell r="C53">
            <v>32322.240476500003</v>
          </cell>
          <cell r="D53">
            <v>45285.3858415</v>
          </cell>
          <cell r="E53">
            <v>51811.351515000002</v>
          </cell>
          <cell r="F53">
            <v>56142.709453000003</v>
          </cell>
          <cell r="G53">
            <v>57014.987000000001</v>
          </cell>
          <cell r="H53">
            <v>59822.302157279497</v>
          </cell>
          <cell r="I53">
            <v>70875.595657279497</v>
          </cell>
          <cell r="J53">
            <v>79236.601500000004</v>
          </cell>
          <cell r="K53">
            <v>86699.833500000008</v>
          </cell>
          <cell r="L53">
            <v>95225.012599999987</v>
          </cell>
          <cell r="M53">
            <v>99035.9804496</v>
          </cell>
          <cell r="N53">
            <v>103204.10899632002</v>
          </cell>
          <cell r="P53" t="str">
            <v>Net Profit Per Branch</v>
          </cell>
          <cell r="Q53">
            <v>-0.43737687604029879</v>
          </cell>
          <cell r="R53">
            <v>0.37395440929009627</v>
          </cell>
          <cell r="S53">
            <v>0.72082366392479524</v>
          </cell>
          <cell r="T53">
            <v>0.92348392857142814</v>
          </cell>
          <cell r="U53">
            <v>2.4346709323583178</v>
          </cell>
          <cell r="V53">
            <v>1.6501401273885354</v>
          </cell>
          <cell r="W53">
            <v>1.809212334801763</v>
          </cell>
          <cell r="X53">
            <v>2.1944638655462207</v>
          </cell>
          <cell r="Y53">
            <v>0.77849597423510009</v>
          </cell>
          <cell r="Z53">
            <v>4.0285454486605081E-2</v>
          </cell>
          <cell r="AA53">
            <v>0.58576781485500629</v>
          </cell>
          <cell r="AB53">
            <v>0.73070993023133424</v>
          </cell>
        </row>
        <row r="54">
          <cell r="B54" t="str">
            <v>Avg Shareholders' Equity</v>
          </cell>
          <cell r="D54">
            <v>2461.6980999999969</v>
          </cell>
          <cell r="E54">
            <v>2672.3573929999998</v>
          </cell>
          <cell r="F54">
            <v>2992.7064364999997</v>
          </cell>
          <cell r="G54">
            <v>4057.846</v>
          </cell>
          <cell r="H54">
            <v>5744.9631498119943</v>
          </cell>
          <cell r="I54">
            <v>7317.7001498119998</v>
          </cell>
          <cell r="J54">
            <v>8787.8560000000016</v>
          </cell>
          <cell r="K54">
            <v>9434.8474999999962</v>
          </cell>
          <cell r="L54">
            <v>9391.0603463450134</v>
          </cell>
          <cell r="M54">
            <v>9646.3440467916334</v>
          </cell>
          <cell r="N54">
            <v>10021.142934511459</v>
          </cell>
        </row>
        <row r="55">
          <cell r="B55" t="str">
            <v>Avg Equity/Avg Assets (%)</v>
          </cell>
          <cell r="C55">
            <v>4.3677219356804979</v>
          </cell>
          <cell r="D55">
            <v>3.8480024381917617</v>
          </cell>
          <cell r="E55">
            <v>3.7784342933209647</v>
          </cell>
          <cell r="F55">
            <v>3.861893686732059</v>
          </cell>
          <cell r="G55">
            <v>4.9792678267099477</v>
          </cell>
          <cell r="H55">
            <v>6.442755253342038</v>
          </cell>
          <cell r="I55">
            <v>6.9030393975630471</v>
          </cell>
          <cell r="J55">
            <v>7.2522909739934818</v>
          </cell>
          <cell r="K55">
            <v>6.6414459166174806</v>
          </cell>
          <cell r="L55">
            <v>5.8297547200501656</v>
          </cell>
          <cell r="M55">
            <v>5.7479062405038883</v>
          </cell>
          <cell r="N55">
            <v>5.7010791884343153</v>
          </cell>
          <cell r="P55" t="str">
            <v>Net Interest Margin Analysis (%)</v>
          </cell>
        </row>
        <row r="56">
          <cell r="B56" t="str">
            <v>Avg EA/Avg Assets (%)</v>
          </cell>
          <cell r="C56">
            <v>89.247380963878484</v>
          </cell>
          <cell r="D56">
            <v>89.109442986057431</v>
          </cell>
          <cell r="E56">
            <v>62.843768427131806</v>
          </cell>
          <cell r="F56">
            <v>86.458221438528923</v>
          </cell>
          <cell r="G56">
            <v>87.176867090457137</v>
          </cell>
          <cell r="H56">
            <v>85.237820398114849</v>
          </cell>
          <cell r="I56">
            <v>83.730051333262693</v>
          </cell>
          <cell r="J56">
            <v>82.050125202069211</v>
          </cell>
          <cell r="K56">
            <v>80.832485722842648</v>
          </cell>
          <cell r="L56">
            <v>76.467483166854691</v>
          </cell>
          <cell r="M56">
            <v>75.557913301449304</v>
          </cell>
          <cell r="N56">
            <v>75.030964286020506</v>
          </cell>
          <cell r="P56" t="str">
            <v>Int Income/Avg EA</v>
          </cell>
          <cell r="Q56">
            <v>10.643674871597739</v>
          </cell>
          <cell r="R56">
            <v>7.3511509692589723</v>
          </cell>
          <cell r="S56">
            <v>6.7593665687715969</v>
          </cell>
          <cell r="T56">
            <v>6.3411313363885</v>
          </cell>
          <cell r="U56">
            <v>6.1076173974259129</v>
          </cell>
          <cell r="V56">
            <v>5.8021686014085239</v>
          </cell>
          <cell r="W56">
            <v>6.2075262413418288</v>
          </cell>
          <cell r="X56">
            <v>6.5828234430452133</v>
          </cell>
          <cell r="Y56">
            <v>6.8408134671669467</v>
          </cell>
          <cell r="Z56">
            <v>6.2134847638400847</v>
          </cell>
          <cell r="AA56">
            <v>6.4918681354455359</v>
          </cell>
          <cell r="AB56">
            <v>6.5820049613349196</v>
          </cell>
        </row>
        <row r="57">
          <cell r="B57" t="str">
            <v>Avg Loans/Avg EA (%)</v>
          </cell>
          <cell r="C57">
            <v>63.957658202007863</v>
          </cell>
          <cell r="D57">
            <v>67.752760706585107</v>
          </cell>
          <cell r="E57">
            <v>105.5257419844756</v>
          </cell>
          <cell r="F57">
            <v>80.882478034107763</v>
          </cell>
          <cell r="G57">
            <v>81.822412864637954</v>
          </cell>
          <cell r="H57">
            <v>83.609788320802053</v>
          </cell>
          <cell r="I57">
            <v>85.600328841985601</v>
          </cell>
          <cell r="J57">
            <v>87.604163249031004</v>
          </cell>
          <cell r="K57">
            <v>84.517185571836038</v>
          </cell>
          <cell r="L57">
            <v>86.255547683076585</v>
          </cell>
          <cell r="M57">
            <v>86.336413980864961</v>
          </cell>
          <cell r="N57">
            <v>86.321430591007115</v>
          </cell>
          <cell r="P57" t="str">
            <v>Int Exp/Avg Int Bearing Liab.</v>
          </cell>
          <cell r="Q57" t="e">
            <v>#DIV/0!</v>
          </cell>
          <cell r="R57" t="e">
            <v>#DIV/0!</v>
          </cell>
          <cell r="S57">
            <v>4.6313369340110055</v>
          </cell>
          <cell r="T57">
            <v>4.0452670229563381</v>
          </cell>
          <cell r="U57">
            <v>3.6809119629991809</v>
          </cell>
          <cell r="V57">
            <v>3.4507662002186983</v>
          </cell>
          <cell r="W57">
            <v>3.9403417237731766</v>
          </cell>
          <cell r="X57">
            <v>4.4205356988732829</v>
          </cell>
          <cell r="Y57">
            <v>4.9115149565837148</v>
          </cell>
          <cell r="Z57">
            <v>4.6521562826867413</v>
          </cell>
          <cell r="AA57">
            <v>4.7449349222804189</v>
          </cell>
          <cell r="AB57">
            <v>4.8429787934421542</v>
          </cell>
        </row>
        <row r="58">
          <cell r="P58" t="str">
            <v xml:space="preserve">Net Interest Spread </v>
          </cell>
          <cell r="Q58">
            <v>0</v>
          </cell>
          <cell r="R58">
            <v>0</v>
          </cell>
          <cell r="S58">
            <v>2.1280296347605914</v>
          </cell>
          <cell r="T58">
            <v>2.2958643134321619</v>
          </cell>
          <cell r="U58">
            <v>2.426705434426732</v>
          </cell>
          <cell r="V58">
            <v>2.351402401189826</v>
          </cell>
          <cell r="W58">
            <v>2.2671845175686522</v>
          </cell>
          <cell r="X58">
            <v>2.1622877441719299</v>
          </cell>
          <cell r="Y58">
            <v>1.9292985105832314</v>
          </cell>
          <cell r="Z58">
            <v>1.561328481153343</v>
          </cell>
          <cell r="AA58">
            <v>1.7469332131651174</v>
          </cell>
          <cell r="AB58">
            <v>1.7390261678927654</v>
          </cell>
        </row>
        <row r="59">
          <cell r="B59" t="str">
            <v>Asset Quality</v>
          </cell>
          <cell r="P59" t="str">
            <v>Contribution From Free Funds</v>
          </cell>
          <cell r="Q59">
            <v>2.5959599671623828</v>
          </cell>
          <cell r="R59">
            <v>1.9422254990907144</v>
          </cell>
          <cell r="S59">
            <v>2.4739102507275401E-2</v>
          </cell>
          <cell r="T59">
            <v>2.8833988348912598E-2</v>
          </cell>
          <cell r="U59">
            <v>1.1681015467736255E-2</v>
          </cell>
          <cell r="V59">
            <v>6.5341927896537921E-2</v>
          </cell>
          <cell r="W59">
            <v>0.13490453061232621</v>
          </cell>
          <cell r="X59">
            <v>0.14999059313308605</v>
          </cell>
          <cell r="Y59">
            <v>0.12630604075538931</v>
          </cell>
          <cell r="Z59">
            <v>0.13288518858895615</v>
          </cell>
          <cell r="AA59">
            <v>8.7176499421316223E-2</v>
          </cell>
          <cell r="AB59">
            <v>0.1021133186356411</v>
          </cell>
        </row>
        <row r="60">
          <cell r="B60" t="str">
            <v>Won billions, Year ending Dec 31</v>
          </cell>
          <cell r="C60">
            <v>2000</v>
          </cell>
          <cell r="D60">
            <v>2001</v>
          </cell>
          <cell r="E60">
            <v>2002</v>
          </cell>
          <cell r="F60">
            <v>2003</v>
          </cell>
          <cell r="G60">
            <v>2004</v>
          </cell>
          <cell r="H60">
            <v>2005</v>
          </cell>
          <cell r="I60">
            <v>2006</v>
          </cell>
          <cell r="J60">
            <v>2007</v>
          </cell>
          <cell r="K60">
            <v>2008</v>
          </cell>
          <cell r="L60" t="str">
            <v>2009E</v>
          </cell>
          <cell r="M60" t="str">
            <v>2010E</v>
          </cell>
          <cell r="N60" t="str">
            <v>2011E</v>
          </cell>
          <cell r="P60" t="str">
            <v>Net Interest Margin</v>
          </cell>
          <cell r="Q60">
            <v>2.5959599671623828</v>
          </cell>
          <cell r="R60">
            <v>1.9422254990907144</v>
          </cell>
          <cell r="S60">
            <v>2.1527687372678668</v>
          </cell>
          <cell r="T60">
            <v>2.3246983017810745</v>
          </cell>
          <cell r="U60">
            <v>2.4383864498944683</v>
          </cell>
          <cell r="V60">
            <v>2.4167443290863639</v>
          </cell>
          <cell r="W60">
            <v>2.4020890481809785</v>
          </cell>
          <cell r="X60">
            <v>2.312278337305016</v>
          </cell>
          <cell r="Y60">
            <v>2.0556045513386207</v>
          </cell>
          <cell r="Z60">
            <v>1.6942136697422991</v>
          </cell>
          <cell r="AA60">
            <v>1.8341097125864336</v>
          </cell>
          <cell r="AB60">
            <v>1.8411394865284065</v>
          </cell>
        </row>
        <row r="61">
          <cell r="B61" t="str">
            <v>Non-performing Loans (NPL)</v>
          </cell>
          <cell r="C61">
            <v>0</v>
          </cell>
          <cell r="D61">
            <v>0</v>
          </cell>
          <cell r="E61">
            <v>979.94100000000003</v>
          </cell>
          <cell r="F61">
            <v>1134.2430000000002</v>
          </cell>
          <cell r="G61">
            <v>862.82200000000012</v>
          </cell>
          <cell r="H61">
            <v>635.66500000000008</v>
          </cell>
          <cell r="I61">
            <v>573.048</v>
          </cell>
          <cell r="J61">
            <v>687.15685434600005</v>
          </cell>
          <cell r="K61">
            <v>1257.5650000000001</v>
          </cell>
          <cell r="L61">
            <v>1943.6494220151201</v>
          </cell>
          <cell r="M61">
            <v>2010.8178262311749</v>
          </cell>
          <cell r="N61">
            <v>1646.4485325195558</v>
          </cell>
        </row>
        <row r="62">
          <cell r="B62" t="str">
            <v>Gross NPL Ratio (%)</v>
          </cell>
          <cell r="C62">
            <v>0</v>
          </cell>
          <cell r="D62">
            <v>0</v>
          </cell>
          <cell r="E62">
            <v>1.7407534800600934</v>
          </cell>
          <cell r="F62">
            <v>1.9842182085651967</v>
          </cell>
          <cell r="G62">
            <v>1.4362584111901322</v>
          </cell>
          <cell r="H62">
            <v>0.97864373109768032</v>
          </cell>
          <cell r="I62">
            <v>0.68631426610592261</v>
          </cell>
          <cell r="J62">
            <v>0.77334405874766943</v>
          </cell>
          <cell r="K62">
            <v>1.1987012754904474</v>
          </cell>
          <cell r="L62">
            <v>1.790020931506711</v>
          </cell>
          <cell r="M62">
            <v>1.796198119035552</v>
          </cell>
          <cell r="N62">
            <v>1.4033577174790395</v>
          </cell>
          <cell r="P62" t="str">
            <v>Liquidity (%)</v>
          </cell>
        </row>
        <row r="63">
          <cell r="B63" t="str">
            <v>Loan Loss Reserve (LLR)</v>
          </cell>
          <cell r="C63">
            <v>2315.1305339999999</v>
          </cell>
          <cell r="D63">
            <v>0</v>
          </cell>
          <cell r="E63">
            <v>915.74700000000007</v>
          </cell>
          <cell r="F63">
            <v>1081.7809999999999</v>
          </cell>
          <cell r="G63">
            <v>953.59899999999993</v>
          </cell>
          <cell r="H63">
            <v>811.20899999999995</v>
          </cell>
          <cell r="I63">
            <v>990.77899999999977</v>
          </cell>
          <cell r="J63">
            <v>1161.7883185707453</v>
          </cell>
          <cell r="K63">
            <v>1595.05</v>
          </cell>
          <cell r="L63">
            <v>1857.0001307794321</v>
          </cell>
          <cell r="M63">
            <v>1935.5941774127398</v>
          </cell>
          <cell r="N63">
            <v>1926.4274624788422</v>
          </cell>
          <cell r="P63" t="str">
            <v>Avg Loans/Avg EA</v>
          </cell>
          <cell r="Q63">
            <v>63.957658202007863</v>
          </cell>
          <cell r="R63">
            <v>67.752760706585107</v>
          </cell>
          <cell r="S63">
            <v>105.5257419844756</v>
          </cell>
          <cell r="T63">
            <v>80.882478034107763</v>
          </cell>
          <cell r="U63">
            <v>81.822412864637954</v>
          </cell>
          <cell r="V63">
            <v>83.609788320802053</v>
          </cell>
          <cell r="W63">
            <v>85.600328841985601</v>
          </cell>
          <cell r="X63">
            <v>87.604163249031004</v>
          </cell>
          <cell r="Y63">
            <v>84.517185571836038</v>
          </cell>
          <cell r="Z63">
            <v>86.255547683076585</v>
          </cell>
          <cell r="AA63">
            <v>86.336413980864961</v>
          </cell>
          <cell r="AB63">
            <v>86.321430591007115</v>
          </cell>
        </row>
        <row r="64">
          <cell r="B64" t="str">
            <v>LLR/NPL (%)</v>
          </cell>
          <cell r="C64" t="str">
            <v>na</v>
          </cell>
          <cell r="D64" t="str">
            <v>na</v>
          </cell>
          <cell r="E64">
            <v>93.449197451683318</v>
          </cell>
          <cell r="F64">
            <v>95.374712473429398</v>
          </cell>
          <cell r="G64">
            <v>110.52094174696516</v>
          </cell>
          <cell r="H64">
            <v>127.61580392187706</v>
          </cell>
          <cell r="I64">
            <v>172.89633678156102</v>
          </cell>
          <cell r="J64">
            <v>169.07177905930587</v>
          </cell>
          <cell r="K64">
            <v>126.83638619077342</v>
          </cell>
          <cell r="L64">
            <v>95.541927970433449</v>
          </cell>
          <cell r="M64">
            <v>96.25905202166301</v>
          </cell>
          <cell r="N64">
            <v>117.00502168329766</v>
          </cell>
          <cell r="P64" t="str">
            <v>Avg Liquid Assets/AEA</v>
          </cell>
          <cell r="Q64">
            <v>47.761146864929366</v>
          </cell>
          <cell r="R64">
            <v>45.260668302293368</v>
          </cell>
          <cell r="S64">
            <v>52.939475788025248</v>
          </cell>
          <cell r="T64">
            <v>32.692845010402309</v>
          </cell>
          <cell r="U64">
            <v>30.772312038773059</v>
          </cell>
          <cell r="V64">
            <v>33.297975321826357</v>
          </cell>
          <cell r="W64">
            <v>32.546261223879</v>
          </cell>
          <cell r="X64">
            <v>30.551843415099572</v>
          </cell>
          <cell r="Y64">
            <v>30.167488943553305</v>
          </cell>
          <cell r="Z64">
            <v>30.439517279420546</v>
          </cell>
          <cell r="AA64">
            <v>30.541047286905641</v>
          </cell>
          <cell r="AB64">
            <v>30.34233377706682</v>
          </cell>
        </row>
        <row r="65">
          <cell r="B65" t="str">
            <v>LLR/Total Credit (%)</v>
          </cell>
          <cell r="C65">
            <v>3.0002086490841178</v>
          </cell>
          <cell r="D65">
            <v>0</v>
          </cell>
          <cell r="E65">
            <v>1.6267201567284058</v>
          </cell>
          <cell r="F65">
            <v>1.8924424112644882</v>
          </cell>
          <cell r="G65">
            <v>1.5873663219673337</v>
          </cell>
          <cell r="H65">
            <v>1.2489040649713576</v>
          </cell>
          <cell r="I65">
            <v>1.1866122249063951</v>
          </cell>
          <cell r="J65">
            <v>1.3075065583741283</v>
          </cell>
          <cell r="K65">
            <v>1.5203893790547909</v>
          </cell>
          <cell r="L65">
            <v>1.7102205090358233</v>
          </cell>
          <cell r="M65">
            <v>1.7290032818145646</v>
          </cell>
          <cell r="N65">
            <v>1.641999001630581</v>
          </cell>
          <cell r="P65" t="str">
            <v>Avg Loans/Avg Deposits</v>
          </cell>
          <cell r="Q65">
            <v>82.376227090007617</v>
          </cell>
          <cell r="R65">
            <v>85.288819733551094</v>
          </cell>
          <cell r="S65">
            <v>90.527051950036338</v>
          </cell>
          <cell r="T65">
            <v>96.523082213133733</v>
          </cell>
          <cell r="U65">
            <v>101.95642156333386</v>
          </cell>
          <cell r="V65">
            <v>106.22872069340042</v>
          </cell>
          <cell r="W65">
            <v>107.19988674016159</v>
          </cell>
          <cell r="X65">
            <v>109.92231475248215</v>
          </cell>
          <cell r="Y65">
            <v>111.93990701262418</v>
          </cell>
          <cell r="Z65">
            <v>111.57763272902943</v>
          </cell>
          <cell r="AA65">
            <v>110.54370800303637</v>
          </cell>
          <cell r="AB65">
            <v>110.31189663812557</v>
          </cell>
        </row>
        <row r="66">
          <cell r="P66" t="str">
            <v>Avg Loans/Avg Depo &amp; Equity</v>
          </cell>
          <cell r="Q66">
            <v>85.085608734411295</v>
          </cell>
          <cell r="R66">
            <v>88.24208977346008</v>
          </cell>
          <cell r="S66">
            <v>94.739200112771243</v>
          </cell>
          <cell r="T66">
            <v>99.643264750248647</v>
          </cell>
          <cell r="U66">
            <v>101.10037612081126</v>
          </cell>
          <cell r="V66">
            <v>104.53943783415723</v>
          </cell>
          <cell r="W66">
            <v>107.50026567369369</v>
          </cell>
          <cell r="X66">
            <v>111.28064427467115</v>
          </cell>
          <cell r="Y66">
            <v>115.78058750280189</v>
          </cell>
          <cell r="Z66">
            <v>117.47487025497811</v>
          </cell>
          <cell r="AA66">
            <v>116.53772846017398</v>
          </cell>
          <cell r="AB66">
            <v>116.53990505974896</v>
          </cell>
        </row>
        <row r="67">
          <cell r="B67" t="str">
            <v>Specific Reserve</v>
          </cell>
          <cell r="C67">
            <v>0</v>
          </cell>
          <cell r="D67">
            <v>0</v>
          </cell>
          <cell r="E67">
            <v>271.33365500000002</v>
          </cell>
          <cell r="F67">
            <v>272.97055499999999</v>
          </cell>
          <cell r="G67">
            <v>289.30635000000001</v>
          </cell>
          <cell r="H67">
            <v>316.29219499999999</v>
          </cell>
          <cell r="I67">
            <v>409.67789499999998</v>
          </cell>
          <cell r="J67">
            <v>435.00255018420506</v>
          </cell>
          <cell r="K67">
            <v>509.20642999999995</v>
          </cell>
          <cell r="L67">
            <v>512.72478065445353</v>
          </cell>
          <cell r="M67">
            <v>528.58508210394768</v>
          </cell>
          <cell r="N67">
            <v>565.71621933927167</v>
          </cell>
          <cell r="P67" t="str">
            <v>Period-End Loans/Deposits</v>
          </cell>
          <cell r="Q67">
            <v>85.084430804538599</v>
          </cell>
          <cell r="R67">
            <v>85.462636527256279</v>
          </cell>
          <cell r="S67">
            <v>95.060665147378742</v>
          </cell>
          <cell r="T67">
            <v>97.911068376076543</v>
          </cell>
          <cell r="U67">
            <v>106.08691658920026</v>
          </cell>
          <cell r="V67">
            <v>106.3552682804809</v>
          </cell>
          <cell r="W67">
            <v>107.87989557332733</v>
          </cell>
          <cell r="X67">
            <v>111.92851899008586</v>
          </cell>
          <cell r="Y67">
            <v>111.94964888397743</v>
          </cell>
          <cell r="Z67">
            <v>111.21919935585782</v>
          </cell>
          <cell r="AA67">
            <v>109.89548657767077</v>
          </cell>
          <cell r="AB67">
            <v>110.71148236323631</v>
          </cell>
        </row>
        <row r="68">
          <cell r="B68" t="str">
            <v>Specific Reserve/NPLs (%)</v>
          </cell>
          <cell r="C68" t="str">
            <v>na</v>
          </cell>
          <cell r="D68" t="str">
            <v>na</v>
          </cell>
          <cell r="E68">
            <v>27.688774630309375</v>
          </cell>
          <cell r="F68">
            <v>24.066320444560819</v>
          </cell>
          <cell r="G68">
            <v>33.530247258414825</v>
          </cell>
          <cell r="H68">
            <v>49.757686045322608</v>
          </cell>
          <cell r="I68">
            <v>71.491026057154016</v>
          </cell>
          <cell r="J68">
            <v>63.304694908154225</v>
          </cell>
          <cell r="K68">
            <v>40.491460083574204</v>
          </cell>
          <cell r="L68">
            <v>26.379488751776808</v>
          </cell>
          <cell r="M68">
            <v>26.287069629507982</v>
          </cell>
          <cell r="N68">
            <v>34.359787637792586</v>
          </cell>
        </row>
        <row r="69">
          <cell r="B69" t="str">
            <v>General Reserve</v>
          </cell>
          <cell r="C69">
            <v>2315.1305339999999</v>
          </cell>
          <cell r="D69">
            <v>0</v>
          </cell>
          <cell r="E69">
            <v>644.41334500000005</v>
          </cell>
          <cell r="F69">
            <v>808.81044499999996</v>
          </cell>
          <cell r="G69">
            <v>664.29264999999987</v>
          </cell>
          <cell r="H69">
            <v>494.91680499999995</v>
          </cell>
          <cell r="I69">
            <v>581.10110499999973</v>
          </cell>
          <cell r="J69">
            <v>726.78576838654021</v>
          </cell>
          <cell r="K69">
            <v>1085.84357</v>
          </cell>
          <cell r="L69">
            <v>1344.2753501249786</v>
          </cell>
          <cell r="M69">
            <v>1407.009095308792</v>
          </cell>
          <cell r="N69">
            <v>1360.7112431395706</v>
          </cell>
          <cell r="P69" t="str">
            <v>Capital Information</v>
          </cell>
        </row>
        <row r="70">
          <cell r="B70" t="str">
            <v>General Reserve/NPLs (%)</v>
          </cell>
          <cell r="C70" t="e">
            <v>#DIV/0!</v>
          </cell>
          <cell r="D70" t="e">
            <v>#DIV/0!</v>
          </cell>
          <cell r="E70">
            <v>65.760422821373936</v>
          </cell>
          <cell r="F70">
            <v>71.308392028868582</v>
          </cell>
          <cell r="G70">
            <v>76.990694488550332</v>
          </cell>
          <cell r="H70">
            <v>77.858117876554459</v>
          </cell>
          <cell r="I70">
            <v>101.40531072440699</v>
          </cell>
          <cell r="J70">
            <v>105.76708415115161</v>
          </cell>
          <cell r="K70">
            <v>86.344926107199228</v>
          </cell>
          <cell r="L70">
            <v>69.162439218656644</v>
          </cell>
          <cell r="M70">
            <v>69.971982392155013</v>
          </cell>
          <cell r="N70">
            <v>82.645234045505063</v>
          </cell>
          <cell r="P70" t="str">
            <v>Tier 1 Ratio (%)</v>
          </cell>
          <cell r="Q70" t="e">
            <v>#DIV/0!</v>
          </cell>
          <cell r="R70" t="e">
            <v>#DIV/0!</v>
          </cell>
          <cell r="S70">
            <v>5.7077502037031973</v>
          </cell>
          <cell r="T70">
            <v>6.2119320704425416</v>
          </cell>
          <cell r="U70">
            <v>7.5772079497527098</v>
          </cell>
          <cell r="V70">
            <v>9.2980198827211868</v>
          </cell>
          <cell r="W70">
            <v>7.932598629672249</v>
          </cell>
          <cell r="X70">
            <v>7.827630364023241</v>
          </cell>
          <cell r="Y70">
            <v>9.4265824287043909</v>
          </cell>
          <cell r="Z70">
            <v>9.4371844064279333</v>
          </cell>
          <cell r="AA70">
            <v>9.3639344054147635</v>
          </cell>
          <cell r="AB70">
            <v>9.3113055457209093</v>
          </cell>
        </row>
        <row r="71">
          <cell r="B71" t="str">
            <v>Net Charge-offs (NCO)</v>
          </cell>
          <cell r="C71">
            <v>1255.2463950000001</v>
          </cell>
          <cell r="D71">
            <v>1785.11</v>
          </cell>
          <cell r="E71">
            <v>0</v>
          </cell>
          <cell r="F71">
            <v>518.6</v>
          </cell>
          <cell r="G71">
            <v>362.79999999999995</v>
          </cell>
          <cell r="H71">
            <v>241.79999999999998</v>
          </cell>
          <cell r="I71">
            <v>101</v>
          </cell>
          <cell r="J71">
            <v>155.20000000000002</v>
          </cell>
          <cell r="K71">
            <v>280.79999999999995</v>
          </cell>
          <cell r="L71">
            <v>850.1833707658252</v>
          </cell>
          <cell r="M71">
            <v>887.31673532359741</v>
          </cell>
          <cell r="N71">
            <v>940.95577388195045</v>
          </cell>
          <cell r="P71" t="str">
            <v>Tier 2 Ratio (%)</v>
          </cell>
          <cell r="Q71" t="e">
            <v>#DIV/0!</v>
          </cell>
          <cell r="R71" t="e">
            <v>#DIV/0!</v>
          </cell>
          <cell r="S71">
            <v>4.6314151605852496</v>
          </cell>
          <cell r="T71">
            <v>5.0509747591367109</v>
          </cell>
          <cell r="U71">
            <v>4.3502069253654341</v>
          </cell>
          <cell r="V71">
            <v>4.2285330041382272</v>
          </cell>
          <cell r="W71">
            <v>3.6511106009102186</v>
          </cell>
          <cell r="X71">
            <v>3.9915990220924158</v>
          </cell>
          <cell r="Y71">
            <v>4.0834464953488245</v>
          </cell>
          <cell r="Z71">
            <v>3.8642036961024111</v>
          </cell>
          <cell r="AA71">
            <v>3.7124508741334834</v>
          </cell>
          <cell r="AB71">
            <v>3.52898392388565</v>
          </cell>
        </row>
        <row r="72">
          <cell r="B72" t="str">
            <v>NCO/Avg Total Credit (%)</v>
          </cell>
          <cell r="C72" t="e">
            <v>#DIV/0!</v>
          </cell>
          <cell r="D72" t="e">
            <v>#DIV/0!</v>
          </cell>
          <cell r="E72">
            <v>0</v>
          </cell>
          <cell r="F72">
            <v>0.91417660337207063</v>
          </cell>
          <cell r="G72">
            <v>0.61891456476394158</v>
          </cell>
          <cell r="H72">
            <v>0.38679349750221864</v>
          </cell>
          <cell r="I72">
            <v>0.13607265002314481</v>
          </cell>
          <cell r="J72">
            <v>0.18009685961682195</v>
          </cell>
          <cell r="K72">
            <v>0.28983430566297252</v>
          </cell>
          <cell r="L72">
            <v>0.79645036177194206</v>
          </cell>
          <cell r="M72">
            <v>0.80470911527782285</v>
          </cell>
          <cell r="N72">
            <v>0.82082535934199907</v>
          </cell>
          <cell r="P72" t="str">
            <v>Total CAR (%)</v>
          </cell>
          <cell r="Q72" t="e">
            <v>#DIV/0!</v>
          </cell>
          <cell r="R72" t="e">
            <v>#DIV/0!</v>
          </cell>
          <cell r="S72">
            <v>10.339165364288448</v>
          </cell>
          <cell r="T72">
            <v>11.262906829579252</v>
          </cell>
          <cell r="U72">
            <v>11.927414875118144</v>
          </cell>
          <cell r="V72">
            <v>13.526552886859413</v>
          </cell>
          <cell r="W72">
            <v>11.583709230582468</v>
          </cell>
          <cell r="X72">
            <v>11.819229386115657</v>
          </cell>
          <cell r="Y72">
            <v>13.510028924053216</v>
          </cell>
          <cell r="Z72">
            <v>13.301388102530344</v>
          </cell>
          <cell r="AA72">
            <v>13.076385279548248</v>
          </cell>
          <cell r="AB72">
            <v>12.84028946960656</v>
          </cell>
        </row>
        <row r="73">
          <cell r="B73" t="str">
            <v>LLPE/Avg Loans (%)</v>
          </cell>
          <cell r="C73">
            <v>5.6482325622906453</v>
          </cell>
          <cell r="D73">
            <v>1.5639306043447803</v>
          </cell>
          <cell r="E73">
            <v>0.76082302079916075</v>
          </cell>
          <cell r="F73">
            <v>1.530003125795063</v>
          </cell>
          <cell r="G73">
            <v>0.60767473454807208</v>
          </cell>
          <cell r="H73">
            <v>0.33329836647307864</v>
          </cell>
          <cell r="I73">
            <v>0.42418019943257312</v>
          </cell>
          <cell r="J73">
            <v>0.45975768882400109</v>
          </cell>
          <cell r="K73">
            <v>1.2706432085335786</v>
          </cell>
          <cell r="L73">
            <v>1.0398889299737253</v>
          </cell>
          <cell r="M73">
            <v>0.90615752622089185</v>
          </cell>
          <cell r="N73">
            <v>0.84333508485824171</v>
          </cell>
        </row>
        <row r="152">
          <cell r="P152">
            <v>3810988.7930000001</v>
          </cell>
          <cell r="Q152">
            <v>0</v>
          </cell>
        </row>
        <row r="167">
          <cell r="C167">
            <v>2891795.6310000001</v>
          </cell>
          <cell r="D167">
            <v>3078048.412</v>
          </cell>
          <cell r="E167">
            <v>4094917.1359999999</v>
          </cell>
          <cell r="F167">
            <v>4859382.1409999998</v>
          </cell>
        </row>
        <row r="171">
          <cell r="A171" t="str">
            <v>Contra Account of Guarantee Issued</v>
          </cell>
        </row>
        <row r="188">
          <cell r="P188">
            <v>2791587</v>
          </cell>
          <cell r="Q188">
            <v>0</v>
          </cell>
        </row>
        <row r="192">
          <cell r="P192">
            <v>2348914.6860000002</v>
          </cell>
        </row>
        <row r="203">
          <cell r="C203">
            <v>331599</v>
          </cell>
          <cell r="D203">
            <v>316714</v>
          </cell>
          <cell r="E203">
            <v>620630</v>
          </cell>
          <cell r="F203">
            <v>1055526</v>
          </cell>
        </row>
        <row r="207">
          <cell r="A207" t="str">
            <v xml:space="preserve">    Guarantee Payment</v>
          </cell>
        </row>
      </sheetData>
      <sheetData sheetId="9" refreshError="1">
        <row r="1">
          <cell r="A1" t="str">
            <v>Summary of 2Q06 results</v>
          </cell>
        </row>
        <row r="3">
          <cell r="A3" t="str">
            <v>(Won billions)</v>
          </cell>
          <cell r="B3" t="str">
            <v>2Q06A</v>
          </cell>
          <cell r="C3" t="str">
            <v>2Q05</v>
          </cell>
          <cell r="D3" t="str">
            <v>Change (y-y)</v>
          </cell>
          <cell r="E3" t="str">
            <v>1Q06</v>
          </cell>
          <cell r="F3" t="str">
            <v>Change (q-q)</v>
          </cell>
          <cell r="G3" t="str">
            <v>2Q06E</v>
          </cell>
          <cell r="H3" t="str">
            <v>Difference</v>
          </cell>
          <cell r="V3" t="str">
            <v>1Q05</v>
          </cell>
          <cell r="W3" t="str">
            <v>2Q05</v>
          </cell>
          <cell r="X3" t="str">
            <v>3Q05</v>
          </cell>
          <cell r="Y3" t="str">
            <v>4Q05</v>
          </cell>
        </row>
        <row r="4">
          <cell r="A4" t="str">
            <v>Income statement</v>
          </cell>
        </row>
        <row r="5">
          <cell r="A5" t="str">
            <v>Net operating revenue</v>
          </cell>
          <cell r="B5">
            <v>696.29200000000003</v>
          </cell>
          <cell r="C5">
            <v>522.69100000000026</v>
          </cell>
          <cell r="D5">
            <v>0.33212930775544192</v>
          </cell>
          <cell r="E5">
            <v>769.59800000000007</v>
          </cell>
          <cell r="F5">
            <v>-9.525232653931015E-2</v>
          </cell>
          <cell r="G5">
            <v>700.58100000000002</v>
          </cell>
          <cell r="H5">
            <v>-6.1220615460596539E-3</v>
          </cell>
          <cell r="K5" t="str">
            <v>Provisioning expenses</v>
          </cell>
          <cell r="V5">
            <v>505.05099999999993</v>
          </cell>
          <cell r="W5">
            <v>522.69100000000026</v>
          </cell>
          <cell r="X5">
            <v>573.55799999999988</v>
          </cell>
          <cell r="Y5">
            <v>579.17199999999991</v>
          </cell>
        </row>
        <row r="6">
          <cell r="A6" t="str">
            <v xml:space="preserve">   Net interest income</v>
          </cell>
          <cell r="B6">
            <v>591.87300000000005</v>
          </cell>
          <cell r="C6">
            <v>491.70000000000005</v>
          </cell>
          <cell r="D6">
            <v>0.20372788285539967</v>
          </cell>
          <cell r="E6">
            <v>581.80199999999991</v>
          </cell>
          <cell r="F6">
            <v>1.7310012684728093E-2</v>
          </cell>
          <cell r="G6">
            <v>591.87300000000005</v>
          </cell>
          <cell r="H6">
            <v>0</v>
          </cell>
          <cell r="V6">
            <v>450.30029676699996</v>
          </cell>
          <cell r="W6">
            <v>491.70000000000005</v>
          </cell>
          <cell r="X6">
            <v>510.80000000000007</v>
          </cell>
          <cell r="Y6">
            <v>543.35845403600013</v>
          </cell>
        </row>
        <row r="7">
          <cell r="A7" t="str">
            <v xml:space="preserve">   Non-interest income</v>
          </cell>
          <cell r="B7">
            <v>104.419</v>
          </cell>
          <cell r="C7">
            <v>30.991000000000167</v>
          </cell>
          <cell r="D7">
            <v>2.3693330321706121</v>
          </cell>
          <cell r="E7">
            <v>187.79600000000019</v>
          </cell>
          <cell r="F7">
            <v>-0.44397644252273805</v>
          </cell>
          <cell r="G7">
            <v>108.70800000000001</v>
          </cell>
          <cell r="H7">
            <v>-3.9454317989476517E-2</v>
          </cell>
          <cell r="K7" t="str">
            <v>Actual</v>
          </cell>
          <cell r="L7" t="str">
            <v>Expected</v>
          </cell>
          <cell r="V7">
            <v>54.750703232999982</v>
          </cell>
          <cell r="W7">
            <v>30.991000000000167</v>
          </cell>
          <cell r="X7">
            <v>62.757999999999853</v>
          </cell>
          <cell r="Y7">
            <v>35.8135459639998</v>
          </cell>
        </row>
        <row r="8">
          <cell r="A8" t="str">
            <v>Loan loss prov. Expenses</v>
          </cell>
          <cell r="B8">
            <v>59.65</v>
          </cell>
          <cell r="C8">
            <v>23.966999999999999</v>
          </cell>
          <cell r="D8">
            <v>1.4888388200442275</v>
          </cell>
          <cell r="E8">
            <v>43.924999999999997</v>
          </cell>
          <cell r="F8">
            <v>0.35799658508821852</v>
          </cell>
          <cell r="G8">
            <v>63.939000000000007</v>
          </cell>
          <cell r="H8">
            <v>-6.7079560205821287E-2</v>
          </cell>
          <cell r="J8" t="str">
            <v>Corp</v>
          </cell>
          <cell r="K8">
            <v>35.9</v>
          </cell>
          <cell r="L8">
            <v>36</v>
          </cell>
          <cell r="V8">
            <v>62.860999999999997</v>
          </cell>
          <cell r="W8">
            <v>23.966999999999999</v>
          </cell>
          <cell r="X8">
            <v>29.13</v>
          </cell>
          <cell r="Y8">
            <v>95.847999999999999</v>
          </cell>
        </row>
        <row r="9">
          <cell r="A9" t="str">
            <v>SG&amp;A expenses</v>
          </cell>
          <cell r="B9">
            <v>324.84399999999999</v>
          </cell>
          <cell r="C9">
            <v>245.69799999999995</v>
          </cell>
          <cell r="D9">
            <v>0.32212716424228138</v>
          </cell>
          <cell r="E9">
            <v>340.69400000000002</v>
          </cell>
          <cell r="F9">
            <v>-4.6522686046716499E-2</v>
          </cell>
          <cell r="G9">
            <v>324.84399999999999</v>
          </cell>
          <cell r="H9">
            <v>0</v>
          </cell>
          <cell r="J9" t="str">
            <v>Retail</v>
          </cell>
          <cell r="K9">
            <v>22.8</v>
          </cell>
          <cell r="L9">
            <v>22.8</v>
          </cell>
          <cell r="V9">
            <v>250.036</v>
          </cell>
          <cell r="W9">
            <v>245.69799999999995</v>
          </cell>
          <cell r="X9">
            <v>238.11399999999998</v>
          </cell>
          <cell r="Y9">
            <v>307.02600000000007</v>
          </cell>
        </row>
        <row r="10">
          <cell r="A10" t="str">
            <v>Operating profits</v>
          </cell>
          <cell r="B10">
            <v>311.79800000000006</v>
          </cell>
          <cell r="C10">
            <v>253.02600000000032</v>
          </cell>
          <cell r="D10">
            <v>0.23227652494209949</v>
          </cell>
          <cell r="E10">
            <v>384.9790000000001</v>
          </cell>
          <cell r="F10">
            <v>-0.19009088807441454</v>
          </cell>
          <cell r="G10">
            <v>311.79800000000006</v>
          </cell>
          <cell r="H10">
            <v>0</v>
          </cell>
          <cell r="J10" t="str">
            <v>C/C</v>
          </cell>
          <cell r="K10">
            <v>2.6</v>
          </cell>
          <cell r="L10">
            <v>2.6</v>
          </cell>
          <cell r="V10">
            <v>192.15399999999994</v>
          </cell>
          <cell r="W10">
            <v>253.02600000000032</v>
          </cell>
          <cell r="X10">
            <v>306.31399999999991</v>
          </cell>
          <cell r="Y10">
            <v>176.29799999999983</v>
          </cell>
        </row>
        <row r="11">
          <cell r="A11" t="str">
            <v>Non-operating income</v>
          </cell>
          <cell r="B11">
            <v>34.134999999999934</v>
          </cell>
          <cell r="C11">
            <v>45.23599999999999</v>
          </cell>
          <cell r="D11">
            <v>-0.24540189229817089</v>
          </cell>
          <cell r="E11">
            <v>30.067999999999998</v>
          </cell>
          <cell r="F11">
            <v>0.13526007715843869</v>
          </cell>
          <cell r="G11">
            <v>34.134999999999998</v>
          </cell>
          <cell r="H11">
            <v>-1.8873791418627661E-15</v>
          </cell>
          <cell r="V11">
            <v>72.852000000000004</v>
          </cell>
          <cell r="W11">
            <v>45.23599999999999</v>
          </cell>
          <cell r="X11">
            <v>16.148000000000003</v>
          </cell>
          <cell r="Y11">
            <v>106.03999999999996</v>
          </cell>
        </row>
        <row r="12">
          <cell r="A12" t="str">
            <v>Pretax profits</v>
          </cell>
          <cell r="B12">
            <v>345.93299999999999</v>
          </cell>
          <cell r="C12">
            <v>298.26200000000028</v>
          </cell>
          <cell r="D12">
            <v>0.15982927761498167</v>
          </cell>
          <cell r="E12">
            <v>415.04700000000008</v>
          </cell>
          <cell r="F12">
            <v>-0.16652090004264597</v>
          </cell>
          <cell r="G12">
            <v>345.93300000000005</v>
          </cell>
          <cell r="H12">
            <v>0</v>
          </cell>
          <cell r="V12">
            <v>265.00599999999997</v>
          </cell>
          <cell r="W12">
            <v>298.26200000000028</v>
          </cell>
          <cell r="X12">
            <v>322.46199999999993</v>
          </cell>
          <cell r="Y12">
            <v>282.33799999999979</v>
          </cell>
        </row>
        <row r="13">
          <cell r="A13" t="str">
            <v>Net profits</v>
          </cell>
          <cell r="B13">
            <v>244.09899999999999</v>
          </cell>
          <cell r="C13">
            <v>261.39100000000025</v>
          </cell>
          <cell r="D13">
            <v>-6.6153769640118654E-2</v>
          </cell>
          <cell r="E13">
            <v>288.28800000000012</v>
          </cell>
          <cell r="F13">
            <v>-0.15328074703074746</v>
          </cell>
          <cell r="G13">
            <v>244.09899999999999</v>
          </cell>
          <cell r="H13">
            <v>0</v>
          </cell>
          <cell r="V13">
            <v>204.90199999999999</v>
          </cell>
          <cell r="W13">
            <v>261.39100000000025</v>
          </cell>
          <cell r="X13">
            <v>235.19699999999995</v>
          </cell>
          <cell r="Y13">
            <v>205.26199999999977</v>
          </cell>
        </row>
        <row r="14">
          <cell r="A14" t="str">
            <v xml:space="preserve">   Net interest margin *</v>
          </cell>
          <cell r="B14">
            <v>2.46E-2</v>
          </cell>
          <cell r="C14">
            <v>2.4447579188013619E-2</v>
          </cell>
          <cell r="D14">
            <v>1.5242081198638124</v>
          </cell>
          <cell r="E14">
            <v>2.6724603208946176E-2</v>
          </cell>
          <cell r="F14">
            <v>-21.246032089461757</v>
          </cell>
          <cell r="G14">
            <v>2.4622077189826692E-2</v>
          </cell>
          <cell r="H14">
            <v>-0.22077189826691379</v>
          </cell>
          <cell r="V14">
            <v>2.2953968171109906E-2</v>
          </cell>
          <cell r="W14">
            <v>2.4447579188013619E-2</v>
          </cell>
          <cell r="X14">
            <v>2.4129847724601534E-2</v>
          </cell>
          <cell r="Y14">
            <v>2.5017312347218826E-2</v>
          </cell>
        </row>
        <row r="15">
          <cell r="A15" t="str">
            <v xml:space="preserve">   Cost / income</v>
          </cell>
          <cell r="B15">
            <v>0.46653415521074487</v>
          </cell>
          <cell r="C15">
            <v>0.47006357484632377</v>
          </cell>
          <cell r="E15">
            <v>0.44269085938373021</v>
          </cell>
          <cell r="G15">
            <v>0.46367800439920576</v>
          </cell>
        </row>
        <row r="16">
          <cell r="A16" t="str">
            <v xml:space="preserve">   LLPE / Avg. total credit (annualized)</v>
          </cell>
          <cell r="B16">
            <v>3.2501023574513922E-3</v>
          </cell>
          <cell r="C16">
            <v>1.5305366756734784E-3</v>
          </cell>
          <cell r="D16">
            <v>17.195656817779138</v>
          </cell>
          <cell r="E16">
            <v>2.6354667997069902E-3</v>
          </cell>
          <cell r="F16">
            <v>6.1463555774440195</v>
          </cell>
          <cell r="G16">
            <v>3.4837940542824112E-3</v>
          </cell>
          <cell r="H16">
            <v>-2.3369169683101894</v>
          </cell>
        </row>
        <row r="17">
          <cell r="A17" t="str">
            <v>Balance sheet</v>
          </cell>
        </row>
        <row r="18">
          <cell r="A18" t="str">
            <v>Total assets</v>
          </cell>
          <cell r="B18">
            <v>110710.629</v>
          </cell>
          <cell r="C18">
            <v>88273.888000000006</v>
          </cell>
          <cell r="D18">
            <v>0.2541718905595276</v>
          </cell>
          <cell r="E18">
            <v>97381.525999999998</v>
          </cell>
          <cell r="F18">
            <v>0.13687506806989247</v>
          </cell>
          <cell r="G18">
            <v>110710.62899999999</v>
          </cell>
          <cell r="H18">
            <v>0</v>
          </cell>
          <cell r="V18">
            <v>86033.645000000004</v>
          </cell>
          <cell r="W18">
            <v>88273.888000000006</v>
          </cell>
          <cell r="X18">
            <v>92580.868000000002</v>
          </cell>
          <cell r="Y18">
            <v>95915.497224970997</v>
          </cell>
        </row>
        <row r="19">
          <cell r="A19" t="str">
            <v xml:space="preserve">   Net loans</v>
          </cell>
          <cell r="B19">
            <v>80782.680999999997</v>
          </cell>
          <cell r="C19">
            <v>63077.800999999999</v>
          </cell>
          <cell r="D19">
            <v>0.28068321532007756</v>
          </cell>
          <cell r="E19">
            <v>67832.312999999995</v>
          </cell>
          <cell r="F19">
            <v>0.19091738770576794</v>
          </cell>
          <cell r="G19">
            <v>80782.680999999997</v>
          </cell>
          <cell r="H19">
            <v>0</v>
          </cell>
          <cell r="V19">
            <v>59929.012999999999</v>
          </cell>
          <cell r="W19">
            <v>63077.800999999999</v>
          </cell>
          <cell r="X19">
            <v>66676.78</v>
          </cell>
          <cell r="Y19">
            <v>66446.510872058003</v>
          </cell>
        </row>
        <row r="20">
          <cell r="A20" t="str">
            <v>Total liabilities</v>
          </cell>
          <cell r="B20">
            <v>103317.999</v>
          </cell>
          <cell r="C20">
            <v>82868.596000000005</v>
          </cell>
          <cell r="D20">
            <v>0.24676902936789213</v>
          </cell>
          <cell r="E20">
            <v>90348.698999999993</v>
          </cell>
          <cell r="F20">
            <v>0.14354716939532253</v>
          </cell>
          <cell r="G20">
            <v>103317.999</v>
          </cell>
          <cell r="H20">
            <v>0</v>
          </cell>
        </row>
        <row r="21">
          <cell r="A21" t="str">
            <v xml:space="preserve">   Deposits</v>
          </cell>
          <cell r="B21">
            <v>71485.498000000007</v>
          </cell>
          <cell r="C21">
            <v>59354.055</v>
          </cell>
          <cell r="D21">
            <v>0.20439114058845687</v>
          </cell>
          <cell r="E21">
            <v>62083.572</v>
          </cell>
          <cell r="F21">
            <v>0.15143983661249405</v>
          </cell>
          <cell r="G21">
            <v>71485.498000000007</v>
          </cell>
          <cell r="H21">
            <v>0</v>
          </cell>
          <cell r="V21">
            <v>57649.256000000001</v>
          </cell>
          <cell r="W21">
            <v>59354.055</v>
          </cell>
          <cell r="X21">
            <v>63542.572999999997</v>
          </cell>
          <cell r="Y21">
            <v>63223.361314558999</v>
          </cell>
        </row>
        <row r="22">
          <cell r="A22" t="str">
            <v>Shareholders' equity</v>
          </cell>
          <cell r="B22">
            <v>7392.63</v>
          </cell>
          <cell r="C22">
            <v>5405.2920000000004</v>
          </cell>
          <cell r="D22">
            <v>0.36766524361681108</v>
          </cell>
          <cell r="E22">
            <v>7032.8269999999993</v>
          </cell>
          <cell r="F22">
            <v>5.1160507716171644E-2</v>
          </cell>
          <cell r="G22">
            <v>7392.63</v>
          </cell>
          <cell r="H22">
            <v>0</v>
          </cell>
        </row>
        <row r="23">
          <cell r="A23" t="str">
            <v xml:space="preserve">   Tier 1 ratio</v>
          </cell>
          <cell r="B23" t="str">
            <v>NA</v>
          </cell>
          <cell r="C23">
            <v>8.3606358453860011E-2</v>
          </cell>
          <cell r="D23" t="str">
            <v>NA</v>
          </cell>
          <cell r="E23">
            <v>9.3579741492587729E-2</v>
          </cell>
          <cell r="F23" t="str">
            <v>NA</v>
          </cell>
          <cell r="G23">
            <v>8.4619620457365624E-2</v>
          </cell>
          <cell r="H23" t="str">
            <v>NA</v>
          </cell>
          <cell r="V23">
            <v>7.9892089447319251E-2</v>
          </cell>
          <cell r="W23">
            <v>8.3606358453860011E-2</v>
          </cell>
          <cell r="X23">
            <v>8.7889852683509823E-2</v>
          </cell>
          <cell r="Y23">
            <v>9.2980198827211868E-2</v>
          </cell>
        </row>
        <row r="24">
          <cell r="A24" t="str">
            <v xml:space="preserve">   BIS ratio</v>
          </cell>
          <cell r="B24" t="str">
            <v>NA</v>
          </cell>
          <cell r="C24">
            <v>0.11712397502112852</v>
          </cell>
          <cell r="D24" t="str">
            <v>NA</v>
          </cell>
          <cell r="E24">
            <v>0.1319079489647719</v>
          </cell>
          <cell r="F24" t="str">
            <v>NA</v>
          </cell>
          <cell r="G24">
            <v>0.11669748249537576</v>
          </cell>
          <cell r="H24" t="str">
            <v>NA</v>
          </cell>
          <cell r="V24">
            <v>0.11827261065988857</v>
          </cell>
          <cell r="W24">
            <v>0.11712397502112852</v>
          </cell>
          <cell r="X24">
            <v>0.13044302643290387</v>
          </cell>
          <cell r="Y24">
            <v>0.13464044330804373</v>
          </cell>
        </row>
        <row r="25">
          <cell r="A25" t="str">
            <v>Asset quality</v>
          </cell>
        </row>
        <row r="26">
          <cell r="A26" t="str">
            <v>Precautionary &amp; below</v>
          </cell>
          <cell r="B26">
            <v>1566.4</v>
          </cell>
          <cell r="C26">
            <v>1908.8370000000002</v>
          </cell>
          <cell r="D26">
            <v>-0.17939562152242439</v>
          </cell>
          <cell r="E26">
            <v>1649.21</v>
          </cell>
          <cell r="F26">
            <v>-5.0211919646376058E-2</v>
          </cell>
          <cell r="G26">
            <v>1566.3759179810002</v>
          </cell>
          <cell r="H26">
            <v>1.5374354727759609E-5</v>
          </cell>
          <cell r="V26">
            <v>2221.1600000000003</v>
          </cell>
          <cell r="W26">
            <v>1908.8370000000002</v>
          </cell>
          <cell r="X26">
            <v>1874.9870000000001</v>
          </cell>
          <cell r="Y26">
            <v>1695.2289999999998</v>
          </cell>
        </row>
        <row r="27">
          <cell r="A27" t="str">
            <v xml:space="preserve">   % of total credit</v>
          </cell>
          <cell r="B27">
            <v>1.9968181447336218E-2</v>
          </cell>
          <cell r="C27">
            <v>2.9904687705499693E-2</v>
          </cell>
          <cell r="D27">
            <v>-99.365062581634746</v>
          </cell>
          <cell r="E27">
            <v>2.4117835061594643E-2</v>
          </cell>
          <cell r="F27">
            <v>-41.496536142584247</v>
          </cell>
          <cell r="G27">
            <v>1.9967878177901553E-2</v>
          </cell>
          <cell r="H27">
            <v>3.0326943466565948E-3</v>
          </cell>
          <cell r="V27">
            <v>3.6149921691661924E-2</v>
          </cell>
          <cell r="W27">
            <v>2.9904687705499693E-2</v>
          </cell>
          <cell r="X27">
            <v>2.9374997091855124E-2</v>
          </cell>
          <cell r="Y27">
            <v>2.6099049556369932E-2</v>
          </cell>
        </row>
        <row r="28">
          <cell r="A28" t="str">
            <v xml:space="preserve">   Coverage ratio</v>
          </cell>
          <cell r="B28">
            <v>0.54973186925434114</v>
          </cell>
          <cell r="C28">
            <v>0.46288394451700166</v>
          </cell>
          <cell r="D28">
            <v>868.47924737339486</v>
          </cell>
          <cell r="E28">
            <v>0.50597013115370382</v>
          </cell>
          <cell r="F28">
            <v>437.61738100637325</v>
          </cell>
          <cell r="G28">
            <v>0.549738405778047</v>
          </cell>
          <cell r="H28">
            <v>-6.5365237058578884E-2</v>
          </cell>
          <cell r="V28">
            <v>0.4323758756685695</v>
          </cell>
          <cell r="W28">
            <v>0.46288394451700166</v>
          </cell>
          <cell r="X28">
            <v>0.46133546525922575</v>
          </cell>
          <cell r="Y28">
            <v>0.47852473028717657</v>
          </cell>
        </row>
        <row r="29">
          <cell r="A29" t="str">
            <v>Substandard &amp; below</v>
          </cell>
          <cell r="B29">
            <v>581.70000000000005</v>
          </cell>
          <cell r="C29">
            <v>698.13900000000001</v>
          </cell>
          <cell r="D29">
            <v>-0.16678483797639143</v>
          </cell>
          <cell r="E29">
            <v>627.81100000000004</v>
          </cell>
          <cell r="F29">
            <v>-7.3447263587289813E-2</v>
          </cell>
          <cell r="G29">
            <v>581.64281241800006</v>
          </cell>
          <cell r="H29">
            <v>9.832079203775379E-5</v>
          </cell>
          <cell r="V29">
            <v>849.53700000000003</v>
          </cell>
          <cell r="W29">
            <v>698.13900000000001</v>
          </cell>
          <cell r="X29">
            <v>684.29499999999985</v>
          </cell>
          <cell r="Y29">
            <v>635.66500000000008</v>
          </cell>
        </row>
        <row r="30">
          <cell r="A30" t="str">
            <v xml:space="preserve">   % of total credit</v>
          </cell>
          <cell r="B30">
            <v>7.4154054825813828E-3</v>
          </cell>
          <cell r="C30">
            <v>1.0937355452576542E-2</v>
          </cell>
          <cell r="D30">
            <v>-35.219499699951591</v>
          </cell>
          <cell r="E30">
            <v>9.1810273693797607E-3</v>
          </cell>
          <cell r="F30">
            <v>-17.656218867983778</v>
          </cell>
          <cell r="G30">
            <v>7.4146778484598412E-3</v>
          </cell>
          <cell r="H30">
            <v>7.2763412154158019E-3</v>
          </cell>
          <cell r="V30">
            <v>1.3826422240707285E-2</v>
          </cell>
          <cell r="W30">
            <v>1.0937355452576542E-2</v>
          </cell>
          <cell r="X30">
            <v>1.0720694935469418E-2</v>
          </cell>
          <cell r="Y30">
            <v>9.7864373109768036E-3</v>
          </cell>
        </row>
        <row r="31">
          <cell r="A31" t="str">
            <v xml:space="preserve">   Coverage ratio</v>
          </cell>
          <cell r="B31">
            <v>1.4803163142513323</v>
          </cell>
          <cell r="C31">
            <v>1.2656075652556296</v>
          </cell>
          <cell r="D31">
            <v>2147.0874899570267</v>
          </cell>
          <cell r="E31">
            <v>1.3291436435487749</v>
          </cell>
          <cell r="F31">
            <v>1511.7267070255734</v>
          </cell>
          <cell r="G31">
            <v>1.4804567023191699</v>
          </cell>
          <cell r="H31">
            <v>-1.4038806783767122</v>
          </cell>
          <cell r="V31">
            <v>1.1304698912466438</v>
          </cell>
          <cell r="W31">
            <v>1.2656075652556296</v>
          </cell>
          <cell r="X31">
            <v>1.2640717819069263</v>
          </cell>
          <cell r="Y31">
            <v>1.2761580392187706</v>
          </cell>
        </row>
        <row r="33">
          <cell r="B33">
            <v>861.1</v>
          </cell>
        </row>
        <row r="34">
          <cell r="B34">
            <v>78444.800000000003</v>
          </cell>
        </row>
        <row r="37">
          <cell r="A37" t="str">
            <v>In line bottom line, however…</v>
          </cell>
        </row>
        <row r="39">
          <cell r="A39" t="str">
            <v>XXX</v>
          </cell>
        </row>
        <row r="40">
          <cell r="A40" t="str">
            <v>XXX</v>
          </cell>
        </row>
        <row r="41">
          <cell r="A41" t="str">
            <v>XXX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IDUAL INCOME"/>
      <sheetName val="MAIN"/>
      <sheetName val="P&amp;L"/>
      <sheetName val="BS"/>
      <sheetName val="Update"/>
      <sheetName val="AFFILIATES"/>
      <sheetName val="Ratio"/>
      <sheetName val="Ace-In"/>
      <sheetName val="Ace-Out"/>
      <sheetName val="Cover"/>
      <sheetName val="MWA RR"/>
      <sheetName val="Financial Tables"/>
      <sheetName val="Valuation Summary"/>
      <sheetName val="Cash Flow Statement"/>
      <sheetName val="Segment Reporting"/>
      <sheetName val="Balance Sheet"/>
      <sheetName val="Results"/>
      <sheetName val="Intrinsic Value"/>
      <sheetName val="Charts"/>
      <sheetName val="Changes to the Model"/>
      <sheetName val="Acq"/>
      <sheetName val="Annual"/>
      <sheetName val="CREDIT MODEL"/>
      <sheetName val="Sputtering"/>
      <sheetName val="Capacit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2">
          <cell r="B2" t="str">
            <v>DAEGU BANK (005270.KS)</v>
          </cell>
          <cell r="N2" t="str">
            <v>Foreign exchange rate</v>
          </cell>
          <cell r="U2">
            <v>950</v>
          </cell>
        </row>
        <row r="3">
          <cell r="N3" t="str">
            <v>Current share price</v>
          </cell>
          <cell r="U3">
            <v>15550</v>
          </cell>
          <cell r="V3">
            <v>16.368421052631579</v>
          </cell>
        </row>
        <row r="5">
          <cell r="B5" t="str">
            <v>Profit and Loss Statements</v>
          </cell>
          <cell r="N5" t="str">
            <v>Per Share Data and Valuations</v>
          </cell>
        </row>
        <row r="6">
          <cell r="B6" t="str">
            <v>Won billions, Year ending Dec 31</v>
          </cell>
          <cell r="C6">
            <v>2000</v>
          </cell>
          <cell r="D6">
            <v>2001</v>
          </cell>
          <cell r="E6">
            <v>2002</v>
          </cell>
          <cell r="F6">
            <v>2003</v>
          </cell>
          <cell r="G6">
            <v>2004</v>
          </cell>
          <cell r="H6">
            <v>2005</v>
          </cell>
          <cell r="I6">
            <v>2006</v>
          </cell>
          <cell r="J6" t="str">
            <v>2007E</v>
          </cell>
          <cell r="K6" t="str">
            <v>2008E</v>
          </cell>
          <cell r="L6" t="str">
            <v>2009E</v>
          </cell>
          <cell r="N6" t="str">
            <v>Won billions, Year ending Dec 31</v>
          </cell>
          <cell r="O6">
            <v>2000</v>
          </cell>
          <cell r="P6">
            <v>2001</v>
          </cell>
          <cell r="Q6">
            <v>2002</v>
          </cell>
          <cell r="R6">
            <v>2003</v>
          </cell>
          <cell r="S6">
            <v>2004</v>
          </cell>
          <cell r="T6">
            <v>2005</v>
          </cell>
          <cell r="U6">
            <v>2006</v>
          </cell>
          <cell r="V6" t="str">
            <v>2007E</v>
          </cell>
          <cell r="W6" t="str">
            <v>2008E</v>
          </cell>
          <cell r="X6" t="str">
            <v>2009E</v>
          </cell>
        </row>
        <row r="7">
          <cell r="B7" t="str">
            <v>Avg Earning Assets</v>
          </cell>
          <cell r="C7">
            <v>10876.642941</v>
          </cell>
          <cell r="D7">
            <v>12521.9778905</v>
          </cell>
          <cell r="E7">
            <v>0</v>
          </cell>
          <cell r="F7">
            <v>14850.105514125002</v>
          </cell>
          <cell r="G7">
            <v>15778.461823125001</v>
          </cell>
          <cell r="H7">
            <v>16905.104000000003</v>
          </cell>
          <cell r="I7">
            <v>17900.141749999999</v>
          </cell>
          <cell r="J7">
            <v>19424.187022748716</v>
          </cell>
          <cell r="K7">
            <v>20886.251253226379</v>
          </cell>
          <cell r="L7">
            <v>22978.112528650723</v>
          </cell>
          <cell r="N7" t="str">
            <v>Book Value Per Share (Won)</v>
          </cell>
          <cell r="O7">
            <v>4421.4323036040523</v>
          </cell>
          <cell r="P7">
            <v>4653.9481813652219</v>
          </cell>
          <cell r="Q7">
            <v>5390.1464522232745</v>
          </cell>
          <cell r="R7">
            <v>6340.5455439924317</v>
          </cell>
          <cell r="S7">
            <v>7183.136673604542</v>
          </cell>
          <cell r="T7">
            <v>8151.0177937559129</v>
          </cell>
          <cell r="U7">
            <v>9549.4567733737003</v>
          </cell>
          <cell r="V7">
            <v>11089.965393373248</v>
          </cell>
          <cell r="W7">
            <v>12521.100614957122</v>
          </cell>
          <cell r="X7">
            <v>13949.1718208866</v>
          </cell>
        </row>
        <row r="8">
          <cell r="B8" t="str">
            <v>Net Interest Margin (%)</v>
          </cell>
          <cell r="C8">
            <v>3.133845754144629</v>
          </cell>
          <cell r="D8">
            <v>2.7259491350720646</v>
          </cell>
          <cell r="E8">
            <v>0</v>
          </cell>
          <cell r="F8">
            <v>3.6148878531085753</v>
          </cell>
          <cell r="G8">
            <v>3.6718091186233002</v>
          </cell>
          <cell r="H8">
            <v>3.6994744309174301</v>
          </cell>
          <cell r="I8">
            <v>3.6095189022734968</v>
          </cell>
          <cell r="J8">
            <v>3.212361822242952</v>
          </cell>
          <cell r="K8">
            <v>3.198760314972767</v>
          </cell>
          <cell r="L8">
            <v>3.2055997459453631</v>
          </cell>
          <cell r="N8" t="str">
            <v>Price/Book (x)</v>
          </cell>
          <cell r="O8">
            <v>3.5169598745919264</v>
          </cell>
          <cell r="P8">
            <v>3.3412490629490534</v>
          </cell>
          <cell r="Q8">
            <v>2.8848937849520007</v>
          </cell>
          <cell r="R8">
            <v>2.4524703579699674</v>
          </cell>
          <cell r="S8">
            <v>2.164792444662885</v>
          </cell>
          <cell r="T8">
            <v>1.9077372168064799</v>
          </cell>
          <cell r="U8">
            <v>1.6283648765610763</v>
          </cell>
          <cell r="V8">
            <v>1.4021684873148317</v>
          </cell>
          <cell r="W8">
            <v>1.2419036056163222</v>
          </cell>
          <cell r="X8">
            <v>1.1147615213052593</v>
          </cell>
        </row>
        <row r="9">
          <cell r="B9" t="str">
            <v xml:space="preserve">  Interest Income</v>
          </cell>
          <cell r="C9">
            <v>962.41628200000002</v>
          </cell>
          <cell r="D9">
            <v>974.62154499999997</v>
          </cell>
          <cell r="E9">
            <v>1044.7103439201844</v>
          </cell>
          <cell r="F9">
            <v>1067.6685094039115</v>
          </cell>
          <cell r="G9">
            <v>1065.3353559889999</v>
          </cell>
          <cell r="H9">
            <v>1079.683486593</v>
          </cell>
          <cell r="I9">
            <v>1192.4292037959999</v>
          </cell>
          <cell r="J9">
            <v>1309.4957610066626</v>
          </cell>
          <cell r="K9">
            <v>1431.6881993266018</v>
          </cell>
          <cell r="L9">
            <v>1592.9042170498849</v>
          </cell>
          <cell r="N9" t="str">
            <v>ROAA (%)</v>
          </cell>
          <cell r="O9">
            <v>0.1408711340867197</v>
          </cell>
          <cell r="P9">
            <v>0.24070869709340612</v>
          </cell>
          <cell r="Q9">
            <v>0.87580725543439397</v>
          </cell>
          <cell r="R9">
            <v>0.68953083953879213</v>
          </cell>
          <cell r="S9">
            <v>0.71064558434927894</v>
          </cell>
          <cell r="T9">
            <v>0.94407916117783819</v>
          </cell>
          <cell r="U9">
            <v>1.196952139593618</v>
          </cell>
          <cell r="V9">
            <v>1.3215035069615046</v>
          </cell>
          <cell r="W9">
            <v>1.1811256691630632</v>
          </cell>
          <cell r="X9">
            <v>1.0991814697822027</v>
          </cell>
        </row>
        <row r="10">
          <cell r="B10" t="str">
            <v xml:space="preserve">  Interest Expense</v>
          </cell>
          <cell r="C10">
            <v>621.55906900000002</v>
          </cell>
          <cell r="D10">
            <v>633.27879700000005</v>
          </cell>
          <cell r="E10">
            <v>545.01550299999997</v>
          </cell>
          <cell r="F10">
            <v>493.19239600000003</v>
          </cell>
          <cell r="G10">
            <v>442.64955300000003</v>
          </cell>
          <cell r="H10">
            <v>412.93019300000003</v>
          </cell>
          <cell r="I10">
            <v>492.508482125</v>
          </cell>
          <cell r="J10">
            <v>631.86276332977968</v>
          </cell>
          <cell r="K10">
            <v>709.72075518826659</v>
          </cell>
          <cell r="L10">
            <v>797.55471412586621</v>
          </cell>
          <cell r="N10" t="str">
            <v>ROAE (Reported, %)</v>
          </cell>
          <cell r="P10">
            <v>5.6151531393231648</v>
          </cell>
          <cell r="Q10">
            <v>20.619111304862965</v>
          </cell>
          <cell r="R10">
            <v>14.164653812958742</v>
          </cell>
          <cell r="S10">
            <v>13.658188833718956</v>
          </cell>
          <cell r="T10">
            <v>17.302085635156715</v>
          </cell>
          <cell r="U10">
            <v>20.570191768106923</v>
          </cell>
          <cell r="V10">
            <v>21.019498350202458</v>
          </cell>
          <cell r="W10">
            <v>17.628473198538476</v>
          </cell>
          <cell r="X10">
            <v>16.078949608613247</v>
          </cell>
        </row>
        <row r="11">
          <cell r="B11" t="str">
            <v>Net Interest Income (NII)</v>
          </cell>
          <cell r="C11">
            <v>340.857213</v>
          </cell>
          <cell r="D11">
            <v>341.34274799999992</v>
          </cell>
          <cell r="E11">
            <v>499.69484092018445</v>
          </cell>
          <cell r="F11">
            <v>574.47611340391143</v>
          </cell>
          <cell r="G11">
            <v>622.68580298899997</v>
          </cell>
          <cell r="H11">
            <v>666.75329359299997</v>
          </cell>
          <cell r="I11">
            <v>699.92072167099991</v>
          </cell>
          <cell r="J11">
            <v>677.63299767688295</v>
          </cell>
          <cell r="K11">
            <v>721.96744413833517</v>
          </cell>
          <cell r="L11">
            <v>795.34950292401868</v>
          </cell>
          <cell r="N11" t="str">
            <v>ROAE (ModelWare, %)</v>
          </cell>
          <cell r="S11">
            <v>14.116520505741065</v>
          </cell>
          <cell r="T11">
            <v>17.804435270588858</v>
          </cell>
          <cell r="U11">
            <v>21.230659633058355</v>
          </cell>
          <cell r="V11">
            <v>21.68615959544616</v>
          </cell>
          <cell r="W11">
            <v>18.154805510269618</v>
          </cell>
          <cell r="X11">
            <v>16.499322831883184</v>
          </cell>
        </row>
        <row r="12">
          <cell r="B12" t="str">
            <v>Loan Loss Prov Exp (LLPE)</v>
          </cell>
          <cell r="C12">
            <v>147.41081100000002</v>
          </cell>
          <cell r="D12">
            <v>81.180222999999998</v>
          </cell>
          <cell r="E12">
            <v>156.232</v>
          </cell>
          <cell r="F12">
            <v>210.03299999999999</v>
          </cell>
          <cell r="G12">
            <v>205.31800000000001</v>
          </cell>
          <cell r="H12">
            <v>145.05799999999999</v>
          </cell>
          <cell r="I12">
            <v>45.858999999999995</v>
          </cell>
          <cell r="J12">
            <v>45.635595124963444</v>
          </cell>
          <cell r="K12">
            <v>54.008218881334287</v>
          </cell>
          <cell r="L12">
            <v>87.629025355635321</v>
          </cell>
        </row>
        <row r="13">
          <cell r="B13" t="str">
            <v>NII After LLPE</v>
          </cell>
          <cell r="C13">
            <v>193.44640199999998</v>
          </cell>
          <cell r="D13">
            <v>260.1625249999999</v>
          </cell>
          <cell r="E13">
            <v>343.46284092018448</v>
          </cell>
          <cell r="F13">
            <v>364.44311340391141</v>
          </cell>
          <cell r="G13">
            <v>417.36780298899998</v>
          </cell>
          <cell r="H13">
            <v>521.69529359299997</v>
          </cell>
          <cell r="I13">
            <v>654.06172167099987</v>
          </cell>
          <cell r="J13">
            <v>631.99740255191955</v>
          </cell>
          <cell r="K13">
            <v>667.95922525700087</v>
          </cell>
          <cell r="L13">
            <v>707.72047756838333</v>
          </cell>
          <cell r="N13" t="str">
            <v>MW EPS Growth (%)</v>
          </cell>
          <cell r="P13" t="e">
            <v>#DIV/0!</v>
          </cell>
          <cell r="Q13" t="e">
            <v>#DIV/0!</v>
          </cell>
          <cell r="R13">
            <v>-15.197789596206668</v>
          </cell>
          <cell r="S13">
            <v>11.088495224403317</v>
          </cell>
          <cell r="T13">
            <v>43.009673934216394</v>
          </cell>
          <cell r="U13">
            <v>37.644975038390818</v>
          </cell>
          <cell r="V13">
            <v>19.105491529498252</v>
          </cell>
          <cell r="W13">
            <v>-4.230545840138622</v>
          </cell>
          <cell r="X13">
            <v>1.8866622550749668</v>
          </cell>
        </row>
        <row r="14">
          <cell r="N14" t="str">
            <v>Current P/MW EPS</v>
          </cell>
          <cell r="O14" t="e">
            <v>#DIV/0!</v>
          </cell>
          <cell r="P14" t="e">
            <v>#DIV/0!</v>
          </cell>
          <cell r="Q14">
            <v>15.346665423621943</v>
          </cell>
          <cell r="R14">
            <v>18.097011092691357</v>
          </cell>
          <cell r="S14">
            <v>16.29062582595493</v>
          </cell>
          <cell r="T14">
            <v>11.391275413611895</v>
          </cell>
          <cell r="U14">
            <v>8.2758381920115376</v>
          </cell>
          <cell r="V14">
            <v>6.948326299431713</v>
          </cell>
          <cell r="W14">
            <v>7.2552635497257283</v>
          </cell>
          <cell r="X14">
            <v>7.1209159169058411</v>
          </cell>
        </row>
        <row r="15">
          <cell r="B15" t="str">
            <v>Non-interest Income</v>
          </cell>
        </row>
        <row r="16">
          <cell r="B16" t="str">
            <v>Fees and Commissions</v>
          </cell>
          <cell r="C16">
            <v>103.07806399999998</v>
          </cell>
          <cell r="D16">
            <v>133.91564500000001</v>
          </cell>
          <cell r="E16">
            <v>55.181206079815574</v>
          </cell>
          <cell r="F16">
            <v>62.822131596088454</v>
          </cell>
          <cell r="G16">
            <v>70.036566660999995</v>
          </cell>
          <cell r="H16">
            <v>68.159051552000008</v>
          </cell>
          <cell r="I16">
            <v>79.126403209999992</v>
          </cell>
          <cell r="J16">
            <v>100.50380461772258</v>
          </cell>
          <cell r="K16">
            <v>112.66122624755279</v>
          </cell>
          <cell r="L16">
            <v>126.58243507012459</v>
          </cell>
          <cell r="N16" t="str">
            <v>Gross Dividends</v>
          </cell>
          <cell r="O16">
            <v>0</v>
          </cell>
          <cell r="P16">
            <v>0</v>
          </cell>
          <cell r="Q16">
            <v>33.030999999999999</v>
          </cell>
          <cell r="R16">
            <v>33.030999999999999</v>
          </cell>
          <cell r="S16">
            <v>36.334000000000003</v>
          </cell>
          <cell r="T16">
            <v>52.85</v>
          </cell>
          <cell r="U16">
            <v>74.650625000000005</v>
          </cell>
          <cell r="V16">
            <v>85.881249999999994</v>
          </cell>
          <cell r="W16">
            <v>92.487499999999997</v>
          </cell>
          <cell r="X16">
            <v>99.09375</v>
          </cell>
        </row>
        <row r="17">
          <cell r="B17" t="str">
            <v>Dividend Income</v>
          </cell>
          <cell r="C17">
            <v>0.72631199999999996</v>
          </cell>
          <cell r="D17">
            <v>0.71033299999999999</v>
          </cell>
          <cell r="E17">
            <v>0.70518199999999998</v>
          </cell>
          <cell r="F17">
            <v>0.63218899999999989</v>
          </cell>
          <cell r="G17">
            <v>0.462148</v>
          </cell>
          <cell r="H17">
            <v>0.30597599999999997</v>
          </cell>
          <cell r="I17">
            <v>0.64043965999999997</v>
          </cell>
          <cell r="J17">
            <v>3.5075542206751638</v>
          </cell>
          <cell r="K17">
            <v>3.6432191430697647</v>
          </cell>
          <cell r="L17">
            <v>3.678517134913927</v>
          </cell>
          <cell r="N17" t="str">
            <v>Gross DPS (Won)</v>
          </cell>
          <cell r="O17">
            <v>0</v>
          </cell>
          <cell r="P17">
            <v>0</v>
          </cell>
          <cell r="Q17">
            <v>249.99810785241249</v>
          </cell>
          <cell r="R17">
            <v>249.99810785241249</v>
          </cell>
          <cell r="S17">
            <v>274.9971617786187</v>
          </cell>
          <cell r="T17">
            <v>400</v>
          </cell>
          <cell r="U17">
            <v>565</v>
          </cell>
          <cell r="V17">
            <v>650</v>
          </cell>
          <cell r="W17">
            <v>700</v>
          </cell>
          <cell r="X17">
            <v>750</v>
          </cell>
        </row>
        <row r="18">
          <cell r="B18" t="str">
            <v>Forex Income</v>
          </cell>
          <cell r="C18">
            <v>10.437694</v>
          </cell>
          <cell r="D18">
            <v>8.31785</v>
          </cell>
          <cell r="E18">
            <v>9.5970379999999977</v>
          </cell>
          <cell r="F18">
            <v>13.608292000000002</v>
          </cell>
          <cell r="G18">
            <v>7.1083060000000025</v>
          </cell>
          <cell r="H18">
            <v>4.5471849999999989</v>
          </cell>
          <cell r="I18">
            <v>15.406931695999987</v>
          </cell>
          <cell r="J18">
            <v>-3.8355512954730671</v>
          </cell>
          <cell r="K18">
            <v>0</v>
          </cell>
          <cell r="L18">
            <v>0</v>
          </cell>
          <cell r="N18" t="str">
            <v>Dividend Yield (Current Price, %)</v>
          </cell>
          <cell r="O18">
            <v>0</v>
          </cell>
          <cell r="P18">
            <v>0</v>
          </cell>
          <cell r="Q18">
            <v>1.607704873648955</v>
          </cell>
          <cell r="R18">
            <v>1.607704873648955</v>
          </cell>
          <cell r="S18">
            <v>1.768470493753175</v>
          </cell>
          <cell r="T18">
            <v>2.572347266881029</v>
          </cell>
          <cell r="U18">
            <v>3.6334405144694535</v>
          </cell>
          <cell r="V18">
            <v>4.180064308681672</v>
          </cell>
          <cell r="W18">
            <v>4.501607717041801</v>
          </cell>
          <cell r="X18">
            <v>4.823151125401929</v>
          </cell>
        </row>
        <row r="19">
          <cell r="B19" t="str">
            <v>Other trading income</v>
          </cell>
          <cell r="C19">
            <v>-11.660423000000002</v>
          </cell>
          <cell r="D19">
            <v>-2.2122909999999996</v>
          </cell>
          <cell r="E19">
            <v>-3.9779139999999988</v>
          </cell>
          <cell r="F19">
            <v>-3.9950099999999988</v>
          </cell>
          <cell r="G19">
            <v>2.0797100000000048</v>
          </cell>
          <cell r="H19">
            <v>1.5335300000000007</v>
          </cell>
          <cell r="I19">
            <v>-22.448308368000006</v>
          </cell>
          <cell r="J19">
            <v>-34.01717750433744</v>
          </cell>
          <cell r="K19">
            <v>9.3283227146442016</v>
          </cell>
          <cell r="L19">
            <v>8.0241691532975921</v>
          </cell>
          <cell r="N19" t="str">
            <v>Dividend Payout Ratio (%)</v>
          </cell>
          <cell r="O19">
            <v>0</v>
          </cell>
          <cell r="P19">
            <v>0</v>
          </cell>
          <cell r="Q19">
            <v>25.176150737817981</v>
          </cell>
          <cell r="R19">
            <v>30.091034636678405</v>
          </cell>
          <cell r="S19">
            <v>29.776259268029794</v>
          </cell>
          <cell r="T19">
            <v>30.153081116569329</v>
          </cell>
          <cell r="U19">
            <v>31.035246033502716</v>
          </cell>
          <cell r="V19">
            <v>29.965634015222548</v>
          </cell>
          <cell r="W19">
            <v>33.635488590080953</v>
          </cell>
          <cell r="X19">
            <v>35.243186961121928</v>
          </cell>
        </row>
        <row r="20">
          <cell r="B20" t="str">
            <v>Other Income</v>
          </cell>
          <cell r="C20">
            <v>-31.74471999999999</v>
          </cell>
          <cell r="D20">
            <v>-53.083737999999919</v>
          </cell>
          <cell r="E20">
            <v>-30.191082000000012</v>
          </cell>
          <cell r="F20">
            <v>-34.419654000000001</v>
          </cell>
          <cell r="G20">
            <v>-38.341280650000151</v>
          </cell>
          <cell r="H20">
            <v>-42.036997144999923</v>
          </cell>
          <cell r="I20">
            <v>-32.725466197999978</v>
          </cell>
          <cell r="J20">
            <v>78.425313035345653</v>
          </cell>
          <cell r="K20">
            <v>-4.3323700938881586</v>
          </cell>
          <cell r="L20">
            <v>-14.656612198602346</v>
          </cell>
        </row>
        <row r="21">
          <cell r="B21" t="str">
            <v>Total Non-interest Income</v>
          </cell>
          <cell r="C21">
            <v>70.836926999999989</v>
          </cell>
          <cell r="D21">
            <v>87.647799000000077</v>
          </cell>
          <cell r="E21">
            <v>31.314430079815562</v>
          </cell>
          <cell r="F21">
            <v>38.647948596088462</v>
          </cell>
          <cell r="G21">
            <v>41.345450010999848</v>
          </cell>
          <cell r="H21">
            <v>32.508745407000085</v>
          </cell>
          <cell r="I21">
            <v>39.999999999999986</v>
          </cell>
          <cell r="J21">
            <v>144.58394307393289</v>
          </cell>
          <cell r="K21">
            <v>121.3003980113786</v>
          </cell>
          <cell r="L21">
            <v>123.62850915973374</v>
          </cell>
          <cell r="N21" t="str">
            <v>Issued Shares (m)</v>
          </cell>
          <cell r="O21">
            <v>120.42</v>
          </cell>
          <cell r="P21">
            <v>120.42</v>
          </cell>
          <cell r="Q21">
            <v>132.125</v>
          </cell>
          <cell r="R21">
            <v>132.125</v>
          </cell>
          <cell r="S21">
            <v>132.125</v>
          </cell>
          <cell r="T21">
            <v>132.125</v>
          </cell>
          <cell r="U21">
            <v>132.125</v>
          </cell>
          <cell r="V21">
            <v>132.125</v>
          </cell>
          <cell r="W21">
            <v>132.125</v>
          </cell>
          <cell r="X21">
            <v>132.125</v>
          </cell>
        </row>
        <row r="22">
          <cell r="N22" t="str">
            <v>Market Cap (Wonbn)</v>
          </cell>
          <cell r="O22">
            <v>1872.5309999999999</v>
          </cell>
          <cell r="P22">
            <v>1872.5309999999999</v>
          </cell>
          <cell r="Q22">
            <v>2054.5437499999998</v>
          </cell>
          <cell r="R22">
            <v>2054.5437499999998</v>
          </cell>
          <cell r="S22">
            <v>2054.5437499999998</v>
          </cell>
          <cell r="T22">
            <v>2054.5437499999998</v>
          </cell>
          <cell r="U22">
            <v>2054.5437499999998</v>
          </cell>
          <cell r="V22">
            <v>2054.5437499999998</v>
          </cell>
          <cell r="W22">
            <v>2054.5437499999998</v>
          </cell>
          <cell r="X22">
            <v>2054.5437499999998</v>
          </cell>
        </row>
        <row r="23">
          <cell r="B23" t="str">
            <v>Non-interest Expense</v>
          </cell>
          <cell r="N23" t="str">
            <v>Market Cap (US$mn)</v>
          </cell>
          <cell r="O23">
            <v>1971.0852631578948</v>
          </cell>
          <cell r="P23">
            <v>1971.0852631578948</v>
          </cell>
          <cell r="Q23">
            <v>2162.6776315789475</v>
          </cell>
          <cell r="R23">
            <v>2162.6776315789475</v>
          </cell>
          <cell r="S23">
            <v>2162.6776315789475</v>
          </cell>
          <cell r="T23">
            <v>2162.6776315789475</v>
          </cell>
          <cell r="U23">
            <v>2162.6776315789475</v>
          </cell>
          <cell r="V23">
            <v>2162.6776315789475</v>
          </cell>
          <cell r="W23">
            <v>2162.6776315789475</v>
          </cell>
          <cell r="X23">
            <v>2162.6776315789475</v>
          </cell>
        </row>
        <row r="24">
          <cell r="B24" t="str">
            <v>Salaries &amp; Benefits</v>
          </cell>
          <cell r="C24">
            <v>107.16847300000001</v>
          </cell>
          <cell r="D24">
            <v>98.766052000000002</v>
          </cell>
          <cell r="E24">
            <v>132.53890000000001</v>
          </cell>
          <cell r="F24">
            <v>139.87535099999999</v>
          </cell>
          <cell r="G24">
            <v>158.067294</v>
          </cell>
          <cell r="H24">
            <v>169.01070299999998</v>
          </cell>
          <cell r="I24">
            <v>187.733122804</v>
          </cell>
          <cell r="J24">
            <v>203.09288603685599</v>
          </cell>
          <cell r="K24">
            <v>219.35530669151098</v>
          </cell>
          <cell r="L24">
            <v>236.59153547192719</v>
          </cell>
        </row>
        <row r="25">
          <cell r="B25" t="str">
            <v>Net Occupancy &amp; Equipment</v>
          </cell>
          <cell r="C25">
            <v>1.828999</v>
          </cell>
          <cell r="D25">
            <v>1.9287479999999999</v>
          </cell>
          <cell r="E25">
            <v>2.0369389999999998</v>
          </cell>
          <cell r="F25">
            <v>2.4119800000000002</v>
          </cell>
          <cell r="G25">
            <v>2.779687</v>
          </cell>
          <cell r="H25">
            <v>3.0314130000000001</v>
          </cell>
          <cell r="I25">
            <v>4.3649731559999996</v>
          </cell>
          <cell r="J25">
            <v>5.2695198666551688</v>
          </cell>
          <cell r="K25">
            <v>6.2981784696932053</v>
          </cell>
          <cell r="L25">
            <v>7.6112275624581436</v>
          </cell>
          <cell r="N25" t="str">
            <v>PERFORMANCE RATIOS</v>
          </cell>
        </row>
        <row r="26">
          <cell r="B26" t="str">
            <v>Other Expenses</v>
          </cell>
          <cell r="C26">
            <v>90.402039000000002</v>
          </cell>
          <cell r="D26">
            <v>91.705391000000006</v>
          </cell>
          <cell r="E26">
            <v>102.241602</v>
          </cell>
          <cell r="F26">
            <v>119.61654499999995</v>
          </cell>
          <cell r="G26">
            <v>135.650407</v>
          </cell>
          <cell r="H26">
            <v>149.20329899999996</v>
          </cell>
          <cell r="I26">
            <v>169.20190403999999</v>
          </cell>
          <cell r="J26">
            <v>181.58327820243341</v>
          </cell>
          <cell r="K26">
            <v>189.39679184728826</v>
          </cell>
          <cell r="L26">
            <v>204.83751875790622</v>
          </cell>
          <cell r="N26" t="str">
            <v>Won billions, Year ending Dec 31</v>
          </cell>
          <cell r="O26">
            <v>2000</v>
          </cell>
          <cell r="P26">
            <v>2001</v>
          </cell>
          <cell r="Q26">
            <v>2002</v>
          </cell>
          <cell r="R26">
            <v>2003</v>
          </cell>
          <cell r="S26">
            <v>2004</v>
          </cell>
          <cell r="T26">
            <v>2005</v>
          </cell>
          <cell r="U26">
            <v>2006</v>
          </cell>
          <cell r="V26" t="str">
            <v>2007E</v>
          </cell>
          <cell r="W26" t="str">
            <v>2008E</v>
          </cell>
          <cell r="X26" t="str">
            <v>2009E</v>
          </cell>
        </row>
        <row r="27">
          <cell r="B27" t="str">
            <v>Total Non-interest Expense</v>
          </cell>
          <cell r="C27">
            <v>199.39951100000002</v>
          </cell>
          <cell r="D27">
            <v>192.40019100000001</v>
          </cell>
          <cell r="E27">
            <v>236.817441</v>
          </cell>
          <cell r="F27">
            <v>261.90387599999997</v>
          </cell>
          <cell r="G27">
            <v>296.497388</v>
          </cell>
          <cell r="H27">
            <v>321.24541499999992</v>
          </cell>
          <cell r="I27">
            <v>361.29999999999995</v>
          </cell>
          <cell r="J27">
            <v>389.94568410594457</v>
          </cell>
          <cell r="K27">
            <v>415.05027700849246</v>
          </cell>
          <cell r="L27">
            <v>449.04028179229158</v>
          </cell>
          <cell r="N27" t="str">
            <v>Growth (%)</v>
          </cell>
        </row>
        <row r="28">
          <cell r="N28" t="str">
            <v>Net Interest Income</v>
          </cell>
          <cell r="O28">
            <v>19.194092588123702</v>
          </cell>
          <cell r="P28">
            <v>0.14244527663842543</v>
          </cell>
          <cell r="Q28">
            <v>46.390935166486848</v>
          </cell>
          <cell r="R28">
            <v>14.965388144896163</v>
          </cell>
          <cell r="S28">
            <v>8.3919397970151124</v>
          </cell>
          <cell r="T28">
            <v>7.0770026219432625</v>
          </cell>
          <cell r="U28">
            <v>4.9744678274129317</v>
          </cell>
          <cell r="V28">
            <v>-3.1843212101089091</v>
          </cell>
          <cell r="W28">
            <v>6.5425453915973986</v>
          </cell>
          <cell r="X28">
            <v>10.164178368633326</v>
          </cell>
        </row>
        <row r="29">
          <cell r="B29" t="str">
            <v>Pre-tax Operating Profit</v>
          </cell>
          <cell r="C29">
            <v>64.883817999999962</v>
          </cell>
          <cell r="D29">
            <v>155.41013299999997</v>
          </cell>
          <cell r="E29">
            <v>137.95983000000004</v>
          </cell>
          <cell r="F29">
            <v>141.18718599999988</v>
          </cell>
          <cell r="G29">
            <v>162.21586499999984</v>
          </cell>
          <cell r="H29">
            <v>232.95862400000016</v>
          </cell>
          <cell r="I29">
            <v>332.76172167099992</v>
          </cell>
          <cell r="J29">
            <v>386.6356615199079</v>
          </cell>
          <cell r="K29">
            <v>374.20934625988707</v>
          </cell>
          <cell r="L29">
            <v>382.30870493582552</v>
          </cell>
          <cell r="N29" t="str">
            <v>Non-interest Income</v>
          </cell>
          <cell r="O29">
            <v>21.880539673415122</v>
          </cell>
          <cell r="P29">
            <v>23.731791753191224</v>
          </cell>
          <cell r="Q29">
            <v>-64.272428472715518</v>
          </cell>
          <cell r="R29">
            <v>23.418974886596743</v>
          </cell>
          <cell r="S29">
            <v>6.979675540099417</v>
          </cell>
          <cell r="T29">
            <v>-21.372858686140273</v>
          </cell>
          <cell r="U29">
            <v>23.043813285353099</v>
          </cell>
          <cell r="V29">
            <v>261.45985768483234</v>
          </cell>
          <cell r="W29">
            <v>-16.103824925184295</v>
          </cell>
          <cell r="X29">
            <v>1.9192939071285942</v>
          </cell>
        </row>
        <row r="30">
          <cell r="B30" t="str">
            <v>Associate Profit/Loss</v>
          </cell>
          <cell r="C30">
            <v>-49.278655000000001</v>
          </cell>
          <cell r="D30">
            <v>-124.727327</v>
          </cell>
          <cell r="E30">
            <v>-6.7602659999999659</v>
          </cell>
          <cell r="F30">
            <v>-27.030004999999996</v>
          </cell>
          <cell r="G30">
            <v>8.7279590000001619</v>
          </cell>
          <cell r="H30">
            <v>10.438885999999876</v>
          </cell>
          <cell r="I30">
            <v>1.8062432330000284</v>
          </cell>
          <cell r="J30">
            <v>9.8666032890097899</v>
          </cell>
          <cell r="K30">
            <v>5.0596070528982828</v>
          </cell>
          <cell r="L30">
            <v>5.5138680725025155</v>
          </cell>
          <cell r="N30" t="str">
            <v>Non-interest Expense</v>
          </cell>
          <cell r="O30">
            <v>-1.5725118144990224</v>
          </cell>
          <cell r="P30">
            <v>-3.5101991799769361</v>
          </cell>
          <cell r="Q30">
            <v>23.085865855507382</v>
          </cell>
          <cell r="R30">
            <v>10.593153483150752</v>
          </cell>
          <cell r="S30">
            <v>13.208476532817738</v>
          </cell>
          <cell r="T30">
            <v>8.3467942726024766</v>
          </cell>
          <cell r="U30">
            <v>12.468531262928707</v>
          </cell>
          <cell r="V30">
            <v>7.9285037658302304</v>
          </cell>
          <cell r="W30">
            <v>6.4379717293465921</v>
          </cell>
          <cell r="X30">
            <v>8.1893704610402231</v>
          </cell>
        </row>
        <row r="31">
          <cell r="N31" t="str">
            <v>Recurrent Net Profit After Tax (FD)</v>
          </cell>
          <cell r="O31">
            <v>145.97713062876463</v>
          </cell>
          <cell r="P31">
            <v>139.52063517593874</v>
          </cell>
          <cell r="Q31">
            <v>-11.228549041908298</v>
          </cell>
          <cell r="R31">
            <v>-1.5934519963194727</v>
          </cell>
          <cell r="S31">
            <v>-14.708384897943461</v>
          </cell>
          <cell r="T31">
            <v>44.874840425669625</v>
          </cell>
          <cell r="U31">
            <v>42.610435609727901</v>
          </cell>
          <cell r="V31">
            <v>16.816410990975328</v>
          </cell>
          <cell r="W31">
            <v>-2.9218449036519822</v>
          </cell>
          <cell r="X31">
            <v>2.1643924067875853</v>
          </cell>
        </row>
        <row r="32">
          <cell r="B32" t="str">
            <v>Profit Before Tax</v>
          </cell>
          <cell r="C32">
            <v>15.605162999999962</v>
          </cell>
          <cell r="D32">
            <v>30.682805999999971</v>
          </cell>
          <cell r="E32">
            <v>131.19956400000007</v>
          </cell>
          <cell r="F32">
            <v>114.15718099999989</v>
          </cell>
          <cell r="G32">
            <v>170.94382400000001</v>
          </cell>
          <cell r="H32">
            <v>243.39751000000004</v>
          </cell>
          <cell r="I32">
            <v>334.56796490399995</v>
          </cell>
          <cell r="J32">
            <v>396.50226480891769</v>
          </cell>
          <cell r="K32">
            <v>379.26895331278536</v>
          </cell>
          <cell r="L32">
            <v>387.82257300832805</v>
          </cell>
          <cell r="N32" t="str">
            <v>Net Profit</v>
          </cell>
          <cell r="O32">
            <v>-49.275592820892655</v>
          </cell>
          <cell r="P32">
            <v>96.61958032735734</v>
          </cell>
          <cell r="Q32">
            <v>327.5996269702328</v>
          </cell>
          <cell r="R32">
            <v>-16.333382877003487</v>
          </cell>
          <cell r="S32">
            <v>11.162542960894672</v>
          </cell>
          <cell r="T32">
            <v>43.638288281194917</v>
          </cell>
          <cell r="U32">
            <v>37.235023144900211</v>
          </cell>
          <cell r="V32">
            <v>19.15070887583985</v>
          </cell>
          <cell r="W32">
            <v>-4.0576363289669848</v>
          </cell>
          <cell r="X32">
            <v>2.2552912968039518</v>
          </cell>
        </row>
        <row r="33">
          <cell r="B33" t="str">
            <v>Effective Tax</v>
          </cell>
          <cell r="C33">
            <v>0</v>
          </cell>
          <cell r="D33">
            <v>0</v>
          </cell>
          <cell r="E33">
            <v>-2.8421709430404007E-14</v>
          </cell>
          <cell r="F33">
            <v>4.3869441210790487</v>
          </cell>
          <cell r="G33">
            <v>48.920437271193769</v>
          </cell>
          <cell r="H33">
            <v>68.125206000000034</v>
          </cell>
          <cell r="I33">
            <v>94.032977943000049</v>
          </cell>
          <cell r="J33">
            <v>109.90312275047734</v>
          </cell>
          <cell r="K33">
            <v>104.29896216101602</v>
          </cell>
          <cell r="L33">
            <v>106.65120757729024</v>
          </cell>
        </row>
        <row r="34">
          <cell r="B34" t="str">
            <v xml:space="preserve">Minority Interests 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N34" t="str">
            <v>Gross Customer Loans</v>
          </cell>
          <cell r="O34">
            <v>16.874829523661859</v>
          </cell>
          <cell r="P34">
            <v>20.584814639195592</v>
          </cell>
          <cell r="Q34">
            <v>8.8731818019098121</v>
          </cell>
          <cell r="R34">
            <v>14.302398892121237</v>
          </cell>
          <cell r="S34">
            <v>11.831625407317304</v>
          </cell>
          <cell r="T34">
            <v>5.5445705283399871</v>
          </cell>
          <cell r="U34">
            <v>16.873281626857949</v>
          </cell>
          <cell r="V34">
            <v>13.046403006933804</v>
          </cell>
          <cell r="W34">
            <v>11.364094532789881</v>
          </cell>
          <cell r="X34">
            <v>12.402616335753702</v>
          </cell>
        </row>
        <row r="35">
          <cell r="B35" t="str">
            <v>Preference Dividend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N35" t="str">
            <v>Total Deposits</v>
          </cell>
          <cell r="O35">
            <v>20.305498208291262</v>
          </cell>
          <cell r="P35">
            <v>15.389922871921913</v>
          </cell>
          <cell r="Q35">
            <v>12.258937954969706</v>
          </cell>
          <cell r="R35">
            <v>7.7654261897086796</v>
          </cell>
          <cell r="S35">
            <v>4.8546454824977658</v>
          </cell>
          <cell r="T35">
            <v>9.18769091004914</v>
          </cell>
          <cell r="U35">
            <v>5.172830838689757</v>
          </cell>
          <cell r="V35">
            <v>4.9417379524641092</v>
          </cell>
          <cell r="W35">
            <v>6.1302533287015626</v>
          </cell>
          <cell r="X35">
            <v>8.4709729103287437</v>
          </cell>
        </row>
        <row r="36">
          <cell r="B36" t="str">
            <v>Net Profit</v>
          </cell>
          <cell r="C36">
            <v>15.605162999999962</v>
          </cell>
          <cell r="D36">
            <v>30.682805999999971</v>
          </cell>
          <cell r="E36">
            <v>131.19956400000009</v>
          </cell>
          <cell r="F36">
            <v>109.77023687892084</v>
          </cell>
          <cell r="G36">
            <v>122.02338672880623</v>
          </cell>
          <cell r="H36">
            <v>175.27230400000002</v>
          </cell>
          <cell r="I36">
            <v>240.5349869609999</v>
          </cell>
          <cell r="J36">
            <v>286.59914205844035</v>
          </cell>
          <cell r="K36">
            <v>274.96999115176936</v>
          </cell>
          <cell r="L36">
            <v>281.17136543103783</v>
          </cell>
          <cell r="N36" t="str">
            <v>Avg Earning Assets</v>
          </cell>
          <cell r="O36">
            <v>15.97959103957065</v>
          </cell>
          <cell r="P36">
            <v>15.127231430001586</v>
          </cell>
          <cell r="Q36">
            <v>-100</v>
          </cell>
          <cell r="R36" t="e">
            <v>#DIV/0!</v>
          </cell>
          <cell r="T36">
            <v>7.1403802823402529</v>
          </cell>
          <cell r="U36">
            <v>5.8860196896747707</v>
          </cell>
          <cell r="V36">
            <v>8.5141519773088703</v>
          </cell>
          <cell r="W36">
            <v>7.5270292072731726</v>
          </cell>
          <cell r="X36">
            <v>10.015494164378612</v>
          </cell>
        </row>
        <row r="37">
          <cell r="B37" t="str">
            <v>EPS - Reported (Won)</v>
          </cell>
          <cell r="C37">
            <v>129.58946188340775</v>
          </cell>
          <cell r="D37">
            <v>254.79825610363704</v>
          </cell>
          <cell r="E37">
            <v>992.99575402081427</v>
          </cell>
          <cell r="F37">
            <v>830.8059555642069</v>
          </cell>
          <cell r="G37">
            <v>923.5450272757331</v>
          </cell>
          <cell r="H37">
            <v>1326.5642686849574</v>
          </cell>
          <cell r="I37">
            <v>1820.5107811617777</v>
          </cell>
          <cell r="J37">
            <v>2169.1515009153482</v>
          </cell>
          <cell r="K37">
            <v>2081.1352215838742</v>
          </cell>
          <cell r="L37">
            <v>2128.0708831109769</v>
          </cell>
          <cell r="N37" t="str">
            <v>Total Interest-bearing Liab</v>
          </cell>
          <cell r="O37" t="e">
            <v>#DIV/0!</v>
          </cell>
          <cell r="P37" t="e">
            <v>#DIV/0!</v>
          </cell>
          <cell r="Q37" t="e">
            <v>#DIV/0!</v>
          </cell>
          <cell r="R37" t="e">
            <v>#DIV/0!</v>
          </cell>
          <cell r="T37">
            <v>6.8990393616055412</v>
          </cell>
          <cell r="U37">
            <v>5.858411532772978</v>
          </cell>
          <cell r="V37">
            <v>8.0595637119371908</v>
          </cell>
          <cell r="W37">
            <v>9.5304438500316557</v>
          </cell>
          <cell r="X37">
            <v>9.6424978769059635</v>
          </cell>
        </row>
        <row r="38">
          <cell r="B38" t="str">
            <v>EPS - ModelWare (Won)</v>
          </cell>
          <cell r="E38">
            <v>1013.2494304635768</v>
          </cell>
          <cell r="F38">
            <v>859.25791393695999</v>
          </cell>
          <cell r="G38">
            <v>954.53668668916737</v>
          </cell>
          <cell r="H38">
            <v>1365.079803216651</v>
          </cell>
          <cell r="I38">
            <v>1878.9637543916738</v>
          </cell>
          <cell r="J38">
            <v>2237.9490153293173</v>
          </cell>
          <cell r="K38">
            <v>2143.2715563568795</v>
          </cell>
          <cell r="L38">
            <v>2183.7078518344224</v>
          </cell>
          <cell r="N38" t="str">
            <v>Risk-weighted Assets</v>
          </cell>
          <cell r="O38" t="e">
            <v>#DIV/0!</v>
          </cell>
          <cell r="P38" t="e">
            <v>#DIV/0!</v>
          </cell>
          <cell r="Q38" t="e">
            <v>#DIV/0!</v>
          </cell>
          <cell r="R38">
            <v>7.5781305462630622</v>
          </cell>
          <cell r="S38">
            <v>6.3495368218855486</v>
          </cell>
          <cell r="T38">
            <v>14.964237479913445</v>
          </cell>
          <cell r="U38">
            <v>15.931281422262543</v>
          </cell>
          <cell r="V38">
            <v>7.1373663922500885</v>
          </cell>
          <cell r="W38">
            <v>19.287010129767346</v>
          </cell>
          <cell r="X38">
            <v>9.5031871878697327</v>
          </cell>
        </row>
        <row r="40">
          <cell r="B40" t="str">
            <v>Selective Balance Sheet Data</v>
          </cell>
          <cell r="N40" t="str">
            <v>Revenue Breakdown (%)</v>
          </cell>
        </row>
        <row r="41">
          <cell r="B41" t="str">
            <v>Won billions, Year ending Dec 31</v>
          </cell>
          <cell r="C41">
            <v>2000</v>
          </cell>
          <cell r="D41">
            <v>2001</v>
          </cell>
          <cell r="E41">
            <v>2002</v>
          </cell>
          <cell r="F41">
            <v>2003</v>
          </cell>
          <cell r="G41">
            <v>2004</v>
          </cell>
          <cell r="H41">
            <v>2005</v>
          </cell>
          <cell r="I41">
            <v>2006</v>
          </cell>
          <cell r="J41" t="str">
            <v>2007E</v>
          </cell>
          <cell r="K41" t="str">
            <v>2008E</v>
          </cell>
          <cell r="L41" t="str">
            <v>2009E</v>
          </cell>
          <cell r="N41" t="str">
            <v>NII/Operating Income</v>
          </cell>
          <cell r="O41">
            <v>82.793797599353738</v>
          </cell>
          <cell r="P41">
            <v>79.568827422204222</v>
          </cell>
          <cell r="Q41">
            <v>94.102846825848445</v>
          </cell>
          <cell r="R41">
            <v>93.696553276669732</v>
          </cell>
          <cell r="S41">
            <v>93.773568664997782</v>
          </cell>
          <cell r="T41">
            <v>95.35099238999301</v>
          </cell>
          <cell r="U41">
            <v>94.594015435915082</v>
          </cell>
          <cell r="V41">
            <v>82.415353429484853</v>
          </cell>
          <cell r="W41">
            <v>85.615436525819405</v>
          </cell>
          <cell r="X41">
            <v>86.547174411778343</v>
          </cell>
        </row>
        <row r="42">
          <cell r="B42" t="str">
            <v>Total Assets</v>
          </cell>
          <cell r="C42">
            <v>13028.76828</v>
          </cell>
          <cell r="D42">
            <v>14551.469909000001</v>
          </cell>
          <cell r="E42">
            <v>16020.457914000001</v>
          </cell>
          <cell r="F42">
            <v>16909.019744999998</v>
          </cell>
          <cell r="G42">
            <v>18584.948699</v>
          </cell>
          <cell r="H42">
            <v>19623.959286000001</v>
          </cell>
          <cell r="I42">
            <v>21857.747097563002</v>
          </cell>
          <cell r="J42">
            <v>22892.646994126611</v>
          </cell>
          <cell r="K42">
            <v>25058.178523756134</v>
          </cell>
          <cell r="L42">
            <v>27439.504134739251</v>
          </cell>
          <cell r="N42" t="str">
            <v>Non-interest Inc/Opg Income</v>
          </cell>
          <cell r="O42">
            <v>17.206202400646266</v>
          </cell>
          <cell r="P42">
            <v>20.43117257779577</v>
          </cell>
          <cell r="Q42">
            <v>5.897153174151561</v>
          </cell>
          <cell r="R42">
            <v>6.3034467233302722</v>
          </cell>
          <cell r="S42">
            <v>6.2264313350022187</v>
          </cell>
          <cell r="T42">
            <v>4.6490076100069953</v>
          </cell>
          <cell r="U42">
            <v>5.4059845640849185</v>
          </cell>
          <cell r="V42">
            <v>17.584646570515144</v>
          </cell>
          <cell r="W42">
            <v>14.384563474180595</v>
          </cell>
          <cell r="X42">
            <v>13.452825588221653</v>
          </cell>
        </row>
        <row r="43">
          <cell r="B43" t="str">
            <v>RWA</v>
          </cell>
          <cell r="C43">
            <v>0</v>
          </cell>
          <cell r="D43">
            <v>0</v>
          </cell>
          <cell r="E43">
            <v>9000.9930000000004</v>
          </cell>
          <cell r="F43">
            <v>9683.1</v>
          </cell>
          <cell r="G43">
            <v>10297.932000000001</v>
          </cell>
          <cell r="H43">
            <v>11838.939</v>
          </cell>
          <cell r="I43">
            <v>13725.033689499996</v>
          </cell>
          <cell r="J43">
            <v>14704.63963137937</v>
          </cell>
          <cell r="K43">
            <v>17540.724966629292</v>
          </cell>
          <cell r="L43">
            <v>19207.652894317474</v>
          </cell>
          <cell r="N43" t="str">
            <v>Forex Income/Operating Income</v>
          </cell>
          <cell r="O43">
            <v>2.5353030286027392</v>
          </cell>
          <cell r="P43">
            <v>1.9389354982686833</v>
          </cell>
          <cell r="Q43">
            <v>1.8073202341508645</v>
          </cell>
          <cell r="R43">
            <v>2.2195005616987196</v>
          </cell>
          <cell r="S43">
            <v>1.0704776270522924</v>
          </cell>
          <cell r="T43">
            <v>0.65028340541735008</v>
          </cell>
          <cell r="U43">
            <v>2.0822408732121653</v>
          </cell>
          <cell r="V43">
            <v>-0.46648896481877328</v>
          </cell>
          <cell r="W43">
            <v>0</v>
          </cell>
          <cell r="X43">
            <v>0</v>
          </cell>
        </row>
        <row r="44">
          <cell r="B44" t="str">
            <v>Total Liquid Assets</v>
          </cell>
          <cell r="C44">
            <v>5962.1525149999998</v>
          </cell>
          <cell r="D44">
            <v>6459.7277969999996</v>
          </cell>
          <cell r="E44">
            <v>6806.4684619999998</v>
          </cell>
          <cell r="F44">
            <v>6392.2568350000001</v>
          </cell>
          <cell r="G44">
            <v>6306.6910909999997</v>
          </cell>
          <cell r="H44">
            <v>6990.019558</v>
          </cell>
          <cell r="I44">
            <v>6916.715082701</v>
          </cell>
          <cell r="J44">
            <v>6057.3941127551834</v>
          </cell>
          <cell r="K44">
            <v>6395.1286551307076</v>
          </cell>
          <cell r="L44">
            <v>6536.4936267440326</v>
          </cell>
        </row>
        <row r="45">
          <cell r="B45" t="str">
            <v>Gross Customer Loans</v>
          </cell>
          <cell r="C45">
            <v>6882.8090649999995</v>
          </cell>
          <cell r="D45">
            <v>8299.6225530000011</v>
          </cell>
          <cell r="E45">
            <v>9036.0631510000003</v>
          </cell>
          <cell r="F45">
            <v>10328.436947</v>
          </cell>
          <cell r="G45">
            <v>11550.458917</v>
          </cell>
          <cell r="H45">
            <v>12190.882258</v>
          </cell>
          <cell r="I45">
            <v>14247.884154190999</v>
          </cell>
          <cell r="J45">
            <v>16106.72054090782</v>
          </cell>
          <cell r="K45">
            <v>17937.103489308869</v>
          </cell>
          <cell r="L45">
            <v>20161.773616834937</v>
          </cell>
          <cell r="N45" t="str">
            <v>Efficiency (%)</v>
          </cell>
        </row>
        <row r="46">
          <cell r="B46" t="str">
            <v>Total Customer Deposits</v>
          </cell>
          <cell r="C46">
            <v>8873.0444650000009</v>
          </cell>
          <cell r="D46">
            <v>10182.091259999999</v>
          </cell>
          <cell r="E46">
            <v>11062.237114</v>
          </cell>
          <cell r="F46">
            <v>12168.536905000001</v>
          </cell>
          <cell r="G46">
            <v>12489.438663999999</v>
          </cell>
          <cell r="H46">
            <v>13424.226704999999</v>
          </cell>
          <cell r="I46">
            <v>13225.490707831001</v>
          </cell>
          <cell r="J46">
            <v>12431.96126536114</v>
          </cell>
          <cell r="K46">
            <v>12183.322040053918</v>
          </cell>
          <cell r="L46">
            <v>12426.988480854996</v>
          </cell>
          <cell r="N46" t="str">
            <v>Cost/Income</v>
          </cell>
          <cell r="O46">
            <v>48.433895852877576</v>
          </cell>
          <cell r="P46">
            <v>44.849517628182141</v>
          </cell>
          <cell r="Q46">
            <v>44.597609483168519</v>
          </cell>
          <cell r="R46">
            <v>37.9</v>
          </cell>
          <cell r="S46">
            <v>44.651119455668166</v>
          </cell>
          <cell r="T46">
            <v>45.940634137583992</v>
          </cell>
          <cell r="U46">
            <v>48.829555575097032</v>
          </cell>
          <cell r="V46">
            <v>47.426131082857722</v>
          </cell>
          <cell r="W46">
            <v>49.219270113564278</v>
          </cell>
          <cell r="X46">
            <v>48.863006066283077</v>
          </cell>
        </row>
        <row r="47">
          <cell r="B47" t="str">
            <v>Certificates of Deposits</v>
          </cell>
          <cell r="C47">
            <v>136.52538000000001</v>
          </cell>
          <cell r="D47">
            <v>225.59719999999999</v>
          </cell>
          <cell r="E47">
            <v>603.66183199999978</v>
          </cell>
          <cell r="F47">
            <v>432.89160899999843</v>
          </cell>
          <cell r="G47">
            <v>700.82924800000001</v>
          </cell>
          <cell r="H47">
            <v>976.23114500000156</v>
          </cell>
          <cell r="I47">
            <v>1899.911154224</v>
          </cell>
          <cell r="J47">
            <v>3419.8400776031999</v>
          </cell>
          <cell r="K47">
            <v>4616.7841047643205</v>
          </cell>
          <cell r="L47">
            <v>5770.9801309554005</v>
          </cell>
          <cell r="N47" t="str">
            <v>Expenses/Avg Assets</v>
          </cell>
          <cell r="O47">
            <v>1.639892993456421</v>
          </cell>
          <cell r="P47">
            <v>1.3952032588082299</v>
          </cell>
          <cell r="Q47">
            <v>1.5492476782693207</v>
          </cell>
          <cell r="R47">
            <v>1.5906955993176448</v>
          </cell>
          <cell r="S47">
            <v>1.6706916752224743</v>
          </cell>
          <cell r="T47">
            <v>1.6815210480556735</v>
          </cell>
          <cell r="U47">
            <v>1.7419726983225741</v>
          </cell>
          <cell r="V47">
            <v>1.7427586595415461</v>
          </cell>
          <cell r="W47">
            <v>1.7311496622876863</v>
          </cell>
          <cell r="X47">
            <v>1.710705155171744</v>
          </cell>
        </row>
        <row r="48">
          <cell r="B48" t="str">
            <v>Other Interest Bearing Liability</v>
          </cell>
          <cell r="C48">
            <v>2751.1073500000002</v>
          </cell>
          <cell r="D48">
            <v>2682.7817380000015</v>
          </cell>
          <cell r="E48">
            <v>2820.9569869999996</v>
          </cell>
          <cell r="F48">
            <v>2785.8668209999996</v>
          </cell>
          <cell r="G48">
            <v>3410.4945430000007</v>
          </cell>
          <cell r="H48">
            <v>3392.2359759999999</v>
          </cell>
          <cell r="I48">
            <v>4154.7991992440002</v>
          </cell>
          <cell r="J48">
            <v>4262.1623079020028</v>
          </cell>
          <cell r="K48">
            <v>5211.1648079020051</v>
          </cell>
          <cell r="L48">
            <v>5922.2201079020015</v>
          </cell>
        </row>
        <row r="49">
          <cell r="B49" t="str">
            <v>EOP Shareholders' Equity</v>
          </cell>
          <cell r="C49">
            <v>532.42887800000005</v>
          </cell>
          <cell r="D49">
            <v>560.42844000000002</v>
          </cell>
          <cell r="E49">
            <v>712.17310000000009</v>
          </cell>
          <cell r="F49">
            <v>837.74458000000004</v>
          </cell>
          <cell r="G49">
            <v>949.07193300000006</v>
          </cell>
          <cell r="H49">
            <v>1076.9532260000001</v>
          </cell>
          <cell r="I49">
            <v>1261.7219761820002</v>
          </cell>
          <cell r="J49">
            <v>1465.2616775994404</v>
          </cell>
          <cell r="K49">
            <v>1654.3504187512096</v>
          </cell>
          <cell r="L49">
            <v>1843.0343268346421</v>
          </cell>
          <cell r="N49" t="str">
            <v>Rev Per Employee</v>
          </cell>
          <cell r="O49">
            <v>2.0775844771901492E-2</v>
          </cell>
          <cell r="P49">
            <v>2.2419741670804044E-2</v>
          </cell>
          <cell r="Q49">
            <v>5.1016887255608399E-2</v>
          </cell>
          <cell r="R49">
            <v>0.29669686039196702</v>
          </cell>
          <cell r="S49">
            <v>0.32455095454545441</v>
          </cell>
          <cell r="T49">
            <v>0.35334110106114203</v>
          </cell>
          <cell r="U49">
            <v>0.38169756083105488</v>
          </cell>
          <cell r="V49">
            <v>0.42035630917730871</v>
          </cell>
          <cell r="W49">
            <v>0.427896724508951</v>
          </cell>
          <cell r="X49">
            <v>0.46286631176354937</v>
          </cell>
        </row>
        <row r="50">
          <cell r="N50" t="str">
            <v>Exp Per Employee</v>
          </cell>
          <cell r="O50">
            <v>1.0062551019378281E-2</v>
          </cell>
          <cell r="P50">
            <v>1.0055145992840159E-2</v>
          </cell>
          <cell r="Q50">
            <v>2.2752312148724599E-2</v>
          </cell>
          <cell r="R50">
            <v>0.12673790273409144</v>
          </cell>
          <cell r="S50">
            <v>0.14491563440860214</v>
          </cell>
          <cell r="T50">
            <v>0.16232714249621016</v>
          </cell>
          <cell r="U50">
            <v>0.18638122259478976</v>
          </cell>
          <cell r="V50">
            <v>0.19935873420549313</v>
          </cell>
          <cell r="W50">
            <v>0.2106076446431546</v>
          </cell>
          <cell r="X50">
            <v>0.22617039399580385</v>
          </cell>
        </row>
        <row r="51">
          <cell r="B51" t="str">
            <v>Avg Loans</v>
          </cell>
          <cell r="C51">
            <v>6385.9260744999992</v>
          </cell>
          <cell r="D51">
            <v>7591.2158090000003</v>
          </cell>
          <cell r="E51">
            <v>8667.8428520000016</v>
          </cell>
          <cell r="F51">
            <v>9682.2500490000002</v>
          </cell>
          <cell r="G51">
            <v>10939.447931999999</v>
          </cell>
          <cell r="H51">
            <v>11870.670587500001</v>
          </cell>
          <cell r="I51">
            <v>13219.383206095499</v>
          </cell>
          <cell r="J51">
            <v>15177.302347549408</v>
          </cell>
          <cell r="K51">
            <v>17021.912015108344</v>
          </cell>
          <cell r="L51">
            <v>19049.438553071901</v>
          </cell>
          <cell r="N51" t="str">
            <v>Rev Per Branch</v>
          </cell>
          <cell r="O51">
            <v>0.36066065703022337</v>
          </cell>
          <cell r="P51">
            <v>0.37597769237510953</v>
          </cell>
          <cell r="Q51">
            <v>0.82776191893998441</v>
          </cell>
          <cell r="R51">
            <v>3.9556391096774184</v>
          </cell>
          <cell r="S51">
            <v>4.2160714476190462</v>
          </cell>
          <cell r="T51">
            <v>4.3978744591194969</v>
          </cell>
          <cell r="U51">
            <v>4.3912209001246287</v>
          </cell>
          <cell r="V51">
            <v>4.5805957701995315</v>
          </cell>
          <cell r="W51">
            <v>4.5829774029875745</v>
          </cell>
          <cell r="X51">
            <v>4.9674487139662293</v>
          </cell>
        </row>
        <row r="52">
          <cell r="B52" t="str">
            <v>Avg Total Assets</v>
          </cell>
          <cell r="C52">
            <v>12159.300137</v>
          </cell>
          <cell r="D52">
            <v>13790.119094500002</v>
          </cell>
          <cell r="E52">
            <v>15285.963911500001</v>
          </cell>
          <cell r="F52">
            <v>16464.738829499998</v>
          </cell>
          <cell r="G52">
            <v>17746.984221999999</v>
          </cell>
          <cell r="H52">
            <v>19104.453992499999</v>
          </cell>
          <cell r="I52">
            <v>20740.853191781502</v>
          </cell>
          <cell r="J52">
            <v>22375.197045844805</v>
          </cell>
          <cell r="K52">
            <v>23975.412758941373</v>
          </cell>
          <cell r="L52">
            <v>26248.841329247691</v>
          </cell>
          <cell r="N52" t="str">
            <v>Exp Per Branch</v>
          </cell>
          <cell r="O52">
            <v>0.1746820070083224</v>
          </cell>
          <cell r="P52">
            <v>0.1686241814198072</v>
          </cell>
          <cell r="Q52">
            <v>0.36916202805923615</v>
          </cell>
          <cell r="R52">
            <v>1.6897024258064515</v>
          </cell>
          <cell r="S52">
            <v>1.8825230984126984</v>
          </cell>
          <cell r="T52">
            <v>2.0204114150943391</v>
          </cell>
          <cell r="U52">
            <v>2.1442136498516318</v>
          </cell>
          <cell r="V52">
            <v>2.1723993543506661</v>
          </cell>
          <cell r="W52">
            <v>2.2557080272200678</v>
          </cell>
          <cell r="X52">
            <v>2.4272447664448196</v>
          </cell>
        </row>
        <row r="53">
          <cell r="B53" t="str">
            <v>Avg Total Deposits</v>
          </cell>
          <cell r="C53">
            <v>8296.3607030000003</v>
          </cell>
          <cell r="D53">
            <v>9758.2770999999993</v>
          </cell>
          <cell r="E53">
            <v>11096.3880395</v>
          </cell>
          <cell r="F53">
            <v>12192.979877</v>
          </cell>
          <cell r="G53">
            <v>12955.728714000001</v>
          </cell>
          <cell r="H53">
            <v>13872.0239815</v>
          </cell>
          <cell r="I53">
            <v>14855.840814868501</v>
          </cell>
          <cell r="J53">
            <v>15606.71015915192</v>
          </cell>
          <cell r="K53">
            <v>16472.933281046091</v>
          </cell>
          <cell r="L53">
            <v>17681.292004386269</v>
          </cell>
          <cell r="N53" t="str">
            <v>Net Profit Per Branch</v>
          </cell>
          <cell r="O53">
            <v>1.3670751642575526E-2</v>
          </cell>
          <cell r="P53">
            <v>2.6891153374233104E-2</v>
          </cell>
          <cell r="Q53">
            <v>0.2045199750584569</v>
          </cell>
          <cell r="R53">
            <v>0.70819507663819892</v>
          </cell>
          <cell r="S53">
            <v>0.77475166177019827</v>
          </cell>
          <cell r="T53">
            <v>1.1023415345911951</v>
          </cell>
          <cell r="U53">
            <v>1.4275073410148362</v>
          </cell>
          <cell r="V53">
            <v>1.5966526019968821</v>
          </cell>
          <cell r="W53">
            <v>1.4944021258248334</v>
          </cell>
          <cell r="X53">
            <v>1.5198452185461504</v>
          </cell>
        </row>
        <row r="54">
          <cell r="B54" t="str">
            <v>Avg Shareholders' Equity</v>
          </cell>
          <cell r="D54">
            <v>546.42865900000004</v>
          </cell>
          <cell r="E54">
            <v>636.30077000000006</v>
          </cell>
          <cell r="F54">
            <v>774.95884000000001</v>
          </cell>
          <cell r="G54">
            <v>893.40825650000011</v>
          </cell>
          <cell r="H54">
            <v>1013.0125795000001</v>
          </cell>
          <cell r="I54">
            <v>1169.3376010910001</v>
          </cell>
          <cell r="J54">
            <v>1363.4918268907204</v>
          </cell>
          <cell r="K54">
            <v>1559.806048175325</v>
          </cell>
          <cell r="L54">
            <v>1748.6923727929259</v>
          </cell>
        </row>
        <row r="55">
          <cell r="B55" t="str">
            <v>Avg Equity/Avg Assets (%)</v>
          </cell>
          <cell r="C55">
            <v>4.2892668214757794</v>
          </cell>
          <cell r="D55">
            <v>3.96246511908614</v>
          </cell>
          <cell r="E55">
            <v>4.1626473389832848</v>
          </cell>
          <cell r="F55">
            <v>4.7067788200290206</v>
          </cell>
          <cell r="G55">
            <v>5.0341412677455875</v>
          </cell>
          <cell r="H55">
            <v>5.3024942764534764</v>
          </cell>
          <cell r="I55">
            <v>5.6378471525672174</v>
          </cell>
          <cell r="J55">
            <v>6.09376455589216</v>
          </cell>
          <cell r="K55">
            <v>6.5058569120717724</v>
          </cell>
          <cell r="L55">
            <v>6.6619792883751057</v>
          </cell>
          <cell r="N55" t="str">
            <v>Net Interest Margin Analysis (%)</v>
          </cell>
        </row>
        <row r="56">
          <cell r="B56" t="str">
            <v>Avg EA/Avg Assets (%)</v>
          </cell>
          <cell r="C56">
            <v>89.451225140031269</v>
          </cell>
          <cell r="D56">
            <v>90.803986569588204</v>
          </cell>
          <cell r="E56">
            <v>0</v>
          </cell>
          <cell r="F56">
            <v>90.19338641143797</v>
          </cell>
          <cell r="G56">
            <v>88.907848374403102</v>
          </cell>
          <cell r="H56">
            <v>88.487763150083154</v>
          </cell>
          <cell r="I56">
            <v>86.303786948807272</v>
          </cell>
          <cell r="J56">
            <v>86.811244535412442</v>
          </cell>
          <cell r="K56">
            <v>87.1152937520839</v>
          </cell>
          <cell r="L56">
            <v>87.539530756534518</v>
          </cell>
          <cell r="N56" t="str">
            <v>Int Income/Avg EA</v>
          </cell>
          <cell r="O56">
            <v>8.8484681093292874</v>
          </cell>
          <cell r="P56">
            <v>7.7832875406960449</v>
          </cell>
          <cell r="Q56" t="e">
            <v>#DIV/0!</v>
          </cell>
          <cell r="R56">
            <v>7.073698293959942</v>
          </cell>
          <cell r="S56">
            <v>6.6093197910558992</v>
          </cell>
          <cell r="T56">
            <v>6.2739572616648784</v>
          </cell>
          <cell r="U56">
            <v>6.4903620106807249</v>
          </cell>
          <cell r="V56">
            <v>6.573786887799991</v>
          </cell>
          <cell r="W56">
            <v>6.6962604360194078</v>
          </cell>
          <cell r="X56">
            <v>6.7695379261876809</v>
          </cell>
        </row>
        <row r="57">
          <cell r="B57" t="str">
            <v>Avg Loans/Avg EA (%)</v>
          </cell>
          <cell r="C57">
            <v>58.712289344609822</v>
          </cell>
          <cell r="D57">
            <v>60.623136978697254</v>
          </cell>
          <cell r="E57" t="e">
            <v>#DIV/0!</v>
          </cell>
          <cell r="F57">
            <v>65.199873763795935</v>
          </cell>
          <cell r="G57">
            <v>69.331523279202571</v>
          </cell>
          <cell r="H57">
            <v>70.219447259833473</v>
          </cell>
          <cell r="I57">
            <v>73.850718003925863</v>
          </cell>
          <cell r="J57">
            <v>78.136100778758205</v>
          </cell>
          <cell r="K57">
            <v>81.498167424749838</v>
          </cell>
          <cell r="L57">
            <v>82.902538358273432</v>
          </cell>
          <cell r="N57" t="str">
            <v>Int Exp/Avg Int Bearing Liab.</v>
          </cell>
          <cell r="O57" t="e">
            <v>#DIV/0!</v>
          </cell>
          <cell r="P57" t="e">
            <v>#DIV/0!</v>
          </cell>
          <cell r="Q57" t="e">
            <v>#DIV/0!</v>
          </cell>
          <cell r="R57">
            <v>3.4374982223136863</v>
          </cell>
          <cell r="S57">
            <v>2.9716624752967347</v>
          </cell>
          <cell r="T57">
            <v>2.6102938971449956</v>
          </cell>
          <cell r="U57">
            <v>2.9216774300978026</v>
          </cell>
          <cell r="V57">
            <v>3.4234127499754949</v>
          </cell>
          <cell r="W57">
            <v>3.4968448793650251</v>
          </cell>
          <cell r="X57">
            <v>3.5753924944599453</v>
          </cell>
        </row>
        <row r="58">
          <cell r="N58" t="str">
            <v xml:space="preserve">Net Interest Spread </v>
          </cell>
          <cell r="O58">
            <v>0</v>
          </cell>
          <cell r="P58">
            <v>0</v>
          </cell>
          <cell r="Q58">
            <v>0</v>
          </cell>
          <cell r="R58">
            <v>3.6362000716462552</v>
          </cell>
          <cell r="S58">
            <v>3.637657315759165</v>
          </cell>
          <cell r="T58">
            <v>3.6636633645198828</v>
          </cell>
          <cell r="U58">
            <v>3.5686845805829233</v>
          </cell>
          <cell r="V58">
            <v>3.1503741378244965</v>
          </cell>
          <cell r="W58">
            <v>3.1994155566543827</v>
          </cell>
          <cell r="X58">
            <v>3.194145431727736</v>
          </cell>
        </row>
        <row r="59">
          <cell r="B59" t="str">
            <v>Asset Quality</v>
          </cell>
          <cell r="N59" t="str">
            <v>Contribution From Free Funds</v>
          </cell>
          <cell r="O59">
            <v>3.133845754144629</v>
          </cell>
          <cell r="P59">
            <v>2.7259491350720646</v>
          </cell>
          <cell r="Q59">
            <v>0</v>
          </cell>
          <cell r="R59">
            <v>-2.131221853767995E-2</v>
          </cell>
          <cell r="S59">
            <v>3.4151802864135217E-2</v>
          </cell>
          <cell r="T59">
            <v>3.5811066397547275E-2</v>
          </cell>
          <cell r="U59">
            <v>4.083432169057355E-2</v>
          </cell>
          <cell r="V59">
            <v>6.198768441845548E-2</v>
          </cell>
          <cell r="W59">
            <v>-6.5524168161568141E-4</v>
          </cell>
          <cell r="X59">
            <v>1.1454314217627104E-2</v>
          </cell>
        </row>
        <row r="60">
          <cell r="B60" t="str">
            <v>Won billions, Year ending Dec 31</v>
          </cell>
          <cell r="C60">
            <v>2000</v>
          </cell>
          <cell r="D60">
            <v>2001</v>
          </cell>
          <cell r="E60">
            <v>2002</v>
          </cell>
          <cell r="F60">
            <v>2003</v>
          </cell>
          <cell r="G60">
            <v>2004</v>
          </cell>
          <cell r="H60">
            <v>2005</v>
          </cell>
          <cell r="I60">
            <v>2006</v>
          </cell>
          <cell r="J60" t="str">
            <v>2007E</v>
          </cell>
          <cell r="K60" t="str">
            <v>2008E</v>
          </cell>
          <cell r="L60" t="str">
            <v>2009E</v>
          </cell>
          <cell r="N60" t="str">
            <v>Net Interest Margin</v>
          </cell>
          <cell r="O60">
            <v>3.133845754144629</v>
          </cell>
          <cell r="P60">
            <v>2.7259491350720646</v>
          </cell>
          <cell r="Q60">
            <v>0</v>
          </cell>
          <cell r="R60">
            <v>3.6148878531085753</v>
          </cell>
          <cell r="S60">
            <v>3.6718091186233002</v>
          </cell>
          <cell r="T60">
            <v>3.6994744309174301</v>
          </cell>
          <cell r="U60">
            <v>3.6095189022734968</v>
          </cell>
          <cell r="V60">
            <v>3.212361822242952</v>
          </cell>
          <cell r="W60">
            <v>3.198760314972767</v>
          </cell>
          <cell r="X60">
            <v>3.2055997459453631</v>
          </cell>
        </row>
        <row r="61">
          <cell r="B61" t="str">
            <v>Non-performing Loans (NPL)</v>
          </cell>
          <cell r="C61">
            <v>0</v>
          </cell>
          <cell r="D61">
            <v>0</v>
          </cell>
          <cell r="E61">
            <v>217.649</v>
          </cell>
          <cell r="F61">
            <v>236.88145500000002</v>
          </cell>
          <cell r="G61">
            <v>159.47999999999999</v>
          </cell>
          <cell r="H61">
            <v>118.245</v>
          </cell>
          <cell r="I61">
            <v>105.184</v>
          </cell>
          <cell r="J61">
            <v>139.01811632209984</v>
          </cell>
          <cell r="K61">
            <v>186.72139276253719</v>
          </cell>
          <cell r="L61">
            <v>220.80719635920269</v>
          </cell>
        </row>
        <row r="62">
          <cell r="B62" t="str">
            <v>Gross NPL Ratio (%)</v>
          </cell>
          <cell r="C62">
            <v>0</v>
          </cell>
          <cell r="D62">
            <v>0</v>
          </cell>
          <cell r="E62">
            <v>2.2786147801066434</v>
          </cell>
          <cell r="F62">
            <v>2.2881009967990198</v>
          </cell>
          <cell r="G62">
            <v>1.4617314258233165</v>
          </cell>
          <cell r="H62">
            <v>0.9701441412097328</v>
          </cell>
          <cell r="I62">
            <v>0.74036252593246721</v>
          </cell>
          <cell r="J62">
            <v>0.8435448074458306</v>
          </cell>
          <cell r="K62">
            <v>1.0207228949849638</v>
          </cell>
          <cell r="L62">
            <v>1.0776770325315848</v>
          </cell>
          <cell r="N62" t="str">
            <v>Liquidity (%)</v>
          </cell>
        </row>
        <row r="63">
          <cell r="B63" t="str">
            <v>Loan Loss Reserve (LLR)</v>
          </cell>
          <cell r="C63">
            <v>289.37106899999998</v>
          </cell>
          <cell r="D63">
            <v>0</v>
          </cell>
          <cell r="E63">
            <v>154.84034800000003</v>
          </cell>
          <cell r="F63">
            <v>213.47799999999995</v>
          </cell>
          <cell r="G63">
            <v>168.25799999999995</v>
          </cell>
          <cell r="H63">
            <v>203.67199999999997</v>
          </cell>
          <cell r="I63">
            <v>199.94499999999999</v>
          </cell>
          <cell r="J63">
            <v>247.88861801459262</v>
          </cell>
          <cell r="K63">
            <v>323.02949627916291</v>
          </cell>
          <cell r="L63">
            <v>383.04120030021824</v>
          </cell>
          <cell r="N63" t="str">
            <v>Avg Loans/Avg EA</v>
          </cell>
          <cell r="O63">
            <v>58.712289344609822</v>
          </cell>
          <cell r="P63">
            <v>60.623136978697254</v>
          </cell>
          <cell r="Q63" t="e">
            <v>#DIV/0!</v>
          </cell>
          <cell r="R63">
            <v>65.199873763795935</v>
          </cell>
          <cell r="S63">
            <v>69.331523279202571</v>
          </cell>
          <cell r="T63">
            <v>70.219447259833473</v>
          </cell>
          <cell r="U63">
            <v>73.850718003925863</v>
          </cell>
          <cell r="V63">
            <v>78.136100778758205</v>
          </cell>
          <cell r="W63">
            <v>81.498167424749838</v>
          </cell>
          <cell r="X63">
            <v>82.902538358273432</v>
          </cell>
        </row>
        <row r="64">
          <cell r="B64" t="str">
            <v>LLR/NPL (%)</v>
          </cell>
          <cell r="C64" t="str">
            <v>na</v>
          </cell>
          <cell r="D64" t="str">
            <v>na</v>
          </cell>
          <cell r="E64">
            <v>71.142228082830627</v>
          </cell>
          <cell r="F64">
            <v>90.12018268800314</v>
          </cell>
          <cell r="G64">
            <v>105.50413844996235</v>
          </cell>
          <cell r="H64">
            <v>172.24576092012344</v>
          </cell>
          <cell r="I64">
            <v>190.09069820505019</v>
          </cell>
          <cell r="J64">
            <v>178.31389503238833</v>
          </cell>
          <cell r="K64">
            <v>173.00079626653999</v>
          </cell>
          <cell r="L64">
            <v>173.47315061104169</v>
          </cell>
          <cell r="N64" t="str">
            <v>Avg Liquid Assets/AEA</v>
          </cell>
          <cell r="O64">
            <v>50.307254156280393</v>
          </cell>
          <cell r="P64">
            <v>49.600312429173265</v>
          </cell>
          <cell r="Q64" t="e">
            <v>#DIV/0!</v>
          </cell>
          <cell r="R64">
            <v>44.439836755522528</v>
          </cell>
          <cell r="S64">
            <v>40.241400170542455</v>
          </cell>
          <cell r="T64">
            <v>39.327503246948368</v>
          </cell>
          <cell r="U64">
            <v>38.845319872120569</v>
          </cell>
          <cell r="V64">
            <v>33.396788190572671</v>
          </cell>
          <cell r="W64">
            <v>29.810334599805937</v>
          </cell>
          <cell r="X64">
            <v>28.139000245887662</v>
          </cell>
        </row>
        <row r="65">
          <cell r="B65" t="str">
            <v>LLR/Total Credit (%)</v>
          </cell>
          <cell r="C65">
            <v>3.0002086490841178</v>
          </cell>
          <cell r="D65">
            <v>0</v>
          </cell>
          <cell r="E65">
            <v>0</v>
          </cell>
          <cell r="F65">
            <v>2.0620407984012981</v>
          </cell>
          <cell r="G65">
            <v>1.5421871472672413</v>
          </cell>
          <cell r="H65">
            <v>1.6710321580487015</v>
          </cell>
          <cell r="I65">
            <v>1.4073602947935728</v>
          </cell>
          <cell r="J65">
            <v>1.5041576025001209</v>
          </cell>
          <cell r="K65">
            <v>1.7658587359988664</v>
          </cell>
          <cell r="L65">
            <v>1.8694803017441208</v>
          </cell>
          <cell r="N65" t="str">
            <v>Avg Loans/Avg Deposits</v>
          </cell>
          <cell r="O65">
            <v>76.972618514414648</v>
          </cell>
          <cell r="P65">
            <v>77.792582965285959</v>
          </cell>
          <cell r="Q65">
            <v>78.114092812408288</v>
          </cell>
          <cell r="R65">
            <v>79.408398493824564</v>
          </cell>
          <cell r="S65">
            <v>84.437148797186509</v>
          </cell>
          <cell r="T65">
            <v>85.572736922391115</v>
          </cell>
          <cell r="U65">
            <v>88.984416101610691</v>
          </cell>
          <cell r="V65">
            <v>97.248569319071365</v>
          </cell>
          <cell r="W65">
            <v>103.33261068138917</v>
          </cell>
          <cell r="X65">
            <v>107.7378199983702</v>
          </cell>
        </row>
        <row r="66">
          <cell r="N66" t="str">
            <v>Avg Loans/Avg Depo &amp; Equity</v>
          </cell>
          <cell r="O66">
            <v>74.465563103114533</v>
          </cell>
          <cell r="P66">
            <v>75.354560553984413</v>
          </cell>
          <cell r="Q66">
            <v>76.989561943884127</v>
          </cell>
          <cell r="R66">
            <v>78.143501130686502</v>
          </cell>
          <cell r="S66">
            <v>82.734232873368512</v>
          </cell>
          <cell r="T66">
            <v>84.973529507091044</v>
          </cell>
          <cell r="U66">
            <v>91.204665133790286</v>
          </cell>
          <cell r="V66">
            <v>106.94101899370862</v>
          </cell>
          <cell r="W66">
            <v>122.7472594976844</v>
          </cell>
          <cell r="X66">
            <v>135.54607286339422</v>
          </cell>
        </row>
        <row r="67">
          <cell r="B67" t="str">
            <v>Specific Reserve</v>
          </cell>
          <cell r="C67">
            <v>0</v>
          </cell>
          <cell r="D67">
            <v>0</v>
          </cell>
          <cell r="E67">
            <v>45.429604999999995</v>
          </cell>
          <cell r="F67">
            <v>49.084660000000007</v>
          </cell>
          <cell r="G67">
            <v>51.95835000000001</v>
          </cell>
          <cell r="H67">
            <v>59.055494999999993</v>
          </cell>
          <cell r="I67">
            <v>69.303245000000004</v>
          </cell>
          <cell r="J67">
            <v>80.388004878434941</v>
          </cell>
          <cell r="K67">
            <v>89.050561599431873</v>
          </cell>
          <cell r="L67">
            <v>99.538819781888293</v>
          </cell>
          <cell r="N67" t="str">
            <v>Period-End Loans/Deposits</v>
          </cell>
          <cell r="O67">
            <v>75.960525534395558</v>
          </cell>
          <cell r="P67">
            <v>79.380293040215051</v>
          </cell>
          <cell r="Q67">
            <v>76.9861646038636</v>
          </cell>
          <cell r="R67">
            <v>81.656089590686094</v>
          </cell>
          <cell r="S67">
            <v>87.089448267279749</v>
          </cell>
          <cell r="T67">
            <v>84.183650540723647</v>
          </cell>
          <cell r="U67">
            <v>93.549060337773042</v>
          </cell>
          <cell r="V67">
            <v>100.77386731153848</v>
          </cell>
          <cell r="W67">
            <v>105.74355693808555</v>
          </cell>
          <cell r="X67">
            <v>109.57634232999278</v>
          </cell>
        </row>
        <row r="68">
          <cell r="B68" t="str">
            <v>Specific Reserve/NPLs (%)</v>
          </cell>
          <cell r="C68" t="str">
            <v>na</v>
          </cell>
          <cell r="D68" t="str">
            <v>na</v>
          </cell>
          <cell r="E68">
            <v>20.872875593271733</v>
          </cell>
          <cell r="F68">
            <v>20.721191534390062</v>
          </cell>
          <cell r="G68">
            <v>32.579853273137701</v>
          </cell>
          <cell r="H68">
            <v>49.943333756184188</v>
          </cell>
          <cell r="I68">
            <v>65.887630247946461</v>
          </cell>
          <cell r="J68">
            <v>57.82556044147433</v>
          </cell>
          <cell r="K68">
            <v>47.691675968099631</v>
          </cell>
          <cell r="L68">
            <v>45.07951797909768</v>
          </cell>
        </row>
        <row r="69">
          <cell r="B69" t="str">
            <v>General Reserve</v>
          </cell>
          <cell r="C69">
            <v>289.37106899999998</v>
          </cell>
          <cell r="D69">
            <v>0</v>
          </cell>
          <cell r="E69">
            <v>109.41074300000004</v>
          </cell>
          <cell r="F69">
            <v>164.39333999999994</v>
          </cell>
          <cell r="G69">
            <v>116.29964999999994</v>
          </cell>
          <cell r="H69">
            <v>144.61650499999996</v>
          </cell>
          <cell r="I69">
            <v>130.64175499999999</v>
          </cell>
          <cell r="J69">
            <v>167.50061313615768</v>
          </cell>
          <cell r="K69">
            <v>233.97893467973103</v>
          </cell>
          <cell r="L69">
            <v>283.50238051832991</v>
          </cell>
          <cell r="N69" t="str">
            <v>Capital Information</v>
          </cell>
        </row>
        <row r="70">
          <cell r="B70" t="str">
            <v>General Reserve/NPLs (%)</v>
          </cell>
          <cell r="C70" t="e">
            <v>#DIV/0!</v>
          </cell>
          <cell r="D70" t="e">
            <v>#DIV/0!</v>
          </cell>
          <cell r="E70">
            <v>50.269352489558891</v>
          </cell>
          <cell r="F70">
            <v>69.398991153613068</v>
          </cell>
          <cell r="G70">
            <v>72.92428517682464</v>
          </cell>
          <cell r="H70">
            <v>122.30242716393924</v>
          </cell>
          <cell r="I70">
            <v>124.20306795710374</v>
          </cell>
          <cell r="J70">
            <v>120.48833459091399</v>
          </cell>
          <cell r="K70">
            <v>125.30912029844035</v>
          </cell>
          <cell r="L70">
            <v>128.393632631944</v>
          </cell>
          <cell r="N70" t="str">
            <v>Tier 1 Ratio (%)</v>
          </cell>
          <cell r="O70" t="e">
            <v>#DIV/0!</v>
          </cell>
          <cell r="P70" t="e">
            <v>#DIV/0!</v>
          </cell>
          <cell r="Q70">
            <v>7.8373241707887118</v>
          </cell>
          <cell r="R70">
            <v>8.216046514029598</v>
          </cell>
          <cell r="S70">
            <v>8.6523002870867654</v>
          </cell>
          <cell r="T70">
            <v>8.4983037753636523</v>
          </cell>
          <cell r="U70">
            <v>8.3964456923819952</v>
          </cell>
          <cell r="V70">
            <v>9.1468956970532549</v>
          </cell>
          <cell r="W70">
            <v>8.7207738728041839</v>
          </cell>
          <cell r="X70">
            <v>8.9232470121791341</v>
          </cell>
        </row>
        <row r="71">
          <cell r="B71" t="str">
            <v>Net Charge-offs (NCO)</v>
          </cell>
          <cell r="C71">
            <v>1255.2463950000001</v>
          </cell>
          <cell r="D71">
            <v>1785.11</v>
          </cell>
          <cell r="E71">
            <v>0</v>
          </cell>
          <cell r="F71">
            <v>194.10000000000002</v>
          </cell>
          <cell r="G71">
            <v>228.39999999999998</v>
          </cell>
          <cell r="H71">
            <v>119.703</v>
          </cell>
          <cell r="I71">
            <v>90.47</v>
          </cell>
          <cell r="J71">
            <v>9.9256817423708057</v>
          </cell>
          <cell r="K71">
            <v>-2.0443160381159666</v>
          </cell>
          <cell r="L71">
            <v>40.903874314268691</v>
          </cell>
          <cell r="N71" t="str">
            <v>Tier 2 Ratio (%)</v>
          </cell>
          <cell r="O71" t="e">
            <v>#DIV/0!</v>
          </cell>
          <cell r="P71" t="e">
            <v>#DIV/0!</v>
          </cell>
          <cell r="Q71">
            <v>3.0218999170424858</v>
          </cell>
          <cell r="R71">
            <v>2.3749315818281334</v>
          </cell>
          <cell r="S71">
            <v>2.016230054733319</v>
          </cell>
          <cell r="T71">
            <v>2.8430503780786434</v>
          </cell>
          <cell r="U71">
            <v>2.9330492668150629</v>
          </cell>
          <cell r="V71">
            <v>3.3622370699359112</v>
          </cell>
          <cell r="W71">
            <v>3.2036798405554903</v>
          </cell>
          <cell r="X71">
            <v>3.2063717469526436</v>
          </cell>
        </row>
        <row r="72">
          <cell r="B72" t="str">
            <v>NCO/Avg Total Credit (%)</v>
          </cell>
          <cell r="C72" t="e">
            <v>#DIV/0!</v>
          </cell>
          <cell r="D72" t="e">
            <v>#DIV/0!</v>
          </cell>
          <cell r="E72">
            <v>0</v>
          </cell>
          <cell r="F72">
            <v>1.9503063298600405</v>
          </cell>
          <cell r="G72">
            <v>2.1483224330350894</v>
          </cell>
          <cell r="H72">
            <v>1.0364459643346842</v>
          </cell>
          <cell r="I72">
            <v>0.68549591939743948</v>
          </cell>
          <cell r="J72">
            <v>6.4689133877418883E-2</v>
          </cell>
          <cell r="K72">
            <v>-1.1757969599729957E-2</v>
          </cell>
          <cell r="L72">
            <v>0.21094129416293961</v>
          </cell>
          <cell r="N72" t="str">
            <v>Total CAR (%)</v>
          </cell>
          <cell r="O72" t="e">
            <v>#DIV/0!</v>
          </cell>
          <cell r="P72" t="e">
            <v>#DIV/0!</v>
          </cell>
          <cell r="Q72">
            <v>10.859224087831198</v>
          </cell>
          <cell r="R72">
            <v>10.590978095857732</v>
          </cell>
          <cell r="S72">
            <v>10.668530341820084</v>
          </cell>
          <cell r="T72">
            <v>11.341354153442296</v>
          </cell>
          <cell r="U72">
            <v>11.329494959197058</v>
          </cell>
          <cell r="V72">
            <v>12.509132766989167</v>
          </cell>
          <cell r="W72">
            <v>11.924453713359675</v>
          </cell>
          <cell r="X72">
            <v>12.129618759131777</v>
          </cell>
        </row>
        <row r="73">
          <cell r="B73" t="str">
            <v>LLPE/Avg Loans (%)</v>
          </cell>
          <cell r="C73">
            <v>2.3083701452266165</v>
          </cell>
          <cell r="D73">
            <v>1.0693968534494078</v>
          </cell>
          <cell r="E73">
            <v>1.8024323083332243</v>
          </cell>
          <cell r="F73">
            <v>2.1692581676476386</v>
          </cell>
          <cell r="G73">
            <v>1.8768588805967545</v>
          </cell>
          <cell r="H73">
            <v>1.2219865670668033</v>
          </cell>
          <cell r="I73">
            <v>0.34690725947678308</v>
          </cell>
          <cell r="J73">
            <v>0.3006831786040815</v>
          </cell>
          <cell r="K73">
            <v>0.31728644134335532</v>
          </cell>
          <cell r="L73">
            <v>0.46000844125405632</v>
          </cell>
        </row>
        <row r="74">
          <cell r="B74" t="str">
            <v>*Note: we have applied accounting change about reclassification of credit card income, starting from 2004.</v>
          </cell>
        </row>
      </sheetData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IDUAL INCOME"/>
      <sheetName val="MAIN"/>
      <sheetName val="P&amp;L"/>
      <sheetName val="BS"/>
      <sheetName val="Update"/>
      <sheetName val="AFFILIATES"/>
      <sheetName val="Ratio"/>
      <sheetName val="Ace-In"/>
      <sheetName val="Ace-Out"/>
      <sheetName val="Cover"/>
      <sheetName val="FIM"/>
      <sheetName val="PS 1yr forward"/>
      <sheetName val="Annual"/>
      <sheetName val="Summary RI"/>
      <sheetName val="Exhibit_200707"/>
      <sheetName val="Valuation_S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B2" t="str">
            <v>KOREA EXCHANGE BANK (004940.KS)</v>
          </cell>
          <cell r="O2" t="str">
            <v>Foreign exchange rate</v>
          </cell>
          <cell r="W2">
            <v>950</v>
          </cell>
        </row>
        <row r="3">
          <cell r="O3" t="str">
            <v>Current share price</v>
          </cell>
          <cell r="W3">
            <v>15400</v>
          </cell>
          <cell r="X3">
            <v>16.210526315789473</v>
          </cell>
        </row>
        <row r="5">
          <cell r="B5" t="str">
            <v>Profit and Loss Statements</v>
          </cell>
          <cell r="O5" t="str">
            <v>Per Share Data and Valuations</v>
          </cell>
        </row>
        <row r="6">
          <cell r="B6" t="str">
            <v>Won billions, Year ending Dec 31</v>
          </cell>
          <cell r="C6">
            <v>2000</v>
          </cell>
          <cell r="D6">
            <v>2001</v>
          </cell>
          <cell r="E6">
            <v>2002</v>
          </cell>
          <cell r="F6">
            <v>2003</v>
          </cell>
          <cell r="G6">
            <v>2004</v>
          </cell>
          <cell r="H6">
            <v>2005</v>
          </cell>
          <cell r="I6">
            <v>2006</v>
          </cell>
          <cell r="J6">
            <v>2007</v>
          </cell>
          <cell r="K6" t="str">
            <v>2008E</v>
          </cell>
          <cell r="L6" t="str">
            <v>2009E</v>
          </cell>
          <cell r="M6" t="str">
            <v>2010E</v>
          </cell>
          <cell r="O6" t="str">
            <v>Won billions, Year ending Dec 31</v>
          </cell>
          <cell r="P6">
            <v>2000</v>
          </cell>
          <cell r="Q6">
            <v>2001</v>
          </cell>
          <cell r="R6">
            <v>2002</v>
          </cell>
          <cell r="S6">
            <v>2003</v>
          </cell>
          <cell r="T6">
            <v>2004</v>
          </cell>
          <cell r="U6">
            <v>2005</v>
          </cell>
          <cell r="V6">
            <v>2006</v>
          </cell>
          <cell r="W6">
            <v>2007</v>
          </cell>
          <cell r="X6" t="str">
            <v>2008E</v>
          </cell>
          <cell r="Y6" t="str">
            <v>2009E</v>
          </cell>
          <cell r="Z6" t="str">
            <v>2010E</v>
          </cell>
        </row>
        <row r="7">
          <cell r="B7" t="str">
            <v>Avg Earning Assets</v>
          </cell>
          <cell r="C7">
            <v>36712.699999999997</v>
          </cell>
          <cell r="D7">
            <v>39616.114000000001</v>
          </cell>
          <cell r="E7">
            <v>42159.420999999988</v>
          </cell>
          <cell r="F7">
            <v>48507.203999999998</v>
          </cell>
          <cell r="G7">
            <v>52412.587125000005</v>
          </cell>
          <cell r="H7">
            <v>51063.144948590008</v>
          </cell>
          <cell r="I7">
            <v>52715.690999999999</v>
          </cell>
          <cell r="J7">
            <v>58382.284</v>
          </cell>
          <cell r="K7">
            <v>67320.65325039516</v>
          </cell>
          <cell r="L7">
            <v>72942.624488928326</v>
          </cell>
          <cell r="M7">
            <v>79616.158262276629</v>
          </cell>
          <cell r="O7" t="str">
            <v>Book Value Per Share (Won)</v>
          </cell>
          <cell r="P7">
            <v>6359.8039330548954</v>
          </cell>
          <cell r="Q7">
            <v>7538.6002932977171</v>
          </cell>
          <cell r="R7">
            <v>8307.7824833441719</v>
          </cell>
          <cell r="S7">
            <v>4816.0286043251181</v>
          </cell>
          <cell r="T7">
            <v>4542.3460907824228</v>
          </cell>
          <cell r="U7">
            <v>8772.8471337346327</v>
          </cell>
          <cell r="V7">
            <v>9891.6071947422679</v>
          </cell>
          <cell r="W7">
            <v>10312.806023858087</v>
          </cell>
          <cell r="X7">
            <v>11262.703535205859</v>
          </cell>
          <cell r="Y7">
            <v>11981.349850223576</v>
          </cell>
          <cell r="Z7">
            <v>12811.132848086339</v>
          </cell>
        </row>
        <row r="8">
          <cell r="B8" t="str">
            <v>Net Interest Margin (%)</v>
          </cell>
          <cell r="C8">
            <v>1.7274648827245072</v>
          </cell>
          <cell r="D8">
            <v>2.4421123182349485</v>
          </cell>
          <cell r="E8">
            <v>2.1296948077156954</v>
          </cell>
          <cell r="F8">
            <v>2.1372474900841527</v>
          </cell>
          <cell r="G8">
            <v>2.8145910761507742</v>
          </cell>
          <cell r="H8">
            <v>3.2338862044191377</v>
          </cell>
          <cell r="I8">
            <v>3.4415844041577679</v>
          </cell>
          <cell r="J8">
            <v>3.2179282331605927</v>
          </cell>
          <cell r="K8">
            <v>3.0440189665379207</v>
          </cell>
          <cell r="L8">
            <v>2.9635093415166738</v>
          </cell>
          <cell r="M8">
            <v>2.9265281265900103</v>
          </cell>
          <cell r="O8" t="str">
            <v>Price/Book (x)</v>
          </cell>
          <cell r="P8">
            <v>2.4214582968444907</v>
          </cell>
          <cell r="Q8">
            <v>2.0428195422022246</v>
          </cell>
          <cell r="R8">
            <v>1.8536835829386042</v>
          </cell>
          <cell r="S8">
            <v>3.1976554263340051</v>
          </cell>
          <cell r="T8">
            <v>3.3903185033061489</v>
          </cell>
          <cell r="U8">
            <v>1.7554164304062327</v>
          </cell>
          <cell r="V8">
            <v>1.5568754093051365</v>
          </cell>
          <cell r="W8">
            <v>1.4932890199207645</v>
          </cell>
          <cell r="X8">
            <v>1.3673448787727962</v>
          </cell>
          <cell r="Y8">
            <v>1.2853309679220017</v>
          </cell>
          <cell r="Z8">
            <v>1.2020794868504054</v>
          </cell>
        </row>
        <row r="9">
          <cell r="B9" t="str">
            <v xml:space="preserve">  Interest Income</v>
          </cell>
          <cell r="C9">
            <v>3111.239</v>
          </cell>
          <cell r="D9">
            <v>2959.779</v>
          </cell>
          <cell r="E9">
            <v>2599.154</v>
          </cell>
          <cell r="F9">
            <v>2831.2449999999999</v>
          </cell>
          <cell r="G9">
            <v>3359.31</v>
          </cell>
          <cell r="H9">
            <v>3266.5879999999997</v>
          </cell>
          <cell r="I9">
            <v>3609.8820000000001</v>
          </cell>
          <cell r="J9">
            <v>4078.7869999999998</v>
          </cell>
          <cell r="K9">
            <v>4788.2914624435434</v>
          </cell>
          <cell r="L9">
            <v>5158.4657635521817</v>
          </cell>
          <cell r="M9">
            <v>5676.5189149493581</v>
          </cell>
          <cell r="O9" t="str">
            <v>ROAA (%)</v>
          </cell>
          <cell r="P9">
            <v>-0.91066181346477848</v>
          </cell>
          <cell r="Q9">
            <v>0.48101006795323614</v>
          </cell>
          <cell r="R9">
            <v>0.22451613115945976</v>
          </cell>
          <cell r="S9">
            <v>-0.34188071471153847</v>
          </cell>
          <cell r="T9">
            <v>0.85745426182357098</v>
          </cell>
          <cell r="U9">
            <v>3.0874113818980442</v>
          </cell>
          <cell r="V9">
            <v>1.5338648722701225</v>
          </cell>
          <cell r="W9">
            <v>1.3082044746523063</v>
          </cell>
          <cell r="X9">
            <v>1.251713008399344</v>
          </cell>
          <cell r="Y9">
            <v>1.2017417618017612</v>
          </cell>
          <cell r="Z9">
            <v>1.1749769273126944</v>
          </cell>
        </row>
        <row r="10">
          <cell r="B10" t="str">
            <v xml:space="preserve">  Interest Expense</v>
          </cell>
          <cell r="C10">
            <v>2477.04</v>
          </cell>
          <cell r="D10">
            <v>1992.309</v>
          </cell>
          <cell r="E10">
            <v>1662.325</v>
          </cell>
          <cell r="F10">
            <v>1642.17</v>
          </cell>
          <cell r="G10">
            <v>1640.1219999999998</v>
          </cell>
          <cell r="H10">
            <v>1495.93</v>
          </cell>
          <cell r="I10">
            <v>1669.625</v>
          </cell>
          <cell r="J10">
            <v>2066.5829999999996</v>
          </cell>
          <cell r="K10">
            <v>2594.1063408462878</v>
          </cell>
          <cell r="L10">
            <v>2836.5251686426323</v>
          </cell>
          <cell r="M10">
            <v>3175.0606901004385</v>
          </cell>
          <cell r="O10" t="str">
            <v>ROAE (Reported, %)</v>
          </cell>
          <cell r="Q10">
            <v>14.414239945438242</v>
          </cell>
          <cell r="R10">
            <v>6.4194049483209126</v>
          </cell>
          <cell r="S10">
            <v>-8.913414810808213</v>
          </cell>
          <cell r="T10">
            <v>17.753594726566831</v>
          </cell>
          <cell r="U10">
            <v>44.935687527010096</v>
          </cell>
          <cell r="V10">
            <v>16.71813750047561</v>
          </cell>
          <cell r="W10">
            <v>14.749772140583046</v>
          </cell>
          <cell r="X10">
            <v>15.025195637855997</v>
          </cell>
          <cell r="Y10">
            <v>14.787836583571535</v>
          </cell>
          <cell r="Z10">
            <v>14.760788744948862</v>
          </cell>
        </row>
        <row r="11">
          <cell r="B11" t="str">
            <v>Net Interest Income (NII)</v>
          </cell>
          <cell r="C11">
            <v>634.19900000000007</v>
          </cell>
          <cell r="D11">
            <v>967.47</v>
          </cell>
          <cell r="E11">
            <v>936.82899999999995</v>
          </cell>
          <cell r="F11">
            <v>1189.0749999999998</v>
          </cell>
          <cell r="G11">
            <v>1719.1880000000001</v>
          </cell>
          <cell r="H11">
            <v>1770.6579999999997</v>
          </cell>
          <cell r="I11">
            <v>1940.2570000000001</v>
          </cell>
          <cell r="J11">
            <v>2012.2040000000002</v>
          </cell>
          <cell r="K11">
            <v>2194.1851215972556</v>
          </cell>
          <cell r="L11">
            <v>2321.9405949095494</v>
          </cell>
          <cell r="M11">
            <v>2501.4582248489196</v>
          </cell>
          <cell r="O11" t="str">
            <v>ROAE (ModelWare, %)</v>
          </cell>
          <cell r="T11">
            <v>18.064650838069586</v>
          </cell>
          <cell r="U11">
            <v>45.393143333474221</v>
          </cell>
          <cell r="V11">
            <v>17.125752991392908</v>
          </cell>
          <cell r="W11">
            <v>15.207179390518654</v>
          </cell>
          <cell r="X11">
            <v>15.44281068225439</v>
          </cell>
          <cell r="Y11">
            <v>15.116290010729566</v>
          </cell>
          <cell r="Z11">
            <v>15.031798864181194</v>
          </cell>
        </row>
        <row r="12">
          <cell r="B12" t="str">
            <v>Loan Loss Prov Exp (LLPE)</v>
          </cell>
          <cell r="C12">
            <v>1169.6400000000001</v>
          </cell>
          <cell r="D12">
            <v>931.84600000000012</v>
          </cell>
          <cell r="E12">
            <v>518.70100000000002</v>
          </cell>
          <cell r="F12">
            <v>849.34999999999991</v>
          </cell>
          <cell r="G12">
            <v>814.35199999999998</v>
          </cell>
          <cell r="H12">
            <v>162.88460000000001</v>
          </cell>
          <cell r="I12">
            <v>246.06132583857186</v>
          </cell>
          <cell r="J12">
            <v>364.06299999999999</v>
          </cell>
          <cell r="K12">
            <v>350.56392236240004</v>
          </cell>
          <cell r="L12">
            <v>427.2330230767999</v>
          </cell>
          <cell r="M12">
            <v>509.98397544685997</v>
          </cell>
        </row>
        <row r="13">
          <cell r="B13" t="str">
            <v>NII After LLPE</v>
          </cell>
          <cell r="C13">
            <v>-535.44100000000003</v>
          </cell>
          <cell r="D13">
            <v>35.62399999999991</v>
          </cell>
          <cell r="E13">
            <v>418.12799999999993</v>
          </cell>
          <cell r="F13">
            <v>339.72499999999991</v>
          </cell>
          <cell r="G13">
            <v>904.83600000000013</v>
          </cell>
          <cell r="H13">
            <v>1607.7733999999996</v>
          </cell>
          <cell r="I13">
            <v>1694.1956741614281</v>
          </cell>
          <cell r="J13">
            <v>1648.1410000000001</v>
          </cell>
          <cell r="K13">
            <v>1843.6211992348556</v>
          </cell>
          <cell r="L13">
            <v>1894.7075718327496</v>
          </cell>
          <cell r="M13">
            <v>1991.4742494020597</v>
          </cell>
          <cell r="O13" t="str">
            <v>MW EPS Growth (%)</v>
          </cell>
          <cell r="Q13" t="e">
            <v>#DIV/0!</v>
          </cell>
          <cell r="R13" t="e">
            <v>#DIV/0!</v>
          </cell>
          <cell r="S13">
            <v>-162.10772695683815</v>
          </cell>
          <cell r="T13">
            <v>-345.86801650534034</v>
          </cell>
          <cell r="U13">
            <v>266.88942685998438</v>
          </cell>
          <cell r="V13">
            <v>-47.115641231051541</v>
          </cell>
          <cell r="W13">
            <v>-3.8764198392573168</v>
          </cell>
          <cell r="X13">
            <v>8.4407462584529025</v>
          </cell>
          <cell r="Y13">
            <v>5.4556057905387201</v>
          </cell>
          <cell r="Z13">
            <v>6.0654393286062591</v>
          </cell>
        </row>
        <row r="14">
          <cell r="O14" t="str">
            <v>Current P/MW EPS</v>
          </cell>
          <cell r="P14" t="e">
            <v>#DIV/0!</v>
          </cell>
          <cell r="Q14" t="e">
            <v>#DIV/0!</v>
          </cell>
          <cell r="R14">
            <v>28.549325690683752</v>
          </cell>
          <cell r="S14">
            <v>-45.96742964128142</v>
          </cell>
          <cell r="T14">
            <v>18.695977742303459</v>
          </cell>
          <cell r="U14">
            <v>5.0958071761055104</v>
          </cell>
          <cell r="V14">
            <v>9.6357548710556742</v>
          </cell>
          <cell r="W14">
            <v>10.024340390716077</v>
          </cell>
          <cell r="X14">
            <v>9.2440717503220657</v>
          </cell>
          <cell r="Y14">
            <v>8.7658419683094984</v>
          </cell>
          <cell r="Z14">
            <v>8.2645600902586533</v>
          </cell>
        </row>
        <row r="15">
          <cell r="B15" t="str">
            <v>Non-interest Income</v>
          </cell>
        </row>
        <row r="16">
          <cell r="B16" t="str">
            <v>Fees and Commissions</v>
          </cell>
          <cell r="C16">
            <v>300.05799999999999</v>
          </cell>
          <cell r="D16">
            <v>288.27000000000004</v>
          </cell>
          <cell r="E16">
            <v>308.07400000000007</v>
          </cell>
          <cell r="F16">
            <v>346.94299999999998</v>
          </cell>
          <cell r="G16">
            <v>266.459</v>
          </cell>
          <cell r="H16">
            <v>228.35299999999995</v>
          </cell>
          <cell r="I16">
            <v>272.14499999999998</v>
          </cell>
          <cell r="J16">
            <v>363.66500000000008</v>
          </cell>
          <cell r="K16">
            <v>336.3796280184452</v>
          </cell>
          <cell r="L16">
            <v>382.77942428588051</v>
          </cell>
          <cell r="M16">
            <v>418.12875868838552</v>
          </cell>
          <cell r="O16" t="str">
            <v>Gross Dividends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644.90682600000002</v>
          </cell>
          <cell r="W16">
            <v>451.43477819999998</v>
          </cell>
          <cell r="X16">
            <v>644.90682600000002</v>
          </cell>
          <cell r="Y16">
            <v>644.90682600000002</v>
          </cell>
          <cell r="Z16">
            <v>644.90682600000002</v>
          </cell>
        </row>
        <row r="17">
          <cell r="B17" t="str">
            <v>Dividend Income</v>
          </cell>
          <cell r="C17">
            <v>25.46</v>
          </cell>
          <cell r="D17">
            <v>3.754</v>
          </cell>
          <cell r="E17">
            <v>50.933999999999997</v>
          </cell>
          <cell r="F17">
            <v>11.128</v>
          </cell>
          <cell r="G17">
            <v>5.4390000000000001</v>
          </cell>
          <cell r="H17">
            <v>9.3149999999999995</v>
          </cell>
          <cell r="I17">
            <v>3.891</v>
          </cell>
          <cell r="J17">
            <v>7.1130000000000004</v>
          </cell>
          <cell r="K17">
            <v>7.7253544957749467</v>
          </cell>
          <cell r="L17">
            <v>8.2536132997818683</v>
          </cell>
          <cell r="M17">
            <v>8.8948642476165141</v>
          </cell>
          <cell r="O17" t="str">
            <v>Gross DPS (Won)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1000</v>
          </cell>
          <cell r="W17">
            <v>700</v>
          </cell>
          <cell r="X17">
            <v>1000</v>
          </cell>
          <cell r="Y17">
            <v>1000</v>
          </cell>
          <cell r="Z17">
            <v>1000</v>
          </cell>
        </row>
        <row r="18">
          <cell r="B18" t="str">
            <v>Forex Income</v>
          </cell>
          <cell r="C18">
            <v>213.63</v>
          </cell>
          <cell r="D18">
            <v>227.596</v>
          </cell>
          <cell r="E18">
            <v>207.27100000000019</v>
          </cell>
          <cell r="F18">
            <v>247.04000000000019</v>
          </cell>
          <cell r="G18">
            <v>282.65700000000015</v>
          </cell>
          <cell r="H18">
            <v>244.29699999999957</v>
          </cell>
          <cell r="I18">
            <v>286.25700000000006</v>
          </cell>
          <cell r="J18">
            <v>314.47500000000036</v>
          </cell>
          <cell r="K18">
            <v>363.23129083726963</v>
          </cell>
          <cell r="L18">
            <v>390.64922521676272</v>
          </cell>
          <cell r="M18">
            <v>415.63567083762064</v>
          </cell>
          <cell r="O18" t="str">
            <v>Dividend Yield (Current Price, %)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6.4935064935064926</v>
          </cell>
          <cell r="W18">
            <v>4.5454545454545459</v>
          </cell>
          <cell r="X18">
            <v>6.4935064935064926</v>
          </cell>
          <cell r="Y18">
            <v>6.4935064935064926</v>
          </cell>
          <cell r="Z18">
            <v>6.4935064935064926</v>
          </cell>
        </row>
        <row r="19">
          <cell r="B19" t="str">
            <v>Other trading income</v>
          </cell>
          <cell r="C19">
            <v>17.533999999999999</v>
          </cell>
          <cell r="D19">
            <v>36.623999999999995</v>
          </cell>
          <cell r="E19">
            <v>46.17</v>
          </cell>
          <cell r="F19">
            <v>18.995000000000001</v>
          </cell>
          <cell r="G19">
            <v>23.856999999999996</v>
          </cell>
          <cell r="H19">
            <v>34.296999999999997</v>
          </cell>
          <cell r="I19">
            <v>25.743999999999993</v>
          </cell>
          <cell r="J19">
            <v>23.488</v>
          </cell>
          <cell r="K19">
            <v>7.8047569760000037</v>
          </cell>
          <cell r="L19">
            <v>0</v>
          </cell>
          <cell r="M19">
            <v>0</v>
          </cell>
          <cell r="O19" t="str">
            <v>Dividend Payout Ratio (%)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64.095391615654336</v>
          </cell>
          <cell r="W19">
            <v>46.978211885175519</v>
          </cell>
          <cell r="X19">
            <v>61.694833812592698</v>
          </cell>
          <cell r="Y19">
            <v>58.185328258751831</v>
          </cell>
          <cell r="Z19">
            <v>54.104776421922594</v>
          </cell>
        </row>
        <row r="20">
          <cell r="B20" t="str">
            <v>Other Income</v>
          </cell>
          <cell r="C20">
            <v>-69.750999999999891</v>
          </cell>
          <cell r="D20">
            <v>19.853999999999957</v>
          </cell>
          <cell r="E20">
            <v>44.792000000000193</v>
          </cell>
          <cell r="F20">
            <v>-81.884999999999906</v>
          </cell>
          <cell r="G20">
            <v>-128.6449999999999</v>
          </cell>
          <cell r="H20">
            <v>-89.99339999999988</v>
          </cell>
          <cell r="I20">
            <v>345.64955525057127</v>
          </cell>
          <cell r="J20">
            <v>204.27499999999935</v>
          </cell>
          <cell r="K20">
            <v>27.75348673244476</v>
          </cell>
          <cell r="L20">
            <v>14.03765699995688</v>
          </cell>
          <cell r="M20">
            <v>15.442879168910792</v>
          </cell>
        </row>
        <row r="21">
          <cell r="B21" t="str">
            <v>Total Non-interest Income</v>
          </cell>
          <cell r="C21">
            <v>486.93100000000004</v>
          </cell>
          <cell r="D21">
            <v>576.09800000000007</v>
          </cell>
          <cell r="E21">
            <v>657.24100000000033</v>
          </cell>
          <cell r="F21">
            <v>542.22100000000023</v>
          </cell>
          <cell r="G21">
            <v>449.76700000000028</v>
          </cell>
          <cell r="H21">
            <v>426.26859999999959</v>
          </cell>
          <cell r="I21">
            <v>933.68655525057147</v>
          </cell>
          <cell r="J21">
            <v>913.01599999999985</v>
          </cell>
          <cell r="K21">
            <v>742.89451705993463</v>
          </cell>
          <cell r="L21">
            <v>795.71991980238204</v>
          </cell>
          <cell r="M21">
            <v>858.10217294253357</v>
          </cell>
          <cell r="O21" t="str">
            <v>Issued Shares (m)</v>
          </cell>
          <cell r="P21">
            <v>222.17493099999999</v>
          </cell>
          <cell r="Q21">
            <v>222.17493099999999</v>
          </cell>
          <cell r="R21">
            <v>222.17493099999999</v>
          </cell>
          <cell r="S21">
            <v>612.92493100000002</v>
          </cell>
          <cell r="T21">
            <v>644.90682600000002</v>
          </cell>
          <cell r="U21">
            <v>644.90682600000002</v>
          </cell>
          <cell r="V21">
            <v>644.90682600000002</v>
          </cell>
          <cell r="W21">
            <v>644.90682600000002</v>
          </cell>
          <cell r="X21">
            <v>644.90682600000002</v>
          </cell>
          <cell r="Y21">
            <v>644.90682600000002</v>
          </cell>
          <cell r="Z21">
            <v>644.90682600000002</v>
          </cell>
        </row>
        <row r="22">
          <cell r="O22" t="str">
            <v>Market Cap (Wonbn)</v>
          </cell>
          <cell r="P22">
            <v>3421.4939373999996</v>
          </cell>
          <cell r="Q22">
            <v>3421.4939373999996</v>
          </cell>
          <cell r="R22">
            <v>3421.4939373999996</v>
          </cell>
          <cell r="S22">
            <v>9439.0439373999998</v>
          </cell>
          <cell r="T22">
            <v>9931.5651204000005</v>
          </cell>
          <cell r="U22">
            <v>9931.5651204000005</v>
          </cell>
          <cell r="V22">
            <v>9931.5651204000005</v>
          </cell>
          <cell r="W22">
            <v>9931.5651204000005</v>
          </cell>
          <cell r="X22">
            <v>9931.5651204000005</v>
          </cell>
          <cell r="Y22">
            <v>9931.5651204000005</v>
          </cell>
          <cell r="Z22">
            <v>9931.5651204000005</v>
          </cell>
        </row>
        <row r="23">
          <cell r="B23" t="str">
            <v>Non-interest Expense</v>
          </cell>
          <cell r="O23" t="str">
            <v>Market Cap (US$mn)</v>
          </cell>
          <cell r="P23">
            <v>3601.5725656842101</v>
          </cell>
          <cell r="Q23">
            <v>3601.5725656842101</v>
          </cell>
          <cell r="R23">
            <v>3601.5725656842101</v>
          </cell>
          <cell r="S23">
            <v>9935.8357235789463</v>
          </cell>
          <cell r="T23">
            <v>10454.279074105263</v>
          </cell>
          <cell r="U23">
            <v>10454.279074105263</v>
          </cell>
          <cell r="V23">
            <v>10454.279074105263</v>
          </cell>
          <cell r="W23">
            <v>10454.279074105263</v>
          </cell>
          <cell r="X23">
            <v>10454.279074105263</v>
          </cell>
          <cell r="Y23">
            <v>10454.279074105263</v>
          </cell>
          <cell r="Z23">
            <v>10454.279074105263</v>
          </cell>
        </row>
        <row r="24">
          <cell r="B24" t="str">
            <v>Salaries &amp; Benefits</v>
          </cell>
          <cell r="C24">
            <v>330.74399999999997</v>
          </cell>
          <cell r="D24">
            <v>296.346</v>
          </cell>
          <cell r="E24">
            <v>376.01400000000001</v>
          </cell>
          <cell r="F24">
            <v>442.40499999999997</v>
          </cell>
          <cell r="G24">
            <v>555.26600000000008</v>
          </cell>
          <cell r="H24">
            <v>665.81100000000004</v>
          </cell>
          <cell r="I24">
            <v>692.58600000000001</v>
          </cell>
          <cell r="J24">
            <v>701.49199999999996</v>
          </cell>
          <cell r="K24">
            <v>727.13532962544184</v>
          </cell>
          <cell r="L24">
            <v>752.58506616233217</v>
          </cell>
          <cell r="M24">
            <v>789.27358813774583</v>
          </cell>
        </row>
        <row r="25">
          <cell r="B25" t="str">
            <v>Net Occupancy &amp; Equipment</v>
          </cell>
          <cell r="C25">
            <v>23.614999999999998</v>
          </cell>
          <cell r="D25">
            <v>25.864999999999998</v>
          </cell>
          <cell r="E25">
            <v>26.241</v>
          </cell>
          <cell r="F25">
            <v>29.361000000000001</v>
          </cell>
          <cell r="G25">
            <v>34.643000000000001</v>
          </cell>
          <cell r="H25">
            <v>35.158999999999999</v>
          </cell>
          <cell r="I25">
            <v>36.457999999999998</v>
          </cell>
          <cell r="J25">
            <v>47.923000000000002</v>
          </cell>
          <cell r="K25">
            <v>60.657370346506099</v>
          </cell>
          <cell r="L25">
            <v>64.377390966839414</v>
          </cell>
          <cell r="M25">
            <v>68.638005840010834</v>
          </cell>
          <cell r="O25" t="str">
            <v>PERFORMANCE RATIOS</v>
          </cell>
        </row>
        <row r="26">
          <cell r="B26" t="str">
            <v>Other Expenses</v>
          </cell>
          <cell r="C26">
            <v>178.61800000000002</v>
          </cell>
          <cell r="D26">
            <v>180.05699999999999</v>
          </cell>
          <cell r="E26">
            <v>201.26600000000002</v>
          </cell>
          <cell r="F26">
            <v>229.78499999999997</v>
          </cell>
          <cell r="G26">
            <v>311.34099999999995</v>
          </cell>
          <cell r="H26">
            <v>354.70499999999998</v>
          </cell>
          <cell r="I26">
            <v>382.24900000000002</v>
          </cell>
          <cell r="J26">
            <v>400.09599999999995</v>
          </cell>
          <cell r="K26">
            <v>420.01546579579383</v>
          </cell>
          <cell r="L26">
            <v>434.28580151384733</v>
          </cell>
          <cell r="M26">
            <v>455.89147191915924</v>
          </cell>
          <cell r="O26" t="str">
            <v>Won billions, Year ending Dec 31</v>
          </cell>
          <cell r="P26">
            <v>2000</v>
          </cell>
          <cell r="Q26">
            <v>2001</v>
          </cell>
          <cell r="R26">
            <v>2002</v>
          </cell>
          <cell r="S26">
            <v>2003</v>
          </cell>
          <cell r="T26">
            <v>2004</v>
          </cell>
          <cell r="U26">
            <v>2005</v>
          </cell>
          <cell r="V26">
            <v>2006</v>
          </cell>
          <cell r="W26">
            <v>2007</v>
          </cell>
          <cell r="X26" t="str">
            <v>2008E</v>
          </cell>
          <cell r="Y26" t="str">
            <v>2009E</v>
          </cell>
          <cell r="Z26" t="str">
            <v>2010E</v>
          </cell>
        </row>
        <row r="27">
          <cell r="B27" t="str">
            <v>Total Non-interest Expense</v>
          </cell>
          <cell r="C27">
            <v>532.97699999999998</v>
          </cell>
          <cell r="D27">
            <v>502.26800000000003</v>
          </cell>
          <cell r="E27">
            <v>603.52099999999996</v>
          </cell>
          <cell r="F27">
            <v>701.55099999999993</v>
          </cell>
          <cell r="G27">
            <v>901.25</v>
          </cell>
          <cell r="H27">
            <v>1055.675</v>
          </cell>
          <cell r="I27">
            <v>1111.2930000000001</v>
          </cell>
          <cell r="J27">
            <v>1149.511</v>
          </cell>
          <cell r="K27">
            <v>1207.8081657677417</v>
          </cell>
          <cell r="L27">
            <v>1251.2482586430187</v>
          </cell>
          <cell r="M27">
            <v>1313.803065896916</v>
          </cell>
          <cell r="O27" t="str">
            <v>Growth (%)</v>
          </cell>
        </row>
        <row r="28">
          <cell r="O28" t="str">
            <v>Net Interest Income</v>
          </cell>
          <cell r="P28">
            <v>-19.021230465532881</v>
          </cell>
          <cell r="Q28">
            <v>52.54990941329141</v>
          </cell>
          <cell r="R28">
            <v>-3.1671266292494948</v>
          </cell>
          <cell r="S28">
            <v>26.92551148608764</v>
          </cell>
          <cell r="T28">
            <v>44.58196497277298</v>
          </cell>
          <cell r="U28">
            <v>2.9938552386358896</v>
          </cell>
          <cell r="V28">
            <v>9.5783036588658277</v>
          </cell>
          <cell r="W28">
            <v>3.7081170174878997</v>
          </cell>
          <cell r="X28">
            <v>9.0438703827870004</v>
          </cell>
          <cell r="Y28">
            <v>5.8224564579717031</v>
          </cell>
          <cell r="Z28">
            <v>7.7313618760502134</v>
          </cell>
        </row>
        <row r="29">
          <cell r="B29" t="str">
            <v>Pre-tax Operating Profit</v>
          </cell>
          <cell r="C29">
            <v>-581.48699999999997</v>
          </cell>
          <cell r="D29">
            <v>109.45399999999995</v>
          </cell>
          <cell r="E29">
            <v>471.84800000000018</v>
          </cell>
          <cell r="F29">
            <v>180.39500000000021</v>
          </cell>
          <cell r="G29">
            <v>453.35300000000052</v>
          </cell>
          <cell r="H29">
            <v>978.36699999999928</v>
          </cell>
          <cell r="I29">
            <v>1516.5892294119994</v>
          </cell>
          <cell r="J29">
            <v>1411.6460000000002</v>
          </cell>
          <cell r="K29">
            <v>1378.7075505270486</v>
          </cell>
          <cell r="L29">
            <v>1439.1792329921127</v>
          </cell>
          <cell r="M29">
            <v>1535.7733564476771</v>
          </cell>
          <cell r="O29" t="str">
            <v>Non-interest Income</v>
          </cell>
          <cell r="P29">
            <v>0.99893179013306188</v>
          </cell>
          <cell r="Q29">
            <v>18.312040104244765</v>
          </cell>
          <cell r="R29">
            <v>14.084929994549578</v>
          </cell>
          <cell r="S29">
            <v>-17.500429827110608</v>
          </cell>
          <cell r="T29">
            <v>-17.05098105753925</v>
          </cell>
          <cell r="U29">
            <v>-5.2245718338607912</v>
          </cell>
          <cell r="V29">
            <v>119.03714119467685</v>
          </cell>
          <cell r="W29">
            <v>-2.2138645067052876</v>
          </cell>
          <cell r="X29">
            <v>-18.63291365540859</v>
          </cell>
          <cell r="Y29">
            <v>7.1107541554497278</v>
          </cell>
          <cell r="Z29">
            <v>7.8397249569476912</v>
          </cell>
        </row>
        <row r="30">
          <cell r="B30" t="str">
            <v>Associate Profit/Loss</v>
          </cell>
          <cell r="C30">
            <v>188.476</v>
          </cell>
          <cell r="D30">
            <v>31.629000000000005</v>
          </cell>
          <cell r="E30">
            <v>-446.303</v>
          </cell>
          <cell r="F30">
            <v>-387.858</v>
          </cell>
          <cell r="G30">
            <v>78.16500000000002</v>
          </cell>
          <cell r="H30">
            <v>656.75900000000001</v>
          </cell>
          <cell r="I30">
            <v>77.203999999999922</v>
          </cell>
          <cell r="J30">
            <v>104.94300000000001</v>
          </cell>
          <cell r="K30">
            <v>71.022365429628763</v>
          </cell>
          <cell r="L30">
            <v>89.602477400537282</v>
          </cell>
          <cell r="M30">
            <v>91.867395856376376</v>
          </cell>
          <cell r="O30" t="str">
            <v>Non-interest Expense</v>
          </cell>
          <cell r="P30">
            <v>-0.18465698934195807</v>
          </cell>
          <cell r="Q30">
            <v>-5.7617870940021687</v>
          </cell>
          <cell r="R30">
            <v>20.159158059044159</v>
          </cell>
          <cell r="S30">
            <v>16.24301391335181</v>
          </cell>
          <cell r="T30">
            <v>28.465357472229403</v>
          </cell>
          <cell r="U30">
            <v>17.134535367545077</v>
          </cell>
          <cell r="V30">
            <v>5.2684775143865492</v>
          </cell>
          <cell r="W30">
            <v>3.4390570263647779</v>
          </cell>
          <cell r="X30">
            <v>5.0714752418847375</v>
          </cell>
          <cell r="Y30">
            <v>3.5966053307533663</v>
          </cell>
          <cell r="Z30">
            <v>4.9993921527401897</v>
          </cell>
        </row>
        <row r="31">
          <cell r="O31" t="str">
            <v>Recurrent Net Profit After Tax (FD)</v>
          </cell>
          <cell r="P31">
            <v>-27.359481325597923</v>
          </cell>
          <cell r="Q31" t="str">
            <v>NM</v>
          </cell>
          <cell r="R31">
            <v>1108.9476323263045</v>
          </cell>
          <cell r="S31">
            <v>-91.092826962034252</v>
          </cell>
          <cell r="T31">
            <v>139.50726165169326</v>
          </cell>
          <cell r="U31">
            <v>159.24575507574684</v>
          </cell>
          <cell r="V31">
            <v>-17.062728308573394</v>
          </cell>
          <cell r="W31">
            <v>-6.5777606027194739</v>
          </cell>
          <cell r="X31">
            <v>11.141638884176185</v>
          </cell>
          <cell r="Y31">
            <v>4.9589946197865054</v>
          </cell>
          <cell r="Z31">
            <v>6.8507188816630427</v>
          </cell>
        </row>
        <row r="32">
          <cell r="B32" t="str">
            <v>Profit Before Tax</v>
          </cell>
          <cell r="C32">
            <v>-393.01099999999997</v>
          </cell>
          <cell r="D32">
            <v>141.08299999999997</v>
          </cell>
          <cell r="E32">
            <v>25.545000000000186</v>
          </cell>
          <cell r="F32">
            <v>-207.46299999999979</v>
          </cell>
          <cell r="G32">
            <v>531.51800000000048</v>
          </cell>
          <cell r="H32">
            <v>1635.1259999999993</v>
          </cell>
          <cell r="I32">
            <v>1593.7932294119994</v>
          </cell>
          <cell r="J32">
            <v>1516.5890000000002</v>
          </cell>
          <cell r="K32">
            <v>1449.7299159566774</v>
          </cell>
          <cell r="L32">
            <v>1528.78171039265</v>
          </cell>
          <cell r="M32">
            <v>1627.6407523040534</v>
          </cell>
          <cell r="O32" t="str">
            <v>Net Profit</v>
          </cell>
          <cell r="P32">
            <v>-49.712064156814492</v>
          </cell>
          <cell r="Q32" t="str">
            <v>NM</v>
          </cell>
          <cell r="R32">
            <v>-49.222860788956858</v>
          </cell>
          <cell r="S32" t="str">
            <v>NM</v>
          </cell>
          <cell r="T32" t="str">
            <v>NM</v>
          </cell>
          <cell r="U32">
            <v>269.5554402021192</v>
          </cell>
          <cell r="V32">
            <v>-47.848797564539367</v>
          </cell>
          <cell r="W32">
            <v>-4.4945043020757751</v>
          </cell>
          <cell r="X32">
            <v>8.7801475702137477</v>
          </cell>
          <cell r="Y32">
            <v>6.0315987876428112</v>
          </cell>
          <cell r="Z32">
            <v>6.4665243729278066</v>
          </cell>
        </row>
        <row r="33">
          <cell r="B33" t="str">
            <v>Effective Tax</v>
          </cell>
          <cell r="C33">
            <v>10.69199999999995</v>
          </cell>
          <cell r="D33">
            <v>-81.464000000000027</v>
          </cell>
          <cell r="E33">
            <v>-87.457999999999998</v>
          </cell>
          <cell r="F33">
            <v>6.3540000000000028</v>
          </cell>
          <cell r="G33">
            <v>9.4510000000000218</v>
          </cell>
          <cell r="H33">
            <v>-294.20099999999996</v>
          </cell>
          <cell r="I33">
            <v>587.62600000000032</v>
          </cell>
          <cell r="J33">
            <v>555.64400000000001</v>
          </cell>
          <cell r="K33">
            <v>404.41252688808657</v>
          </cell>
          <cell r="L33">
            <v>420.41497035797869</v>
          </cell>
          <cell r="M33">
            <v>447.60120688361474</v>
          </cell>
        </row>
        <row r="34">
          <cell r="B34" t="str">
            <v xml:space="preserve">Minority Interests 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O34" t="str">
            <v>Gross Customer Loans</v>
          </cell>
          <cell r="P34">
            <v>13.448626783246297</v>
          </cell>
          <cell r="Q34">
            <v>5.7941481376583948</v>
          </cell>
          <cell r="R34">
            <v>17.684877542684795</v>
          </cell>
          <cell r="S34">
            <v>17.756274392575744</v>
          </cell>
          <cell r="T34">
            <v>-0.31568364188870879</v>
          </cell>
          <cell r="U34">
            <v>3.2719110218174086</v>
          </cell>
          <cell r="V34">
            <v>10.909531874610678</v>
          </cell>
          <cell r="W34">
            <v>19.097687920258231</v>
          </cell>
          <cell r="X34">
            <v>11.333472398255573</v>
          </cell>
          <cell r="Y34">
            <v>10.339612266927967</v>
          </cell>
          <cell r="Z34">
            <v>9.5663345878443486</v>
          </cell>
        </row>
        <row r="35">
          <cell r="B35" t="str">
            <v>Preference Dividend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O35" t="str">
            <v>Total Deposits</v>
          </cell>
          <cell r="P35">
            <v>12.088390396324765</v>
          </cell>
          <cell r="Q35">
            <v>11.744805229395272</v>
          </cell>
          <cell r="R35">
            <v>16.749648408063344</v>
          </cell>
          <cell r="S35">
            <v>8.3814316502333508</v>
          </cell>
          <cell r="T35">
            <v>-9.6353438610853548</v>
          </cell>
          <cell r="U35">
            <v>-1.0224840454303497</v>
          </cell>
          <cell r="V35">
            <v>1.2634286137036987</v>
          </cell>
          <cell r="W35">
            <v>15.435961347716365</v>
          </cell>
          <cell r="X35">
            <v>5.5110926965369789</v>
          </cell>
          <cell r="Y35">
            <v>5.7602407114864418</v>
          </cell>
          <cell r="Z35">
            <v>4.9906026842223339</v>
          </cell>
        </row>
        <row r="36">
          <cell r="B36" t="str">
            <v>Net Profit</v>
          </cell>
          <cell r="C36">
            <v>-403.70299999999992</v>
          </cell>
          <cell r="D36">
            <v>222.547</v>
          </cell>
          <cell r="E36">
            <v>113.00300000000018</v>
          </cell>
          <cell r="F36">
            <v>-213.81699999999981</v>
          </cell>
          <cell r="G36">
            <v>522.06700000000046</v>
          </cell>
          <cell r="H36">
            <v>1929.3269999999993</v>
          </cell>
          <cell r="I36">
            <v>1006.1672294119991</v>
          </cell>
          <cell r="J36">
            <v>960.94500000000016</v>
          </cell>
          <cell r="K36">
            <v>1045.3173890685907</v>
          </cell>
          <cell r="L36">
            <v>1108.3667400346712</v>
          </cell>
          <cell r="M36">
            <v>1180.0395454204386</v>
          </cell>
          <cell r="O36" t="str">
            <v>Avg Earning Assets</v>
          </cell>
          <cell r="P36">
            <v>9.5607706148527214</v>
          </cell>
          <cell r="Q36">
            <v>7.9084730896937794</v>
          </cell>
          <cell r="R36">
            <v>6.4198800518394661</v>
          </cell>
          <cell r="S36">
            <v>15.056618068829764</v>
          </cell>
          <cell r="T36">
            <v>8.0511404553435195</v>
          </cell>
          <cell r="U36">
            <v>-2.5746528657165535</v>
          </cell>
          <cell r="V36">
            <v>3.2362794204582546</v>
          </cell>
          <cell r="W36">
            <v>10.74934785546111</v>
          </cell>
          <cell r="X36">
            <v>15.310071203098463</v>
          </cell>
          <cell r="Y36">
            <v>8.3510348861627559</v>
          </cell>
          <cell r="Z36">
            <v>9.1490179029152685</v>
          </cell>
        </row>
        <row r="37">
          <cell r="B37" t="str">
            <v>EPS - Reported (Won)</v>
          </cell>
          <cell r="D37">
            <v>1001.6746668866977</v>
          </cell>
          <cell r="E37">
            <v>508.62174004681106</v>
          </cell>
          <cell r="F37">
            <v>-348.84696181496952</v>
          </cell>
          <cell r="G37">
            <v>809.52314187476202</v>
          </cell>
          <cell r="H37">
            <v>2991.6368104933026</v>
          </cell>
          <cell r="I37">
            <v>1560.1745691741198</v>
          </cell>
          <cell r="J37">
            <v>1490.0524560426968</v>
          </cell>
          <cell r="K37">
            <v>1620.8812605568401</v>
          </cell>
          <cell r="L37">
            <v>1718.6463150177158</v>
          </cell>
          <cell r="M37">
            <v>1829.7829978627617</v>
          </cell>
          <cell r="O37" t="str">
            <v>Total Interest-bearing Liab</v>
          </cell>
          <cell r="P37" t="e">
            <v>#DIV/0!</v>
          </cell>
          <cell r="Q37" t="e">
            <v>#DIV/0!</v>
          </cell>
          <cell r="R37" t="e">
            <v>#DIV/0!</v>
          </cell>
          <cell r="S37">
            <v>14.011510950011207</v>
          </cell>
          <cell r="T37">
            <v>6.052874003043951</v>
          </cell>
          <cell r="U37">
            <v>-3.5528831625834978</v>
          </cell>
          <cell r="V37">
            <v>-2.1371974215340095</v>
          </cell>
          <cell r="W37">
            <v>10.634975277782498</v>
          </cell>
          <cell r="X37">
            <v>15.49524352248528</v>
          </cell>
          <cell r="Y37">
            <v>10.527607182868582</v>
          </cell>
          <cell r="Z37">
            <v>9.8009460860920115</v>
          </cell>
        </row>
        <row r="38">
          <cell r="B38" t="str">
            <v>EPS - ModelWare (Won)</v>
          </cell>
          <cell r="E38">
            <v>539.41729366397419</v>
          </cell>
          <cell r="F38">
            <v>-335.01981990678689</v>
          </cell>
          <cell r="G38">
            <v>823.7065861045802</v>
          </cell>
          <cell r="H38">
            <v>3022.0923727670379</v>
          </cell>
          <cell r="I38">
            <v>1598.2141727431476</v>
          </cell>
          <cell r="J38">
            <v>1536.26068147711</v>
          </cell>
          <cell r="K38">
            <v>1665.9325474689722</v>
          </cell>
          <cell r="L38">
            <v>1756.8192599951587</v>
          </cell>
          <cell r="M38">
            <v>1863.3780663234345</v>
          </cell>
          <cell r="O38" t="str">
            <v>Risk-weighted Assets</v>
          </cell>
          <cell r="P38" t="e">
            <v>#DIV/0!</v>
          </cell>
          <cell r="Q38" t="e">
            <v>#DIV/0!</v>
          </cell>
          <cell r="R38">
            <v>15.122834520216589</v>
          </cell>
          <cell r="S38">
            <v>1.9168163590650877</v>
          </cell>
          <cell r="T38">
            <v>-5.4836337671249069E-2</v>
          </cell>
          <cell r="U38">
            <v>7.837236120366331</v>
          </cell>
          <cell r="V38">
            <v>11.559078801496314</v>
          </cell>
          <cell r="W38">
            <v>19.566478925163388</v>
          </cell>
          <cell r="X38">
            <v>11.134951677655947</v>
          </cell>
          <cell r="Y38">
            <v>10.3510817812009</v>
          </cell>
          <cell r="Z38">
            <v>6.7873011392924676</v>
          </cell>
        </row>
        <row r="40">
          <cell r="B40" t="str">
            <v>Selective Balance Sheet Data</v>
          </cell>
          <cell r="O40" t="str">
            <v>Revenue Breakdown (%)</v>
          </cell>
        </row>
        <row r="41">
          <cell r="B41" t="str">
            <v>Won billions, Year ending Dec 31</v>
          </cell>
          <cell r="C41">
            <v>2000</v>
          </cell>
          <cell r="D41">
            <v>2001</v>
          </cell>
          <cell r="E41">
            <v>2002</v>
          </cell>
          <cell r="F41">
            <v>2003</v>
          </cell>
          <cell r="G41">
            <v>2004</v>
          </cell>
          <cell r="H41">
            <v>2005</v>
          </cell>
          <cell r="I41">
            <v>2006</v>
          </cell>
          <cell r="J41">
            <v>2007</v>
          </cell>
          <cell r="K41" t="str">
            <v>2008E</v>
          </cell>
          <cell r="L41" t="str">
            <v>2009E</v>
          </cell>
          <cell r="M41" t="str">
            <v>2010E</v>
          </cell>
          <cell r="O41" t="str">
            <v>NII/Operating Income</v>
          </cell>
          <cell r="P41">
            <v>56.567837806498801</v>
          </cell>
          <cell r="Q41">
            <v>62.677510806132275</v>
          </cell>
          <cell r="R41">
            <v>58.769627431668617</v>
          </cell>
          <cell r="S41">
            <v>68.681207604014546</v>
          </cell>
          <cell r="T41">
            <v>79.263424091325078</v>
          </cell>
          <cell r="U41">
            <v>80.597048622380015</v>
          </cell>
          <cell r="V41">
            <v>67.512007897832021</v>
          </cell>
          <cell r="W41">
            <v>68.788125337581448</v>
          </cell>
          <cell r="X41">
            <v>74.70635432277281</v>
          </cell>
          <cell r="Y41">
            <v>74.477018390955052</v>
          </cell>
          <cell r="Z41">
            <v>74.457903078431244</v>
          </cell>
        </row>
        <row r="42">
          <cell r="B42" t="str">
            <v>Total Assets</v>
          </cell>
          <cell r="C42">
            <v>45518.736999999994</v>
          </cell>
          <cell r="D42">
            <v>49236.868000000002</v>
          </cell>
          <cell r="E42">
            <v>57521.608</v>
          </cell>
          <cell r="F42">
            <v>62603.330999999998</v>
          </cell>
          <cell r="G42">
            <v>61301.587</v>
          </cell>
          <cell r="H42">
            <v>64950.975999999995</v>
          </cell>
          <cell r="I42">
            <v>69441.466</v>
          </cell>
          <cell r="J42">
            <v>82024.917000000001</v>
          </cell>
          <cell r="K42">
            <v>89639.236733160506</v>
          </cell>
          <cell r="L42">
            <v>98917.867435454245</v>
          </cell>
          <cell r="M42">
            <v>105631.72097886464</v>
          </cell>
          <cell r="O42" t="str">
            <v>Non-interest Inc/Opg Income</v>
          </cell>
          <cell r="P42">
            <v>43.432162193501199</v>
          </cell>
          <cell r="Q42">
            <v>37.32248919386771</v>
          </cell>
          <cell r="R42">
            <v>41.230372568331397</v>
          </cell>
          <cell r="S42">
            <v>31.318792395985444</v>
          </cell>
          <cell r="T42">
            <v>20.736575908674922</v>
          </cell>
          <cell r="U42">
            <v>19.402951377619974</v>
          </cell>
          <cell r="V42">
            <v>32.487992102167986</v>
          </cell>
          <cell r="W42">
            <v>31.211874662418541</v>
          </cell>
          <cell r="X42">
            <v>25.2936456772272</v>
          </cell>
          <cell r="Y42">
            <v>25.522981609044937</v>
          </cell>
          <cell r="Z42">
            <v>25.542096921568746</v>
          </cell>
        </row>
        <row r="43">
          <cell r="B43" t="str">
            <v>RWA</v>
          </cell>
          <cell r="C43">
            <v>0</v>
          </cell>
          <cell r="D43">
            <v>35863.819000000003</v>
          </cell>
          <cell r="E43">
            <v>41287.445</v>
          </cell>
          <cell r="F43">
            <v>42078.849499999997</v>
          </cell>
          <cell r="G43">
            <v>42055.775000000001</v>
          </cell>
          <cell r="H43">
            <v>45351.785388999997</v>
          </cell>
          <cell r="I43">
            <v>50594.034</v>
          </cell>
          <cell r="J43">
            <v>60493.504999999997</v>
          </cell>
          <cell r="K43">
            <v>67229.427549870379</v>
          </cell>
          <cell r="L43">
            <v>74188.400576590677</v>
          </cell>
          <cell r="M43">
            <v>79223.790734148482</v>
          </cell>
          <cell r="O43" t="str">
            <v>Forex Income/Operating Income</v>
          </cell>
          <cell r="P43">
            <v>19.054882127853144</v>
          </cell>
          <cell r="Q43">
            <v>14.744799062950253</v>
          </cell>
          <cell r="R43">
            <v>13.002628491847922</v>
          </cell>
          <cell r="S43">
            <v>14.269079348649807</v>
          </cell>
          <cell r="T43">
            <v>13.03194395457721</v>
          </cell>
          <cell r="U43">
            <v>11.119943652191186</v>
          </cell>
          <cell r="V43">
            <v>9.9604252657301071</v>
          </cell>
          <cell r="W43">
            <v>10.750473468662197</v>
          </cell>
          <cell r="X43">
            <v>12.367090291202867</v>
          </cell>
          <cell r="Y43">
            <v>12.530204086472137</v>
          </cell>
          <cell r="Z43">
            <v>12.371727893651087</v>
          </cell>
        </row>
        <row r="44">
          <cell r="B44" t="str">
            <v>Total Liquid Assets</v>
          </cell>
          <cell r="C44">
            <v>16606.396999999997</v>
          </cell>
          <cell r="D44">
            <v>15954.6</v>
          </cell>
          <cell r="E44">
            <v>15466.677999999998</v>
          </cell>
          <cell r="F44">
            <v>18651.778999999999</v>
          </cell>
          <cell r="G44">
            <v>17873.575999999997</v>
          </cell>
          <cell r="H44">
            <v>19002.956000000002</v>
          </cell>
          <cell r="I44">
            <v>18286.859</v>
          </cell>
          <cell r="J44">
            <v>19457.932000000001</v>
          </cell>
          <cell r="K44">
            <v>19043.650912419842</v>
          </cell>
          <cell r="L44">
            <v>21384.325970443093</v>
          </cell>
          <cell r="M44">
            <v>20975.087018708524</v>
          </cell>
        </row>
        <row r="45">
          <cell r="B45" t="str">
            <v>Gross Customer Loans</v>
          </cell>
          <cell r="C45">
            <v>27490.632999999998</v>
          </cell>
          <cell r="D45">
            <v>29083.481</v>
          </cell>
          <cell r="E45">
            <v>34226.858999999997</v>
          </cell>
          <cell r="F45">
            <v>40304.274000000005</v>
          </cell>
          <cell r="G45">
            <v>40177.040000000001</v>
          </cell>
          <cell r="H45">
            <v>41491.596999999994</v>
          </cell>
          <cell r="I45">
            <v>46018.135999999999</v>
          </cell>
          <cell r="J45">
            <v>54806.536</v>
          </cell>
          <cell r="K45">
            <v>61018.019630000003</v>
          </cell>
          <cell r="L45">
            <v>67327.046272699998</v>
          </cell>
          <cell r="M45">
            <v>73767.776787259267</v>
          </cell>
          <cell r="O45" t="str">
            <v>Efficiency (%)</v>
          </cell>
        </row>
        <row r="46">
          <cell r="B46" t="str">
            <v>Total Customer Deposits</v>
          </cell>
          <cell r="C46">
            <v>21442.289000000001</v>
          </cell>
          <cell r="D46">
            <v>24772.7</v>
          </cell>
          <cell r="E46">
            <v>31516.885999999999</v>
          </cell>
          <cell r="F46">
            <v>31035.050999999999</v>
          </cell>
          <cell r="G46">
            <v>27983.25</v>
          </cell>
          <cell r="H46">
            <v>27493.97</v>
          </cell>
          <cell r="I46">
            <v>26836.47</v>
          </cell>
          <cell r="J46">
            <v>29603.906999999999</v>
          </cell>
          <cell r="K46">
            <v>30195.985140000001</v>
          </cell>
          <cell r="L46">
            <v>31403.8245456</v>
          </cell>
          <cell r="M46">
            <v>32659.977527424002</v>
          </cell>
          <cell r="O46" t="str">
            <v>Cost/Income</v>
          </cell>
          <cell r="P46">
            <v>47.539268416686731</v>
          </cell>
          <cell r="Q46">
            <v>32.539415173157252</v>
          </cell>
          <cell r="R46">
            <v>37.860382542799243</v>
          </cell>
          <cell r="S46">
            <v>37.9</v>
          </cell>
          <cell r="T46">
            <v>41.552268258216507</v>
          </cell>
          <cell r="U46">
            <v>48.052356414638538</v>
          </cell>
          <cell r="V46">
            <v>38.667878426829766</v>
          </cell>
          <cell r="W46">
            <v>39.296565728389652</v>
          </cell>
          <cell r="X46">
            <v>41.122758466295529</v>
          </cell>
          <cell r="Y46">
            <v>40.134204886596919</v>
          </cell>
          <cell r="Z46">
            <v>39.106398169254497</v>
          </cell>
        </row>
        <row r="47">
          <cell r="B47" t="str">
            <v>Certificates of Deposits</v>
          </cell>
          <cell r="C47">
            <v>62.791999999997643</v>
          </cell>
          <cell r="D47">
            <v>566.82499999999709</v>
          </cell>
          <cell r="E47">
            <v>367.52400000000489</v>
          </cell>
          <cell r="F47">
            <v>2184.1050000000032</v>
          </cell>
          <cell r="G47">
            <v>3327.7129999999961</v>
          </cell>
          <cell r="H47">
            <v>2987.2459999999992</v>
          </cell>
          <cell r="I47">
            <v>3971.6579999999958</v>
          </cell>
          <cell r="J47">
            <v>5571.4760000000024</v>
          </cell>
          <cell r="K47">
            <v>7242.9188000000031</v>
          </cell>
          <cell r="L47">
            <v>8546.6441840000025</v>
          </cell>
          <cell r="M47">
            <v>9572.2414860800036</v>
          </cell>
          <cell r="O47" t="str">
            <v>Expenses/Avg Assets</v>
          </cell>
          <cell r="P47">
            <v>1.2165157423987281</v>
          </cell>
          <cell r="Q47">
            <v>1.0601335931526161</v>
          </cell>
          <cell r="R47">
            <v>1.1306287287203314</v>
          </cell>
          <cell r="S47">
            <v>1.1680355567131651</v>
          </cell>
          <cell r="T47">
            <v>1.4547445162749715</v>
          </cell>
          <cell r="U47">
            <v>1.672322485841337</v>
          </cell>
          <cell r="V47">
            <v>1.6538028232272173</v>
          </cell>
          <cell r="W47">
            <v>1.5178430714886746</v>
          </cell>
          <cell r="X47">
            <v>1.4071757434521734</v>
          </cell>
          <cell r="Y47">
            <v>1.3271823028466816</v>
          </cell>
          <cell r="Z47">
            <v>1.2845814807857585</v>
          </cell>
        </row>
        <row r="48">
          <cell r="B48" t="str">
            <v>Other Interest Bearing Liability</v>
          </cell>
          <cell r="C48">
            <v>9181.3920000000035</v>
          </cell>
          <cell r="D48">
            <v>8357.7680000000037</v>
          </cell>
          <cell r="E48">
            <v>9534.3839999999982</v>
          </cell>
          <cell r="F48">
            <v>10342.241000000002</v>
          </cell>
          <cell r="G48">
            <v>12714.219000000005</v>
          </cell>
          <cell r="H48">
            <v>12671.106</v>
          </cell>
          <cell r="I48">
            <v>13874.025999999998</v>
          </cell>
          <cell r="J48">
            <v>17405.954000000005</v>
          </cell>
          <cell r="K48">
            <v>19560.109398707296</v>
          </cell>
          <cell r="L48">
            <v>24988.28810153294</v>
          </cell>
          <cell r="M48">
            <v>27950.067377516527</v>
          </cell>
        </row>
        <row r="49">
          <cell r="B49" t="str">
            <v>EOP Shareholders' Equity</v>
          </cell>
          <cell r="C49">
            <v>1412.989</v>
          </cell>
          <cell r="D49">
            <v>1674.8879999999999</v>
          </cell>
          <cell r="E49">
            <v>1845.7809999999999</v>
          </cell>
          <cell r="F49">
            <v>2951.8639999999996</v>
          </cell>
          <cell r="G49">
            <v>2929.3900000000003</v>
          </cell>
          <cell r="H49">
            <v>5657.6689999999999</v>
          </cell>
          <cell r="I49">
            <v>6379.165</v>
          </cell>
          <cell r="J49">
            <v>6650.799</v>
          </cell>
          <cell r="K49">
            <v>7263.3943890685905</v>
          </cell>
          <cell r="L49">
            <v>7726.8543031032614</v>
          </cell>
          <cell r="M49">
            <v>8261.9870225237009</v>
          </cell>
          <cell r="O49" t="str">
            <v>Rev Per Employee</v>
          </cell>
          <cell r="P49">
            <v>5.6577008477997584E-2</v>
          </cell>
          <cell r="Q49">
            <v>8.0669366850453381E-2</v>
          </cell>
          <cell r="R49">
            <v>0.1320195453227877</v>
          </cell>
          <cell r="S49">
            <v>0.32132442464736455</v>
          </cell>
          <cell r="T49">
            <v>0.40746853278226569</v>
          </cell>
          <cell r="U49">
            <v>0.41451445283018856</v>
          </cell>
          <cell r="V49">
            <v>0.53015007475568554</v>
          </cell>
          <cell r="W49">
            <v>0.52105806911293195</v>
          </cell>
          <cell r="X49">
            <v>0.51401463749688314</v>
          </cell>
          <cell r="Y49">
            <v>0.54561787096813641</v>
          </cell>
          <cell r="Z49">
            <v>0.58795246723686623</v>
          </cell>
        </row>
        <row r="50">
          <cell r="O50" t="str">
            <v>Exp Per Employee</v>
          </cell>
          <cell r="P50">
            <v>2.6896295922486879E-2</v>
          </cell>
          <cell r="Q50">
            <v>2.6249340197026315E-2</v>
          </cell>
          <cell r="R50">
            <v>4.9983104890471648E-2</v>
          </cell>
          <cell r="S50">
            <v>0.1302061989606533</v>
          </cell>
          <cell r="T50">
            <v>0.16931241780950593</v>
          </cell>
          <cell r="U50">
            <v>0.19918396226415094</v>
          </cell>
          <cell r="V50">
            <v>0.20499778638627561</v>
          </cell>
          <cell r="W50">
            <v>0.20475792661204131</v>
          </cell>
          <cell r="X50">
            <v>0.21137699785924777</v>
          </cell>
          <cell r="Y50">
            <v>0.21897939423223989</v>
          </cell>
          <cell r="Z50">
            <v>0.22992703288360447</v>
          </cell>
        </row>
        <row r="51">
          <cell r="B51" t="str">
            <v>Avg Loans</v>
          </cell>
          <cell r="C51">
            <v>25861.211499999998</v>
          </cell>
          <cell r="D51">
            <v>28287.057000000001</v>
          </cell>
          <cell r="E51">
            <v>31655.17</v>
          </cell>
          <cell r="F51">
            <v>37265.566500000001</v>
          </cell>
          <cell r="G51">
            <v>40240.657000000007</v>
          </cell>
          <cell r="H51">
            <v>40834.318499999994</v>
          </cell>
          <cell r="I51">
            <v>43754.866499999996</v>
          </cell>
          <cell r="J51">
            <v>50412.335999999996</v>
          </cell>
          <cell r="K51">
            <v>57912.277815000001</v>
          </cell>
          <cell r="L51">
            <v>64172.532951350004</v>
          </cell>
          <cell r="M51">
            <v>70547.411529979639</v>
          </cell>
          <cell r="O51" t="str">
            <v>Rev Per Branch</v>
          </cell>
          <cell r="P51">
            <v>0.98215505913272017</v>
          </cell>
          <cell r="Q51">
            <v>1.3528203330411921</v>
          </cell>
          <cell r="R51">
            <v>2.2870444763271163</v>
          </cell>
          <cell r="S51">
            <v>6.533192452830189</v>
          </cell>
          <cell r="T51">
            <v>8.1234269662921363</v>
          </cell>
          <cell r="U51">
            <v>7.9454849909584064</v>
          </cell>
          <cell r="V51">
            <v>9.8760946915827201</v>
          </cell>
          <cell r="W51">
            <v>9.6224342105263165</v>
          </cell>
          <cell r="X51">
            <v>9.4137167905679178</v>
          </cell>
          <cell r="Y51">
            <v>9.9925016497177293</v>
          </cell>
          <cell r="Z51">
            <v>10.767821787793119</v>
          </cell>
        </row>
        <row r="52">
          <cell r="B52" t="str">
            <v>Avg Total Assets</v>
          </cell>
          <cell r="C52">
            <v>43811.763500000001</v>
          </cell>
          <cell r="D52">
            <v>47377.802499999998</v>
          </cell>
          <cell r="E52">
            <v>53379.237999999998</v>
          </cell>
          <cell r="F52">
            <v>60062.469499999999</v>
          </cell>
          <cell r="G52">
            <v>61952.459000000003</v>
          </cell>
          <cell r="H52">
            <v>63126.281499999997</v>
          </cell>
          <cell r="I52">
            <v>67196.22099999999</v>
          </cell>
          <cell r="J52">
            <v>75733.191500000001</v>
          </cell>
          <cell r="K52">
            <v>85832.076866580261</v>
          </cell>
          <cell r="L52">
            <v>94278.552084307375</v>
          </cell>
          <cell r="M52">
            <v>102274.79420715944</v>
          </cell>
          <cell r="O52" t="str">
            <v>Exp Per Branch</v>
          </cell>
          <cell r="P52">
            <v>0.4669093298291721</v>
          </cell>
          <cell r="Q52">
            <v>0.44019982471516217</v>
          </cell>
          <cell r="R52">
            <v>0.86588378766140595</v>
          </cell>
          <cell r="S52">
            <v>2.6473622641509431</v>
          </cell>
          <cell r="T52">
            <v>3.3754681647940075</v>
          </cell>
          <cell r="U52">
            <v>3.817992766726944</v>
          </cell>
          <cell r="V52">
            <v>3.8188762886597942</v>
          </cell>
          <cell r="W52">
            <v>3.7812861842105261</v>
          </cell>
          <cell r="X52">
            <v>3.8711800184863514</v>
          </cell>
          <cell r="Y52">
            <v>4.0104110853942911</v>
          </cell>
          <cell r="Z52">
            <v>4.2109072624901156</v>
          </cell>
        </row>
        <row r="53">
          <cell r="B53" t="str">
            <v>Avg Total Deposits</v>
          </cell>
          <cell r="C53">
            <v>28434.497499999998</v>
          </cell>
          <cell r="D53">
            <v>31820.137999999999</v>
          </cell>
          <cell r="E53">
            <v>36397.792000000001</v>
          </cell>
          <cell r="F53">
            <v>40853.684999999998</v>
          </cell>
          <cell r="G53">
            <v>40449.5245</v>
          </cell>
          <cell r="H53">
            <v>38205.835999999996</v>
          </cell>
          <cell r="I53">
            <v>38249.619500000001</v>
          </cell>
          <cell r="J53">
            <v>41460.361000000004</v>
          </cell>
          <cell r="K53">
            <v>45655.307549999998</v>
          </cell>
          <cell r="L53">
            <v>48229.8136964</v>
          </cell>
          <cell r="M53">
            <v>50817.173780384008</v>
          </cell>
          <cell r="O53" t="str">
            <v>Net Profit Per Branch</v>
          </cell>
          <cell r="P53">
            <v>-0.35366009636443269</v>
          </cell>
          <cell r="Q53">
            <v>0.19504557405784401</v>
          </cell>
          <cell r="R53">
            <v>0.16212769010043068</v>
          </cell>
          <cell r="S53">
            <v>-0.80685660377358415</v>
          </cell>
          <cell r="T53">
            <v>1.9553071161048707</v>
          </cell>
          <cell r="U53">
            <v>6.9776745027124747</v>
          </cell>
          <cell r="V53">
            <v>3.4576193450584163</v>
          </cell>
          <cell r="W53">
            <v>3.1610032894736846</v>
          </cell>
          <cell r="X53">
            <v>3.3503762470147138</v>
          </cell>
          <cell r="Y53">
            <v>3.5524575001111258</v>
          </cell>
          <cell r="Z53">
            <v>3.7821780301937133</v>
          </cell>
        </row>
        <row r="54">
          <cell r="B54" t="str">
            <v>Avg Shareholders' Equity</v>
          </cell>
          <cell r="D54">
            <v>1543.9385</v>
          </cell>
          <cell r="E54">
            <v>1760.3344999999999</v>
          </cell>
          <cell r="F54">
            <v>2398.8224999999998</v>
          </cell>
          <cell r="G54">
            <v>2940.627</v>
          </cell>
          <cell r="H54">
            <v>4293.5295000000006</v>
          </cell>
          <cell r="I54">
            <v>6018.4169999999995</v>
          </cell>
          <cell r="J54">
            <v>6514.982</v>
          </cell>
          <cell r="K54">
            <v>6957.0966945342952</v>
          </cell>
          <cell r="L54">
            <v>7495.1243460859259</v>
          </cell>
          <cell r="M54">
            <v>7994.4206628134816</v>
          </cell>
        </row>
        <row r="55">
          <cell r="B55" t="str">
            <v>Avg Equity/Avg Assets (%)</v>
          </cell>
          <cell r="C55">
            <v>3.2875428536447751</v>
          </cell>
          <cell r="D55">
            <v>3.2587803117293168</v>
          </cell>
          <cell r="E55">
            <v>3.2977887395095449</v>
          </cell>
          <cell r="F55">
            <v>3.9938792393476259</v>
          </cell>
          <cell r="G55">
            <v>4.7465864107185798</v>
          </cell>
          <cell r="H55">
            <v>6.8014928140508326</v>
          </cell>
          <cell r="I55">
            <v>8.9564813473662461</v>
          </cell>
          <cell r="J55">
            <v>8.6025451601362928</v>
          </cell>
          <cell r="K55">
            <v>8.1054740238298066</v>
          </cell>
          <cell r="L55">
            <v>7.9499782085998811</v>
          </cell>
          <cell r="M55">
            <v>7.8166088964409335</v>
          </cell>
          <cell r="O55" t="str">
            <v>Net Interest Margin Analysis (%)</v>
          </cell>
        </row>
        <row r="56">
          <cell r="B56" t="str">
            <v>Avg EA/Avg Assets (%)</v>
          </cell>
          <cell r="C56">
            <v>83.796444304279134</v>
          </cell>
          <cell r="D56">
            <v>83.61745777466146</v>
          </cell>
          <cell r="E56">
            <v>78.980934497416371</v>
          </cell>
          <cell r="F56">
            <v>80.761254746610106</v>
          </cell>
          <cell r="G56">
            <v>84.601302306660671</v>
          </cell>
          <cell r="H56">
            <v>80.890468653044309</v>
          </cell>
          <cell r="I56">
            <v>78.450380416482062</v>
          </cell>
          <cell r="J56">
            <v>77.089427823730361</v>
          </cell>
          <cell r="K56">
            <v>78.432977166613639</v>
          </cell>
          <cell r="L56">
            <v>77.369266791136468</v>
          </cell>
          <cell r="M56">
            <v>77.845337044641383</v>
          </cell>
          <cell r="O56" t="str">
            <v>Int Income/Avg EA</v>
          </cell>
          <cell r="P56">
            <v>8.4745578505530794</v>
          </cell>
          <cell r="Q56">
            <v>7.471149239927974</v>
          </cell>
          <cell r="R56">
            <v>6.1475867991640616</v>
          </cell>
          <cell r="S56">
            <v>5.655518714292417</v>
          </cell>
          <cell r="T56">
            <v>6.0519203000513961</v>
          </cell>
          <cell r="U56">
            <v>6.2765934281208029</v>
          </cell>
          <cell r="V56">
            <v>6.7143272389239854</v>
          </cell>
          <cell r="W56">
            <v>6.847465919627262</v>
          </cell>
          <cell r="X56">
            <v>6.9734438723616927</v>
          </cell>
          <cell r="Y56">
            <v>6.9264383358071431</v>
          </cell>
          <cell r="Z56">
            <v>6.9832119417846119</v>
          </cell>
        </row>
        <row r="57">
          <cell r="B57" t="str">
            <v>Avg Loans/Avg EA (%)</v>
          </cell>
          <cell r="C57">
            <v>70.442139913435952</v>
          </cell>
          <cell r="D57">
            <v>71.402906908032421</v>
          </cell>
          <cell r="E57">
            <v>75.084451468154668</v>
          </cell>
          <cell r="F57">
            <v>76.824808331562465</v>
          </cell>
          <cell r="G57">
            <v>76.776704237150355</v>
          </cell>
          <cell r="H57">
            <v>79.968279550959267</v>
          </cell>
          <cell r="I57">
            <v>83.001599087451964</v>
          </cell>
          <cell r="J57">
            <v>86.348687557341876</v>
          </cell>
          <cell r="K57">
            <v>86.024533362144794</v>
          </cell>
          <cell r="L57">
            <v>87.976726092561279</v>
          </cell>
          <cell r="M57">
            <v>88.609414307052916</v>
          </cell>
          <cell r="O57" t="str">
            <v>Int Exp/Avg Int Bearing Liab.</v>
          </cell>
          <cell r="P57" t="e">
            <v>#DIV/0!</v>
          </cell>
          <cell r="Q57" t="e">
            <v>#DIV/0!</v>
          </cell>
          <cell r="R57">
            <v>3.8461260756095093</v>
          </cell>
          <cell r="S57">
            <v>3.3987363606887526</v>
          </cell>
          <cell r="T57">
            <v>3.1862653599176936</v>
          </cell>
          <cell r="U57">
            <v>3.0250875783727933</v>
          </cell>
          <cell r="V57">
            <v>3.4324511330288514</v>
          </cell>
          <cell r="W57">
            <v>3.8105926627199742</v>
          </cell>
          <cell r="X57">
            <v>4.118825109340853</v>
          </cell>
          <cell r="Y57">
            <v>4.0721422890351553</v>
          </cell>
          <cell r="Z57">
            <v>4.143731085616758</v>
          </cell>
        </row>
        <row r="58">
          <cell r="O58" t="str">
            <v xml:space="preserve">Net Interest Spread </v>
          </cell>
          <cell r="P58">
            <v>0</v>
          </cell>
          <cell r="Q58">
            <v>0</v>
          </cell>
          <cell r="R58">
            <v>2.3014607235545519</v>
          </cell>
          <cell r="S58">
            <v>2.2567823536036649</v>
          </cell>
          <cell r="T58">
            <v>2.865654940133703</v>
          </cell>
          <cell r="U58">
            <v>3.2515058497480092</v>
          </cell>
          <cell r="V58">
            <v>3.281876105895134</v>
          </cell>
          <cell r="W58">
            <v>3.0368732569072874</v>
          </cell>
          <cell r="X58">
            <v>2.8546187630208393</v>
          </cell>
          <cell r="Y58">
            <v>2.8542960467719882</v>
          </cell>
          <cell r="Z58">
            <v>2.839480856167854</v>
          </cell>
        </row>
        <row r="59">
          <cell r="B59" t="str">
            <v>Asset Quality</v>
          </cell>
          <cell r="O59" t="str">
            <v>Contribution From Free Funds</v>
          </cell>
          <cell r="P59">
            <v>1.7274648827245072</v>
          </cell>
          <cell r="Q59">
            <v>2.4421123182349485</v>
          </cell>
          <cell r="R59">
            <v>-0.17176591583885648</v>
          </cell>
          <cell r="S59">
            <v>-0.11953486351951215</v>
          </cell>
          <cell r="T59">
            <v>-5.1063863982928837E-2</v>
          </cell>
          <cell r="U59">
            <v>-1.7619645328871503E-2</v>
          </cell>
          <cell r="V59">
            <v>0.15970829826263389</v>
          </cell>
          <cell r="W59">
            <v>0.18105497625330536</v>
          </cell>
          <cell r="X59">
            <v>0.18940020351708142</v>
          </cell>
          <cell r="Y59">
            <v>0.10921329474468555</v>
          </cell>
          <cell r="Z59">
            <v>8.704727042215632E-2</v>
          </cell>
        </row>
        <row r="60">
          <cell r="B60" t="str">
            <v>Won billions, Year ending Dec 31</v>
          </cell>
          <cell r="C60">
            <v>2000</v>
          </cell>
          <cell r="D60">
            <v>2001</v>
          </cell>
          <cell r="E60">
            <v>2002</v>
          </cell>
          <cell r="F60">
            <v>2003</v>
          </cell>
          <cell r="G60">
            <v>2004</v>
          </cell>
          <cell r="H60">
            <v>2005</v>
          </cell>
          <cell r="I60">
            <v>2006</v>
          </cell>
          <cell r="J60">
            <v>2007</v>
          </cell>
          <cell r="K60" t="str">
            <v>2008E</v>
          </cell>
          <cell r="L60" t="str">
            <v>2009E</v>
          </cell>
          <cell r="M60" t="str">
            <v>2010E</v>
          </cell>
          <cell r="O60" t="str">
            <v>Net Interest Margin</v>
          </cell>
          <cell r="P60">
            <v>1.7274648827245072</v>
          </cell>
          <cell r="Q60">
            <v>2.4421123182349485</v>
          </cell>
          <cell r="R60">
            <v>2.1296948077156954</v>
          </cell>
          <cell r="S60">
            <v>2.1372474900841527</v>
          </cell>
          <cell r="T60">
            <v>2.8145910761507742</v>
          </cell>
          <cell r="U60">
            <v>3.2338862044191377</v>
          </cell>
          <cell r="V60">
            <v>3.4415844041577679</v>
          </cell>
          <cell r="W60">
            <v>3.2179282331605927</v>
          </cell>
          <cell r="X60">
            <v>3.0440189665379207</v>
          </cell>
          <cell r="Y60">
            <v>2.9635093415166738</v>
          </cell>
          <cell r="Z60">
            <v>2.9265281265900103</v>
          </cell>
        </row>
        <row r="61">
          <cell r="B61" t="str">
            <v>Non-performing Loans (NPL)</v>
          </cell>
          <cell r="C61">
            <v>2621.0609999999997</v>
          </cell>
          <cell r="D61">
            <v>1188</v>
          </cell>
          <cell r="E61">
            <v>1117.3620000000001</v>
          </cell>
          <cell r="F61">
            <v>1080.202</v>
          </cell>
          <cell r="G61">
            <v>754.83500000000004</v>
          </cell>
          <cell r="H61">
            <v>389.233</v>
          </cell>
          <cell r="I61">
            <v>299.39999999999998</v>
          </cell>
          <cell r="J61">
            <v>360.3</v>
          </cell>
          <cell r="K61">
            <v>524.89139160000002</v>
          </cell>
          <cell r="L61">
            <v>651.06128652000007</v>
          </cell>
          <cell r="M61">
            <v>797.02930309680005</v>
          </cell>
        </row>
        <row r="62">
          <cell r="B62" t="str">
            <v>Gross NPL Ratio (%)</v>
          </cell>
          <cell r="C62">
            <v>9.6067267660159672</v>
          </cell>
          <cell r="D62">
            <v>3.5681033188166391</v>
          </cell>
          <cell r="E62">
            <v>2.8516664708748412</v>
          </cell>
          <cell r="F62">
            <v>2.5917830073643984</v>
          </cell>
          <cell r="G62">
            <v>1.8176115697603716</v>
          </cell>
          <cell r="H62">
            <v>0.89529316295070216</v>
          </cell>
          <cell r="I62">
            <v>0.61557693375249034</v>
          </cell>
          <cell r="J62">
            <v>0.61356902012874226</v>
          </cell>
          <cell r="K62">
            <v>0.8052776260474227</v>
          </cell>
          <cell r="L62">
            <v>0.90804081414053817</v>
          </cell>
          <cell r="M62">
            <v>1.0105669735114473</v>
          </cell>
          <cell r="O62" t="str">
            <v>Liquidity (%)</v>
          </cell>
        </row>
        <row r="63">
          <cell r="B63" t="str">
            <v>Loan Loss Reserve (LLR)</v>
          </cell>
          <cell r="C63">
            <v>1843.229</v>
          </cell>
          <cell r="D63">
            <v>987.57899999999995</v>
          </cell>
          <cell r="E63">
            <v>780.03599999999994</v>
          </cell>
          <cell r="F63">
            <v>885.29600000000005</v>
          </cell>
          <cell r="G63">
            <v>821.41100000000006</v>
          </cell>
          <cell r="H63">
            <v>612.08000000000004</v>
          </cell>
          <cell r="I63">
            <v>616.80770000000007</v>
          </cell>
          <cell r="J63">
            <v>733.08</v>
          </cell>
          <cell r="K63">
            <v>997.98632329199995</v>
          </cell>
          <cell r="L63">
            <v>1253.039100768</v>
          </cell>
          <cell r="M63">
            <v>1548.6860982810001</v>
          </cell>
          <cell r="O63" t="str">
            <v>Avg Loans/Avg EA</v>
          </cell>
          <cell r="P63">
            <v>70.442139913435952</v>
          </cell>
          <cell r="Q63">
            <v>71.402906908032421</v>
          </cell>
          <cell r="R63">
            <v>75.084451468154668</v>
          </cell>
          <cell r="S63">
            <v>76.824808331562465</v>
          </cell>
          <cell r="T63">
            <v>76.776704237150355</v>
          </cell>
          <cell r="U63">
            <v>79.968279550959267</v>
          </cell>
          <cell r="V63">
            <v>83.001599087451964</v>
          </cell>
          <cell r="W63">
            <v>86.348687557341876</v>
          </cell>
          <cell r="X63">
            <v>86.024533362144794</v>
          </cell>
          <cell r="Y63">
            <v>87.976726092561279</v>
          </cell>
          <cell r="Z63">
            <v>88.609414307052916</v>
          </cell>
        </row>
        <row r="64">
          <cell r="B64" t="str">
            <v>LLR/NPL (%)</v>
          </cell>
          <cell r="C64">
            <v>70.323773464257428</v>
          </cell>
          <cell r="D64">
            <v>83.12954545454545</v>
          </cell>
          <cell r="E64">
            <v>69.810500088601529</v>
          </cell>
          <cell r="F64">
            <v>81.956522946634053</v>
          </cell>
          <cell r="G64">
            <v>108.81994078176025</v>
          </cell>
          <cell r="H64">
            <v>157.25285368917847</v>
          </cell>
          <cell r="I64">
            <v>206.01459585838347</v>
          </cell>
          <cell r="J64">
            <v>203.46378018318069</v>
          </cell>
          <cell r="K64">
            <v>190.13196620540651</v>
          </cell>
          <cell r="L64">
            <v>192.46100585486244</v>
          </cell>
          <cell r="M64">
            <v>194.30729739341973</v>
          </cell>
          <cell r="O64" t="str">
            <v>Avg Liquid Assets/AEA</v>
          </cell>
          <cell r="P64">
            <v>44.391695516810259</v>
          </cell>
          <cell r="Q64">
            <v>41.095647341887187</v>
          </cell>
          <cell r="R64">
            <v>37.264835776563451</v>
          </cell>
          <cell r="S64">
            <v>35.168443227525543</v>
          </cell>
          <cell r="T64">
            <v>34.844068003063668</v>
          </cell>
          <cell r="U64">
            <v>36.108755186472571</v>
          </cell>
          <cell r="V64">
            <v>35.368800344474288</v>
          </cell>
          <cell r="W64">
            <v>32.325551874606347</v>
          </cell>
          <cell r="X64">
            <v>28.595669421994092</v>
          </cell>
          <cell r="Y64">
            <v>27.712175950701727</v>
          </cell>
          <cell r="Z64">
            <v>26.602271394211545</v>
          </cell>
        </row>
        <row r="65">
          <cell r="B65" t="str">
            <v>LLR/Total Credit (%)</v>
          </cell>
          <cell r="C65">
            <v>3.0002086490841178</v>
          </cell>
          <cell r="D65">
            <v>0</v>
          </cell>
          <cell r="E65">
            <v>1.9907626241767011</v>
          </cell>
          <cell r="F65">
            <v>2.1241352351575657</v>
          </cell>
          <cell r="G65">
            <v>1.9779238338556597</v>
          </cell>
          <cell r="H65">
            <v>1.4078740476240861</v>
          </cell>
          <cell r="I65">
            <v>1.2681783322676217</v>
          </cell>
          <cell r="J65">
            <v>1.2483907223868396</v>
          </cell>
          <cell r="K65">
            <v>1.5310901838161857</v>
          </cell>
          <cell r="L65">
            <v>1.7476244844675619</v>
          </cell>
          <cell r="M65">
            <v>1.9636053745805688</v>
          </cell>
          <cell r="O65" t="str">
            <v>Avg Loans/Avg Deposits</v>
          </cell>
          <cell r="P65">
            <v>90.950126690299342</v>
          </cell>
          <cell r="Q65">
            <v>88.896713772894387</v>
          </cell>
          <cell r="R65">
            <v>86.97002829182604</v>
          </cell>
          <cell r="S65">
            <v>91.217148465309805</v>
          </cell>
          <cell r="T65">
            <v>99.483634226652057</v>
          </cell>
          <cell r="U65">
            <v>106.87979318133492</v>
          </cell>
          <cell r="V65">
            <v>114.39294579126467</v>
          </cell>
          <cell r="W65">
            <v>121.59164750157383</v>
          </cell>
          <cell r="X65">
            <v>126.84675872915021</v>
          </cell>
          <cell r="Y65">
            <v>133.05573468582568</v>
          </cell>
          <cell r="Z65">
            <v>138.82592494195677</v>
          </cell>
        </row>
        <row r="66">
          <cell r="O66" t="str">
            <v>Avg Loans/Avg Depo &amp; Equity</v>
          </cell>
          <cell r="P66">
            <v>120.92938482629432</v>
          </cell>
          <cell r="Q66">
            <v>114.74812437881401</v>
          </cell>
          <cell r="R66">
            <v>105.85198140352352</v>
          </cell>
          <cell r="S66">
            <v>110.66309661728859</v>
          </cell>
          <cell r="T66">
            <v>124.0090382746076</v>
          </cell>
          <cell r="U66">
            <v>127.47921037244481</v>
          </cell>
          <cell r="V66">
            <v>131.85675367651834</v>
          </cell>
          <cell r="W66">
            <v>145.13340592354368</v>
          </cell>
          <cell r="X66">
            <v>157.12676186469881</v>
          </cell>
          <cell r="Y66">
            <v>167.57405415419896</v>
          </cell>
          <cell r="Z66">
            <v>176.25254716115595</v>
          </cell>
        </row>
        <row r="67">
          <cell r="B67" t="str">
            <v>Specific Reserve</v>
          </cell>
          <cell r="C67">
            <v>117.8972</v>
          </cell>
          <cell r="D67">
            <v>147.245</v>
          </cell>
          <cell r="E67">
            <v>184.59595000000002</v>
          </cell>
          <cell r="F67">
            <v>198.82147499999999</v>
          </cell>
          <cell r="G67">
            <v>200.22189500000005</v>
          </cell>
          <cell r="H67">
            <v>213.13979500000002</v>
          </cell>
          <cell r="I67">
            <v>239.61900000000003</v>
          </cell>
          <cell r="J67">
            <v>290.04899999999998</v>
          </cell>
          <cell r="K67">
            <v>321.61832923440005</v>
          </cell>
          <cell r="L67">
            <v>353.04437059704003</v>
          </cell>
          <cell r="M67">
            <v>387.66602589642002</v>
          </cell>
          <cell r="O67" t="str">
            <v>Period-End Loans/Deposits</v>
          </cell>
          <cell r="P67">
            <v>91.467213784833135</v>
          </cell>
          <cell r="Q67">
            <v>86.59638311621471</v>
          </cell>
          <cell r="R67">
            <v>87.290067949937352</v>
          </cell>
          <cell r="S67">
            <v>94.840537135839497</v>
          </cell>
          <cell r="T67">
            <v>104.62181245827711</v>
          </cell>
          <cell r="U67">
            <v>109.16109990163511</v>
          </cell>
          <cell r="V67">
            <v>119.55951575759258</v>
          </cell>
          <cell r="W67">
            <v>123.35204497239324</v>
          </cell>
          <cell r="X67">
            <v>130.15893536142923</v>
          </cell>
          <cell r="Y67">
            <v>135.79475958299747</v>
          </cell>
          <cell r="Z67">
            <v>141.71300748216854</v>
          </cell>
        </row>
        <row r="68">
          <cell r="B68" t="str">
            <v>Specific Reserve/NPLs (%)</v>
          </cell>
          <cell r="C68">
            <v>4.4980715824622175</v>
          </cell>
          <cell r="D68">
            <v>12.39436026936027</v>
          </cell>
          <cell r="E68">
            <v>16.520693383164993</v>
          </cell>
          <cell r="F68">
            <v>18.405953238375787</v>
          </cell>
          <cell r="G68">
            <v>26.525253201030697</v>
          </cell>
          <cell r="H68">
            <v>54.758922033846055</v>
          </cell>
          <cell r="I68">
            <v>80.033066132264537</v>
          </cell>
          <cell r="J68">
            <v>80.502081598667758</v>
          </cell>
          <cell r="K68">
            <v>61.273309942086698</v>
          </cell>
          <cell r="L68">
            <v>54.225981164400686</v>
          </cell>
          <cell r="M68">
            <v>48.63886740301411</v>
          </cell>
        </row>
        <row r="69">
          <cell r="B69" t="str">
            <v>General Reserve</v>
          </cell>
          <cell r="C69">
            <v>1725.3317999999999</v>
          </cell>
          <cell r="D69">
            <v>840.33399999999995</v>
          </cell>
          <cell r="E69">
            <v>595.44004999999993</v>
          </cell>
          <cell r="F69">
            <v>686.47452500000009</v>
          </cell>
          <cell r="G69">
            <v>621.18910500000004</v>
          </cell>
          <cell r="H69">
            <v>398.94020499999999</v>
          </cell>
          <cell r="I69">
            <v>377.18870000000004</v>
          </cell>
          <cell r="J69">
            <v>443.03100000000006</v>
          </cell>
          <cell r="K69">
            <v>676.36799405759984</v>
          </cell>
          <cell r="L69">
            <v>899.99473017096</v>
          </cell>
          <cell r="M69">
            <v>1161.0200723845801</v>
          </cell>
          <cell r="O69" t="str">
            <v>Capital Information</v>
          </cell>
        </row>
        <row r="70">
          <cell r="B70" t="str">
            <v>General Reserve/NPLs (%)</v>
          </cell>
          <cell r="C70">
            <v>65.825701881795212</v>
          </cell>
          <cell r="D70">
            <v>70.735185185185173</v>
          </cell>
          <cell r="E70">
            <v>53.289806705436547</v>
          </cell>
          <cell r="F70">
            <v>63.550569708258273</v>
          </cell>
          <cell r="G70">
            <v>82.294687580729558</v>
          </cell>
          <cell r="H70">
            <v>102.4939316553324</v>
          </cell>
          <cell r="I70">
            <v>125.98152972611894</v>
          </cell>
          <cell r="J70">
            <v>122.96169858451292</v>
          </cell>
          <cell r="K70">
            <v>128.85865626331977</v>
          </cell>
          <cell r="L70">
            <v>138.23502469046173</v>
          </cell>
          <cell r="M70">
            <v>145.66842999040563</v>
          </cell>
          <cell r="O70" t="str">
            <v>Tier 1 Ratio (%)</v>
          </cell>
          <cell r="P70" t="e">
            <v>#DIV/0!</v>
          </cell>
          <cell r="Q70">
            <v>5.367077611004003</v>
          </cell>
          <cell r="R70">
            <v>4.6556598501069759</v>
          </cell>
          <cell r="S70">
            <v>4.6784596617832905</v>
          </cell>
          <cell r="T70">
            <v>5.5075599011075163</v>
          </cell>
          <cell r="U70">
            <v>9.6463214457287858</v>
          </cell>
          <cell r="V70">
            <v>9.3748642379455269</v>
          </cell>
          <cell r="W70">
            <v>8.6485598743203926</v>
          </cell>
          <cell r="X70">
            <v>8.4146158366320947</v>
          </cell>
          <cell r="Y70">
            <v>8.252325222245867</v>
          </cell>
          <cell r="Z70">
            <v>8.4057772763387391</v>
          </cell>
        </row>
        <row r="71">
          <cell r="B71" t="str">
            <v>Net Charge-offs (NCO)</v>
          </cell>
          <cell r="C71">
            <v>1255.2463950000001</v>
          </cell>
          <cell r="D71">
            <v>1785.11</v>
          </cell>
          <cell r="E71">
            <v>726.24400000000003</v>
          </cell>
          <cell r="F71">
            <v>873.15700000000004</v>
          </cell>
          <cell r="G71">
            <v>2781.9</v>
          </cell>
          <cell r="H71">
            <v>580.1</v>
          </cell>
          <cell r="I71">
            <v>336.95100000000002</v>
          </cell>
          <cell r="J71">
            <v>355.73899999999998</v>
          </cell>
          <cell r="K71">
            <v>160.8769150704</v>
          </cell>
          <cell r="L71">
            <v>244.80404920079997</v>
          </cell>
          <cell r="M71">
            <v>284.22316189385998</v>
          </cell>
          <cell r="O71" t="str">
            <v>Tier 2 Ratio (%)</v>
          </cell>
          <cell r="P71" t="e">
            <v>#DIV/0!</v>
          </cell>
          <cell r="Q71">
            <v>5.367077611004003</v>
          </cell>
          <cell r="R71">
            <v>4.655659850106975</v>
          </cell>
          <cell r="S71">
            <v>4.6784596617832905</v>
          </cell>
          <cell r="T71">
            <v>4.2753890518008522</v>
          </cell>
          <cell r="U71">
            <v>4.489837572070277</v>
          </cell>
          <cell r="V71">
            <v>3.4492742760935018</v>
          </cell>
          <cell r="W71">
            <v>2.9715967028195838</v>
          </cell>
          <cell r="X71">
            <v>3.6014756844680487</v>
          </cell>
          <cell r="Y71">
            <v>3.628440546493465</v>
          </cell>
          <cell r="Z71">
            <v>3.7922678952171851</v>
          </cell>
        </row>
        <row r="72">
          <cell r="B72" t="str">
            <v>NCO/Avg Total Credit (%)</v>
          </cell>
          <cell r="C72">
            <v>4.7598647318587313</v>
          </cell>
          <cell r="D72">
            <v>5.8935332626780204</v>
          </cell>
          <cell r="E72">
            <v>2.0040461232162863</v>
          </cell>
          <cell r="F72">
            <v>2.159656699577825</v>
          </cell>
          <cell r="G72">
            <v>6.686705149292969</v>
          </cell>
          <cell r="H72">
            <v>1.3648700426554239</v>
          </cell>
          <cell r="I72">
            <v>0.73160532121601374</v>
          </cell>
          <cell r="J72">
            <v>0.66270737607268293</v>
          </cell>
          <cell r="K72">
            <v>0.25968115338608083</v>
          </cell>
          <cell r="L72">
            <v>0.35768891430191513</v>
          </cell>
          <cell r="M72">
            <v>0.377531909627565</v>
          </cell>
          <cell r="O72" t="str">
            <v>Total CAR (%)</v>
          </cell>
          <cell r="P72" t="e">
            <v>#DIV/0!</v>
          </cell>
          <cell r="Q72">
            <v>10.734155222008006</v>
          </cell>
          <cell r="R72">
            <v>9.3113197002139501</v>
          </cell>
          <cell r="S72">
            <v>9.3569193235665811</v>
          </cell>
          <cell r="T72">
            <v>9.7829489529083684</v>
          </cell>
          <cell r="U72">
            <v>14.136159017799063</v>
          </cell>
          <cell r="V72">
            <v>12.824138514039028</v>
          </cell>
          <cell r="W72">
            <v>11.620156577139976</v>
          </cell>
          <cell r="X72">
            <v>12.016091521100144</v>
          </cell>
          <cell r="Y72">
            <v>11.880765768739332</v>
          </cell>
          <cell r="Z72">
            <v>12.198045171555924</v>
          </cell>
        </row>
        <row r="73">
          <cell r="B73" t="str">
            <v>LLPE/Avg Loans (%)</v>
          </cell>
          <cell r="C73">
            <v>4.5227579535475373</v>
          </cell>
          <cell r="D73">
            <v>3.2942486735187759</v>
          </cell>
          <cell r="E73">
            <v>1.6385980552307888</v>
          </cell>
          <cell r="F73">
            <v>2.2791817749503416</v>
          </cell>
          <cell r="G73">
            <v>2.0237045334523236</v>
          </cell>
          <cell r="H73">
            <v>0.39889143735801552</v>
          </cell>
          <cell r="I73">
            <v>0.56236333354730239</v>
          </cell>
          <cell r="J73">
            <v>0.7221704624042814</v>
          </cell>
          <cell r="K73">
            <v>0.60533609726467985</v>
          </cell>
          <cell r="L73">
            <v>0.6657568330685818</v>
          </cell>
          <cell r="M73">
            <v>0.72289537544568661</v>
          </cell>
        </row>
        <row r="152">
          <cell r="P152">
            <v>0</v>
          </cell>
        </row>
        <row r="167">
          <cell r="C167">
            <v>2891795.6310000001</v>
          </cell>
          <cell r="D167">
            <v>3078048.412</v>
          </cell>
          <cell r="E167">
            <v>4094917.1359999999</v>
          </cell>
          <cell r="F167">
            <v>4859382.1409999998</v>
          </cell>
        </row>
        <row r="171">
          <cell r="A171" t="str">
            <v>Contra Account of Guarantee Issued</v>
          </cell>
        </row>
        <row r="188">
          <cell r="O188">
            <v>2791587</v>
          </cell>
          <cell r="P188">
            <v>0</v>
          </cell>
        </row>
        <row r="192">
          <cell r="O192">
            <v>2348914.6860000002</v>
          </cell>
        </row>
        <row r="203">
          <cell r="C203">
            <v>331599</v>
          </cell>
          <cell r="D203">
            <v>316714</v>
          </cell>
          <cell r="E203">
            <v>620630</v>
          </cell>
          <cell r="F203">
            <v>1055526</v>
          </cell>
        </row>
        <row r="207">
          <cell r="A207" t="str">
            <v xml:space="preserve">    Guarantee Payment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isk-Reward_View_Chart"/>
      <sheetName val="Bear_to_Bull_Chart"/>
      <sheetName val="Bear_to_Bull_Data"/>
      <sheetName val="Comparative_Risk-Reward_Chart"/>
      <sheetName val="Comparative_Risk-Reward_Data"/>
      <sheetName val="Value_of_Growth_Chart"/>
      <sheetName val="Value_of_Growth_Data"/>
      <sheetName val="Ace-Out"/>
      <sheetName val="Sheet1"/>
      <sheetName val="RI Valuation"/>
      <sheetName val="Annual"/>
      <sheetName val="US GAAP RI"/>
      <sheetName val="Summary"/>
      <sheetName val="Modelware"/>
      <sheetName val="Exhibit"/>
    </sheetNames>
    <sheetDataSet>
      <sheetData sheetId="0">
        <row r="26">
          <cell r="F26">
            <v>26000</v>
          </cell>
        </row>
        <row r="27">
          <cell r="F27">
            <v>33000</v>
          </cell>
        </row>
        <row r="28">
          <cell r="F28">
            <v>13000</v>
          </cell>
        </row>
      </sheetData>
      <sheetData sheetId="1" refreshError="1"/>
      <sheetData sheetId="2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XXXXX"/>
      <sheetName val="주택소유"/>
      <sheetName val="부적격"/>
      <sheetName val="무주택등"/>
      <sheetName val="LIST"/>
      <sheetName val="주민번호"/>
      <sheetName val="퇴직자"/>
      <sheetName val="Sheet2"/>
      <sheetName val="Sheet3"/>
      <sheetName val="0814_5만이하"/>
      <sheetName val="Links"/>
      <sheetName val="Lead"/>
      <sheetName val="종합일지"/>
      <sheetName val="보험금"/>
      <sheetName val="5월전산시산표L4"/>
      <sheetName val="임차보증금현황04.6.30"/>
      <sheetName val="잔액원장"/>
      <sheetName val="신전산소항목시산표(5월)"/>
      <sheetName val="Value"/>
      <sheetName val="Assumptions"/>
      <sheetName val="BS"/>
      <sheetName val="FCF"/>
      <sheetName val="IS"/>
      <sheetName val="Ratios"/>
      <sheetName val="NOPLAT"/>
      <sheetName val="감가상각비"/>
      <sheetName val="전행순위"/>
      <sheetName val="카드고객추진부(850)"/>
      <sheetName val="INTERCO LOAN"/>
      <sheetName val="대환취급"/>
      <sheetName val="basic_info"/>
      <sheetName val="해외출자현황(원본틀)"/>
      <sheetName val="주택소유3"/>
      <sheetName val="39.세전이익현황"/>
      <sheetName val="sap`04.7.14"/>
      <sheetName val="forecasted_BS"/>
      <sheetName val="forecasted_IS"/>
      <sheetName val="L_200"/>
      <sheetName val="A"/>
      <sheetName val="10월판관"/>
      <sheetName val="1월"/>
      <sheetName val="Ⅱ1-0타"/>
      <sheetName val="분당임차변경"/>
      <sheetName val="Sheet1"/>
      <sheetName val="18.조달운용(말잔)"/>
      <sheetName val="전체(2012.012)"/>
      <sheetName val="전체(2012.09)"/>
      <sheetName val="US Codes"/>
      <sheetName val="산업개요"/>
      <sheetName val="지표"/>
      <sheetName val="Krw"/>
      <sheetName val="97년추정손익계산서"/>
      <sheetName val="임차보증금현황04_6_30"/>
      <sheetName val="리드코프 1월"/>
      <sheetName val="자료"/>
      <sheetName val="NKEANNL"/>
      <sheetName val="NKEQTRIN"/>
      <sheetName val="NKEBALST"/>
      <sheetName val="Risk-Reward_View_Chart"/>
      <sheetName val="미수"/>
      <sheetName val="제작비예산서"/>
      <sheetName val="10K4"/>
      <sheetName val="YOEMAGUM"/>
      <sheetName val="임차보증금현황04_6_301"/>
      <sheetName val="INTERCO_LOAN"/>
      <sheetName val="sap`04_7_14"/>
      <sheetName val="39_세전이익현황"/>
      <sheetName val="US_Codes"/>
      <sheetName val="시네마입금"/>
      <sheetName val="Sheet4"/>
      <sheetName val="자산기초자료"/>
      <sheetName val="분류"/>
      <sheetName val="환율"/>
      <sheetName val="COMBINED"/>
      <sheetName val="VALSTAT"/>
      <sheetName val="value driver"/>
      <sheetName val="의왕F사"/>
      <sheetName val="가공사"/>
      <sheetName val="G_SAP_01"/>
      <sheetName val="Template"/>
      <sheetName val="OtherKPI"/>
      <sheetName val="18_조달운용(말잔)"/>
      <sheetName val="전체(2012_012)"/>
      <sheetName val="전체(2012_09)"/>
      <sheetName val="리드코프_1월"/>
      <sheetName val="2.2. 항목 설명"/>
      <sheetName val="2.2. 항목설명2"/>
      <sheetName val="COA"/>
      <sheetName val="추진항목"/>
      <sheetName val="부채결산 Back data"/>
      <sheetName val="코드"/>
      <sheetName val="COMBO목록"/>
      <sheetName val="코드표"/>
      <sheetName val="COMBO"/>
      <sheetName val="신용등급"/>
      <sheetName val="코드표_참고"/>
      <sheetName val="_x0000_"/>
      <sheetName val="드롭"/>
      <sheetName val="pre-anal대차대조표"/>
      <sheetName val="其他"/>
      <sheetName val="工具"/>
      <sheetName val="FAB별"/>
      <sheetName val="CN304"/>
      <sheetName val="2.2. 항목설명"/>
      <sheetName val="1_시나리오"/>
      <sheetName val="연체대출"/>
      <sheetName val="주요재무비율"/>
      <sheetName val="116.세금과공과"/>
      <sheetName val="Report"/>
      <sheetName val="PL_별도"/>
      <sheetName val="기타손익관련_기초데이터"/>
      <sheetName val="이차관련_기초데이터"/>
      <sheetName val="재보_기타_월별"/>
      <sheetName val="대상계좌"/>
      <sheetName val="Dropdown"/>
      <sheetName val="(붙임1) 대상조합내역"/>
      <sheetName val="(붙임2) 조합 점검자 정보"/>
      <sheetName val="(붙임3) 조합 자체 점검결과"/>
      <sheetName val="(붙임4) 대출참여 금융회사 명세"/>
      <sheetName val="1.2 (1)"/>
      <sheetName val="생산량"/>
      <sheetName val="시산표"/>
      <sheetName val="(시트3) 금융회사코드 등"/>
      <sheetName val="임차보증금현황04_6_302"/>
      <sheetName val="INTERCO_LOAN1"/>
      <sheetName val="39_세전이익현황1"/>
      <sheetName val="sap`04_7_141"/>
      <sheetName val="18_조달운용(말잔)1"/>
      <sheetName val="전체(2012_012)1"/>
      <sheetName val="전체(2012_09)1"/>
      <sheetName val="US_Codes1"/>
      <sheetName val="리드코프_1월1"/>
      <sheetName val="2_2__항목_설명"/>
      <sheetName val="2_2__항목설명2"/>
      <sheetName val="부채결산_Back_data"/>
      <sheetName val="별첨 코드"/>
      <sheetName val="5월"/>
      <sheetName val="1-2. 예산부서"/>
      <sheetName val="임차보증금현황04_6_303"/>
      <sheetName val="INTERCO_LOAN2"/>
      <sheetName val="sap`04_7_142"/>
      <sheetName val="US_Codes2"/>
      <sheetName val="39_세전이익현황2"/>
      <sheetName val="18_조달운용(말잔)2"/>
      <sheetName val="전체(2012_012)2"/>
      <sheetName val="전체(2012_09)2"/>
      <sheetName val="리드코프_1월2"/>
      <sheetName val="2_2__항목_설명1"/>
      <sheetName val="2_2__항목설명21"/>
      <sheetName val="부채결산_Back_data1"/>
      <sheetName val="2_2__항목설명"/>
      <sheetName val="116_세금과공과"/>
      <sheetName val="(붙임1)_대상조합내역"/>
      <sheetName val="(붙임2)_조합_점검자_정보"/>
      <sheetName val="(붙임3)_조합_자체_점검결과"/>
      <sheetName val="(붙임4)_대출참여_금융회사_명세"/>
      <sheetName val="1_2_(1)"/>
      <sheetName val="별첨_코드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/>
      <sheetData sheetId="82"/>
      <sheetData sheetId="83"/>
      <sheetData sheetId="84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/>
      <sheetData sheetId="114" refreshError="1"/>
      <sheetData sheetId="115"/>
      <sheetData sheetId="116"/>
      <sheetData sheetId="117"/>
      <sheetData sheetId="118"/>
      <sheetData sheetId="119" refreshError="1"/>
      <sheetData sheetId="120" refreshError="1"/>
      <sheetData sheetId="121" refreshError="1"/>
      <sheetData sheetId="122" refreshError="1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GTI (2)"/>
      <sheetName val="GTI (3)"/>
      <sheetName val="해외주식"/>
      <sheetName val="TOTAL"/>
      <sheetName val="re (3)"/>
      <sheetName val="환율평균(정리)"/>
      <sheetName val="Book1"/>
      <sheetName val="#REF"/>
      <sheetName val="지분법평가(HTVI)5620"/>
      <sheetName val="LIST"/>
      <sheetName val="파생평가"/>
      <sheetName val="아시아 1호5640"/>
      <sheetName val="5620"/>
      <sheetName val="5630"/>
      <sheetName val="5650"/>
      <sheetName val="5612"/>
      <sheetName val="5600"/>
      <sheetName val="5640"/>
      <sheetName val="bs (3)"/>
      <sheetName val="5611"/>
      <sheetName val="5610"/>
      <sheetName val="Graphs"/>
      <sheetName val="Fleet life"/>
      <sheetName val="Assumptions"/>
      <sheetName val="LBO"/>
      <sheetName val="04"/>
      <sheetName val="09"/>
      <sheetName val="10"/>
      <sheetName val="11"/>
      <sheetName val="Europe"/>
      <sheetName val="US"/>
      <sheetName val="DIV Y"/>
      <sheetName val="NESTLE"/>
      <sheetName val="Stock Price"/>
      <sheetName val="Quarters"/>
      <sheetName val="oldSEG"/>
      <sheetName val="Screening"/>
      <sheetName val="Aggregates"/>
      <sheetName val="Screen Criteria"/>
      <sheetName val=""/>
      <sheetName val="Returns"/>
      <sheetName val="FTS Universe Inputs"/>
      <sheetName val="Rel.1Yr"/>
      <sheetName val="Global Equity Indices"/>
      <sheetName val="company"/>
      <sheetName val="graphdialog"/>
      <sheetName val="Quarterly rates"/>
      <sheetName val="MktAss"/>
      <sheetName val="IS -CDN$ (2)"/>
      <sheetName val="Input and controls"/>
      <sheetName val="DIF FAT FEV 01"/>
      <sheetName val="Prod Mac"/>
      <sheetName val="Endividamento (US$)"/>
      <sheetName val="FluxoCorporativo (US$)"/>
      <sheetName val="DRENegócio (US$)"/>
      <sheetName val="Entrada de Dados"/>
      <sheetName val="Plan69"/>
      <sheetName val="EfEnerg (ton)"/>
      <sheetName val="EstoqueComposição"/>
      <sheetName val="VendasZn (US$)"/>
      <sheetName val="ProdZnCont (ton)"/>
      <sheetName val="DistrFat (US$)"/>
      <sheetName val="Indice"/>
      <sheetName val="DREÓxido"/>
      <sheetName val="ProdPbMA (ton)"/>
      <sheetName val="Entr.Dados (US$)"/>
      <sheetName val="Tres Gerações"/>
      <sheetName val="DRECorporativo (US$)"/>
      <sheetName val="painel VM MÊS"/>
      <sheetName val="SBM"/>
      <sheetName val="DIV_Y"/>
      <sheetName val="Population_IBGE"/>
      <sheetName val="Heathcare_SD"/>
      <sheetName val="Delhaize"/>
      <sheetName val="Route 1"/>
      <sheetName val="Financing"/>
      <sheetName val="Route_1"/>
      <sheetName val="Total_Program_Mgmt"/>
      <sheetName val="Total_Perf_Impr"/>
      <sheetName val="Renewal_Counts"/>
      <sheetName val="Schedule"/>
      <sheetName val="A1 - Income Statement"/>
      <sheetName val="sandeep"/>
      <sheetName val="vedant"/>
      <sheetName val="swati"/>
      <sheetName val="nachiket"/>
      <sheetName val="kakde"/>
      <sheetName val="Curr"/>
      <sheetName val="Lists"/>
      <sheetName val="Series Description"/>
      <sheetName val="Economic Series Chart"/>
      <sheetName val="Series Values"/>
      <sheetName val="Admin"/>
      <sheetName val="FS ing"/>
      <sheetName val="Extra 2"/>
      <sheetName val="TB_ HSG"/>
      <sheetName val="TB"/>
      <sheetName val="FS"/>
      <sheetName val="AJE"/>
      <sheetName val="Consolidating BS-PL 2007"/>
      <sheetName val="SD AJE"/>
      <sheetName val="DN AJE"/>
      <sheetName val="AJES2"/>
      <sheetName val="AJES3"/>
      <sheetName val="EJE"/>
      <sheetName val="SD TB"/>
      <sheetName val="DN TB"/>
      <sheetName val="TBS2"/>
      <sheetName val="TBS3"/>
      <sheetName val="TBS4"/>
      <sheetName val="AJES4"/>
      <sheetName val="TB_LUXOR"/>
      <sheetName val="TB_EXEC - Done"/>
      <sheetName val="TB_GPS"/>
      <sheetName val="data"/>
      <sheetName val="P &amp;L"/>
      <sheetName val="Balance"/>
      <sheetName val="Situation"/>
      <sheetName val="DETBIL"/>
      <sheetName val="Aus-P"/>
      <sheetName val="SEC bridge"/>
      <sheetName val="EMC format"/>
      <sheetName val="Overview"/>
      <sheetName val="M A Private Placements"/>
      <sheetName val="Multiples"/>
      <sheetName val="Historical Volatility Co 1"/>
      <sheetName val="GL Profit Analysis"/>
      <sheetName val="Consensus"/>
      <sheetName val="QA表（Ｂ）概要"/>
      <sheetName val="別紙3-1機能別ﾌﾞﾛｯｸ別原価目標"/>
      <sheetName val="別紙3-2Budget(機能、費目別)"/>
      <sheetName val="TM"/>
      <sheetName val="条件"/>
      <sheetName val="ACO"/>
      <sheetName val="wo Lan-hub MBOM"/>
      <sheetName val="wo Lan- Hub (2USB) function"/>
      <sheetName val="Intel Lan + AD1885 EBOM"/>
      <sheetName val="Intel Lan + AD1885 function"/>
      <sheetName val="Summary 1-Ph1"/>
      <sheetName val="Summary 1-Ph1&amp;2"/>
      <sheetName val="Summary 4-Ph1&amp;2"/>
      <sheetName val="Input Sheet"/>
      <sheetName val="Revision Control"/>
      <sheetName val="Summary 1-All Phases"/>
      <sheetName val="Summary 4-All Phases"/>
      <sheetName val="Summary-Precomm-All Phases"/>
      <sheetName val="Summary 2-DONOTUSE"/>
      <sheetName val="Summary 3-DONOTUSE"/>
      <sheetName val="Labor-Peaker-Ph1"/>
      <sheetName val="Labor-Yr2"/>
      <sheetName val="Labor-Yr3+"/>
      <sheetName val="Labor-Peaker-Ph2"/>
      <sheetName val="Labor-CCGT-Ph1"/>
      <sheetName val="Routine O &amp; M-Peaker"/>
      <sheetName val="Routine O &amp; M-CCGT"/>
      <sheetName val="General Plant Operations-CCGT"/>
      <sheetName val="G&amp;A-Peaker"/>
      <sheetName val="MM Gas Turbine"/>
      <sheetName val="MM GT Spares"/>
      <sheetName val="Major Maint"/>
      <sheetName val="Major Maint-2"/>
      <sheetName val="Other Oper. Exp.(Ins,Taxes etc)"/>
      <sheetName val="Pre-Comm-CCGT"/>
      <sheetName val="Precomm LaborA-CCGT"/>
      <sheetName val="Precomm LaborB-CCGT"/>
      <sheetName val="Capital-CCGT"/>
      <sheetName val="Capital Sched"/>
      <sheetName val="Pre-Comm-Peaker"/>
      <sheetName val="Precomm LaborA-Peaker"/>
      <sheetName val="Precomm LaborB-Peaker"/>
      <sheetName val="Capital-Peaker"/>
      <sheetName val="Degradation-Starts"/>
      <sheetName val="Dispatch"/>
      <sheetName val="Asset Management"/>
      <sheetName val="AssetMgt Labor-Yrs1-30-CCGT"/>
      <sheetName val="Degradation-Hrs"/>
      <sheetName val="Summary 4-Ph1"/>
      <sheetName val="Summary-Precomm-Ph1"/>
      <sheetName val="Labor-CCGT-Ph2"/>
      <sheetName val="Routine O &amp; M-CCGT-Ph2"/>
      <sheetName val="General Plant Ops-CCGT-Ph2"/>
      <sheetName val="AssetMgt Labor-Yrs1-30-Ph3"/>
      <sheetName val="Regular&amp;Modified Outage Costs"/>
      <sheetName val="Questions &amp; Answers"/>
      <sheetName val="StartCost-VS-NormalStarts"/>
      <sheetName val="StartCost-VS-Ratio"/>
      <sheetName val="Regional Labor Coeff"/>
      <sheetName val="AssetMgt Labor-Yrs1-30-Peaker"/>
      <sheetName val="Topline"/>
      <sheetName val="GZ-Sum"/>
      <sheetName val="NA Wood Total I"/>
      <sheetName val="Inventory-FG by Submrkt + RM"/>
      <sheetName val="FX"/>
      <sheetName val="科技"/>
      <sheetName val="货龄分析表"/>
      <sheetName val="Sheet4"/>
      <sheetName val="SUPPLY"/>
      <sheetName val="jca"/>
      <sheetName val="原材料成本"/>
      <sheetName val="产品清单"/>
      <sheetName val="华润７月销售"/>
      <sheetName val="华润８月销售"/>
      <sheetName val="利润表"/>
      <sheetName val="2005"/>
      <sheetName val="YTD (2)"/>
      <sheetName val="pfc-sbu look"/>
      <sheetName val="资产负债表"/>
      <sheetName val="利润计划"/>
      <sheetName val="费用明细表"/>
      <sheetName val="产品毛利贡献"/>
      <sheetName val="生产成本"/>
      <sheetName val="总经办"/>
      <sheetName val="帐龄分析表"/>
      <sheetName val="应收应付"/>
      <sheetName val="销售及存货"/>
      <sheetName val="_x0000_૘"/>
      <sheetName val="Book1.xls"/>
      <sheetName val="A430"/>
      <sheetName val="Dongguan"/>
      <sheetName val="Salm2003"/>
      <sheetName val="Control"/>
      <sheetName val="TEMPLATE"/>
      <sheetName val="LoadCAP"/>
      <sheetName val="YE LOAD"/>
      <sheetName val="EVDRE_DATACACHE"/>
      <sheetName val="Period Cost"/>
      <sheetName val="Orders to Revenue"/>
      <sheetName val="LISTPRICE"/>
      <sheetName val="Drop Down"/>
      <sheetName val="Transaction Clients"/>
      <sheetName val="Calculations"/>
      <sheetName val="Source --&gt;"/>
      <sheetName val="Main"/>
      <sheetName val="2014-2015 BBR"/>
      <sheetName val="2013 BBR"/>
      <sheetName val="all"/>
      <sheetName val="BBR-2015"/>
      <sheetName val="ACV-2015"/>
      <sheetName val="MRB"/>
      <sheetName val="ProForma"/>
      <sheetName val="Sheet5"/>
      <sheetName val="Sheet6"/>
      <sheetName val="EBITDA"/>
      <sheetName val="Earnings Model"/>
      <sheetName val="Renovation Schedule (3)"/>
      <sheetName val="EV-EBITDAValuation "/>
      <sheetName val="FCF"/>
      <sheetName val="ADR Chart"/>
      <sheetName val="Pricing Power"/>
      <sheetName val="Chart Relative ADR"/>
      <sheetName val="Pricing Vs. Comp Set"/>
      <sheetName val="Expansion Yields"/>
      <sheetName val="Same Store RevPAR Growth"/>
      <sheetName val="Mgmt. Team"/>
      <sheetName val="Renovation Schecule (2)"/>
      <sheetName val="DCF Model"/>
      <sheetName val="RevPAR estimates"/>
      <sheetName val="Debt"/>
      <sheetName val="FCF Table"/>
      <sheetName val="IPO"/>
      <sheetName val="Biz Units"/>
      <sheetName val="Chart EBITDA Mix"/>
      <sheetName val="EBITDA MIX"/>
      <sheetName val="RevPAR Comps cut n paste"/>
      <sheetName val="RevPAR Comps"/>
      <sheetName val="Valuation  1-10-01"/>
      <sheetName val="Earnings Model   "/>
      <sheetName val="Debt @ 3Q00"/>
      <sheetName val="Valuation - old"/>
      <sheetName val="RevPAR By Qtr"/>
      <sheetName val="CIGA Analysis"/>
      <sheetName val="RevPAR 3Q00"/>
      <sheetName val="EBITDA Mix "/>
      <sheetName val="EBITDA Mix 9-00"/>
      <sheetName val="2Q00 Comparison"/>
      <sheetName val="bas buying hot 6-00 cash deal"/>
      <sheetName val="bas hlt cash stock merger"/>
      <sheetName val="Valuation"/>
      <sheetName val="Valuation (2)"/>
      <sheetName val="EBITDA Multiples"/>
      <sheetName val="EPS Multiples"/>
      <sheetName val="Balance Sheet"/>
      <sheetName val="Inputs"/>
      <sheetName val="Month"/>
      <sheetName val="Service Parts Rejects (RPPM)"/>
      <sheetName val="Freight Issues"/>
      <sheetName val="Carole Worksheet Table"/>
      <sheetName val="Fcst Var"/>
      <sheetName val="Lastyr Conv Cost"/>
      <sheetName val="March Conv Cost"/>
      <sheetName val="March Conv Cost 2008"/>
      <sheetName val="March EQU"/>
      <sheetName val="March EQU 2008"/>
      <sheetName val="March Var"/>
      <sheetName val="March Var 2008"/>
      <sheetName val="B"/>
      <sheetName val="RFQ Instructions"/>
      <sheetName val="Quote Cover Page"/>
      <sheetName val="outbound Oct"/>
      <sheetName val="Rejects PPM"/>
      <sheetName val="Gap"/>
      <sheetName val="Instrucciones"/>
      <sheetName val="In Hold (Status 6) BD"/>
      <sheetName val="Resumen Hold (base)"/>
      <sheetName val="Comportamiento Mensual"/>
      <sheetName val="Reporte RAS 25 2 14 (Base) TOTM"/>
      <sheetName val="REP14DIC"/>
      <sheetName val="TablaProyectos"/>
      <sheetName val="FACTURAS22"/>
      <sheetName val="FACTURAS22Value"/>
      <sheetName val="Prior Fund Raising MGD"/>
      <sheetName val="Summary"/>
      <sheetName val="Managed Accounts - Gross Tradin"/>
      <sheetName val="Managed Accounts"/>
      <sheetName val="Notice"/>
      <sheetName val="P&amp;L"/>
      <sheetName val="Bal Sheet Link &amp; Int Exp"/>
      <sheetName val="_CIQHiddenCacheSheet"/>
      <sheetName val="Dúvidas"/>
      <sheetName val="Capa "/>
      <sheetName val="Instruções"/>
      <sheetName val="Ajustes de EBITDA"/>
      <sheetName val="Calculadora ajuste PJ,PLR e DSR"/>
      <sheetName val="Painel de controle"/>
      <sheetName val="Suporte SPED"/>
      <sheetName val="Projeções"/>
      <sheetName val="Projeções Receita Bruta"/>
      <sheetName val="Faturamento Clientes (Interno)"/>
      <sheetName val="Dados &gt;&gt;"/>
      <sheetName val="SPED"/>
      <sheetName val="Balancete 1 Sem 19"/>
      <sheetName val="Comps"/>
      <sheetName val="Transactions"/>
      <sheetName val="Suporte&gt;&gt;"/>
      <sheetName val="Formatação"/>
      <sheetName val="Macro"/>
      <sheetName val="Capital Structure Summary"/>
      <sheetName val="Representação comercial x IRRJ"/>
      <sheetName val="Pie Chart"/>
      <sheetName val="Line Graph"/>
      <sheetName val="DT Man-hours Chart"/>
      <sheetName val="JAN00"/>
      <sheetName val="Capital Structure Details"/>
      <sheetName val="Key Stats"/>
      <sheetName val="Income Statement"/>
      <sheetName val="Cash Flow"/>
      <sheetName val="Historical Capitalization"/>
      <sheetName val="Ratios"/>
      <sheetName val="Supplemental"/>
      <sheetName val="Industry Specific"/>
      <sheetName val="Pension OPEB"/>
      <sheetName val="Segments"/>
      <sheetName val="E-1"/>
      <sheetName val="E-1a"/>
      <sheetName val="E-1b"/>
      <sheetName val="E_1"/>
      <sheetName val="Revenue Statement"/>
      <sheetName val="Europe 2002-3 P&amp;L"/>
      <sheetName val="Monthly Rollforward"/>
      <sheetName val="B&amp;B"/>
      <sheetName val="William Gardner"/>
      <sheetName val="James Gardner"/>
      <sheetName val="Michael DiProspero"/>
      <sheetName val="Scott Lonkart"/>
      <sheetName val="David Gronik"/>
      <sheetName val="Ross Pollack"/>
      <sheetName val="Phillip Pollack"/>
      <sheetName val="Robert Levy"/>
      <sheetName val="Van Beusekom"/>
      <sheetName val="Mason Greene"/>
      <sheetName val="Unidyne"/>
      <sheetName val="Richard Schmitt"/>
      <sheetName val="David_Levy"/>
      <sheetName val="NLevy Trust"/>
      <sheetName val="Richard_Nucian"/>
      <sheetName val="Co 1"/>
      <sheetName val="Co 5"/>
      <sheetName val="Co 4"/>
      <sheetName val="Exec P&amp;L"/>
      <sheetName val="GFIN"/>
      <sheetName val="GBIA"/>
      <sheetName val="09-14-06"/>
      <sheetName val="Dept Exp SMIN"/>
      <sheetName val="3-31-06 Write OFf "/>
      <sheetName val="Accounts Payable (11)"/>
      <sheetName val="AP Concentrations"/>
      <sheetName val="FS - BS (2)"/>
      <sheetName val="FS - BS Det (2)"/>
      <sheetName val="FS- IS (2)"/>
      <sheetName val="Layout"/>
      <sheetName val="Front"/>
      <sheetName val="Concentrations"/>
      <sheetName val="Delinquent Accounts "/>
      <sheetName val="Ship Test"/>
      <sheetName val="Mgmt Letter"/>
      <sheetName val="AR Roll"/>
      <sheetName val="Non-Primes"/>
      <sheetName val="Misc - Tax(NIC)"/>
      <sheetName val="CM Test "/>
      <sheetName val="Conc (NIC)"/>
      <sheetName val="AR Roll "/>
      <sheetName val="Misc - Tax"/>
      <sheetName val="AR Statistics - Consolidated"/>
      <sheetName val="AR Activity - Domestic"/>
      <sheetName val="AR Activity - Canada"/>
      <sheetName val="Cash - Lockbox"/>
      <sheetName val="INV-Cost Test (Bottled)"/>
      <sheetName val="INV - Counts AHP"/>
      <sheetName val="INV - Costs"/>
      <sheetName val="Ship Test "/>
      <sheetName val="INV - Counts Div B"/>
      <sheetName val="AR Stats Input"/>
      <sheetName val="Cash Diagram (3)"/>
      <sheetName val="Cash  (2)"/>
      <sheetName val="INV-Counts  (2)"/>
      <sheetName val="CM Test (sales credits)"/>
      <sheetName val="H"/>
      <sheetName val="S"/>
      <sheetName val="Cash -Lockbox"/>
      <sheetName val="INV - Counts Roto"/>
      <sheetName val="Cash - Operating Fleet"/>
      <sheetName val="Cash - Operating Trustco"/>
      <sheetName val="Cash Diagram"/>
      <sheetName val="Reconciliations"/>
      <sheetName val="AP - stats"/>
      <sheetName val="AP Factored By CIT (2)"/>
      <sheetName val="INV-IEC"/>
      <sheetName val="INV-CMI"/>
      <sheetName val="INV-CC"/>
      <sheetName val="INV - Costs Intl Environmental"/>
      <sheetName val="INV - Costs Climate Master"/>
      <sheetName val="INV - Costs Climate Craft"/>
      <sheetName val="Flash Pg-1"/>
      <sheetName val="Conc"/>
      <sheetName val="Expanded Shipping Test"/>
      <sheetName val="Conc-Merc.Air Cargo"/>
      <sheetName val="AP - conc"/>
      <sheetName val=" AP Delinq "/>
      <sheetName val="CM Test"/>
      <sheetName val="Missing Doc Rpt"/>
      <sheetName val="AR Roll Consol"/>
      <sheetName val="BU Color &amp; Specialties"/>
      <sheetName val="BRISTOL"/>
      <sheetName val="Manuf Chem Cleveland"/>
      <sheetName val="Organic Pigments"/>
      <sheetName val="AP Conc"/>
      <sheetName val="AP Disb"/>
      <sheetName val="Concs"/>
      <sheetName val="Delinq"/>
      <sheetName val="INV - Counts Nashville"/>
      <sheetName val="FS- IS"/>
      <sheetName val="DETAILS 1 (3)"/>
      <sheetName val="Accounts Payable _11_"/>
      <sheetName val="Sources &amp; Uses"/>
      <sheetName val=" Cons. Financials - EIG"/>
      <sheetName val="LTM"/>
      <sheetName val="CREDIT STATS"/>
      <sheetName val="DropZone"/>
      <sheetName val="Model Summary"/>
      <sheetName val="IV Remit Testing"/>
      <sheetName val="Financials"/>
      <sheetName val="Juros Financ. Siemsa"/>
      <sheetName val="Juros Conta Garantida"/>
      <sheetName val="_REF"/>
      <sheetName val="_x0000_开孞썝豼쌀疋謈ె䶋忴"/>
      <sheetName val="Book1_xls"/>
      <sheetName val="SD NA - Revenue - SD"/>
      <sheetName val="Customize Your Invoice"/>
      <sheetName val="Global_Equity_Indices"/>
      <sheetName val="Stock_Price"/>
      <sheetName val="Quarterly_rates"/>
      <sheetName val="top 30"/>
      <sheetName val="sum"/>
      <sheetName val="Input"/>
      <sheetName val="Data Sheet 1"/>
      <sheetName val="Setup"/>
      <sheetName val="Finance IT &amp; Pro (2)"/>
      <sheetName val="Dashboard"/>
      <sheetName val="WCOL INDEX"/>
      <sheetName val="WCOL INPUT"/>
      <sheetName val="F'cast to go"/>
      <sheetName val="MF 2002"/>
      <sheetName val="Actual"/>
      <sheetName val="713-3"/>
      <sheetName val="713-3-1"/>
      <sheetName val="713-6"/>
      <sheetName val="713-6-1"/>
      <sheetName val="713-7"/>
      <sheetName val="713-7-1"/>
      <sheetName val="713-8"/>
      <sheetName val="713-8-1"/>
      <sheetName val="2.6 Fxs Prov IG post al cierre"/>
      <sheetName val="目录"/>
      <sheetName val="Tally(L)"/>
      <sheetName val="Run Sheet"/>
      <sheetName val="Single"/>
      <sheetName val="Deal &amp; Company Information"/>
      <sheetName val="Model"/>
      <sheetName val="Amortization Table $610K"/>
      <sheetName val="General"/>
      <sheetName val="Index"/>
      <sheetName val="INVENTORY"/>
      <sheetName val="225004"/>
      <sheetName val="DB"/>
      <sheetName val="Planning Data"/>
      <sheetName val="PPAPOALoad"/>
      <sheetName val="PPL Matrix"/>
      <sheetName val="Fab 5 Development Error Rate"/>
      <sheetName val="IS Timesheet "/>
      <sheetName val="Fab 5 Development Gen 9.X"/>
      <sheetName val="R&amp;D P Colunm Device Data"/>
      <sheetName val="WklyRep"/>
      <sheetName val="FC5.6.1 9890"/>
      <sheetName val="****00"/>
      <sheetName val="ENGG_VAL"/>
      <sheetName val="ADD_WAVG"/>
      <sheetName val="VAL31MAR-ALL"/>
      <sheetName val="MPS_PACKING"/>
      <sheetName val="LOCAL FAR TIL JUL10 (2)"/>
      <sheetName val="BS Groupings"/>
      <sheetName val="PL Groupings"/>
      <sheetName val="DF"/>
      <sheetName val="BS (2)"/>
      <sheetName val="P&amp;L (2)"/>
      <sheetName val="FTT_TW_Q2"/>
      <sheetName val="FTT_TW_Q2(Spin)"/>
      <sheetName val="inv e91"/>
      <sheetName val="inv e92"/>
      <sheetName val="wip e91"/>
      <sheetName val="wip e92"/>
      <sheetName val="srp91"/>
      <sheetName val="srp92"/>
      <sheetName val="sube91&amp;e92"/>
      <sheetName val="srp e91"/>
      <sheetName val="srp e92"/>
      <sheetName val="U4-1"/>
      <sheetName val="U5-1"/>
      <sheetName val="os"/>
      <sheetName val="OSM"/>
      <sheetName val="C"/>
      <sheetName val="E1"/>
      <sheetName val="G1"/>
      <sheetName val="TNK-Staff costs"/>
      <sheetName val="U"/>
      <sheetName val="E"/>
      <sheetName val="CF-1|2 (2)"/>
      <sheetName val="CF-3 (2)"/>
      <sheetName val="CF-1|2"/>
      <sheetName val="CF-3"/>
      <sheetName val="Notes to FS (2)"/>
      <sheetName val="Notes to FS"/>
      <sheetName val="U-1-2"/>
      <sheetName val="U-1-1"/>
      <sheetName val="M-1"/>
      <sheetName val="U-1"/>
      <sheetName val="U-2"/>
      <sheetName val="U-3"/>
      <sheetName val="A3-2"/>
      <sheetName val="F"/>
      <sheetName val="J"/>
      <sheetName val="CC-1"/>
      <sheetName val="A3-1&amp;2"/>
      <sheetName val="A3-3"/>
      <sheetName val="SRM-BS"/>
      <sheetName val="SRM-P&amp;L"/>
      <sheetName val="Note 19"/>
      <sheetName val="A3"/>
      <sheetName val="A2-1"/>
      <sheetName val="A2-2"/>
      <sheetName val="A2-3"/>
      <sheetName val="SRM"/>
      <sheetName val="HDA-5"/>
      <sheetName val="C-1-final"/>
      <sheetName val="OS(1)"/>
      <sheetName val="C "/>
      <sheetName val="10-2"/>
      <sheetName val="10-3"/>
      <sheetName val="A2 - 5"/>
      <sheetName val="A2 - 5 (2)"/>
      <sheetName val="A2 - 6"/>
      <sheetName val="A2-5"/>
      <sheetName val="0000"/>
      <sheetName val="A8-6 (1)"/>
      <sheetName val="A8-2(1)"/>
      <sheetName val="A3-1-1"/>
      <sheetName val="A3-1-2"/>
      <sheetName val="A3-1-3"/>
      <sheetName val="A3-1-4"/>
      <sheetName val="A3 - 3"/>
      <sheetName val="A3 - 4"/>
      <sheetName val="G"/>
      <sheetName val="I"/>
      <sheetName val="N"/>
      <sheetName val="O"/>
      <sheetName val="Q"/>
      <sheetName val="A8-5"/>
      <sheetName val="Form EYP 1"/>
      <sheetName val="C-1"/>
      <sheetName val="E-2"/>
      <sheetName val="K"/>
      <sheetName val="K-1"/>
      <sheetName val="K-Disc"/>
      <sheetName val="U4l3"/>
      <sheetName val="Doc"/>
      <sheetName val="N-10_UL"/>
      <sheetName val="F-1"/>
      <sheetName val="A3-1"/>
      <sheetName val="I (2)"/>
      <sheetName val="B-10"/>
      <sheetName val="U-4"/>
      <sheetName val="U-5"/>
      <sheetName val="K-16"/>
      <sheetName val="APPENDIX XIII"/>
      <sheetName val="A2-2 RJE"/>
      <sheetName val="A2-1 AJE"/>
      <sheetName val="Q2"/>
      <sheetName val="C1"/>
      <sheetName val="I1"/>
      <sheetName val="Equity"/>
      <sheetName val="Bal-Sheet"/>
      <sheetName val="Income"/>
      <sheetName val="C4-1 (2)"/>
      <sheetName val="C4-1"/>
      <sheetName val="A10-1 (2)"/>
      <sheetName val="A10-1"/>
      <sheetName val="F7"/>
      <sheetName val="F6"/>
      <sheetName val="F2"/>
      <sheetName val="U3"/>
      <sheetName val="U3-1"/>
      <sheetName val="UA (2)"/>
      <sheetName val="K2-A"/>
      <sheetName val="A2|1(SAD) "/>
      <sheetName val="I2 "/>
      <sheetName val="U1a"/>
      <sheetName val="U2-1a"/>
      <sheetName val="U1-2 Sales Analysis"/>
      <sheetName val="U1-2 Sales Analysis -by product"/>
      <sheetName val="N1"/>
      <sheetName val="N7"/>
      <sheetName val="J-1"/>
      <sheetName val="Outstanding Matters (2)"/>
      <sheetName val="Debtors"/>
      <sheetName val="Creditors"/>
      <sheetName val="OS 1(FOR CLIENT DISTRIBUTION)"/>
      <sheetName val="I-2"/>
      <sheetName val="Inter- Company Reconciliation"/>
      <sheetName val="OML"/>
      <sheetName val="A2-6"/>
      <sheetName val="A3-4"/>
      <sheetName val="A3-5"/>
      <sheetName val="A3-6"/>
      <sheetName val="C-5"/>
      <sheetName val="E-10"/>
      <sheetName val="F-4"/>
      <sheetName val="K-2"/>
      <sheetName val="K-3"/>
      <sheetName val="K-4"/>
      <sheetName val="M"/>
      <sheetName val="M-10"/>
      <sheetName val="O-5"/>
      <sheetName val="P"/>
      <sheetName val="P-1"/>
      <sheetName val="P-2"/>
      <sheetName val="Q-1"/>
      <sheetName val="Q-1-1"/>
      <sheetName val="Q-1-2"/>
      <sheetName val="Q-2"/>
      <sheetName val="Q-2-1"/>
      <sheetName val="Q-2-2"/>
      <sheetName val="Q-3"/>
      <sheetName val="Q-3-1"/>
      <sheetName val="Q-3-2"/>
      <sheetName val="T"/>
      <sheetName val="U-1-5"/>
      <sheetName val="U-2-1"/>
      <sheetName val="U-4 "/>
      <sheetName val="A3-22"/>
      <sheetName val="A3-23"/>
      <sheetName val="interbal"/>
      <sheetName val="K4"/>
      <sheetName val="Questions"/>
      <sheetName val="PMB (opening balance)"/>
      <sheetName val="Hafizah"/>
      <sheetName val="U1"/>
      <sheetName val="U1-1"/>
      <sheetName val="Appendix1"/>
      <sheetName val="F3"/>
      <sheetName val="U6"/>
      <sheetName val="U7"/>
      <sheetName val="U2"/>
      <sheetName val="K1"/>
      <sheetName val="Dir"/>
      <sheetName val="GP analysis"/>
      <sheetName val="Ff -1"/>
      <sheetName val="Notes"/>
      <sheetName val="Appendix II"/>
      <sheetName val="SRM-Appx 1 BS"/>
      <sheetName val="F_1"/>
      <sheetName val="K-1 "/>
      <sheetName val="Attachment 1"/>
      <sheetName val="T. Equity"/>
      <sheetName val="N1 (2)"/>
      <sheetName val="sp (2)"/>
      <sheetName val="O|S (2)"/>
      <sheetName val="O|S"/>
      <sheetName val="N1 .1"/>
      <sheetName val="F3-Group 1 (2)"/>
      <sheetName val="A2-4 (2004)"/>
      <sheetName val="Revenue Summary"/>
      <sheetName val="U-10(CR)"/>
      <sheetName val="U-10(Jan)"/>
      <sheetName val="U-10(Feb)"/>
      <sheetName val="U-10(March)"/>
      <sheetName val="U-10(April)"/>
      <sheetName val="U-10(May)"/>
      <sheetName val="U-10(June)"/>
      <sheetName val="U-10(July)"/>
      <sheetName val="U-10(August)"/>
      <sheetName val="U-10(Sept)"/>
      <sheetName val="U-10(Oct)"/>
      <sheetName val="U-10(Nov)"/>
      <sheetName val="U-10(Dec)"/>
      <sheetName val="U5-2"/>
      <sheetName val="Note 6"/>
      <sheetName val="Note 4"/>
      <sheetName val="J2ss"/>
      <sheetName val="U-10-2"/>
      <sheetName val="U-10-1"/>
      <sheetName val="I "/>
      <sheetName val="K2"/>
      <sheetName val="O101"/>
      <sheetName val="AP&lt;A300&gt;-2002"/>
      <sheetName val="A520"/>
      <sheetName val="U510"/>
      <sheetName val="M-Note Payable"/>
      <sheetName val="U120-top 10 suppliers"/>
      <sheetName val="G200预付帐款帐龄分析表  (2)"/>
      <sheetName val="N100应付帐款帐龄分析表  (2)"/>
      <sheetName val="F600-采购截止测试-一定要填"/>
      <sheetName val="F500-采购截止测试-一定要填"/>
      <sheetName val="U140-销售截止测试1-一定要填 "/>
      <sheetName val="U150-销售截止测试2-一定要填 "/>
      <sheetName val="Valuation test-R.M"/>
      <sheetName val="采购截止测试"/>
      <sheetName val="U410-广告宣传费明细"/>
      <sheetName val="U410-工资明细表"/>
      <sheetName val="Other receipt and payment "/>
      <sheetName val="U610-1-12月工资明细表  (2)"/>
      <sheetName val="S5"/>
      <sheetName val="T1"/>
      <sheetName val="T2"/>
      <sheetName val="U4"/>
      <sheetName val="U5"/>
      <sheetName val="U8"/>
      <sheetName val="P6"/>
      <sheetName val="H2"/>
      <sheetName val="A300"/>
      <sheetName val="辅助生产成本"/>
      <sheetName val="cut off"/>
      <sheetName val="transaction test"/>
      <sheetName val="G&amp;AU400 "/>
      <sheetName val="U401"/>
      <sheetName val="K100"/>
      <sheetName val="U1100"/>
      <sheetName val="U320"/>
      <sheetName val="F520_F.G. NRV test"/>
      <sheetName val="表7-1开办费"/>
      <sheetName val="表3-10-1原材料"/>
      <sheetName val="表6-1土地 (2)"/>
      <sheetName val="表9-12预提费用"/>
      <sheetName val="表3-9其他应收"/>
      <sheetName val="K101 Summary of FA Adj"/>
      <sheetName val="K302 固定资产减值准备计提表"/>
      <sheetName val="OA A500"/>
      <sheetName val="A510"/>
      <sheetName val="O1"/>
      <sheetName val="P3"/>
      <sheetName val="总账汇总表"/>
      <sheetName val="N301-work"/>
      <sheetName val="U100"/>
      <sheetName val="U110_Product mix"/>
      <sheetName val="U120_Premium ceded"/>
      <sheetName val="U130_Commission paid"/>
      <sheetName val="U140_Commission recd"/>
      <sheetName val="U150_Claims incurred"/>
      <sheetName val="U_P&amp;L"/>
      <sheetName val="固定资产NEW  (2)"/>
      <sheetName val="&lt;A2.2&gt;Cla"/>
      <sheetName val="Acs (2)"/>
      <sheetName val="U7-1"/>
      <sheetName val="E5"/>
      <sheetName val="D2x"/>
      <sheetName val="E2"/>
      <sheetName val="BB-10"/>
      <sheetName val="CC-10 "/>
      <sheetName val="BB-10 (2)"/>
      <sheetName val="CC-10  (2)"/>
      <sheetName val="B-10 (2)"/>
      <sheetName val="A8"/>
      <sheetName val="(B3)Purchases cutoff test"/>
      <sheetName val="(B4)Sales cutoff test"/>
      <sheetName val="sales(B2.2)"/>
      <sheetName val="M-done"/>
      <sheetName val="U2-1"/>
      <sheetName val="AA"/>
      <sheetName val="U3-2"/>
      <sheetName val="U-30-1"/>
      <sheetName val="CLA"/>
      <sheetName val="E2 (4)"/>
      <sheetName val="E2 (3)"/>
      <sheetName val="E2 (2)"/>
      <sheetName val="O-1"/>
      <sheetName val="O2"/>
      <sheetName val="G5"/>
      <sheetName val="K4 - Physical Sightings"/>
      <sheetName val="Provision for DD"/>
      <sheetName val="N4"/>
      <sheetName val="A2"/>
      <sheetName val="G1|3"/>
      <sheetName val="N6|1 - PV after YE"/>
      <sheetName val="N6 - Unrecorded Liab"/>
      <sheetName val="FAR"/>
      <sheetName val="O2_superceed"/>
      <sheetName val="Pinus"/>
      <sheetName val="Climate"/>
      <sheetName val="Sy.Kapasi"/>
      <sheetName val="Selamat"/>
      <sheetName val="Primadana"/>
      <sheetName val="F5|1"/>
      <sheetName val="G&amp;SHFnotes"/>
      <sheetName val="Lifenotes"/>
      <sheetName val="LifeUdisc00"/>
      <sheetName val="PLnotes "/>
      <sheetName val="Liferev 2002 (2)"/>
      <sheetName val="Liferev 2002"/>
      <sheetName val="LifeCBS-2002"/>
      <sheetName val="CPL-2002"/>
      <sheetName val="Genrevdetail "/>
      <sheetName val="CBS-2002"/>
      <sheetName val="Div"/>
      <sheetName val="MNIH-Consol entries 2002(i)"/>
      <sheetName val="InvestmentL-BS-2002"/>
      <sheetName val="L-print"/>
      <sheetName val="U- FINAL (2)"/>
      <sheetName val="U-2 FINAL"/>
      <sheetName val="U-FINAL"/>
      <sheetName val="AP 110 sub"/>
      <sheetName val="FSL"/>
      <sheetName val="F-3"/>
      <sheetName val="30"/>
      <sheetName val="U1|1"/>
      <sheetName val="U1|2"/>
      <sheetName val="Info"/>
      <sheetName val="J disclosure"/>
      <sheetName val="F-71"/>
      <sheetName val="M5 Cut off"/>
      <sheetName val="E4-1 cut off"/>
      <sheetName val="sales cut-off"/>
      <sheetName val="purchase cut-off"/>
      <sheetName val="K10"/>
      <sheetName val="N40-2"/>
      <sheetName val="F5"/>
      <sheetName val="APPENDIX 1"/>
      <sheetName val="K3"/>
      <sheetName val="K3-1"/>
      <sheetName val="K4-1"/>
      <sheetName val="U-10"/>
      <sheetName val="U-20"/>
      <sheetName val="U-30"/>
      <sheetName val="U-40"/>
      <sheetName val="U-50"/>
      <sheetName val="E-20"/>
      <sheetName val="E-30"/>
      <sheetName val="E-31"/>
      <sheetName val="E-40"/>
      <sheetName val="F-30"/>
      <sheetName val="Travel.OS.FY04"/>
      <sheetName val="U-6"/>
      <sheetName val="U-11"/>
      <sheetName val="U-12"/>
      <sheetName val="U-13"/>
      <sheetName val="F-50"/>
      <sheetName val="M1l1"/>
      <sheetName val="A2-2-1"/>
      <sheetName val="A2-2-2"/>
      <sheetName val="A2-2-3"/>
      <sheetName val="A2-2-1 (2)"/>
      <sheetName val="A2-2-2 (2)"/>
      <sheetName val="A2-2-3 (2)"/>
      <sheetName val="A2|1"/>
      <sheetName val="R4"/>
      <sheetName val="tax com"/>
      <sheetName val="Cflow"/>
      <sheetName val="CLA (2)"/>
      <sheetName val="Attached 9"/>
      <sheetName val="Attached 10"/>
      <sheetName val="Freehold Land"/>
      <sheetName val="CWIP"/>
      <sheetName val="Sch I"/>
      <sheetName val="Sch IIa"/>
      <sheetName val="Sch IIb"/>
      <sheetName val="Sch III"/>
      <sheetName val="F2100-半成品"/>
      <sheetName val="E4"/>
      <sheetName val="M4"/>
      <sheetName val="E3"/>
      <sheetName val="M1"/>
      <sheetName val="N2"/>
      <sheetName val="K4-Sighting"/>
      <sheetName val="M2_payables listing"/>
      <sheetName val="A2-2(CJE)"/>
      <sheetName val="U30"/>
      <sheetName val="A3-1(U)"/>
      <sheetName val="Aging+ve"/>
      <sheetName val="KFinal"/>
      <sheetName val="CF-1"/>
      <sheetName val="CF-2"/>
      <sheetName val="Disclosure"/>
      <sheetName val="D-1"/>
      <sheetName val="L-2"/>
      <sheetName val="RCD-403-1"/>
      <sheetName val="RCD-403-2"/>
      <sheetName val="RCD-403-3"/>
      <sheetName val="RCD-403-4"/>
      <sheetName val="RCD-403-4 (2)"/>
      <sheetName val="Rec"/>
      <sheetName val="U2_AR on Revenue"/>
      <sheetName val="Serba"/>
      <sheetName val="Garment"/>
      <sheetName val="Tanako"/>
      <sheetName val="RJE"/>
      <sheetName val="CJE"/>
      <sheetName val="AdjPYA"/>
      <sheetName val="Adj"/>
      <sheetName val="O2-2"/>
      <sheetName val="O2-1"/>
      <sheetName val="O4"/>
      <sheetName val="O3"/>
      <sheetName val="O3-1"/>
      <sheetName val="O5"/>
      <sheetName val="R-1"/>
      <sheetName val="R-2"/>
      <sheetName val="R-3"/>
      <sheetName val="Interco"/>
      <sheetName val="J-3"/>
      <sheetName val="J-2"/>
      <sheetName val="Lestari"/>
      <sheetName val="Kenshine"/>
      <sheetName val="OSM (2)"/>
      <sheetName val="OSM 2"/>
      <sheetName val="A2-4"/>
      <sheetName val="Starbase(CLA)"/>
      <sheetName val="Annuity"/>
      <sheetName val="O320-所得税"/>
      <sheetName val="O330-增值税检查"/>
      <sheetName val="U700-销售费用明细表"/>
      <sheetName val="K400-固定资产-增加审计"/>
      <sheetName val="M300-短期借款明细表"/>
      <sheetName val="P410-应付工资-程序表"/>
      <sheetName val="P520-其他应付款-具体审计"/>
      <sheetName val="P620-预提费用-具体审计"/>
      <sheetName val="outstangding"/>
      <sheetName val="交换意见"/>
      <sheetName val="问题汇总"/>
      <sheetName val="U363-收入-截止测试-2004"/>
      <sheetName val="历年净利润及盈余公积复核 (审定)"/>
      <sheetName val="所得税"/>
      <sheetName val="C600-货币资金-符合性测试"/>
      <sheetName val="NN"/>
      <sheetName val="C310"/>
      <sheetName val="OS list of 深中置 - 3"/>
      <sheetName val="往来"/>
      <sheetName val="Compilation test"/>
      <sheetName val="B402"/>
      <sheetName val="附表60-1"/>
      <sheetName val="附表60-2"/>
      <sheetName val="B101"/>
      <sheetName val="os list"/>
      <sheetName val="F 。"/>
      <sheetName val="AC00(02) O-lead"/>
      <sheetName val="AC00(03) O-lead"/>
      <sheetName val="AC00(04) O-lead"/>
      <sheetName val="27.租赁承诺"/>
      <sheetName val="28.资本承诺"/>
      <sheetName val="29.关联交易"/>
      <sheetName val="30.关联余额"/>
      <sheetName val="169"/>
      <sheetName val="k301"/>
      <sheetName val="C110"/>
      <sheetName val="M110BOC"/>
      <sheetName val="M111BOA"/>
      <sheetName val="M112ICBC"/>
      <sheetName val="工资"/>
      <sheetName val="U1110"/>
      <sheetName val="U1200"/>
      <sheetName val="U1201"/>
      <sheetName val="O100"/>
      <sheetName val="U1020"/>
      <sheetName val="outstanding"/>
      <sheetName val="五矿"/>
      <sheetName val="U4营业费"/>
      <sheetName val="U5管理费"/>
      <sheetName val="2003以产顶进"/>
      <sheetName val="7-制造费用"/>
      <sheetName val="递延资产审定表"/>
      <sheetName val="Cindy"/>
      <sheetName val="？I"/>
      <sheetName val="I200%"/>
      <sheetName val="I600%"/>
      <sheetName val="FA details"/>
      <sheetName val="应付帐款明细表"/>
      <sheetName val="其他应付款明细表"/>
      <sheetName val="T10"/>
      <sheetName val="F810 Compliation"/>
      <sheetName val="C120"/>
      <sheetName val="C12-control"/>
      <sheetName val="U500"/>
      <sheetName val="I10"/>
      <sheetName val="RS-F320"/>
      <sheetName val="FS-F310"/>
      <sheetName val="All overhead Variance"/>
      <sheetName val="F20-Breakdown2003"/>
      <sheetName val="04G100"/>
      <sheetName val="04S100"/>
      <sheetName val="IAS510_RJE"/>
      <sheetName val="B300-8"/>
      <sheetName val="03BD"/>
      <sheetName val="固定资产总计-Company"/>
      <sheetName val="Jan 16 (2)"/>
      <sheetName val="C os"/>
      <sheetName val="CIP2003 movement"/>
      <sheetName val="Q100m"/>
      <sheetName val="Q200m"/>
      <sheetName val="stock 5.14报告版2003update ok"/>
      <sheetName val="农行环翠银票03.6"/>
      <sheetName val="C200"/>
      <sheetName val="G200 (2)"/>
      <sheetName val="N100"/>
      <sheetName val="C2000"/>
      <sheetName val="A500"/>
      <sheetName val="K "/>
      <sheetName val="K200"/>
      <sheetName val="K300"/>
      <sheetName val="R"/>
      <sheetName val="R100"/>
      <sheetName val="P410-Breakdown"/>
      <sheetName val="P510-Breakdown"/>
      <sheetName val="jasmine"/>
      <sheetName val="Ellen"/>
      <sheetName val="U3500"/>
      <sheetName val="other-direct02"/>
      <sheetName val="other-direct01"/>
      <sheetName val="U 3310-air"/>
      <sheetName val="ARP"/>
      <sheetName val="U3000-HQ COS"/>
      <sheetName val="engine"/>
      <sheetName val="F10-IM"/>
      <sheetName val="F11-IM"/>
      <sheetName val="F1003-FG list "/>
      <sheetName val="F1004-consignment list"/>
      <sheetName val="母公司"/>
      <sheetName val="合并2"/>
      <sheetName val="子公司"/>
      <sheetName val="现金流量表 (2)"/>
      <sheetName val="爱家资产表"/>
      <sheetName val="爱家利润表"/>
      <sheetName val="爱家流量表"/>
      <sheetName val="汇总负债"/>
      <sheetName val="汇总利润"/>
      <sheetName val="本部负债表"/>
      <sheetName val="本部利润表"/>
      <sheetName val="本部分录"/>
      <sheetName val="土门负债表"/>
      <sheetName val="土门利润表"/>
      <sheetName val="土门分录"/>
      <sheetName val="朝阳资产"/>
      <sheetName val="朝阳利润"/>
      <sheetName val="朝阳分录"/>
      <sheetName val="咸宁资产"/>
      <sheetName val="咸宁利润"/>
      <sheetName val="咸宁分录"/>
      <sheetName val="朝阳资产对照表"/>
      <sheetName val="权益变动表"/>
      <sheetName val="减值表"/>
      <sheetName val="增值税表"/>
      <sheetName val="朝阳期初资产"/>
      <sheetName val="朝阳上期利润"/>
      <sheetName val="朝阳期初分录"/>
      <sheetName val="应收帐款05"/>
      <sheetName val="其他应收款05"/>
      <sheetName val="应付帐款05"/>
      <sheetName val="预收帐款05"/>
      <sheetName val="其他应付款05"/>
      <sheetName val="营业费用"/>
      <sheetName val="营业费用月报表"/>
      <sheetName val="U60-ww"/>
      <sheetName val="U110"/>
      <sheetName val="滨州"/>
      <sheetName val="I1-威海"/>
      <sheetName val="S400"/>
      <sheetName val="U130-Consulting fee"/>
      <sheetName val="U120-Consulting Fee  Breakd"/>
      <sheetName val="U130-Professional Fee GPC"/>
      <sheetName val="U140-Legal Fee"/>
      <sheetName val="F203"/>
      <sheetName val="U500.G&amp;A.Expenses"/>
      <sheetName val="I100-Interco Bal confirmation"/>
      <sheetName val="6 需报废清单"/>
      <sheetName val="2003"/>
      <sheetName val="2002"/>
      <sheetName val="代办工程adj"/>
      <sheetName val="2Q200"/>
      <sheetName val="F311-RM V test"/>
      <sheetName val="매출채권AR"/>
      <sheetName val="현금예금"/>
      <sheetName val="투자자산"/>
      <sheetName val="유형자산"/>
      <sheetName val="상각overall"/>
      <sheetName val="단기차입금"/>
      <sheetName val="장기차입금"/>
      <sheetName val="자본"/>
      <sheetName val="이자비용"/>
      <sheetName val="매출"/>
      <sheetName val="오계장작성"/>
      <sheetName val="C-8220 "/>
      <sheetName val="C-8300"/>
      <sheetName val="C-8400"/>
      <sheetName val="C-8500"/>
      <sheetName val="수익증권매매"/>
      <sheetName val="수익증권평가"/>
      <sheetName val="5400"/>
      <sheetName val="지분법적용개요"/>
      <sheetName val="감가상각비"/>
      <sheetName val="AFS (2)"/>
      <sheetName val="J138"/>
      <sheetName val="콜론(4.1-9.30)"/>
      <sheetName val="명세(건물)"/>
      <sheetName val="명세(차량)"/>
      <sheetName val="명세(기타유형)"/>
      <sheetName val="명세(기타유형) (2)"/>
      <sheetName val="상품-5200"/>
      <sheetName val="LEAD(D7)"/>
      <sheetName val="(D7.1)"/>
      <sheetName val="LEAD(D10)"/>
      <sheetName val="(D10.1)"/>
      <sheetName val="LEAD(D11)"/>
      <sheetName val="법인세비용(8700)"/>
      <sheetName val="수정사항"/>
      <sheetName val="정산표-대차대조표"/>
      <sheetName val="정산표-손익계산서"/>
      <sheetName val="이사회의사록"/>
      <sheetName val="MP"/>
      <sheetName val="par-bs(2)"/>
      <sheetName val="par-pl(2)"/>
      <sheetName val="차입금총대체분석"/>
      <sheetName val="고정부채 "/>
      <sheetName val="장기차입금명세"/>
      <sheetName val="상환스케츌"/>
      <sheetName val="자본7100"/>
      <sheetName val="JOB ASSIGN"/>
      <sheetName val="wbs"/>
      <sheetName val="wpl"/>
      <sheetName val="오류금액의평가"/>
      <sheetName val="연도별tax"/>
      <sheetName val="전기조정사항"/>
      <sheetName val="회사제시기말BS"/>
      <sheetName val="회사제시기말PL"/>
      <sheetName val="A5"/>
      <sheetName val="수정사항-1"/>
      <sheetName val="g20매출원가"/>
      <sheetName val="g30제조원가"/>
      <sheetName val="g31재료비"/>
      <sheetName val="급여 (2)"/>
      <sheetName val="평균급여 (2)"/>
      <sheetName val="15"/>
      <sheetName val="유형자산5800"/>
      <sheetName val="감가"/>
      <sheetName val="pldt"/>
      <sheetName val="조합원명부"/>
      <sheetName val="제품수불(확) (2)"/>
      <sheetName val="원료수불 (확)"/>
      <sheetName val="제품수불(확)"/>
      <sheetName val="년간매출계획"/>
      <sheetName val="제조원가"/>
      <sheetName val="제품별매출 (2)"/>
      <sheetName val="유통경로"/>
      <sheetName val="EPS (2)"/>
      <sheetName val="개요"/>
      <sheetName val="부가세 대사"/>
      <sheetName val="재고실사 refer"/>
      <sheetName val="월별급여"/>
      <sheetName val="8400"/>
      <sheetName val="중요성기준"/>
      <sheetName val="분석적검토"/>
      <sheetName val="매출일반"/>
      <sheetName val="Flow-Chart"/>
      <sheetName val="회계변경"/>
      <sheetName val="퇴충OT"/>
      <sheetName val="퇴충"/>
      <sheetName val="수정사항 (2)"/>
      <sheetName val="매출채권"/>
      <sheetName val="수정사항 정리표"/>
      <sheetName val="재고관련 Issue"/>
      <sheetName val="U201"/>
      <sheetName val="A521 (2)"/>
      <sheetName val="A621 (2)"/>
      <sheetName val="U2.1"/>
      <sheetName val="P100"/>
      <sheetName val="C100"/>
      <sheetName val="U121"/>
      <sheetName val="N501"/>
      <sheetName val="E201"/>
      <sheetName val="Sheet9"/>
      <sheetName val="Sheet11"/>
      <sheetName val="Sheet10"/>
      <sheetName val="S_BDW (2)"/>
      <sheetName val="Fig"/>
      <sheetName val="보고서1"/>
      <sheetName val="보고서2"/>
      <sheetName val="보고서3"/>
      <sheetName val="Sheet1 (2)"/>
      <sheetName val="ALGO-LS14.5(92)V"/>
      <sheetName val="ALGO-jjj재구성"/>
      <sheetName val="수정사항집계표"/>
      <sheetName val="은행연합회자료"/>
      <sheetName val="sum (3)"/>
      <sheetName val="HLDS"/>
      <sheetName val="이사회의사록정리"/>
      <sheetName val="RM31032004"/>
      <sheetName val="månres jfrt få"/>
      <sheetName val="FCAct"/>
      <sheetName val="Matcost (2)"/>
      <sheetName val="FC1999"/>
      <sheetName val="upgsales (2)"/>
      <sheetName val="Trial Balance{C}"/>
      <sheetName val="FY03 Qualified Additions"/>
      <sheetName val="PL"/>
      <sheetName val="통계자료"/>
      <sheetName val="지수"/>
      <sheetName val="생산직"/>
      <sheetName val="sm"/>
      <sheetName val="판매2팀"/>
      <sheetName val="型TB"/>
      <sheetName val="Monthly Revenue"/>
      <sheetName val="Profit and Loss"/>
      <sheetName val="FA"/>
      <sheetName val="Cover"/>
      <sheetName val="PL-yearly"/>
      <sheetName val="Sheet1汇总表"/>
      <sheetName val="S&amp;M Dept"/>
      <sheetName val="Gastos_MadridWE"/>
      <sheetName val="NEW WARRANTS"/>
      <sheetName val="Sources_Uses"/>
      <sheetName val="Controls"/>
      <sheetName val="Print Controls"/>
      <sheetName val="Prior Year"/>
      <sheetName val="Trading Stats"/>
      <sheetName val="cap_structure"/>
      <sheetName val="MergeCo Summary"/>
      <sheetName val="A"/>
      <sheetName val="BANKS_94"/>
      <sheetName val="Operations"/>
      <sheetName val="Football(1)"/>
      <sheetName val="Tuluwaka"/>
      <sheetName val="Exercise"/>
      <sheetName val="General Assumptions"/>
      <sheetName val="QuickLink"/>
      <sheetName val="Company Outputs"/>
      <sheetName val="Corp. Trust Structure"/>
      <sheetName val="Comp Data"/>
      <sheetName val="Float Matrix"/>
      <sheetName val="Data Master"/>
      <sheetName val="Int. Rate Data"/>
      <sheetName val="Rsch"/>
      <sheetName val="Industry Data"/>
      <sheetName val="RT Data"/>
      <sheetName val="RT Indices"/>
      <sheetName val="Mkt Cap."/>
      <sheetName val="RT Targets"/>
      <sheetName val="IT Targets"/>
      <sheetName val="TSE info"/>
      <sheetName val="cap markets data"/>
      <sheetName val="Base"/>
      <sheetName val="100%"/>
      <sheetName val="HelpScreens"/>
      <sheetName val="PUblic Float data"/>
      <sheetName val="Build-up"/>
      <sheetName val="Computations"/>
      <sheetName val="Inputs-Sensitivities"/>
      <sheetName val="Worksheet"/>
      <sheetName val="Market Data"/>
      <sheetName val="Project Info"/>
      <sheetName val="Taxes"/>
      <sheetName val="Old Model"/>
      <sheetName val="Assum"/>
      <sheetName val="AcqIS"/>
      <sheetName val="AcqBSCF"/>
      <sheetName val="Acquiror"/>
      <sheetName val="Model Assumptions"/>
      <sheetName val="wCodeTable"/>
      <sheetName val="Growth"/>
      <sheetName val="Profit &amp; Loss"/>
      <sheetName val="Parameters"/>
      <sheetName val="Monthly Budget "/>
      <sheetName val="A-1 - Audit Planning Program"/>
      <sheetName val="A-1 Audit Prog Index"/>
      <sheetName val="E-5 Lunch 0086"/>
      <sheetName val="REVENUES"/>
      <sheetName val="Sch 16"/>
      <sheetName val="Sch 8"/>
      <sheetName val="E Cash APG"/>
      <sheetName val="(V-1)FASB109"/>
      <sheetName val="A-1 Audit Program Index"/>
      <sheetName val="K-40 FA-CAPLS"/>
      <sheetName val="A-1 Gen Procedures "/>
      <sheetName val="A-1-1 Audit General Procedures"/>
      <sheetName val="General File Index"/>
      <sheetName val="A-2 Minimum Sub Proc Comm Ent"/>
      <sheetName val="J-31 NRV"/>
      <sheetName val="A-1"/>
      <sheetName val="BS"/>
      <sheetName val="subordinated notes"/>
      <sheetName val="senior note"/>
      <sheetName val="PS B"/>
      <sheetName val="PS A"/>
      <sheetName val="Splash Screen"/>
      <sheetName val="Sales"/>
      <sheetName val="CN Detail"/>
      <sheetName val="l"/>
      <sheetName val="Initial"/>
      <sheetName val="Precalculation"/>
      <sheetName val="laroux"/>
      <sheetName val="XXXXXXXXXXXXX"/>
      <sheetName val="XXXXXX"/>
      <sheetName val="WORKINGS"/>
      <sheetName val="ANNEXURE 5 c"/>
      <sheetName val="21 (i)(B)(b)"/>
      <sheetName val="remittance"/>
      <sheetName val="DEC-MEMO"/>
      <sheetName val="Scope of supply"/>
      <sheetName val="Dep"/>
      <sheetName val="BS Schdl- 1 &amp; 2"/>
      <sheetName val="Cabinet details"/>
      <sheetName val="Retirals"/>
      <sheetName val="provision for new Salary"/>
      <sheetName val="TDS"/>
      <sheetName val="Factoring Accrual Summary"/>
      <sheetName val="ttings\purnima\Application Data"/>
      <sheetName val="Material"/>
      <sheetName val="OM except Sales Mat Intcom"/>
      <sheetName val="Inv"/>
      <sheetName val="Inv (2)"/>
      <sheetName val="Obso"/>
      <sheetName val="FIFO Reval"/>
      <sheetName val="IT PPV"/>
      <sheetName val="ECSYSTEM"/>
      <sheetName val="fiannce breakup cost"/>
      <sheetName val="IOB Bank Statement"/>
      <sheetName val="Premature falied details "/>
      <sheetName val="Sales_Data"/>
      <sheetName val="Freight Summary"/>
      <sheetName val="CSIMS Sales"/>
      <sheetName val="Csims Dispatches"/>
      <sheetName val="CSIM "/>
      <sheetName val="4230004000 Discount"/>
      <sheetName val="Discount Summary"/>
      <sheetName val="4230001000 Freight"/>
      <sheetName val="4214000300 I_C Sales GEB LAM"/>
      <sheetName val="4212001900 Sales_adjusts"/>
      <sheetName val="Sales Summary"/>
      <sheetName val="Corporate MARS COA"/>
      <sheetName val="ANN 9"/>
      <sheetName val="DIR REMN"/>
      <sheetName val="80IA (CONT)"/>
      <sheetName val="80 IA"/>
      <sheetName val="Raw Material-old"/>
      <sheetName val="Leave"/>
      <sheetName val="By Product"/>
      <sheetName val="ANN2(workings)-Dump"/>
      <sheetName val="80 HHC"/>
      <sheetName val="10CCAC"/>
      <sheetName val="Checklist"/>
      <sheetName val="TB-New"/>
      <sheetName val="GS Master"/>
      <sheetName val="Oil"/>
      <sheetName val="Chart"/>
      <sheetName val="cs1997"/>
      <sheetName val="Summary model"/>
      <sheetName val="model by field"/>
      <sheetName val="Crude oil"/>
      <sheetName val="Corridor"/>
      <sheetName val="Block A"/>
      <sheetName val="W Natuna"/>
      <sheetName val="Valuation (F)"/>
      <sheetName val="Valuation 2"/>
      <sheetName val="Adjusted data"/>
      <sheetName val="Charts"/>
      <sheetName val="IEA_02-99"/>
      <sheetName val="WRLD EXPN"/>
      <sheetName val="JetFuel"/>
      <sheetName val="SingCracks"/>
      <sheetName val="Delhi"/>
      <sheetName val="Mumbai"/>
      <sheetName val="Kolkata"/>
      <sheetName val="Chennai"/>
      <sheetName val="IBHQ"/>
      <sheetName val="Consolidated Trial Bal"/>
      <sheetName val="trial bal_ibhq"/>
      <sheetName val="Grouping_cltrai"/>
      <sheetName val="ibhq cash_sum"/>
      <sheetName val="current cash tr"/>
      <sheetName val="Qtrly analysis "/>
      <sheetName val="Forecast 2001-02"/>
      <sheetName val="2001-02 monthly pack"/>
      <sheetName val="QIS Form No II"/>
      <sheetName val="Estimate"/>
      <sheetName val="tdg_bs"/>
      <sheetName val="Dep Trading"/>
      <sheetName val="monthly tdg"/>
      <sheetName val="head count"/>
      <sheetName val="Planning Materiality Mar 06"/>
      <sheetName val="Sheet2 (3)"/>
      <sheetName val="Sheet2 (2)"/>
      <sheetName val="TDS_Deposit"/>
      <sheetName val="CRITERIA1"/>
      <sheetName val="BS Schdl-3-Fixed Assets"/>
      <sheetName val="April'00"/>
      <sheetName val="EXPENSES"/>
      <sheetName val="TDS Entries Apr to Sept"/>
      <sheetName val="Add to FA"/>
      <sheetName val="Capex &amp; Opex"/>
      <sheetName val="Interconnect"/>
      <sheetName val="CF"/>
      <sheetName val="Emp"/>
      <sheetName val="Annexuture"/>
      <sheetName val="SPS DETAIL"/>
      <sheetName val="factor"/>
      <sheetName val="list - do not delete"/>
      <sheetName val="____00"/>
      <sheetName val="MAIN LATEST"/>
      <sheetName val="currency (2)"/>
      <sheetName val="Factors"/>
      <sheetName val="entitlements"/>
      <sheetName val="currency"/>
      <sheetName val="Outgoing"/>
      <sheetName val="Incoming"/>
      <sheetName val="Consol"/>
      <sheetName val="Capex_&amp;_Opex"/>
      <sheetName val="MAIN_LATEST"/>
      <sheetName val="currency_(2)"/>
      <sheetName val="SPS_DETAIL"/>
      <sheetName val="final sheet "/>
      <sheetName val="Balaios"/>
      <sheetName val="Consolidated NE"/>
      <sheetName val="Consolidated SE"/>
      <sheetName val="Consolidated SO"/>
      <sheetName val="Hyper NE"/>
      <sheetName val="Hyper SO"/>
      <sheetName val="Maxxi"/>
      <sheetName val="Magazines"/>
      <sheetName val="Sam's Club"/>
      <sheetName val="Super NE"/>
      <sheetName val="Super SO"/>
      <sheetName val="Todo Dia"/>
      <sheetName val="new_main_20K"/>
      <sheetName val="Final"/>
      <sheetName val="Summary-Price_New"/>
      <sheetName val="AN-2K"/>
      <sheetName val="Switch V16"/>
      <sheetName val="EBT"/>
      <sheetName val="MSU"/>
      <sheetName val="Scenarios"/>
      <sheetName val="Component Pricing, Costs"/>
      <sheetName val="AR"/>
      <sheetName val="Edit(01)"/>
      <sheetName val="B'Sheet"/>
      <sheetName val="syndicate codes"/>
      <sheetName val="BTVL-ABN Tranche I"/>
      <sheetName val="&amp;Synchro"/>
      <sheetName val="204"/>
      <sheetName val="BBH"/>
      <sheetName val="chiet tinh"/>
      <sheetName val="discounts_XP140"/>
      <sheetName val="Other assumptions"/>
      <sheetName val="RSU lookups"/>
      <sheetName val="RSU sites"/>
      <sheetName val="DLC sites"/>
      <sheetName val="SDH COST"/>
      <sheetName val="Asmp"/>
      <sheetName val="BdData"/>
      <sheetName val="_x0000__x0000__x0000__xffff_翿_x0000__x0000__x0000__x0000__xffff__xffff__x0000__x0000__x0000__x0000__x0000__x0000_ᆳ"/>
      <sheetName val="final_sheet_"/>
      <sheetName val="chiet_tinh"/>
      <sheetName val="Other_assumptions"/>
      <sheetName val="RSU_lookups"/>
      <sheetName val="RSU_sites"/>
      <sheetName val="DLC_sites"/>
      <sheetName val="SDH_COST"/>
      <sheetName val="c_"/>
      <sheetName val="Citrix"/>
      <sheetName val="raw"/>
      <sheetName val="FORM-16"/>
      <sheetName val="BRP&amp;L"/>
      <sheetName val="Distribution"/>
      <sheetName val="Home Office"/>
      <sheetName val="Others"/>
      <sheetName val="IRR Gaming"/>
      <sheetName val="P&amp;L breakup"/>
      <sheetName val="NOIDA"/>
      <sheetName val="Preside"/>
      <sheetName val="Calcns FDB"/>
      <sheetName val="Assns FDB"/>
      <sheetName val="UK"/>
      <sheetName val="DE"/>
      <sheetName val="MX"/>
      <sheetName val="CN"/>
      <sheetName val="BR"/>
      <sheetName val="BR (2)"/>
      <sheetName val="PLJAN"/>
      <sheetName val="Summary_Local"/>
      <sheetName val="LANGUAGE"/>
      <sheetName val="BCL-Barclays"/>
      <sheetName val="Dels"/>
      <sheetName val="comp."/>
      <sheetName val="Apparel"/>
      <sheetName val="Bodega"/>
      <sheetName val="CCA"/>
      <sheetName val="CashNCarry"/>
      <sheetName val="Membership"/>
      <sheetName val="SoftDiscount"/>
      <sheetName val="Costa_Rica"/>
      <sheetName val="DC"/>
      <sheetName val="El_Salvador"/>
      <sheetName val="GM"/>
      <sheetName val="Guatemala"/>
      <sheetName val="HomeOffice"/>
      <sheetName val="Honduras"/>
      <sheetName val="Hypermarket"/>
      <sheetName val="Restaurant"/>
      <sheetName val="Supermarket"/>
      <sheetName val="ROI"/>
      <sheetName val="Nicaragua"/>
      <sheetName val="roi_pull"/>
      <sheetName val="Sheet Index"/>
      <sheetName val="database-NO"/>
      <sheetName val="Edge_Multiservice"/>
      <sheetName val="Form"/>
      <sheetName val="Challan"/>
      <sheetName val="sEP2003"/>
      <sheetName val="Satco"/>
      <sheetName val="list_-_do_not_delete"/>
      <sheetName val="Operating Companies"/>
      <sheetName val="Management Companies"/>
      <sheetName val="Contacts"/>
      <sheetName val="PCAP Data"/>
      <sheetName val="RCN-Building"/>
      <sheetName val="Rent Roll"/>
      <sheetName val="Run_Sheet"/>
      <sheetName val="Deal_&amp;_Company_Information"/>
      <sheetName val="Amortization_Table_$610K"/>
      <sheetName val="Route_11"/>
      <sheetName val="A1_-_Income_Statement"/>
      <sheetName val="R1040"/>
      <sheetName val="base de dados"/>
      <sheetName val="_x0000_Database: [2]. Exceeded number"/>
      <sheetName val="ERE `ODBCDriver`.`Component_` ="/>
      <sheetName val="elfReg`, `FileAction` Where `Se"/>
      <sheetName val="௔按਱ဵ_x0000__x0000_"/>
      <sheetName val="1-11%20MOI.xls_x0000__x0000__x0016__x0000__x0000__x000d__x0000__x0000__x000c__x0000_ň_x0000__x0002__x0000_"/>
      <sheetName val="ல"/>
      <sheetName val="Database: [2]. Exceeded number "/>
      <sheetName val="1-11%20MOI.xls_x0000__x0000__x0016__x0000__x0000__x000d__x0000__x000c__x0000_ň_x0000__x0002__x0000_Ӥ"/>
      <sheetName val="௔按਱ဵ_x0000_"/>
      <sheetName val="Dept Score-Assoc-Avg Dept Wise"/>
      <sheetName val="Dept Score-Assoc-Avg Dept W (2)"/>
      <sheetName val="ExistingRangeDetails"/>
      <sheetName val="Encl II"/>
      <sheetName val="Other notes"/>
      <sheetName val="Enclosure XV (2)"/>
      <sheetName val="Enclosure X contd"/>
      <sheetName val="Clause 20"/>
      <sheetName val="Enclosure VIII"/>
      <sheetName val="Makro1"/>
      <sheetName val="Form No. 3CD"/>
      <sheetName val="Base Info"/>
      <sheetName val="APPORT"/>
      <sheetName val="Paul"/>
      <sheetName val="ImportData"/>
      <sheetName val="ROIPRO01"/>
      <sheetName val="Summary SC"/>
      <sheetName val="Expanded P&amp;L"/>
      <sheetName val="44526 Dalkey"/>
      <sheetName val="table"/>
      <sheetName val="1601 Detail information"/>
      <sheetName val="품의서"/>
      <sheetName val="Macro1"/>
      <sheetName val="주행"/>
      <sheetName val="표지★"/>
      <sheetName val="MX628EX"/>
      <sheetName val="p2-1"/>
      <sheetName val="2.대외공문"/>
      <sheetName val="85872-82"/>
      <sheetName val="???"/>
      <sheetName val="표지_"/>
      <sheetName val="p2_1"/>
      <sheetName val="2_대외공문"/>
      <sheetName val="비교원가(84601-3L040)"/>
      <sheetName val="비교원가(84601-3L050)"/>
      <sheetName val="비교원가(84601-3L060)"/>
      <sheetName val="비교원가(84601-3L070)"/>
      <sheetName val="비교원가(84660-3L000)"/>
      <sheetName val="비교원가(84660-3L100)"/>
      <sheetName val="비교원가(84690-3L000)"/>
      <sheetName val="비교원가(84640-3L000)"/>
      <sheetName val="비교원가(84640-3L010)"/>
      <sheetName val="비교원가(84640-3L020)"/>
      <sheetName val="비교원가(97040-3L000)"/>
      <sheetName val="??仛"/>
      <sheetName val="??★"/>
      <sheetName val="2.????"/>
      <sheetName val="근태현황"/>
      <sheetName val="Ç°ÀÇ¼­"/>
      <sheetName val="ÁÖÇà"/>
      <sheetName val="Ç¥Áö¡Ú"/>
      <sheetName val="2.´ë¿Ü°ø¹®"/>
      <sheetName val="외주현황.wq1"/>
      <sheetName val="P&amp;L Monthly"/>
      <sheetName val="Cost Analysis plc"/>
      <sheetName val="SBInput"/>
      <sheetName val="Transaction Inputs"/>
      <sheetName val="Company Inputs"/>
      <sheetName val="300 Valuation"/>
      <sheetName val="Five Year DCF"/>
      <sheetName val="Co. Inputs"/>
      <sheetName val="DCF_10"/>
      <sheetName val="Collar-Options Cash"/>
      <sheetName val="WACC"/>
      <sheetName val="Cost of Services"/>
      <sheetName val="Price of Service"/>
      <sheetName val="27"/>
      <sheetName val="Payroll"/>
      <sheetName val="6+6detail"/>
      <sheetName val="HR"/>
      <sheetName val="statistics"/>
      <sheetName val="lookup"/>
      <sheetName val="Budget Data"/>
      <sheetName val="Rev &amp; PC"/>
      <sheetName val="Non Rev&amp;PC"/>
      <sheetName val="Salary Fcst"/>
      <sheetName val="Accts"/>
      <sheetName val="Categories"/>
      <sheetName val="Tables"/>
      <sheetName val="BusDev"/>
      <sheetName val="Marketing"/>
      <sheetName val="ProdDev"/>
      <sheetName val="Exec"/>
      <sheetName val="Lookup Tables"/>
      <sheetName val="ResortQuest and Hawaii Hotel Op"/>
      <sheetName val="prepaid expenses"/>
      <sheetName val="XTU Sum (2)"/>
      <sheetName val="Ctix Mktg "/>
      <sheetName val="Project Analysis"/>
      <sheetName val="Quotation"/>
      <sheetName val="bonus from Forecaster"/>
      <sheetName val="cap comp from Forecaster"/>
      <sheetName val="bad debt from Forecaster"/>
      <sheetName val="PR"/>
      <sheetName val="FY2003"/>
      <sheetName val="FY2002"/>
      <sheetName val="FX rates"/>
      <sheetName val="Input Table"/>
      <sheetName val="Supporting Data"/>
      <sheetName val="Siemens"/>
      <sheetName val="B2C"/>
      <sheetName val="Segment Metrics"/>
      <sheetName val="Prior_Fund_Raising_MGD"/>
      <sheetName val="Managed_Accounts_-_Gross_Tradin"/>
      <sheetName val="Managed_Accounts"/>
      <sheetName val="CREDIT_STATS"/>
      <sheetName val="P&amp;L_Monthly"/>
      <sheetName val="Cost_Analysis_plc"/>
      <sheetName val="Transaction_Inputs"/>
      <sheetName val="Company_Inputs"/>
      <sheetName val="300_Valuation"/>
      <sheetName val="Five_Year_DCF"/>
      <sheetName val="Co__Inputs"/>
      <sheetName val="Collar-Options_Cash"/>
      <sheetName val="Cost_of_Services"/>
      <sheetName val="Price_of_Service"/>
      <sheetName val="Budget_Data"/>
      <sheetName val="Rev_&amp;_PC"/>
      <sheetName val="Non_Rev&amp;PC"/>
      <sheetName val="Salary_Fcst"/>
      <sheetName val="Lookup_Tables"/>
      <sheetName val="ResortQuest_and_Hawaii_Hotel_Op"/>
      <sheetName val="prepaid_expenses"/>
      <sheetName val="XTU_Sum_(2)"/>
      <sheetName val="Ctix_Mktg_"/>
      <sheetName val="Project_Analysis"/>
      <sheetName val="bonus_from_Forecaster"/>
      <sheetName val="cap_comp_from_Forecaster"/>
      <sheetName val="bad_debt_from_Forecaster"/>
      <sheetName val="FX_rates"/>
      <sheetName val="Input_Table"/>
      <sheetName val="Supporting_Data"/>
      <sheetName val="Print_Controls"/>
      <sheetName val="Segment_Metrics"/>
      <sheetName val="Key"/>
      <sheetName val="建物レントロール "/>
      <sheetName val="駐車場レントロール "/>
      <sheetName val="土地賃貸借契約の概要"/>
      <sheetName val="相関図"/>
      <sheetName val="競合ゴルフ場比較"/>
      <sheetName val="競合ゴルフ場"/>
      <sheetName val="Keibai"/>
      <sheetName val="detailed"/>
      <sheetName val="acs"/>
      <sheetName val="Reimbursements"/>
      <sheetName val="Acc"/>
      <sheetName val="D"/>
      <sheetName val="FF-2"/>
      <sheetName val="Annx"/>
      <sheetName val="Annex"/>
      <sheetName val="Significant Processes"/>
      <sheetName val="2001"/>
      <sheetName val="0110"/>
      <sheetName val="F-1 F-2"/>
      <sheetName val="Interim --&gt; Top"/>
      <sheetName val="DTD"/>
      <sheetName val="A2l1.SAD"/>
      <sheetName val="Assumptions 1"/>
      <sheetName val="Consheet(EY)"/>
      <sheetName val="Annx1"/>
      <sheetName val="gl"/>
      <sheetName val="Eppenarra"/>
      <sheetName val="Q-HP-11"/>
      <sheetName val="4 Analysis"/>
      <sheetName val="Q-HP-18"/>
      <sheetName val="Q-HP-36"/>
      <sheetName val="Q-HP-31"/>
      <sheetName val="Q(HP)"/>
      <sheetName val="Q-HP-20"/>
      <sheetName val="Q-HP-37"/>
      <sheetName val="Q-HP-39"/>
      <sheetName val="FF-3"/>
      <sheetName val="Q-HP-23"/>
      <sheetName val="Q-HP-14"/>
      <sheetName val="FF-2 (1)"/>
      <sheetName val="Q-HP-17"/>
      <sheetName val="Q-HP-16"/>
      <sheetName val="Q-HP-38"/>
      <sheetName val="Q-HP-25"/>
      <sheetName val="1 LeadSchedule"/>
      <sheetName val="FORMC94"/>
      <sheetName val="Q-HP-26"/>
      <sheetName val="Q-HP-27"/>
      <sheetName val="Audit Sch"/>
      <sheetName val="Q-HP-28"/>
      <sheetName val="Q-HP-24"/>
      <sheetName val="Q-HP-45"/>
      <sheetName val="U2 - Sales"/>
      <sheetName val="F31"/>
      <sheetName val="Q-HP-41"/>
      <sheetName val="Q-HP-33"/>
      <sheetName val="Q-HP-19"/>
      <sheetName val="Q-HP-34"/>
      <sheetName val="Q-HP-40"/>
      <sheetName val="Hp"/>
      <sheetName val="DFA"/>
      <sheetName val="Q-HP-12"/>
      <sheetName val="Q-HP-42"/>
      <sheetName val="Q-HP-30"/>
      <sheetName val="Q-HP-29"/>
      <sheetName val="Q-HP-21"/>
      <sheetName val="Q-HP-43"/>
      <sheetName val="FSA"/>
      <sheetName val="AFA"/>
      <sheetName val="65 FINANCE"/>
      <sheetName val="Q-HP-22"/>
      <sheetName val="BPR"/>
      <sheetName val="MFA"/>
      <sheetName val="Q-HP-35"/>
      <sheetName val="K5-1"/>
      <sheetName val="61 HR"/>
      <sheetName val="CA"/>
      <sheetName val="COMP00"/>
      <sheetName val="Q-HP-32"/>
      <sheetName val="FF-4"/>
      <sheetName val="Q-HP-15"/>
      <sheetName val="Q-HP-44"/>
      <sheetName val="Q-HP-13"/>
      <sheetName val="FSL-1"/>
      <sheetName val="F-1&amp;F-2"/>
      <sheetName val="Kastoria"/>
      <sheetName val="Suretide"/>
      <sheetName val="ad"/>
      <sheetName val="Safetide"/>
      <sheetName val="PL-APM"/>
      <sheetName val="NON QE"/>
      <sheetName val="O2 TC"/>
      <sheetName val="MFG"/>
      <sheetName val="#RE"/>
      <sheetName val="#R"/>
      <sheetName val="#"/>
      <sheetName val="B Redang"/>
      <sheetName val="AJE (2)"/>
      <sheetName val="A4-1-2"/>
      <sheetName val="A4-3"/>
      <sheetName val="SP B6"/>
      <sheetName val="NKS B6"/>
      <sheetName val="U1-2F Review Margin"/>
      <sheetName val="F3F"/>
      <sheetName val="F-2"/>
      <sheetName val="U2-Staff Welfare"/>
      <sheetName val="N3_SCH FUND"/>
      <sheetName val="K_Leeza"/>
      <sheetName val="K1_DEP Leeza"/>
      <sheetName val="PNB-MINORITY"/>
      <sheetName val="CONPL2003"/>
      <sheetName val="interest restriction"/>
      <sheetName val="E.5"/>
      <sheetName val="Specific_RCD3"/>
      <sheetName val="TBCS-PL"/>
      <sheetName val="L1"/>
      <sheetName val="L1-1"/>
      <sheetName val="Int rea (2)"/>
      <sheetName val="Int rea (4)"/>
      <sheetName val="L7-1"/>
      <sheetName val="Reclassifications"/>
      <sheetName val="RMatValuation"/>
      <sheetName val="E-Sales Cut-off"/>
      <sheetName val="E-Purch Cut-off"/>
      <sheetName val="B3-1"/>
      <sheetName val="E3.3"/>
      <sheetName val="E3.4"/>
      <sheetName val="L-FL"/>
      <sheetName val="L2"/>
      <sheetName val="L3"/>
      <sheetName val="Royalty"/>
      <sheetName val="credit"/>
      <sheetName val="Payroll Summary"/>
      <sheetName val="Insurance"/>
      <sheetName val="B4"/>
      <sheetName val="dpla "/>
      <sheetName val="OP. EXP (2)"/>
      <sheetName val="TOC-Sales"/>
      <sheetName val="TOC-Receipts"/>
      <sheetName val="N1.2 (2)"/>
      <sheetName val="C1-2"/>
      <sheetName val="B-ins"/>
      <sheetName val="lease"/>
      <sheetName val="D2"/>
      <sheetName val="Cut off - Fac A"/>
      <sheetName val="B4-1"/>
      <sheetName val="B2-4 (2)"/>
      <sheetName val="B6"/>
      <sheetName val="M5"/>
      <sheetName val="F1-1"/>
      <sheetName val="C1 "/>
      <sheetName val="C1-1"/>
      <sheetName val="C1-2 "/>
      <sheetName val="C1-3"/>
      <sheetName val="C2"/>
      <sheetName val="C3.."/>
      <sheetName val="C4w"/>
      <sheetName val="TBS"/>
      <sheetName val="TPL"/>
      <sheetName val="TRecon"/>
      <sheetName val="BS-YLI"/>
      <sheetName val="BS-ATT"/>
      <sheetName val="BS-YLB"/>
      <sheetName val="BS-YLT"/>
      <sheetName val="D1-2"/>
      <sheetName val="Adjustments"/>
      <sheetName val="C1-FL"/>
      <sheetName val="C1-AL"/>
      <sheetName val="D-PAD"/>
      <sheetName val="OSM11-01-06"/>
      <sheetName val="TBCS-BS"/>
      <sheetName val="D2-1"/>
      <sheetName val="D1"/>
      <sheetName val="D1-1"/>
      <sheetName val="D3"/>
      <sheetName val="D - Loan charges"/>
      <sheetName val="M1.2"/>
      <sheetName val="M2-deposit"/>
      <sheetName val="M3-retentionsum"/>
      <sheetName val="M4-accruals"/>
      <sheetName val="BURGER ACC"/>
      <sheetName val="M6.1-insurance"/>
      <sheetName val="PT KUTAI P7005 "/>
      <sheetName val="PT KUTAI P705U"/>
      <sheetName val="WTK W7002"/>
      <sheetName val="WTK W7003"/>
      <sheetName val="WTK W7008"/>
      <sheetName val="WTK W708U"/>
      <sheetName val="M2"/>
      <sheetName val="M2-1"/>
      <sheetName val="M2-2"/>
      <sheetName val="M2-3"/>
      <sheetName val="M2-4"/>
      <sheetName val="c1.1"/>
      <sheetName val="c1.2 "/>
      <sheetName val="fully depreciated"/>
      <sheetName val="asset list 2004 (4)"/>
      <sheetName val="details fully depr"/>
      <sheetName val="c1.3"/>
      <sheetName val="FA Addition"/>
      <sheetName val="disposal"/>
      <sheetName val="H1"/>
      <sheetName val="Sheet1 (3)"/>
      <sheetName val="Sheet1 (4)"/>
      <sheetName val="Sheet1 (5)"/>
      <sheetName val="Sheet1 (6)"/>
      <sheetName val="Sheet1 (7)"/>
      <sheetName val="Sheet1 (8)"/>
      <sheetName val="Sheet1 (9)"/>
      <sheetName val="Sheet1 (10)"/>
      <sheetName val="Sheet1 (11)"/>
      <sheetName val="E1-1"/>
      <sheetName val="E1-2 "/>
      <sheetName val="E8"/>
      <sheetName val="Wywy"/>
      <sheetName val="WOS"/>
      <sheetName val="TBCS-PL "/>
      <sheetName val="U3 (disclosure)"/>
      <sheetName val="E5-Recoverability review"/>
      <sheetName val="F1-Stock Roll fwd"/>
      <sheetName val="N3|2-1 (2)"/>
      <sheetName val="A2l1"/>
      <sheetName val="Reclassification"/>
      <sheetName val="O1-1"/>
      <sheetName val="cashflowcomp"/>
      <sheetName val="IPIS"/>
      <sheetName val="COSTS"/>
      <sheetName val="1660 SM"/>
      <sheetName val="1670 SM"/>
      <sheetName val="1641 SX"/>
      <sheetName val="1660SM2"/>
      <sheetName val="1670SM2"/>
      <sheetName val="1660SMOp"/>
      <sheetName val="1670SMOp"/>
      <sheetName val="1641SXOp"/>
      <sheetName val="Coefficient"/>
      <sheetName val="Coeffs"/>
      <sheetName val="Simple Coff."/>
      <sheetName val="F1-Stock Listing"/>
      <sheetName val="FYLE 2006"/>
      <sheetName val="C-1-5"/>
      <sheetName val="FF-1"/>
      <sheetName val="AE96"/>
      <sheetName val="Pg14"/>
      <sheetName val="CPC 25"/>
      <sheetName val="P12.4"/>
      <sheetName val="1515"/>
      <sheetName val="Rates"/>
      <sheetName val="details"/>
      <sheetName val="tax-ss"/>
      <sheetName val="1570 NB"/>
      <sheetName val="FA-LISTING"/>
      <sheetName val="CA Sheet"/>
      <sheetName val="U "/>
      <sheetName val="F-5"/>
      <sheetName val="UB-20"/>
      <sheetName val="Hyperion "/>
      <sheetName val="Services site"/>
      <sheetName val="Coef"/>
      <sheetName val="U-1-3"/>
      <sheetName val="O-5 "/>
      <sheetName val="O-3"/>
      <sheetName val="BBKs"/>
      <sheetName val="FF-5"/>
      <sheetName val="Unit Fixed costs"/>
      <sheetName val="SalesStat"/>
      <sheetName val="GRO Cost"/>
      <sheetName val="owssvr(1)"/>
      <sheetName val="PMO"/>
      <sheetName val="CFM"/>
      <sheetName val="16"/>
      <sheetName val="Amex 19 Jun"/>
      <sheetName val="Amex 12 Jun"/>
      <sheetName val="Amex 5 Jun"/>
      <sheetName val="Detail 1"/>
      <sheetName val="Detail 2"/>
      <sheetName val="Detail 3"/>
      <sheetName val="Detail 4"/>
      <sheetName val="Detail 5"/>
      <sheetName val="GRO_Cost1"/>
      <sheetName val="Amex_19_Jun1"/>
      <sheetName val="Amex_12_Jun1"/>
      <sheetName val="Amex_5_Jun1"/>
      <sheetName val="Detail_11"/>
      <sheetName val="Detail_21"/>
      <sheetName val="Detail_31"/>
      <sheetName val="Detail_41"/>
      <sheetName val="Detail_51"/>
      <sheetName val="GRO_Cost"/>
      <sheetName val="Amex_19_Jun"/>
      <sheetName val="Amex_12_Jun"/>
      <sheetName val="Amex_5_Jun"/>
      <sheetName val="Detail_1"/>
      <sheetName val="Detail_2"/>
      <sheetName val="Detail_3"/>
      <sheetName val="Detail_4"/>
      <sheetName val="Detail_5"/>
      <sheetName val="GRO_Cost2"/>
      <sheetName val="Amex_19_Jun2"/>
      <sheetName val="Amex_12_Jun2"/>
      <sheetName val="Amex_5_Jun2"/>
      <sheetName val="Detail_12"/>
      <sheetName val="Detail_22"/>
      <sheetName val="Detail_32"/>
      <sheetName val="Detail_42"/>
      <sheetName val="Detail_52"/>
      <sheetName val="HICAP suspension salvage"/>
      <sheetName val="rev1"/>
      <sheetName val="OH &amp; Scrap Rate Model"/>
      <sheetName val="Services（携帯電話)"/>
      <sheetName val="Ativo"/>
      <sheetName val="Model Workings"/>
      <sheetName val="Controles"/>
      <sheetName val="Assembled Workforce"/>
      <sheetName val="Profit _ Loss"/>
      <sheetName val="fixed assets"/>
      <sheetName val="Issues (3)"/>
      <sheetName val="F4 (2)"/>
      <sheetName val="Pendências (2)"/>
      <sheetName val="Issues (2)"/>
      <sheetName val="Pendências"/>
      <sheetName val="Issues"/>
      <sheetName val="3900"/>
      <sheetName val="Selic"/>
      <sheetName val="CS comp. nova"/>
      <sheetName val="GAST.I"/>
      <sheetName val="P_L"/>
      <sheetName val="Assets"/>
      <sheetName val="Liab&amp;Equity"/>
      <sheetName val="Dropdown"/>
      <sheetName val="Accretion_dilution"/>
      <sheetName val="DADOS"/>
      <sheetName val="PM2"/>
      <sheetName val="lead"/>
      <sheetName val="links"/>
      <sheetName val="Balanço+DRE"/>
      <sheetName val="xref"/>
      <sheetName val="MLP IPO Yields vs MLP Index"/>
      <sheetName val="sales vol."/>
      <sheetName val="consolidated"/>
      <sheetName val="Page A-1"/>
      <sheetName val="Source_Use"/>
      <sheetName val="CAPEX"/>
      <sheetName val="Labels and Vlookups"/>
      <sheetName val="기안지"/>
      <sheetName val="FO-BO-ER"/>
      <sheetName val="차수"/>
      <sheetName val="사구"/>
      <sheetName val="BASF"/>
      <sheetName val="Tooling Cost (2)"/>
      <sheetName val="UDI'S"/>
      <sheetName val="ia12"/>
      <sheetName val="INPC"/>
      <sheetName val="RDO CONT"/>
      <sheetName val="A. FIJO"/>
      <sheetName val="ABX"/>
      <sheetName val="BB Info"/>
      <sheetName val="nethouse input (CURRENT PERIOD)"/>
      <sheetName val="Dealer names"/>
      <sheetName val="Расчет-выпуск"/>
      <sheetName val="Рез-т"/>
      <sheetName val="BB DATA"/>
      <sheetName val="bloomberg"/>
      <sheetName val="Hasbro"/>
      <sheetName val="FCB_ALL"/>
      <sheetName val="ER LavSal Vs Ant"/>
      <sheetName val="Tooling Assembly"/>
      <sheetName val="Carole_Worksheet_Table"/>
      <sheetName val="TOSH06ISR "/>
      <sheetName val="ajuste IVA"/>
      <sheetName val="IMPAC"/>
      <sheetName val="DEPFIST US2000"/>
      <sheetName val="Hoja1"/>
      <sheetName val="CY Head"/>
      <sheetName val="IOPlan"/>
      <sheetName val="WIPROGE"/>
      <sheetName val="StdMarginRegQtr"/>
      <sheetName val="STATICV"/>
      <sheetName val="Inventory List (2)"/>
      <sheetName val="FGMS"/>
      <sheetName val="Wenger Summary"/>
      <sheetName val="GlobalSAndIByPole"/>
      <sheetName val="GL Summary"/>
      <sheetName val="MCOE Final Slow"/>
      <sheetName val="관세"/>
      <sheetName val="주주명부&lt;끝&gt;"/>
      <sheetName val="Modality Summary"/>
      <sheetName val=" BC SUMMARY 2003"/>
      <sheetName val="Productivity"/>
      <sheetName val="prdtyform"/>
      <sheetName val="Final HU TB Jun 2002"/>
      <sheetName val="2001 even"/>
      <sheetName val="0398exp"/>
      <sheetName val="CUSTOMERDETAILS"/>
      <sheetName val="condensed p&amp;l"/>
      <sheetName val="p&amp;l by month"/>
      <sheetName val="ref"/>
      <sheetName val="DSO"/>
      <sheetName val="cashflow"/>
      <sheetName val="£Summary"/>
      <sheetName val="LCGRAPH"/>
      <sheetName val="GM EPS Model"/>
      <sheetName val="pitch"/>
      <sheetName val="ACLSHL96"/>
      <sheetName val="Mix in Total"/>
      <sheetName val="Page 1"/>
      <sheetName val="calendar"/>
      <sheetName val="NSB_EST2"/>
      <sheetName val="PRC_EST2"/>
      <sheetName val="NSB_EST1"/>
      <sheetName val="PRC_EST1"/>
      <sheetName val="ACT_NSB_CY"/>
      <sheetName val="ACT_NSB_PY"/>
      <sheetName val="ACT_PRC_CY"/>
      <sheetName val="OP_NSB"/>
      <sheetName val="OP_PRICE"/>
      <sheetName val="Business Summary Reports"/>
      <sheetName val="Stock Chart"/>
      <sheetName val="S2_40m_by mth"/>
      <sheetName val="STORE"/>
      <sheetName val="CSH"/>
      <sheetName val="group-match  "/>
      <sheetName val="Reference"/>
      <sheetName val="1077"/>
      <sheetName val="OP"/>
      <sheetName val="IM"/>
      <sheetName val="TPM00"/>
      <sheetName val="Asia"/>
      <sheetName val="Canada"/>
      <sheetName val="CHS"/>
      <sheetName val="Lamer"/>
      <sheetName val="Other"/>
      <sheetName val="Coous"/>
      <sheetName val="TGSO"/>
      <sheetName val="ZT"/>
      <sheetName val="Asiasrcing"/>
      <sheetName val="TPRD"/>
      <sheetName val="TSM"/>
      <sheetName val="TTCH"/>
      <sheetName val="Working Capital"/>
      <sheetName val="ACT_NSB_PYOP"/>
      <sheetName val="ACT_MIX_CY"/>
      <sheetName val="Stepped Pmts"/>
      <sheetName val="OP PLAN"/>
      <sheetName val="Salary"/>
      <sheetName val="HEADCOUNT WORKSHEET"/>
      <sheetName val="Mat'l Pareto"/>
      <sheetName val="Measures"/>
      <sheetName val="MIP codes 2002"/>
      <sheetName val="MIP actuals 2002"/>
      <sheetName val="Managers Database"/>
      <sheetName val="Health Plans"/>
      <sheetName val="Plans"/>
      <sheetName val="NOV8-MCATS"/>
      <sheetName val="SUMbyGEMS"/>
      <sheetName val="Sales-CM"/>
      <sheetName val="3Q Ops"/>
      <sheetName val="3Q Orders"/>
      <sheetName val="4Q Orders"/>
      <sheetName val="4Q Ops"/>
      <sheetName val="2003 Ops"/>
      <sheetName val="2003 Orders"/>
      <sheetName val="TY CM Walk"/>
      <sheetName val="DR4"/>
      <sheetName val="CFOA-TCG 2008 OP"/>
      <sheetName val=" BC SUMMARY 2002"/>
      <sheetName val="25BYOB94"/>
      <sheetName val="P&amp;L Analysis"/>
      <sheetName val="print_macro"/>
      <sheetName val="bpts_2001"/>
      <sheetName val="DR95-Complement"/>
      <sheetName val="94 Rev"/>
      <sheetName val="Adm97"/>
      <sheetName val="Ind Mat"/>
      <sheetName val="1403"/>
      <sheetName val="Input Page"/>
      <sheetName val="prdty"/>
      <sheetName val="References"/>
      <sheetName val="TPM Tot"/>
      <sheetName val="inventory snapshot 20020313"/>
      <sheetName val="Total by Function QSplit"/>
      <sheetName val="On Hand"/>
      <sheetName val="Eur_sub2 "/>
      <sheetName val="R&amp;D"/>
      <sheetName val="3-13 Summary"/>
      <sheetName val="95 Rev"/>
      <sheetName val="FG Obsol"/>
      <sheetName val="chart 1"/>
      <sheetName val="??"/>
      <sheetName val="????&lt;?&gt;"/>
      <sheetName val="CA computation"/>
      <sheetName val="应收帐款 AR "/>
      <sheetName val="固定资产汇总B5"/>
      <sheetName val="建筑物5-1-1"/>
      <sheetName val="构筑物5-1-2"/>
      <sheetName val="管道沟槽5-1-3"/>
      <sheetName val="机器设备5-2-1"/>
      <sheetName val="车辆5-2-2"/>
      <sheetName val="电子设备5-2-3"/>
      <sheetName val="Estimate Trending"/>
      <sheetName val="Sales to CM Summary"/>
      <sheetName val="Estimate Database"/>
      <sheetName val="Database"/>
      <sheetName val="Version Verification"/>
      <sheetName val="Data Sheet Source Example"/>
      <sheetName val="CEP register - ALL (2)"/>
      <sheetName val="Spend June 2008 (2)"/>
      <sheetName val="Inv Est Now"/>
      <sheetName val="MD UK"/>
      <sheetName val="qr_do3_30"/>
      <sheetName val="qr_do14_me"/>
      <sheetName val="1Q02_TIE-OUT"/>
      <sheetName val="Comments"/>
      <sheetName val="Download"/>
      <sheetName val="qr_dlc_me"/>
      <sheetName val="qr_dlc_nv"/>
      <sheetName val="qr_dlc_fpd"/>
      <sheetName val="qr_dlc_30"/>
      <sheetName val="qr_src_gratis_90"/>
      <sheetName val="qr_src_gratis_nv"/>
      <sheetName val="U71 180001004"/>
      <sheetName val="U71 181001004"/>
      <sheetName val="Wrk"/>
      <sheetName val="qr_do14_90"/>
      <sheetName val="3 Digit Account Grouping"/>
      <sheetName val="Balanza 323"/>
      <sheetName val="3 Dig CDR "/>
      <sheetName val="table grille"/>
      <sheetName val="CoverSheet"/>
      <sheetName val="Economic Inputs"/>
      <sheetName val="Cur Yr Data"/>
      <sheetName val="Prv Year Data"/>
      <sheetName val="qr_src_ekspres_30"/>
      <sheetName val="Front Page"/>
      <sheetName val="DYN PP"/>
      <sheetName val="200-Balance_CORR"/>
      <sheetName val="definitionen"/>
      <sheetName val="Severity"/>
      <sheetName val="Site 04 - Level 4"/>
      <sheetName val="src_miss_branches_nv"/>
      <sheetName val="qr_src_nv"/>
      <sheetName val="qr_src_spd"/>
      <sheetName val="qr_do7_me"/>
      <sheetName val="qr_do7_nv"/>
      <sheetName val="qr_do7_30"/>
      <sheetName val="qr_do7_90"/>
      <sheetName val="qr_do7_fpd"/>
      <sheetName val="qr_do14_nv"/>
      <sheetName val="qr_do14_fpd"/>
      <sheetName val="qr_src_me_GE"/>
      <sheetName val="qr_src_nv_GE"/>
      <sheetName val="qr_src30_GE"/>
      <sheetName val="qr_src90_GE"/>
      <sheetName val="qr_src_spd_GE"/>
      <sheetName val="Vol Detail"/>
      <sheetName val="Assessment Allocation"/>
      <sheetName val="Headcount Expense Allocation"/>
      <sheetName val="WIP Details"/>
      <sheetName val="qr_do3_90"/>
      <sheetName val="Source"/>
      <sheetName val="CA WIP"/>
      <sheetName val="YTD Big Y's"/>
      <sheetName val="Actual 03 Volume"/>
      <sheetName val="U71"/>
      <sheetName val="ＣＤＲ_Ｍ"/>
      <sheetName val="Cross Walk"/>
      <sheetName val="Subledger Description"/>
      <sheetName val="Sample"/>
      <sheetName val="Net Income"/>
      <sheetName val="Volume"/>
      <sheetName val="EP Vol New"/>
      <sheetName val="SP Vol New"/>
      <sheetName val="Prepays"/>
      <sheetName val="Q2 Est"/>
      <sheetName val="EPSP Splitout"/>
      <sheetName val="Appendix"/>
      <sheetName val="Cover Page"/>
      <sheetName val="Asset Quality"/>
      <sheetName val="MTDVOLUME"/>
      <sheetName val="Lease Loan98"/>
      <sheetName val="opplanbackup"/>
      <sheetName val="98VOLUME"/>
      <sheetName val="leaseloan-ytd"/>
      <sheetName val="YTDVOLUME"/>
      <sheetName val="BACKUP"/>
      <sheetName val="PopCache"/>
      <sheetName val="Deal Name"/>
      <sheetName val="JE10310X"/>
      <sheetName val="status codes"/>
      <sheetName val="CASHBOOK"/>
      <sheetName val="6300804"/>
      <sheetName val="ATLAS 1-Budget"/>
      <sheetName val="bup c8s001 050001% mar03 (3)"/>
      <sheetName val="CFG&gt;500"/>
      <sheetName val="10-24 Bal Sheet"/>
      <sheetName val="Summary0300"/>
      <sheetName val="Borrowing Base"/>
      <sheetName val="May 4299"/>
      <sheetName val="SOOURCE"/>
      <sheetName val="PMSTABLE"/>
      <sheetName val="ENTREE JOURNAL"/>
      <sheetName val="buttons"/>
      <sheetName val="update_formulas"/>
      <sheetName val="var"/>
      <sheetName val="print_macros"/>
      <sheetName val="print_qtrs"/>
      <sheetName val="update_macros"/>
      <sheetName val="LIQUIDATION &amp; AMORTIZATION GAIN"/>
      <sheetName val="Calculation Questionnaire"/>
      <sheetName val="qr_do3_fpd"/>
      <sheetName val="qr_do14_30"/>
      <sheetName val="qr_do3_me"/>
      <sheetName val="qr_do3_nv"/>
      <sheetName val="ccySummary"/>
      <sheetName val="Waterfall"/>
      <sheetName val="CEF Funding LLC"/>
      <sheetName val="Recalculations-Capital-GAAP"/>
      <sheetName val="Recalculations-Oper-GAAP"/>
      <sheetName val="PROFIT"/>
      <sheetName val="VA89_CHG"/>
      <sheetName val="Comm Mtg"/>
      <sheetName val="Entry"/>
      <sheetName val="Review Minutes"/>
      <sheetName val="Feed sheet"/>
      <sheetName val="New business"/>
      <sheetName val="Pull Sheet"/>
      <sheetName val="Hotel Directory"/>
      <sheetName val="properties"/>
      <sheetName val="KASS"/>
      <sheetName val="FINOPS"/>
      <sheetName val="Pro-Forma"/>
      <sheetName val="junior comps"/>
      <sheetName val="DAYNSR"/>
      <sheetName val="Gold Reserve"/>
      <sheetName val="AUR-Cons"/>
      <sheetName val="LONDON2"/>
      <sheetName val="Quebrada NAV"/>
      <sheetName val="A - NAV"/>
      <sheetName val="D - Deal &amp; Contrib"/>
      <sheetName val="D - Niobec"/>
      <sheetName val="Sheet7"/>
      <sheetName val="Sheet8"/>
      <sheetName val="Sheet12"/>
      <sheetName val="Sheet13"/>
      <sheetName val="Sheet14"/>
      <sheetName val="Sheet15"/>
      <sheetName val="Sheet16"/>
      <sheetName val="DAY_SUM"/>
      <sheetName val="Sensitivity"/>
      <sheetName val="Copper Range"/>
      <sheetName val="B - Niobec"/>
      <sheetName val="1 - CBJ SUM"/>
      <sheetName val="A - Doyon"/>
      <sheetName val="FSA (2)"/>
      <sheetName val="Tuition"/>
      <sheetName val="Hours per Month"/>
      <sheetName val="Tuition Template"/>
      <sheetName val="LA"/>
      <sheetName val="pivot"/>
      <sheetName val="daily Hours"/>
      <sheetName val="90-10"/>
      <sheetName val="Assptn"/>
      <sheetName val="App_Dep"/>
      <sheetName val="Unreal_Market_GL"/>
      <sheetName val="App_Dep (2)"/>
      <sheetName val="EBITDA Bridge"/>
      <sheetName val="Sample Pie"/>
      <sheetName val="Capital Expenditures"/>
      <sheetName val="Dep. and Amort."/>
      <sheetName val="Debt Free - Cash Free"/>
      <sheetName val="Working Cap"/>
      <sheetName val="Income Statement Projections"/>
      <sheetName val="Capital Expenditure Projections"/>
      <sheetName val="Forecasted WC"/>
      <sheetName val="Summary IS (2)"/>
      <sheetName val="Net Sales (2)"/>
      <sheetName val="Gross Profit (2)"/>
      <sheetName val="Summary IS"/>
      <sheetName val="Net Sales"/>
      <sheetName val="Gross Profit"/>
      <sheetName val="Sales - GP Opening Chart"/>
      <sheetName val="Operating Expense"/>
      <sheetName val="Undadjusted EBITDA"/>
      <sheetName val="Adjusted EBITDA"/>
      <sheetName val="BD-GL Account"/>
      <sheetName val="FGGT"/>
      <sheetName val="SG&amp;A-BD"/>
      <sheetName val="NG"/>
      <sheetName val="DO NOT USE"/>
      <sheetName val="BD_GL Account"/>
      <sheetName val="Financial Data"/>
      <sheetName val="Trading Multiples"/>
      <sheetName val="Operating Statistics"/>
      <sheetName val="Business Description"/>
      <sheetName val="Implied Valuation"/>
      <sheetName val="Valuation Chart"/>
      <sheetName val="Credit Health Panel"/>
      <sheetName val="Disclaimer"/>
      <sheetName val="COMBINED_IS"/>
      <sheetName val="COMBINED_BS"/>
      <sheetName val="HAS_GETS"/>
      <sheetName val="TRANS_SUM"/>
      <sheetName val="Sch G-2  LOC Analysis 2004 (2)"/>
      <sheetName val="Subject"/>
      <sheetName val="Data WIP"/>
      <sheetName val="Details BS"/>
      <sheetName val="Details PL"/>
      <sheetName val="RM Consumption Schedule 11"/>
      <sheetName val="TB 01-05-03"/>
      <sheetName val="New Summary P&amp;L"/>
      <sheetName val="Order Pipeline Review Ver2"/>
      <sheetName val="Summary P&amp;L"/>
      <sheetName val="Order Pipeline Review"/>
      <sheetName val="CAP"/>
      <sheetName val="Series_Description"/>
      <sheetName val="Economic_Series_Chart"/>
      <sheetName val="Series_Values"/>
      <sheetName val="FS_ing"/>
      <sheetName val="Extra_2"/>
      <sheetName val="TB__HSG"/>
      <sheetName val="Consolidating_BS-PL_2007"/>
      <sheetName val="SD_AJE"/>
      <sheetName val="DN_AJE"/>
      <sheetName val="SD_TB"/>
      <sheetName val="DN_TB"/>
      <sheetName val="TB_EXEC_-_Done"/>
      <sheetName val="P_&amp;L"/>
      <sheetName val="SEC_bridge"/>
      <sheetName val="EMC_format"/>
      <sheetName val="M_A_Private_Placements"/>
      <sheetName val="Period_Cost"/>
      <sheetName val="Orders_to_Revenue"/>
      <sheetName val="Solar"/>
      <sheetName val="Summary Table 3"/>
      <sheetName val="sun"/>
      <sheetName val="CD001-ENDOW"/>
      <sheetName val="CD001- AUG.TAL INC"/>
      <sheetName val="CD001-VILLAGE"/>
      <sheetName val="CD001-CENTURY"/>
      <sheetName val="CD001-1140"/>
      <sheetName val="RP001"/>
      <sheetName val="K-1 Tax Attributes Cf "/>
      <sheetName val="房屋及建筑物"/>
      <sheetName val="通用设备"/>
      <sheetName val="专用设备"/>
      <sheetName val="运输设备"/>
      <sheetName val="其他"/>
      <sheetName val="#REF!"/>
      <sheetName val="NOTE2004"/>
      <sheetName val="CA2000"/>
      <sheetName val="Contents"/>
      <sheetName val="CB"/>
      <sheetName val="US - FINAL"/>
      <sheetName val="Summ"/>
      <sheetName val="Swell "/>
      <sheetName val="SSA Monthly Journal"/>
      <sheetName val="P&amp;L and BS"/>
      <sheetName val="Budget"/>
      <sheetName val="2 YR Reg"/>
      <sheetName val="Analyst Coverage"/>
      <sheetName val="MAI Plan P&amp;L"/>
      <sheetName val="IS_USD"/>
      <sheetName val="BS_USD"/>
      <sheetName val="Sales_COGS"/>
      <sheetName val="Costs_MSK_03"/>
      <sheetName val="Costs_SPB_03"/>
      <sheetName val="Costs_MSK_04"/>
      <sheetName val="Costs_SPB_04"/>
      <sheetName val="Costs_MSK_05"/>
      <sheetName val="Costs_SPB_05"/>
      <sheetName val="Personnel"/>
      <sheetName val="Rent_MSC"/>
      <sheetName val="Rent_SPB"/>
      <sheetName val="Tax_MSK"/>
      <sheetName val="Tax_SPB"/>
      <sheetName val="2004"/>
      <sheetName val="IS_Statutory (optional)"/>
      <sheetName val="BS_Statutory (optional)"/>
      <sheetName val="IS_AGA_final"/>
      <sheetName val="BS_AGA_final"/>
      <sheetName val="IS_AGA_prelim"/>
      <sheetName val="BS_AGA_prelim"/>
      <sheetName val="SAL-2000"/>
      <sheetName val="IncidentsEAP"/>
      <sheetName val="Cntmrs-Recruit"/>
      <sheetName val="Cntmrs"/>
      <sheetName val="2000"/>
      <sheetName val="Monthly Allowances"/>
      <sheetName val="Actuals by Mth"/>
      <sheetName val="Plan by Mth"/>
      <sheetName val="Forecast"/>
      <sheetName val="Actuals YTD-Mth"/>
      <sheetName val="PLan YTD-Mth"/>
      <sheetName val="plan"/>
      <sheetName val="PYR"/>
      <sheetName val="2002_PD_RJ_Channel_Aug"/>
      <sheetName val="2002_PD_Top_42_Aug"/>
      <sheetName val="072902_NA_Sales_Hist"/>
      <sheetName val="2002_PD_Top_42_July"/>
      <sheetName val="2002_PD_RJ_Channel_July"/>
      <sheetName val="VR data"/>
      <sheetName val="MP data"/>
      <sheetName val="Development"/>
      <sheetName val="Facility"/>
      <sheetName val="IT"/>
      <sheetName val="D504"/>
      <sheetName val="Actuals-Mth"/>
      <sheetName val="Pln by mth"/>
      <sheetName val="Actuals-YTD"/>
      <sheetName val="Pln YTD"/>
      <sheetName val="Vlookup"/>
      <sheetName val="Invent"/>
      <sheetName val="AMCY Impact"/>
      <sheetName val="ZZ_DowntimeIssuesMTD"/>
      <sheetName val="Assy Exc Takt"/>
      <sheetName val="BlindDate"/>
      <sheetName val="BDBarterUlt"/>
      <sheetName val="5thWheel"/>
      <sheetName val="Randall"/>
      <sheetName val="Metro"/>
      <sheetName val="Unadjusted Transactions"/>
      <sheetName val="AtlasParameters"/>
      <sheetName val="SHTCOMPS"/>
      <sheetName val="Revenue Detail"/>
      <sheetName val="Actual INPUT"/>
      <sheetName val="Accounts"/>
      <sheetName val="Master Assumption Page"/>
      <sheetName val="Kelley 15-15 Assumptions"/>
      <sheetName val="CCP"/>
      <sheetName val="폐토수익화 "/>
      <sheetName val="종합일지"/>
      <sheetName val="인건비(골)"/>
      <sheetName val="인건비(PX외)"/>
      <sheetName val="VARIANCE"/>
      <sheetName val="매출-1"/>
      <sheetName val="STRAIGHT"/>
      <sheetName val="FAS Current Month"/>
      <sheetName val="Atlanta"/>
      <sheetName val="Pre-EmploEntry"/>
      <sheetName val="All Vendors Co 1 &amp; 10"/>
      <sheetName val="TRCIII-2001sec gains"/>
      <sheetName val="Liability"/>
      <sheetName val="JE_Summary"/>
      <sheetName val="CAPIQ"/>
      <sheetName val="Dimeco Financials"/>
      <sheetName val="coas"/>
      <sheetName val="Gill"/>
      <sheetName val="mich"/>
      <sheetName val="Departments"/>
      <sheetName val="치솔실적"/>
      <sheetName val="여신현황"/>
      <sheetName val="장할생활 (2)"/>
      <sheetName val="주요품목"/>
      <sheetName val="품목별8"/>
      <sheetName val="총합계"/>
      <sheetName val="품목별1"/>
      <sheetName val="품목별2"/>
      <sheetName val="품목별3"/>
      <sheetName val="품목별4"/>
      <sheetName val="품목별5"/>
      <sheetName val="품목별6"/>
      <sheetName val="품목별7"/>
      <sheetName val="NAV0"/>
      <sheetName val="인원"/>
      <sheetName val="영업현황"/>
      <sheetName val="주요품목거래율"/>
      <sheetName val="자산"/>
      <sheetName val="영업상황"/>
      <sheetName val="손익1"/>
      <sheetName val="손익2"/>
      <sheetName val="자체판매"/>
      <sheetName val="수금현황"/>
      <sheetName val="시장현황분석"/>
      <sheetName val="A-4"/>
      <sheetName val="N-1"/>
      <sheetName val="Q-1 "/>
      <sheetName val="T-1"/>
      <sheetName val="Trial Balance"/>
      <sheetName val="เงินกู้ธนชาติ"/>
      <sheetName val="เงินกู้ MGC"/>
      <sheetName val="Stock Aging"/>
      <sheetName val="Recons"/>
      <sheetName val="Site Stats"/>
      <sheetName val="Cash Reg Orders Recd"/>
      <sheetName val="Warehouse"/>
      <sheetName val="Orders Settled"/>
      <sheetName val="Tot1298"/>
      <sheetName val="Cum_ies_99"/>
      <sheetName val="Cum_intr_99"/>
      <sheetName val="regrupare_cum_99"/>
      <sheetName val="Inflation"/>
      <sheetName val="Hyp - Expense"/>
      <sheetName val="Service Delivery"/>
      <sheetName val="변동원가"/>
      <sheetName val="단가"/>
      <sheetName val="판매"/>
      <sheetName val="투자계획"/>
      <sheetName val="배부율"/>
      <sheetName val="규격손"/>
      <sheetName val="무형처분"/>
      <sheetName val="통제"/>
      <sheetName val="유형처분"/>
      <sheetName val="투자처분"/>
      <sheetName val="기초확정"/>
      <sheetName val="final TB(월)"/>
      <sheetName val="매출원"/>
      <sheetName val="매입채무"/>
      <sheetName val="차입2"/>
      <sheetName val="nude TB"/>
      <sheetName val="BS계정"/>
      <sheetName val="영업외손익"/>
      <sheetName val="종합"/>
      <sheetName val="판관"/>
      <sheetName val="집계"/>
      <sheetName val="레손"/>
      <sheetName val="골손"/>
      <sheetName val="프리"/>
      <sheetName val="전산소모"/>
      <sheetName val="정문앞"/>
      <sheetName val="상각비"/>
      <sheetName val="성수원가"/>
      <sheetName val="운전1"/>
      <sheetName val="월물량"/>
      <sheetName val="자가매출"/>
      <sheetName val="도급"/>
      <sheetName val="03자가(월)"/>
      <sheetName val="원료"/>
      <sheetName val="총괄표(견적)"/>
      <sheetName val="As is Value"/>
      <sheetName val="재무상황"/>
      <sheetName val="On Going Value"/>
      <sheetName val="03자가RC(공장별)"/>
      <sheetName val="자갈매출"/>
      <sheetName val="모래매출"/>
      <sheetName val="임원보수세부"/>
      <sheetName val="임원보수2"/>
      <sheetName val="손익,차입금"/>
      <sheetName val="AutoMacro"/>
      <sheetName val="Deferred Add"/>
      <sheetName val="Returns Analysis"/>
      <sheetName val="FAB별"/>
      <sheetName val="Basic Details"/>
      <sheetName val="Notes to accounts"/>
      <sheetName val="Hub Inputs"/>
      <sheetName val="BOM Matrix (2)"/>
      <sheetName val="SL"/>
      <sheetName val="ECR E04 22.03.02 FRZ"/>
      <sheetName val="MAC500-11013410"/>
      <sheetName val="PRO-DTA"/>
      <sheetName val="MP - DTA"/>
      <sheetName val=".dll_x0000__x0005__x0008_Ā_x0008__x0000__x0000_眹宀Ј⧠స_x0000__x0000__x0000__x0000_ㅾ℀㄀_x0000__x0004__x0005__x0000__x000c_樸౓"/>
      <sheetName val="e &amp;Support_x0000__x0005__x0019_Ā_x000a_Send Feedbac&amp;k_x0000_r"/>
      <sheetName val="SOAD "/>
      <sheetName val="uly%202010%20Aug%205,%202010%20"/>
      <sheetName val="Summary of Project &amp; WIP Review"/>
      <sheetName val="A1-1-2"/>
      <sheetName val="Chart3"/>
      <sheetName val="Chart2"/>
      <sheetName val="Chart1"/>
      <sheetName val="附注汇总  (2)"/>
      <sheetName val="现金合并 (2)"/>
      <sheetName val="固定资产及累计折旧 "/>
      <sheetName val="F5、F6-2"/>
      <sheetName val="应付工资"/>
      <sheetName val="资产合并"/>
      <sheetName val="利润合并"/>
      <sheetName val="现金合并"/>
      <sheetName val="分录抵销"/>
      <sheetName val="E4 Sales cutoff"/>
      <sheetName val="S2"/>
      <sheetName val="A7"/>
      <sheetName val="W"/>
      <sheetName val="III"/>
      <sheetName val="DPL"/>
      <sheetName val="N3"/>
      <sheetName val="CPF"/>
      <sheetName val="U2.1.1 (2)"/>
      <sheetName val="M8memo Prov for connectplan"/>
      <sheetName val="U2.1 ARPs(P)"/>
      <sheetName val="U1 Lead (2)"/>
      <sheetName val="U6.3A Landscape project ana"/>
      <sheetName val="A6.3"/>
      <sheetName val="I1- interco"/>
      <sheetName val="U3 Payroll lead"/>
      <sheetName val="E5.1 Sales cut off"/>
      <sheetName val="现金流量过渡"/>
      <sheetName val="流量附注过渡"/>
      <sheetName val="追溯调帐2000"/>
      <sheetName val="U300"/>
      <sheetName val="U400"/>
      <sheetName val="CFChart (2)"/>
      <sheetName val="AJE  (2)"/>
      <sheetName val="RJE (2)"/>
      <sheetName val="SAD"/>
      <sheetName val="C101 (2)"/>
      <sheetName val="G101"/>
      <sheetName val="H101"/>
      <sheetName val="H601"/>
      <sheetName val="H602"/>
      <sheetName val="M101"/>
      <sheetName val="O501"/>
      <sheetName val="O601"/>
      <sheetName val="T101-Share Cap (2)"/>
      <sheetName val="Umemo"/>
      <sheetName val="CBS"/>
      <sheetName val="U200"/>
      <sheetName val="U-100"/>
      <sheetName val="CFChart (3)"/>
      <sheetName val="H501"/>
      <sheetName val="AJE "/>
      <sheetName val="U102"/>
      <sheetName val="U101"/>
      <sheetName val="BS0605"/>
      <sheetName val="PL0605"/>
      <sheetName val="Other Info"/>
      <sheetName val="MKT PO-2011"/>
      <sheetName val="ONOFF-BUD (ROC)"/>
      <sheetName val="TMSPF-Dump"/>
      <sheetName val="Proclarity"/>
      <sheetName val="EEFC Account"/>
      <sheetName val="CHENNAI - ANNX"/>
      <sheetName val="Allocation for Nov 04"/>
      <sheetName val="Sheet18"/>
      <sheetName val="Aviva Debit Note- Nov 04"/>
      <sheetName val="Aviva Debit Note- Dec 04"/>
      <sheetName val="Aviva Invoice- Dec 04"/>
      <sheetName val="P&amp;LGROUP"/>
      <sheetName val="Encl I"/>
      <sheetName val="Wo_Cl"/>
      <sheetName val="Interlock"/>
      <sheetName val="F'cast Pr Mth"/>
      <sheetName val="Hyp Dump"/>
      <sheetName val="Monthly_Allowances"/>
      <sheetName val="Actuals_by_Mth"/>
      <sheetName val="Plan_by_Mth"/>
      <sheetName val="Actuals_YTD-Mth"/>
      <sheetName val="PLan_YTD-Mth"/>
      <sheetName val="VR_data"/>
      <sheetName val="MP_data"/>
      <sheetName val="Pln_by_mth"/>
      <sheetName val="Pln_YTD"/>
      <sheetName val="TOOLG"/>
      <sheetName val="Competitors"/>
      <sheetName val="Transaction Summary"/>
      <sheetName val="WPA_Assum"/>
      <sheetName val="TradeName"/>
      <sheetName val="RoyaltyAssets"/>
      <sheetName val="Inputs-Tables"/>
      <sheetName val="Transaction-Assum."/>
      <sheetName val="Prices"/>
      <sheetName val="1st Q 2002"/>
      <sheetName val="1999"/>
      <sheetName val="Page A-7 "/>
      <sheetName val="S-7"/>
      <sheetName val="Actual month $"/>
      <sheetName val="fme idex"/>
      <sheetName val="fma idex"/>
      <sheetName val="fme fm"/>
      <sheetName val="History"/>
      <sheetName val="EAT"/>
      <sheetName val="KRA"/>
      <sheetName val="Graph"/>
      <sheetName val="Macros"/>
      <sheetName val="basic working"/>
      <sheetName val="June analysis "/>
      <sheetName val="D&amp;O list IMl"/>
      <sheetName val="Act-PL"/>
      <sheetName val="Bud-HC"/>
      <sheetName val="H&amp;Q"/>
      <sheetName val="PNW"/>
      <sheetName val="TM - USA"/>
      <sheetName val="German Co.- Attrition study"/>
      <sheetName val="Comp IS"/>
      <sheetName val="RB AD"/>
      <sheetName val="NTM PE"/>
      <sheetName val="Inc"/>
      <sheetName val="Operating Statement Data"/>
      <sheetName val="RECEIPTS"/>
      <sheetName val="调整分录-输入"/>
      <sheetName val="新资产负债表"/>
      <sheetName val="新利润及利润分配表"/>
      <sheetName val="试算平衡表"/>
      <sheetName val="注释"/>
      <sheetName val="XBase"/>
      <sheetName val="分析分录"/>
      <sheetName val="前导表"/>
      <sheetName val="补充分录"/>
      <sheetName val="验证"/>
      <sheetName val="新现金流量表"/>
      <sheetName val="台帐资料"/>
      <sheetName val="Account"/>
      <sheetName val="Validation"/>
      <sheetName val="Matrix-Level 3-Gastonia"/>
      <sheetName val="F100"/>
      <sheetName val="D4RP"/>
      <sheetName val="LinkData"/>
      <sheetName val="OutSum"/>
      <sheetName val="ws9"/>
      <sheetName val="ARP-P101"/>
      <sheetName val="Vendor Data"/>
      <sheetName val="C101"/>
      <sheetName val="E101"/>
      <sheetName val="G201"/>
      <sheetName val="G301"/>
      <sheetName val="I101"/>
      <sheetName val="ARP-U101"/>
      <sheetName val="ARP-U301"/>
      <sheetName val="ARP-U501"/>
      <sheetName val="POS Tests"/>
      <sheetName val="Pilot Sites"/>
      <sheetName val="FEB summary"/>
      <sheetName val="Matrix"/>
      <sheetName val="Int Analysis"/>
      <sheetName val="Plant KPI "/>
      <sheetName val="DEFECT CODES"/>
      <sheetName val="LOCATION CODES"/>
      <sheetName val="Consolidated Budget Worksheet"/>
      <sheetName val="2001 Before Capitalization"/>
      <sheetName val="Defaults"/>
      <sheetName val="PD Bowler"/>
      <sheetName val="Vib_BO"/>
      <sheetName val="Mirror"/>
      <sheetName val="Plater"/>
      <sheetName val="Heat"/>
      <sheetName val="67_WW_SALES_YTD_BY_STATE_AND_MA"/>
      <sheetName val="91_INDUSTRIAL_SALES_REPORT"/>
      <sheetName val="825_LDO_ROW_SALES_REPORT"/>
      <sheetName val="815_LDO_US_SALES_REPORT"/>
      <sheetName val="1-30 Consolidated "/>
      <sheetName val="group"/>
      <sheetName val="Bilver link"/>
      <sheetName val="Dbase Bilver txt (2006)"/>
      <sheetName val="BSMONTH"/>
      <sheetName val="5 year AOP"/>
      <sheetName val="A2-1_CLA"/>
      <sheetName val="A2-2_RJE"/>
      <sheetName val="Bakat - consol"/>
      <sheetName val="consol-05"/>
      <sheetName val="K-15"/>
      <sheetName val="K16"/>
      <sheetName val="StockTake"/>
      <sheetName val="Page 3"/>
      <sheetName val="E2 (&lt;)"/>
      <sheetName val="E3 (2)"/>
      <sheetName val="F6 Stock Take recon"/>
      <sheetName val="F5.1 stk valuation"/>
      <sheetName val="A2.4 SAD"/>
      <sheetName val="E3-1"/>
      <sheetName val="B7-2"/>
      <sheetName val="B9-2"/>
      <sheetName val="U1-Turnover and COS"/>
      <sheetName val="U2.4"/>
      <sheetName val="U1.1 Analysis"/>
      <sheetName val="U1 Lead"/>
      <sheetName val="T2 Reserves Lead"/>
      <sheetName val="M7"/>
      <sheetName val="N101"/>
      <sheetName val="问题䀀߅"/>
      <sheetName val="问题က_x0000_"/>
      <sheetName val="问题ᾕ"/>
      <sheetName val="问题㠀茞"/>
      <sheetName val="问题ꠀ继"/>
      <sheetName val="问题耀⒚"/>
      <sheetName val="问题㩔"/>
      <sheetName val="Broker Consensus"/>
      <sheetName val="Essbase Budget (3)"/>
      <sheetName val="Essbase Budget (2)"/>
      <sheetName val="2006"/>
      <sheetName val="2007"/>
      <sheetName val="K5"/>
      <sheetName val="A2|3 AJE"/>
      <sheetName val="A2|2 RJE"/>
      <sheetName val="A2|1 OJE"/>
      <sheetName val="向导生成器(&amp;W)控件向导(&amp;W)用 MS Word 合并(&amp;"/>
      <sheetName val="G200预付帐款帐龄分析表  (3)"/>
      <sheetName val="N100应付帐款帐龄分析表  (3)"/>
      <sheetName val="Detailed PL"/>
      <sheetName val="CA333-AR &amp; AP(ok)"/>
      <sheetName val="CA341-CIP &amp; stock(ok)"/>
      <sheetName val="OS (7)"/>
      <sheetName val="A301-03 (7)"/>
      <sheetName val="H101-03"/>
      <sheetName val="U101-03 (2)"/>
      <sheetName val="OS (6)"/>
      <sheetName val="A301-03 (6)"/>
      <sheetName val="U101-03ok (3)"/>
      <sheetName val="OS (5)"/>
      <sheetName val="A301-03 (5)"/>
      <sheetName val="OS (4)"/>
      <sheetName val="Staff Sal"/>
      <sheetName val="gen ledger data"/>
      <sheetName val="대차대조표"/>
      <sheetName val="재산이용명세"/>
      <sheetName val="추정99"/>
      <sheetName val="shunt"/>
      <sheetName val="ssiuh"/>
      <sheetName val="labns"/>
      <sheetName val="hssft"/>
      <sheetName val="hcman"/>
      <sheetName val="hclij"/>
      <sheetName val="hccor"/>
      <sheetName val="rcare"/>
      <sheetName val="ambmn"/>
      <sheetName val="krasn"/>
      <sheetName val="encor"/>
      <sheetName val="syoss"/>
      <sheetName val="sside"/>
      <sheetName val="plain"/>
      <sheetName val="GLENC1"/>
      <sheetName val="hcFRA1"/>
      <sheetName val="frkln1"/>
      <sheetName val="orzac1"/>
      <sheetName val="forest1"/>
      <sheetName val="cecrr1"/>
      <sheetName val="MAMMO1"/>
      <sheetName val="camra1"/>
      <sheetName val="camch1"/>
      <sheetName val="cacor1"/>
      <sheetName val="BIOSK1"/>
      <sheetName val="manha1"/>
      <sheetName val="hside1"/>
      <sheetName val="schne1"/>
      <sheetName val="calas1"/>
      <sheetName val="lijmc1"/>
      <sheetName val="Trend"/>
      <sheetName val="ARTARG"/>
      <sheetName val="Capa_"/>
      <sheetName val="Ajustes_de_EBITDA"/>
      <sheetName val="Calculadora_ajuste_PJ,PLR_e_DSR"/>
      <sheetName val="Painel_de_controle"/>
      <sheetName val="Suporte_SPED"/>
      <sheetName val="Projeções_Receita_Bruta"/>
      <sheetName val="Faturamento_Clientes_(Interno)"/>
      <sheetName val="Dados_&gt;&gt;"/>
      <sheetName val="Balancete_1_Sem_19"/>
      <sheetName val="Capital_Structure_Summary"/>
      <sheetName val="Representação_comercial_x_IRRJ"/>
      <sheetName val="Pie_Chart"/>
      <sheetName val="Line_Graph"/>
      <sheetName val="DT_Man-hours_Chart"/>
      <sheetName val="ER per Market - Key Accounts"/>
      <sheetName val="P&amp;L - CO &amp; SI Ind."/>
      <sheetName val="Staff FY03"/>
      <sheetName val="ER per SO - 3 Year Plan"/>
      <sheetName val="Cadastro"/>
      <sheetName val="Plan2"/>
      <sheetName val="REVENUE"/>
      <sheetName val="Book1_xls1"/>
      <sheetName val="summsht"/>
      <sheetName val="Erlang and Infra"/>
      <sheetName val="GSM"/>
      <sheetName val="Network Summary"/>
      <sheetName val="Calc"/>
      <sheetName val="margin."/>
      <sheetName val="CONTANGO"/>
      <sheetName val="REFNCOMPARE"/>
      <sheetName val="Cons-Division"/>
      <sheetName val="CVK p&amp;L"/>
      <sheetName val="lot no 86"/>
      <sheetName val="Sales &amp;Sale Cost"/>
      <sheetName val="Stock Cal"/>
      <sheetName val="Lme-REV"/>
      <sheetName val="CU-P&amp;L-Work"/>
      <sheetName val="GROUPING"/>
      <sheetName val="rawmat break up"/>
      <sheetName val="cell rel"/>
      <sheetName val="Contract Details"/>
      <sheetName val="COST SHEET"/>
      <sheetName val="OTHER RM"/>
      <sheetName val="assumption"/>
      <sheetName val="BREAKUP"/>
      <sheetName val="Top Sheet"/>
      <sheetName val="Break up of RMcost"/>
      <sheetName val="March "/>
      <sheetName val="Deal Inputs (In)"/>
      <sheetName val="CompLink"/>
      <sheetName val="Control (In)"/>
      <sheetName val="Combo"/>
      <sheetName val="DCF I (In)"/>
      <sheetName val="manager"/>
      <sheetName val="ELTA"/>
      <sheetName val="CSCCincSKR"/>
      <sheetName val="SOTP"/>
      <sheetName val="Interpool"/>
      <sheetName val="TAL"/>
      <sheetName val="Cronos"/>
      <sheetName val="OpCo"/>
      <sheetName val="Synergies"/>
      <sheetName val="LBO inputs"/>
      <sheetName val="DCF"/>
      <sheetName val="DIV INC"/>
      <sheetName val="Outputs"/>
      <sheetName val="Infrastructure model"/>
      <sheetName val="WC"/>
      <sheetName val="OPTIONS"/>
      <sheetName val="suspended"/>
      <sheetName val="Structure"/>
      <sheetName val="TALE (2)"/>
      <sheetName val="FField (Eq)"/>
      <sheetName val="pl atual"/>
      <sheetName val="Sales 2003"/>
      <sheetName val="ps"/>
      <sheetName val="BASE FINAL"/>
      <sheetName val="ENTRADA"/>
      <sheetName val="Spacenet Inc"/>
      <sheetName val="Tabs"/>
      <sheetName val="Parametros"/>
      <sheetName val="Yellow"/>
      <sheetName val="Oranget"/>
      <sheetName val="BASECASE"/>
      <sheetName val="Regression"/>
      <sheetName val="Forex"/>
      <sheetName val="FCF acier"/>
      <sheetName val="Dave Hypothesis"/>
      <sheetName val="Scenarii "/>
      <sheetName val="Route_12"/>
      <sheetName val="A1_-_Income_Statement1"/>
      <sheetName val="DIV_Y1"/>
      <sheetName val="Stock_Price1"/>
      <sheetName val="FTS_Universe_Inputs"/>
      <sheetName val="Rel_1Yr"/>
      <sheetName val="FS_ing1"/>
      <sheetName val="Extra_21"/>
      <sheetName val="TB__HSG1"/>
      <sheetName val="Consolidating_BS-PL_20071"/>
      <sheetName val="SD_AJE1"/>
      <sheetName val="DN_AJE1"/>
      <sheetName val="SD_TB1"/>
      <sheetName val="DN_TB1"/>
      <sheetName val="TB_EXEC_-_Done1"/>
      <sheetName val="P_&amp;L1"/>
      <sheetName val="Series_Description1"/>
      <sheetName val="Economic_Series_Chart1"/>
      <sheetName val="Series_Values1"/>
      <sheetName val="SEC_bridge1"/>
      <sheetName val="EMC_format1"/>
      <sheetName val="M_A_Private_Placements1"/>
      <sheetName val="Period_Cost1"/>
      <sheetName val="Orders_to_Revenue1"/>
      <sheetName val="Drop_Down"/>
      <sheetName val="Transaction_Clients"/>
      <sheetName val="top_30"/>
      <sheetName val="Data_Sheet_1"/>
      <sheetName val="Finance_IT_&amp;_Pro_(2)"/>
      <sheetName val="WCOL_INDEX"/>
      <sheetName val="WCOL_INPUT"/>
      <sheetName val="F'cast_to_go"/>
      <sheetName val="MF_2002"/>
      <sheetName val="2_6_Fxs_Prov_IG_post_al_cierre"/>
      <sheetName val="Key_Stats"/>
      <sheetName val="Income_Statement"/>
      <sheetName val="Balance_Sheet"/>
      <sheetName val="Cash_Flow"/>
      <sheetName val="Historical_Capitalization"/>
      <sheetName val="Industry_Specific"/>
      <sheetName val="Pension_OPEB"/>
      <sheetName val="Summary_1-Ph1"/>
      <sheetName val="Summary_1-Ph1&amp;2"/>
      <sheetName val="Summary_4-Ph1&amp;2"/>
      <sheetName val="Input_Sheet"/>
      <sheetName val="Revision_Control"/>
      <sheetName val="Summary_1-All_Phases"/>
      <sheetName val="Summary_4-All_Phases"/>
      <sheetName val="Summary-Precomm-All_Phases"/>
      <sheetName val="Summary_2-DONOTUSE"/>
      <sheetName val="Summary_3-DONOTUSE"/>
      <sheetName val="Routine_O_&amp;_M-Peaker"/>
      <sheetName val="Routine_O_&amp;_M-CCGT"/>
      <sheetName val="General_Plant_Operations-CCGT"/>
      <sheetName val="MM_Gas_Turbine"/>
      <sheetName val="MM_GT_Spares"/>
      <sheetName val="Major_Maint"/>
      <sheetName val="Major_Maint-2"/>
      <sheetName val="Other_Oper__Exp_(Ins,Taxes_etc)"/>
      <sheetName val="Precomm_LaborA-CCGT"/>
      <sheetName val="Precomm_LaborB-CCGT"/>
      <sheetName val="Capital_Sched"/>
      <sheetName val="Precomm_LaborA-Peaker"/>
      <sheetName val="Precomm_LaborB-Peaker"/>
      <sheetName val="Asset_Management"/>
      <sheetName val="AssetMgt_Labor-Yrs1-30-CCGT"/>
      <sheetName val="Summary_4-Ph1"/>
      <sheetName val="Routine_O_&amp;_M-CCGT-Ph2"/>
      <sheetName val="General_Plant_Ops-CCGT-Ph2"/>
      <sheetName val="AssetMgt_Labor-Yrs1-30-Ph3"/>
      <sheetName val="Regular&amp;Modified_Outage_Costs"/>
      <sheetName val="Questions_&amp;_Answers"/>
      <sheetName val="Regional_Labor_Coeff"/>
      <sheetName val="AssetMgt_Labor-Yrs1-30-Peaker"/>
      <sheetName val="IS_-CDN$_(2)"/>
      <sheetName val="Input_and_controls"/>
      <sheetName val="DIF_FAT_FEV_01"/>
      <sheetName val="Prod_Mac"/>
      <sheetName val="Endividamento_(US$)"/>
      <sheetName val="FluxoCorporativo_(US$)"/>
      <sheetName val="DRENegócio_(US$)"/>
      <sheetName val="Entrada_de_Dados"/>
      <sheetName val="EfEnerg_(ton)"/>
      <sheetName val="VendasZn_(US$)"/>
      <sheetName val="ProdZnCont_(ton)"/>
      <sheetName val="DistrFat_(US$)"/>
      <sheetName val="ProdPbMA_(ton)"/>
      <sheetName val="Entr_Dados_(US$)"/>
      <sheetName val="Tres_Gerações"/>
      <sheetName val="DRECorporativo_(US$)"/>
      <sheetName val="painel_VM_MÊS"/>
      <sheetName val="Historical_Volatility_Co_1"/>
      <sheetName val="GL_Profit_Analysis"/>
      <sheetName val="Screen_Criteria"/>
      <sheetName val="wo_Lan-hub_MBOM"/>
      <sheetName val="wo_Lan-_Hub_(2USB)_function"/>
      <sheetName val="Intel_Lan_+_AD1885_EBOM"/>
      <sheetName val="Intel_Lan_+_AD1885_function"/>
      <sheetName val="NA_Wood_Total_I"/>
      <sheetName val="Inventory-FG_by_Submrkt_+_RM"/>
      <sheetName val="YTD_(2)"/>
      <sheetName val="pfc-sbu_look"/>
      <sheetName val="YE_LOAD"/>
      <sheetName val="Source_--&gt;"/>
      <sheetName val="2014-2015_BBR"/>
      <sheetName val="2013_BBR"/>
      <sheetName val="Run_Sheet1"/>
      <sheetName val="Deal_&amp;_Company_Information1"/>
      <sheetName val="Amortization_Table_$610K1"/>
      <sheetName val="Planning_Data"/>
      <sheetName val="PPL_Matrix"/>
      <sheetName val="Fab_5_Development_Error_Rate"/>
      <sheetName val="IS_Timesheet_"/>
      <sheetName val="Fab_5_Development_Gen_9_X"/>
      <sheetName val="R&amp;D_P_Colunm_Device_Data"/>
      <sheetName val="FC5_6_1_9890"/>
      <sheetName val="LOCAL_FAR_TIL_JUL10_(2)"/>
      <sheetName val="BS_Groupings"/>
      <sheetName val="PL_Groupings"/>
      <sheetName val="BS_(2)"/>
      <sheetName val="P&amp;L_(2)"/>
      <sheetName val="inv_e91"/>
      <sheetName val="inv_e92"/>
      <sheetName val="wip_e91"/>
      <sheetName val="wip_e92"/>
      <sheetName val="srp_e91"/>
      <sheetName val="srp_e92"/>
      <sheetName val="TNK-Staff_costs"/>
      <sheetName val="CF-1|2_(2)"/>
      <sheetName val="CF-3_(2)"/>
      <sheetName val="Notes_to_FS_(2)"/>
      <sheetName val="Notes_to_FS"/>
      <sheetName val="Note_19"/>
      <sheetName val="A2_-_5"/>
      <sheetName val="A2_-_5_(2)"/>
      <sheetName val="A2_-_6"/>
      <sheetName val="A8-6_(1)"/>
      <sheetName val="A3_-_3"/>
      <sheetName val="A3_-_4"/>
      <sheetName val="Form_EYP_1"/>
      <sheetName val="I_(2)"/>
      <sheetName val="APPENDIX_XIII"/>
      <sheetName val="A2-2_RJE1"/>
      <sheetName val="A2-1_AJE"/>
      <sheetName val="C4-1_(2)"/>
      <sheetName val="A10-1_(2)"/>
      <sheetName val="UA_(2)"/>
      <sheetName val="A2|1(SAD)_"/>
      <sheetName val="I2_"/>
      <sheetName val="U1-2_Sales_Analysis"/>
      <sheetName val="U1-2_Sales_Analysis_-by_product"/>
      <sheetName val="Outstanding_Matters_(2)"/>
      <sheetName val="OS_1(FOR_CLIENT_DISTRIBUTION)"/>
      <sheetName val="Inter-_Company_Reconciliation"/>
      <sheetName val="U-4_"/>
      <sheetName val="PMB_(opening_balance)"/>
      <sheetName val="GP_analysis"/>
      <sheetName val="Ff_-1"/>
      <sheetName val="Appendix_II"/>
      <sheetName val="SRM-Appx_1_BS"/>
      <sheetName val="K-1_"/>
      <sheetName val="Attachment_1"/>
      <sheetName val="T__Equity"/>
      <sheetName val="N1_(2)"/>
      <sheetName val="sp_(2)"/>
      <sheetName val="O|S_(2)"/>
      <sheetName val="N1__1"/>
      <sheetName val="F3-Group_1_(2)"/>
      <sheetName val="A2-4_(2004)"/>
      <sheetName val="Revenue_Summary"/>
      <sheetName val="Note_6"/>
      <sheetName val="Note_4"/>
      <sheetName val="I_"/>
      <sheetName val="M-Note_Payable"/>
      <sheetName val="U120-top_10_suppliers"/>
      <sheetName val="G200预付帐款帐龄分析表__(2)"/>
      <sheetName val="N100应付帐款帐龄分析表__(2)"/>
      <sheetName val="U140-销售截止测试1-一定要填_"/>
      <sheetName val="U150-销售截止测试2-一定要填_"/>
      <sheetName val="Valuation_test-R_M"/>
      <sheetName val="Other_receipt_and_payment_"/>
      <sheetName val="U610-1-12月工资明细表__(2)"/>
      <sheetName val="cut_off"/>
      <sheetName val="transaction_test"/>
      <sheetName val="G&amp;AU400_"/>
      <sheetName val="F520_F_G__NRV_test"/>
      <sheetName val="表6-1土地_(2)"/>
      <sheetName val="K101_Summary_of_FA_Adj"/>
      <sheetName val="K302_固定资产减值准备计提表"/>
      <sheetName val="OA_A500"/>
      <sheetName val="U110_Product_mix"/>
      <sheetName val="U120_Premium_ceded"/>
      <sheetName val="U130_Commission_paid"/>
      <sheetName val="U140_Commission_recd"/>
      <sheetName val="U150_Claims_incurred"/>
      <sheetName val="固定资产NEW__(2)"/>
      <sheetName val="&lt;A2_2&gt;Cla"/>
      <sheetName val="Acs_(2)"/>
      <sheetName val="CC-10_"/>
      <sheetName val="BB-10_(2)"/>
      <sheetName val="CC-10__(2)"/>
      <sheetName val="B-10_(2)"/>
      <sheetName val="(B3)Purchases_cutoff_test"/>
      <sheetName val="(B4)Sales_cutoff_test"/>
      <sheetName val="sales(B2_2)"/>
      <sheetName val="E2_(4)"/>
      <sheetName val="E2_(3)"/>
      <sheetName val="E2_(2)"/>
      <sheetName val="K4_-_Physical_Sightings"/>
      <sheetName val="Provision_for_DD"/>
      <sheetName val="N6|1_-_PV_after_YE"/>
      <sheetName val="N6_-_Unrecorded_Liab"/>
      <sheetName val="Sy_Kapasi"/>
      <sheetName val="PLnotes_"/>
      <sheetName val="Liferev_2002_(2)"/>
      <sheetName val="Liferev_2002"/>
      <sheetName val="Genrevdetail_"/>
      <sheetName val="MNIH-Consol_entries_2002(i)"/>
      <sheetName val="U-_FINAL_(2)"/>
      <sheetName val="U-2_FINAL"/>
      <sheetName val="AP_110_sub"/>
      <sheetName val="J_disclosure"/>
      <sheetName val="M5_Cut_off"/>
      <sheetName val="E4-1_cut_off"/>
      <sheetName val="sales_cut-off"/>
      <sheetName val="purchase_cut-off"/>
      <sheetName val="APPENDIX_1"/>
      <sheetName val="Travel_OS_FY04"/>
      <sheetName val="A2-2-1_(2)"/>
      <sheetName val="A2-2-2_(2)"/>
      <sheetName val="A2-2-3_(2)"/>
      <sheetName val="tax_com"/>
      <sheetName val="CLA_(2)"/>
      <sheetName val="Attached_9"/>
      <sheetName val="Attached_10"/>
      <sheetName val="Freehold_Land"/>
      <sheetName val="Sch_I"/>
      <sheetName val="Sch_IIa"/>
      <sheetName val="Sch_IIb"/>
      <sheetName val="Sch_III"/>
      <sheetName val="M2_payables_listing"/>
      <sheetName val="RCD-403-4_(2)"/>
      <sheetName val="U2_AR_on_Revenue"/>
      <sheetName val="OSM_(2)"/>
      <sheetName val="OSM_2"/>
      <sheetName val="历年净利润及盈余公积复核_(审定)"/>
      <sheetName val="OS_list_of_深中置_-_3"/>
      <sheetName val="Compilation_test"/>
      <sheetName val="os_list"/>
      <sheetName val="F_。"/>
      <sheetName val="AC00(02)_O-lead"/>
      <sheetName val="AC00(03)_O-lead"/>
      <sheetName val="AC00(04)_O-lead"/>
      <sheetName val="27_租赁承诺"/>
      <sheetName val="28_资本承诺"/>
      <sheetName val="29_关联交易"/>
      <sheetName val="30_关联余额"/>
      <sheetName val="FA_details"/>
      <sheetName val="F810_Compliation"/>
      <sheetName val="All_overhead_Variance"/>
      <sheetName val="Jan_16_(2)"/>
      <sheetName val="C_os"/>
      <sheetName val="CIP2003_movement"/>
      <sheetName val="stock_5_14报告版2003update_ok"/>
      <sheetName val="农行环翠银票03_6"/>
      <sheetName val="G200_(2)"/>
      <sheetName val="K_"/>
      <sheetName val="U_3310-air"/>
      <sheetName val="U3000-HQ_COS"/>
      <sheetName val="F1003-FG_list_"/>
      <sheetName val="F1004-consignment_list"/>
      <sheetName val="现金流量表_(2)"/>
      <sheetName val="U130-Consulting_fee"/>
      <sheetName val="U120-Consulting_Fee__Breakd"/>
      <sheetName val="U130-Professional_Fee_GPC"/>
      <sheetName val="U140-Legal_Fee"/>
      <sheetName val="U500_G&amp;A_Expenses"/>
      <sheetName val="I100-Interco_Bal_confirmation"/>
      <sheetName val="6_需报废清单"/>
      <sheetName val="F311-RM_V_test"/>
      <sheetName val="C-8220_"/>
      <sheetName val="AFS_(2)"/>
      <sheetName val="콜론(4_1-9_30)"/>
      <sheetName val="명세(기타유형)_(2)"/>
      <sheetName val="(D7_1)"/>
      <sheetName val="(D10_1)"/>
      <sheetName val="고정부채_"/>
      <sheetName val="JOB_ASSIGN"/>
      <sheetName val="급여_(2)"/>
      <sheetName val="평균급여_(2)"/>
      <sheetName val="제품수불(확)_(2)"/>
      <sheetName val="원료수불_(확)"/>
      <sheetName val="제품별매출_(2)"/>
      <sheetName val="EPS_(2)"/>
      <sheetName val="부가세_대사"/>
      <sheetName val="재고실사_refer"/>
      <sheetName val="수정사항_(2)"/>
      <sheetName val="수정사항_정리표"/>
      <sheetName val="재고관련_Issue"/>
      <sheetName val="A521_(2)"/>
      <sheetName val="A621_(2)"/>
      <sheetName val="U2_1"/>
      <sheetName val="S_BDW_(2)"/>
      <sheetName val="Sheet1_(2)"/>
      <sheetName val="ALGO-LS14_5(92)V"/>
      <sheetName val="sum_(3)"/>
      <sheetName val="månres_jfrt_få"/>
      <sheetName val="Matcost_(2)"/>
      <sheetName val="upgsales_(2)"/>
      <sheetName val="Trial_Balance{C}"/>
      <sheetName val="FY03_Qualified_Additions"/>
      <sheetName val="Monthly_Revenue"/>
      <sheetName val="Profit_and_Loss"/>
      <sheetName val="S&amp;M_Dept"/>
      <sheetName val="NEW_WARRANTS"/>
      <sheetName val="Print_Controls1"/>
      <sheetName val="Prior_Year"/>
      <sheetName val="Trading_Stats"/>
      <sheetName val="MergeCo_Summary"/>
      <sheetName val="General_Assumptions"/>
      <sheetName val="Company_Outputs"/>
      <sheetName val="Corp__Trust_Structure"/>
      <sheetName val="Comp_Data"/>
      <sheetName val="Float_Matrix"/>
      <sheetName val="Data_Master"/>
      <sheetName val="Int__Rate_Data"/>
      <sheetName val="Industry_Data"/>
      <sheetName val="RT_Data"/>
      <sheetName val="RT_Indices"/>
      <sheetName val="Mkt_Cap_"/>
      <sheetName val="RT_Targets"/>
      <sheetName val="IT_Targets"/>
      <sheetName val="TSE_info"/>
      <sheetName val="cap_markets_data"/>
      <sheetName val="PUblic_Float_data"/>
      <sheetName val="Market_Data"/>
      <sheetName val="Project_Info"/>
      <sheetName val="Old_Model"/>
      <sheetName val="Model_Assumptions"/>
      <sheetName val="Profit_&amp;_Loss"/>
      <sheetName val="Monthly_Budget_"/>
      <sheetName val="A-1_-_Audit_Planning_Program"/>
      <sheetName val="A-1_Audit_Prog_Index"/>
      <sheetName val="E-5_Lunch_0086"/>
      <sheetName val="Sch_16"/>
      <sheetName val="Sch_8"/>
      <sheetName val="E_Cash_APG"/>
      <sheetName val="A-1_Audit_Program_Index"/>
      <sheetName val="K-40_FA-CAPLS"/>
      <sheetName val="A-1_Gen_Procedures_"/>
      <sheetName val="A-1-1_Audit_General_Procedures"/>
      <sheetName val="General_File_Index"/>
      <sheetName val="A-2_Minimum_Sub_Proc_Comm_Ent"/>
      <sheetName val="J-31_NRV"/>
      <sheetName val="subordinated_notes"/>
      <sheetName val="senior_note"/>
      <sheetName val="PS_B"/>
      <sheetName val="PS_A"/>
      <sheetName val="Splash_Screen"/>
      <sheetName val="CN_Detail"/>
      <sheetName val="ANNEXURE_5_c"/>
      <sheetName val="21_(i)(B)(b)"/>
      <sheetName val="Scope_of_supply"/>
      <sheetName val="BS_Schdl-_1_&amp;_2"/>
      <sheetName val="Cabinet_details"/>
      <sheetName val="provision_for_new_Salary"/>
      <sheetName val="Factoring_Accrual_Summary"/>
      <sheetName val="ttings\purnima\Application_Data"/>
      <sheetName val="OM_except_Sales_Mat_Intcom"/>
      <sheetName val="Inv_(2)"/>
      <sheetName val="FIFO_Reval"/>
      <sheetName val="IT_PPV"/>
      <sheetName val="fiannce_breakup_cost"/>
      <sheetName val="IOB_Bank_Statement"/>
      <sheetName val="Premature_falied_details_"/>
      <sheetName val="Freight_Summary"/>
      <sheetName val="CSIMS_Sales"/>
      <sheetName val="Csims_Dispatches"/>
      <sheetName val="CSIM_"/>
      <sheetName val="4230004000_Discount"/>
      <sheetName val="Discount_Summary"/>
      <sheetName val="4230001000_Freight"/>
      <sheetName val="4214000300_I_C_Sales_GEB_LAM"/>
      <sheetName val="4212001900_Sales_adjusts"/>
      <sheetName val="Sales_Summary"/>
      <sheetName val="Corporate_MARS_COA"/>
      <sheetName val="ANN_9"/>
      <sheetName val="DIR_REMN"/>
      <sheetName val="80IA_(CONT)"/>
      <sheetName val="80_IA"/>
      <sheetName val="Raw_Material-old"/>
      <sheetName val="By_Product"/>
      <sheetName val="80_HHC"/>
      <sheetName val="GS_Master"/>
      <sheetName val="Summary_model"/>
      <sheetName val="model_by_field"/>
      <sheetName val="Crude_oil"/>
      <sheetName val="Block_A"/>
      <sheetName val="W_Natuna"/>
      <sheetName val="Valuation_(F)"/>
      <sheetName val="Valuation_2"/>
      <sheetName val="Adjusted_data"/>
      <sheetName val="WRLD_EXPN"/>
      <sheetName val="Consolidated_Trial_Bal"/>
      <sheetName val="trial_bal_ibhq"/>
      <sheetName val="ibhq_cash_sum"/>
      <sheetName val="current_cash_tr"/>
      <sheetName val="Qtrly_analysis_"/>
      <sheetName val="Forecast_2001-02"/>
      <sheetName val="2001-02_monthly_pack"/>
      <sheetName val="QIS_Form_No_II"/>
      <sheetName val="Dep_Trading"/>
      <sheetName val="monthly_tdg"/>
      <sheetName val="head_count"/>
      <sheetName val="Planning_Materiality_Mar_06"/>
      <sheetName val="Sheet2_(3)"/>
      <sheetName val="Sheet2_(2)"/>
      <sheetName val="BS_Schdl-3-Fixed_Assets"/>
      <sheetName val="TDS_Entries_Apr_to_Sept"/>
      <sheetName val="Add_to_FA"/>
      <sheetName val="Capex_&amp;_Opex1"/>
      <sheetName val="SPS_DETAIL1"/>
      <sheetName val="list_-_do_not_delete1"/>
      <sheetName val="MAIN_LATEST1"/>
      <sheetName val="currency_(2)1"/>
      <sheetName val="final_sheet_1"/>
      <sheetName val="Consolidated_NE"/>
      <sheetName val="Consolidated_SE"/>
      <sheetName val="Consolidated_SO"/>
      <sheetName val="Hyper_NE"/>
      <sheetName val="Hyper_SO"/>
      <sheetName val="Sam's_Club"/>
      <sheetName val="Super_NE"/>
      <sheetName val="Super_SO"/>
      <sheetName val="Todo_Dia"/>
      <sheetName val="Switch_V16"/>
      <sheetName val="Component_Pricing,_Costs"/>
      <sheetName val="syndicate_codes"/>
      <sheetName val="BTVL-ABN_Tranche_I"/>
      <sheetName val="chiet_tinh1"/>
      <sheetName val="Other_assumptions1"/>
      <sheetName val="RSU_lookups1"/>
      <sheetName val="RSU_sites1"/>
      <sheetName val="DLC_sites1"/>
      <sheetName val="SDH_COST1"/>
      <sheetName val="Home_Office"/>
      <sheetName val="IRR_Gaming"/>
      <sheetName val="P&amp;L_breakup"/>
      <sheetName val="Calcns_FDB"/>
      <sheetName val="Assns_FDB"/>
      <sheetName val="BR_(2)"/>
      <sheetName val="comp_"/>
      <sheetName val="Sheet_Index"/>
      <sheetName val="Operating_Companies"/>
      <sheetName val="Management_Companies"/>
      <sheetName val="PCAP_Data"/>
      <sheetName val="Rent_Roll"/>
      <sheetName val="base_de_dados"/>
      <sheetName val="Database:_[2]__Exceeded_number"/>
      <sheetName val="ERE_`ODBCDriver`_`Component_`_="/>
      <sheetName val="elfReg`,_`FileAction`_Where_`Se"/>
      <sheetName val="௔按਱ဵ"/>
      <sheetName val="1-11%20MOI_xls_x000a_ň"/>
      <sheetName val="Database:_[2]__Exceeded_number_"/>
      <sheetName val="1-11%20MOI_xls_x000a_ňӤ"/>
      <sheetName val="Dept_Score-Assoc-Avg_Dept_Wise"/>
      <sheetName val="Dept_Score-Assoc-Avg_Dept_W_(2)"/>
      <sheetName val="Encl_II"/>
      <sheetName val="Other_notes"/>
      <sheetName val="Enclosure_XV_(2)"/>
      <sheetName val="Enclosure_X_contd"/>
      <sheetName val="Clause_20"/>
      <sheetName val="Enclosure_VIII"/>
      <sheetName val="Form_No__3CD"/>
      <sheetName val="Base_Info"/>
      <sheetName val="Summary_SC"/>
      <sheetName val="Expanded_P&amp;L"/>
      <sheetName val="44526_Dalkey"/>
      <sheetName val="1601_Detail_information"/>
      <sheetName val="2_대외공문1"/>
      <sheetName val="2_????"/>
      <sheetName val="2_´ë¿Ü°ø¹®"/>
      <sheetName val="외주현황_wq1"/>
      <sheetName val="Prior_Fund_Raising_MGD1"/>
      <sheetName val="Managed_Accounts_-_Gross_Tradi1"/>
      <sheetName val="Managed_Accounts1"/>
      <sheetName val="CREDIT_STATS1"/>
      <sheetName val="P&amp;L_Monthly1"/>
      <sheetName val="Cost_Analysis_plc1"/>
      <sheetName val="Transaction_Inputs1"/>
      <sheetName val="Company_Inputs1"/>
      <sheetName val="300_Valuation1"/>
      <sheetName val="Five_Year_DCF1"/>
      <sheetName val="Co__Inputs1"/>
      <sheetName val="Collar-Options_Cash1"/>
      <sheetName val="Cost_of_Services1"/>
      <sheetName val="Price_of_Service1"/>
      <sheetName val="Budget_Data1"/>
      <sheetName val="Rev_&amp;_PC1"/>
      <sheetName val="Non_Rev&amp;PC1"/>
      <sheetName val="Salary_Fcst1"/>
      <sheetName val="Lookup_Tables1"/>
      <sheetName val="ResortQuest_and_Hawaii_Hotel_O1"/>
      <sheetName val="prepaid_expenses1"/>
      <sheetName val="XTU_Sum_(2)1"/>
      <sheetName val="Ctix_Mktg_1"/>
      <sheetName val="Project_Analysis1"/>
      <sheetName val="bonus_from_Forecaster1"/>
      <sheetName val="cap_comp_from_Forecaster1"/>
      <sheetName val="bad_debt_from_Forecaster1"/>
      <sheetName val="FX_rates1"/>
      <sheetName val="Input_Table1"/>
      <sheetName val="Supporting_Data1"/>
      <sheetName val="Segment_Metrics1"/>
      <sheetName val="建物レントロール_"/>
      <sheetName val="駐車場レントロール_"/>
      <sheetName val="Significant_Processes"/>
      <sheetName val="F-1_F-2"/>
      <sheetName val="Interim_--&gt;_Top"/>
      <sheetName val="A2l1_SAD"/>
      <sheetName val="Assumptions_1"/>
      <sheetName val="4_Analysis"/>
      <sheetName val="FF-2_(1)"/>
      <sheetName val="1_LeadSchedule"/>
      <sheetName val="Audit_Sch"/>
      <sheetName val="U2_-_Sales"/>
      <sheetName val="65_FINANCE"/>
      <sheetName val="61_HR"/>
      <sheetName val="NON_QE"/>
      <sheetName val="O2_TC"/>
      <sheetName val="B_Redang"/>
      <sheetName val="AJE_(2)"/>
      <sheetName val="SP_B6"/>
      <sheetName val="NKS_B6"/>
      <sheetName val="U1-2F_Review_Margin"/>
      <sheetName val="U2-Staff_Welfare"/>
      <sheetName val="N3_SCH_FUND"/>
      <sheetName val="K1_DEP_Leeza"/>
      <sheetName val="interest_restriction"/>
      <sheetName val="E_5"/>
      <sheetName val="Int_rea_(2)"/>
      <sheetName val="Int_rea_(4)"/>
      <sheetName val="E-Sales_Cut-off"/>
      <sheetName val="E-Purch_Cut-off"/>
      <sheetName val="E3_3"/>
      <sheetName val="E3_4"/>
      <sheetName val="Payroll_Summary"/>
      <sheetName val="dpla_"/>
      <sheetName val="OP__EXP_(2)"/>
      <sheetName val="N1_2_(2)"/>
      <sheetName val="Cut_off_-_Fac_A"/>
      <sheetName val="B2-4_(2)"/>
      <sheetName val="C1_"/>
      <sheetName val="C1-2_"/>
      <sheetName val="C3__"/>
      <sheetName val="D_-_Loan_charges"/>
      <sheetName val="M1_2"/>
      <sheetName val="BURGER_ACC"/>
      <sheetName val="M6_1-insurance"/>
      <sheetName val="PT_KUTAI_P7005_"/>
      <sheetName val="PT_KUTAI_P705U"/>
      <sheetName val="WTK_W7002"/>
      <sheetName val="WTK_W7003"/>
      <sheetName val="WTK_W7008"/>
      <sheetName val="WTK_W708U"/>
      <sheetName val="c1_1"/>
      <sheetName val="c1_2_"/>
      <sheetName val="fully_depreciated"/>
      <sheetName val="asset_list_2004_(4)"/>
      <sheetName val="details_fully_depr"/>
      <sheetName val="c1_3"/>
      <sheetName val="FA_Addition"/>
      <sheetName val="Sheet1_(3)"/>
      <sheetName val="Sheet1_(4)"/>
      <sheetName val="Sheet1_(5)"/>
      <sheetName val="Sheet1_(6)"/>
      <sheetName val="Sheet1_(7)"/>
      <sheetName val="Sheet1_(8)"/>
      <sheetName val="Sheet1_(9)"/>
      <sheetName val="Sheet1_(10)"/>
      <sheetName val="Sheet1_(11)"/>
      <sheetName val="E1-2_"/>
      <sheetName val="TBCS-PL_"/>
      <sheetName val="U3_(disclosure)"/>
      <sheetName val="E5-Recoverability_review"/>
      <sheetName val="F1-Stock_Roll_fwd"/>
      <sheetName val="N3|2-1_(2)"/>
      <sheetName val="1660_SM"/>
      <sheetName val="1670_SM"/>
      <sheetName val="1641_SX"/>
      <sheetName val="Simple_Coff_"/>
      <sheetName val="F1-Stock_Listing"/>
      <sheetName val="FYLE_2006"/>
      <sheetName val="CPC_25"/>
      <sheetName val="P12_4"/>
      <sheetName val="1570_NB"/>
      <sheetName val="CA_Sheet"/>
      <sheetName val="U_"/>
      <sheetName val="Hyperion_"/>
      <sheetName val="Services_site"/>
      <sheetName val="O-5_"/>
      <sheetName val="Unit_Fixed_costs"/>
      <sheetName val="GRO_Cost3"/>
      <sheetName val="Amex_19_Jun3"/>
      <sheetName val="Amex_12_Jun3"/>
      <sheetName val="Amex_5_Jun3"/>
      <sheetName val="Detail_13"/>
      <sheetName val="Detail_23"/>
      <sheetName val="Detail_33"/>
      <sheetName val="Detail_43"/>
      <sheetName val="Detail_53"/>
      <sheetName val="HICAP_suspension_salvage"/>
      <sheetName val="OH_&amp;_Scrap_Rate_Model"/>
      <sheetName val="Dimeco_Financials"/>
      <sheetName val="Earnings_Model"/>
      <sheetName val="Renovation_Schedule_(3)"/>
      <sheetName val="EV-EBITDAValuation_"/>
      <sheetName val="ADR_Chart"/>
      <sheetName val="Pricing_Power"/>
      <sheetName val="Chart_Relative_ADR"/>
      <sheetName val="Pricing_Vs__Comp_Set"/>
      <sheetName val="Expansion_Yields"/>
      <sheetName val="Same_Store_RevPAR_Growth"/>
      <sheetName val="Mgmt__Team"/>
      <sheetName val="Renovation_Schecule_(2)"/>
      <sheetName val="DCF_Model"/>
      <sheetName val="RevPAR_estimates"/>
      <sheetName val="FCF_Table"/>
      <sheetName val="Biz_Units"/>
      <sheetName val="Chart_EBITDA_Mix"/>
      <sheetName val="EBITDA_MIX"/>
      <sheetName val="RevPAR_Comps_cut_n_paste"/>
      <sheetName val="RevPAR_Comps"/>
      <sheetName val="Valuation__1-10-01"/>
      <sheetName val="Earnings_Model___"/>
      <sheetName val="Debt_@_3Q00"/>
      <sheetName val="Valuation_-_old"/>
      <sheetName val="RevPAR_By_Qtr"/>
      <sheetName val="CIGA_Analysis"/>
      <sheetName val="RevPAR_3Q00"/>
      <sheetName val="EBITDA_Mix_"/>
      <sheetName val="EBITDA_Mix_9-00"/>
      <sheetName val="2Q00_Comparison"/>
      <sheetName val="bas_buying_hot_6-00_cash_deal"/>
      <sheetName val="bas_hlt_cash_stock_merger"/>
      <sheetName val="Valuation_(2)"/>
      <sheetName val="EBITDA_Multiples"/>
      <sheetName val="EPS_Multiples"/>
      <sheetName val="MLP_IPO_Yields_vs_MLP_Index"/>
      <sheetName val="sales_vol_"/>
      <sheetName val="Page_A-1"/>
      <sheetName val="Financial_Data"/>
      <sheetName val="Trading_Multiples"/>
      <sheetName val="Operating_Statistics"/>
      <sheetName val="Business_Description"/>
      <sheetName val="Implied_Valuation"/>
      <sheetName val="Valuation_Chart"/>
      <sheetName val="Credit_Health_Panel"/>
      <sheetName val="Sources_&amp;_Uses"/>
      <sheetName val="Sch_G-2__LOC_Analysis_2004_(2)"/>
      <sheetName val="EBITDA_Bridge"/>
      <sheetName val="Sample_Pie"/>
      <sheetName val="Capital_Expenditures"/>
      <sheetName val="Dep__and_Amort_"/>
      <sheetName val="Debt_Free_-_Cash_Free"/>
      <sheetName val="Working_Cap"/>
      <sheetName val="Income_Statement_Projections"/>
      <sheetName val="Capital_Expenditure_Projections"/>
      <sheetName val="Forecasted_WC"/>
      <sheetName val="Summary_IS_(2)"/>
      <sheetName val="Net_Sales_(2)"/>
      <sheetName val="Gross_Profit_(2)"/>
      <sheetName val="Summary_IS"/>
      <sheetName val="Net_Sales"/>
      <sheetName val="Gross_Profit"/>
      <sheetName val="Sales_-_GP_Opening_Chart"/>
      <sheetName val="Operating_Expense"/>
      <sheetName val="Undadjusted_EBITDA"/>
      <sheetName val="Adjusted_EBITDA"/>
      <sheetName val="BD-GL_Account"/>
      <sheetName val="DO_NOT_USE"/>
      <sheetName val="BD_GL_Account"/>
      <sheetName val="Pull_Sheet"/>
      <sheetName val="Hotel_Directory"/>
      <sheetName val="CD001-_AUG_TAL_INC"/>
      <sheetName val="Capital_Structure_Details"/>
      <sheetName val="Data_WIP"/>
      <sheetName val="장할생활_(2)"/>
      <sheetName val="Site_Stats"/>
      <sheetName val="Cash_Reg_Orders_Recd"/>
      <sheetName val="Orders_Settled"/>
      <sheetName val="Q-1_"/>
      <sheetName val="Trial_Balance"/>
      <sheetName val="เงินกู้_MGC"/>
      <sheetName val="Stock_Aging"/>
      <sheetName val="Hyp_-_Expense"/>
      <sheetName val="Service_Delivery"/>
      <sheetName val="K-1_Tax_Attributes_Cf_"/>
      <sheetName val="폐토수익화_"/>
      <sheetName val="final_TB(월)"/>
      <sheetName val="nude_TB"/>
      <sheetName val="As_is_Value"/>
      <sheetName val="On_Going_Value"/>
      <sheetName val="Deferred_Add"/>
      <sheetName val="Returns_Analysis"/>
      <sheetName val="Basic_Details"/>
      <sheetName val="Notes_to_accounts"/>
      <sheetName val="Hub_Inputs"/>
      <sheetName val="BOM_Matrix_(2)"/>
      <sheetName val="ECR_E04_22_03_02_FRZ"/>
      <sheetName val="MP_-_DTA"/>
      <sheetName val="_dllĀ眹宀Ј⧠సㅾ℀㄀樸౓"/>
      <sheetName val="e_&amp;SupportĀ_x000a_Send_Feedbac&amp;kr"/>
      <sheetName val="SOAD_"/>
      <sheetName val="Summary_of_Project_&amp;_WIP_Review"/>
      <sheetName val="附注汇总__(2)"/>
      <sheetName val="现金合并_(2)"/>
      <sheetName val="固定资产及累计折旧_"/>
      <sheetName val="E4_Sales_cutoff"/>
      <sheetName val="U2_1_1_(2)"/>
      <sheetName val="M8memo_Prov_for_connectplan"/>
      <sheetName val="U2_1_ARPs(P)"/>
      <sheetName val="U1_Lead_(2)"/>
      <sheetName val="U6_3A_Landscape_project_ana"/>
      <sheetName val="A6_3"/>
      <sheetName val="I1-_interco"/>
      <sheetName val="U3_Payroll_lead"/>
      <sheetName val="E5_1_Sales_cut_off"/>
      <sheetName val="CFChart_(2)"/>
      <sheetName val="AJE__(2)"/>
      <sheetName val="RJE_(2)"/>
      <sheetName val="C101_(2)"/>
      <sheetName val="T101-Share_Cap_(2)"/>
      <sheetName val="CFChart_(3)"/>
      <sheetName val="AJE_"/>
      <sheetName val="Other_Info"/>
      <sheetName val="MKT_PO-2011"/>
      <sheetName val="ONOFF-BUD_(ROC)"/>
      <sheetName val="EEFC_Account"/>
      <sheetName val="CHENNAI_-_ANNX"/>
      <sheetName val="Allocation_for_Nov_04"/>
      <sheetName val="Aviva_Debit_Note-_Nov_04"/>
      <sheetName val="Aviva_Debit_Note-_Dec_04"/>
      <sheetName val="Aviva_Invoice-_Dec_04"/>
      <sheetName val="Encl_I"/>
      <sheetName val="F'cast_Pr_Mth"/>
      <sheetName val="Hyp_Dump"/>
      <sheetName val="Juros_Financ__Siemsa"/>
      <sheetName val="Juros_Conta_Garantida"/>
      <sheetName val="Europe_2002-3_P&amp;L"/>
      <sheetName val="Monthly_Rollforward"/>
      <sheetName val="William_Gardner"/>
      <sheetName val="James_Gardner"/>
      <sheetName val="Michael_DiProspero"/>
      <sheetName val="Scott_Lonkart"/>
      <sheetName val="David_Gronik"/>
      <sheetName val="Ross_Pollack"/>
      <sheetName val="Phillip_Pollack"/>
      <sheetName val="Robert_Levy"/>
      <sheetName val="Van_Beusekom"/>
      <sheetName val="Mason_Greene"/>
      <sheetName val="Richard_Schmitt"/>
      <sheetName val="NLevy_Trust"/>
      <sheetName val="Co_1"/>
      <sheetName val="Co_5"/>
      <sheetName val="Co_4"/>
      <sheetName val="Exec_P&amp;L"/>
      <sheetName val="Dept_Exp_SMIN"/>
      <sheetName val="3-31-06_Write_OFf_"/>
      <sheetName val="US_-_FINAL"/>
      <sheetName val="Details_BS"/>
      <sheetName val="Details_PL"/>
      <sheetName val="RM_Consumption_Schedule_11"/>
      <sheetName val="TB_01-05-03"/>
      <sheetName val="New_Summary_P&amp;L"/>
      <sheetName val="Order_Pipeline_Review_Ver2"/>
      <sheetName val="Summary_P&amp;L"/>
      <sheetName val="Order_Pipeline_Review"/>
      <sheetName val="Summary_Table_3"/>
      <sheetName val="Essbase_Budget_(3)"/>
      <sheetName val="Essbase_Budget_(2)"/>
      <sheetName val="E3_(2)"/>
      <sheetName val="F6_Stock_Take_recon"/>
      <sheetName val="F5_1_stk_valuation"/>
      <sheetName val="A2_4_SAD"/>
      <sheetName val="E2_(&lt;)"/>
      <sheetName val="A2|3_AJE"/>
      <sheetName val="A2|2_RJE"/>
      <sheetName val="A2|1_OJE"/>
      <sheetName val="Page_3"/>
      <sheetName val="Bakat_-_consol"/>
      <sheetName val="向导生成器(&amp;W)控件向导(&amp;W)用_MS_Word_合并(&amp;"/>
      <sheetName val="G200预付帐款帐龄分析表__(3)"/>
      <sheetName val="N100应付帐款帐龄分析表__(3)"/>
      <sheetName val="Detailed_PL"/>
      <sheetName val="CA333-AR_&amp;_AP(ok)"/>
      <sheetName val="CA341-CIP_&amp;_stock(ok)"/>
      <sheetName val="OS_(7)"/>
      <sheetName val="A301-03_(7)"/>
      <sheetName val="U101-03_(2)"/>
      <sheetName val="OS_(6)"/>
      <sheetName val="A301-03_(6)"/>
      <sheetName val="U101-03ok_(3)"/>
      <sheetName val="OS_(5)"/>
      <sheetName val="A301-03_(5)"/>
      <sheetName val="OS_(4)"/>
      <sheetName val="Staff_Sal"/>
      <sheetName val="gen_ledger_data"/>
      <sheetName val="1st_Q_2002"/>
      <sheetName val="Page_A-7_"/>
      <sheetName val="Actual_month_$"/>
      <sheetName val="fme_idex"/>
      <sheetName val="fma_idex"/>
      <sheetName val="fme_fm"/>
      <sheetName val="Transaction_Summary"/>
      <sheetName val="Transaction-Assum_"/>
      <sheetName val="应收帐款_AR_"/>
      <sheetName val="basic_working"/>
      <sheetName val="June_analysis_"/>
      <sheetName val="D&amp;O_list_IMl"/>
      <sheetName val="TM_-_USA"/>
      <sheetName val="German_Co_-_Attrition_study"/>
      <sheetName val="Comp_IS"/>
      <sheetName val="RB_AD"/>
      <sheetName val="NTM_PE"/>
      <sheetName val="CY_Head"/>
      <sheetName val="Inventory_List_(2)"/>
      <sheetName val="Wenger_Summary"/>
      <sheetName val="GL_Summary"/>
      <sheetName val="MCOE_Final_Slow"/>
      <sheetName val="Modality_Summary"/>
      <sheetName val="_BC_SUMMARY_2003"/>
      <sheetName val="Final_HU_TB_Jun_2002"/>
      <sheetName val="2001_even"/>
      <sheetName val="condensed_p&amp;l"/>
      <sheetName val="p&amp;l_by_month"/>
      <sheetName val="GM_EPS_Model"/>
      <sheetName val="Mix_in_Total"/>
      <sheetName val="Page_1"/>
      <sheetName val="Business_Summary_Reports"/>
      <sheetName val="Stock_Chart"/>
      <sheetName val="S2_40m_by_mth"/>
      <sheetName val="group-match__"/>
      <sheetName val="Working_Capital"/>
      <sheetName val="Stepped_Pmts"/>
      <sheetName val="OP_PLAN"/>
      <sheetName val="HEADCOUNT_WORKSHEET"/>
      <sheetName val="Mat'l_Pareto"/>
      <sheetName val="MIP_codes_2002"/>
      <sheetName val="MIP_actuals_2002"/>
      <sheetName val="Managers_Database"/>
      <sheetName val="Health_Plans"/>
      <sheetName val="3Q_Ops"/>
      <sheetName val="3Q_Orders"/>
      <sheetName val="4Q_Orders"/>
      <sheetName val="4Q_Ops"/>
      <sheetName val="2003_Ops"/>
      <sheetName val="2003_Orders"/>
      <sheetName val="TY_CM_Walk"/>
      <sheetName val="CFOA-TCG_2008_OP"/>
      <sheetName val="_BC_SUMMARY_2002"/>
      <sheetName val="P&amp;L_Analysis"/>
      <sheetName val="94_Rev"/>
      <sheetName val="Ind_Mat"/>
      <sheetName val="Input_Page"/>
      <sheetName val="TPM_Tot"/>
      <sheetName val="inventory_snapshot_20020313"/>
      <sheetName val="Total_by_Function_QSplit"/>
      <sheetName val="On_Hand"/>
      <sheetName val="Eur_sub2_"/>
      <sheetName val="3-13_Summary"/>
      <sheetName val="95_Rev"/>
      <sheetName val="FG_Obsol"/>
      <sheetName val="chart_1"/>
      <sheetName val="CA_computation"/>
      <sheetName val="CEP_register_-_ALL_(2)"/>
      <sheetName val="Spend_June_2008_(2)"/>
      <sheetName val="Estimate_Trending"/>
      <sheetName val="Sales_to_CM_Summary"/>
      <sheetName val="Estimate_Database"/>
      <sheetName val="Version_Verification"/>
      <sheetName val="Data_Sheet_Source_Example"/>
      <sheetName val="Erlang_and_Infra"/>
      <sheetName val="Network_Summary"/>
      <sheetName val="margin_"/>
      <sheetName val="CVK_p&amp;L"/>
      <sheetName val="lot_no_86"/>
      <sheetName val="Sales_&amp;Sale_Cost"/>
      <sheetName val="Stock_Cal"/>
      <sheetName val="rawmat_break_up"/>
      <sheetName val="cell_rel"/>
      <sheetName val="Contract_Details"/>
      <sheetName val="COST_SHEET"/>
      <sheetName val="OTHER_RM"/>
      <sheetName val="Top_Sheet"/>
      <sheetName val="Break_up_of_RMcost"/>
      <sheetName val="March_"/>
      <sheetName val="Accounts_Payable_(11)"/>
      <sheetName val="AP_Concentrations"/>
      <sheetName val="FS_-_BS_(2)"/>
      <sheetName val="FS_-_BS_Det_(2)"/>
      <sheetName val="FS-_IS_(2)"/>
      <sheetName val="Delinquent_Accounts_"/>
      <sheetName val="Ship_Test"/>
      <sheetName val="Mgmt_Letter"/>
      <sheetName val="AR_Roll"/>
      <sheetName val="Misc_-_Tax(NIC)"/>
      <sheetName val="CM_Test_"/>
      <sheetName val="Conc_(NIC)"/>
      <sheetName val="AR_Roll_"/>
      <sheetName val="Misc_-_Tax"/>
      <sheetName val="AR_Statistics_-_Consolidated"/>
      <sheetName val="AR_Activity_-_Domestic"/>
      <sheetName val="AR_Activity_-_Canada"/>
      <sheetName val="Cash_-_Lockbox"/>
      <sheetName val="INV-Cost_Test_(Bottled)"/>
      <sheetName val="INV_-_Counts_AHP"/>
      <sheetName val="INV_-_Costs"/>
      <sheetName val="Ship_Test_"/>
      <sheetName val="INV_-_Counts_Div_B"/>
      <sheetName val="AR_Stats_Input"/>
      <sheetName val="Cash_Diagram_(3)"/>
      <sheetName val="Cash__(2)"/>
      <sheetName val="INV-Counts__(2)"/>
      <sheetName val="CM_Test_(sales_credits)"/>
      <sheetName val="Cash_-Lockbox"/>
      <sheetName val="INV_-_Counts_Roto"/>
      <sheetName val="Cash_-_Operating_Fleet"/>
      <sheetName val="Cash_-_Operating_Trustco"/>
      <sheetName val="Cash_Diagram"/>
      <sheetName val="AP_-_stats"/>
      <sheetName val="AP_Factored_By_CIT_(2)"/>
      <sheetName val="INV_-_Costs_Intl_Environmental"/>
      <sheetName val="INV_-_Costs_Climate_Master"/>
      <sheetName val="INV_-_Costs_Climate_Craft"/>
      <sheetName val="Flash_Pg-1"/>
      <sheetName val="Expanded_Shipping_Test"/>
      <sheetName val="Conc-Merc_Air_Cargo"/>
      <sheetName val="AP_-_conc"/>
      <sheetName val="_AP_Delinq_"/>
      <sheetName val="CM_Test"/>
      <sheetName val="Missing_Doc_Rpt"/>
      <sheetName val="AR_Roll_Consol"/>
      <sheetName val="BU_Color_&amp;_Specialties"/>
      <sheetName val="Manuf_Chem_Cleveland"/>
      <sheetName val="Organic_Pigments"/>
      <sheetName val="AP_Conc"/>
      <sheetName val="AP_Disb"/>
      <sheetName val="INV_-_Counts_Nashville"/>
      <sheetName val="FS-_IS"/>
      <sheetName val="_Cons__Financials_-_EIG"/>
      <sheetName val="DETAILS_1_(3)"/>
      <sheetName val="Accounts_Payable__11_"/>
      <sheetName val="Service_Parts_Rejects_(RPPM)"/>
      <sheetName val="Freight_Issues"/>
      <sheetName val="Carole_Worksheet_Table1"/>
      <sheetName val="Fcst_Var"/>
      <sheetName val="Lastyr_Conv_Cost"/>
      <sheetName val="March_Conv_Cost"/>
      <sheetName val="March_Conv_Cost_2008"/>
      <sheetName val="March_EQU"/>
      <sheetName val="March_EQU_2008"/>
      <sheetName val="March_Var"/>
      <sheetName val="March_Var_2008"/>
      <sheetName val="RFQ_Instructions"/>
      <sheetName val="Quote_Cover_Page"/>
      <sheetName val="outbound_Oct"/>
      <sheetName val="Rejects_PPM"/>
      <sheetName val="Tooling_Cost_(2)"/>
      <sheetName val="RDO_CONT"/>
      <sheetName val="A__FIJO"/>
      <sheetName val="BB_Info"/>
      <sheetName val="nethouse_input_(CURRENT_PERIOD)"/>
      <sheetName val="Dealer_names"/>
      <sheetName val="BB_DATA"/>
      <sheetName val="ER_LavSal_Vs_Ant"/>
      <sheetName val="Tooling_Assembly"/>
      <sheetName val="TOSH06ISR_"/>
      <sheetName val="ajuste_IVA"/>
      <sheetName val="DEPFIST_US2000"/>
      <sheetName val="Inv_Est_Now"/>
      <sheetName val="MD_UK"/>
      <sheetName val="U71_180001004"/>
      <sheetName val="U71_181001004"/>
      <sheetName val="3_Digit_Account_Grouping"/>
      <sheetName val="Balanza_323"/>
      <sheetName val="3_Dig_CDR_"/>
      <sheetName val="table_grille"/>
      <sheetName val="Economic_Inputs"/>
      <sheetName val="Cur_Yr_Data"/>
      <sheetName val="Prv_Year_Data"/>
      <sheetName val="Front_Page"/>
      <sheetName val="DYN_PP"/>
      <sheetName val="Site_04_-_Level_4"/>
      <sheetName val="Vol_Detail"/>
      <sheetName val="Assessment_Allocation"/>
      <sheetName val="Headcount_Expense_Allocation"/>
      <sheetName val="WIP_Details"/>
      <sheetName val="CA_WIP"/>
      <sheetName val="YTD_Big_Y's"/>
      <sheetName val="Actual_03_Volume"/>
      <sheetName val="Cross_Walk"/>
      <sheetName val="Subledger_Description"/>
      <sheetName val="Net_Income"/>
      <sheetName val="EP_Vol_New"/>
      <sheetName val="SP_Vol_New"/>
      <sheetName val="Q2_Est"/>
      <sheetName val="EPSP_Splitout"/>
      <sheetName val="Cover_Page"/>
      <sheetName val="Asset_Quality"/>
      <sheetName val="Lease_Loan98"/>
      <sheetName val="Deal_Name"/>
      <sheetName val="status_codes"/>
      <sheetName val="ATLAS_1-Budget"/>
      <sheetName val="bup_c8s001_050001%_mar03_(3)"/>
      <sheetName val="10-24_Bal_Sheet"/>
      <sheetName val="Borrowing_Base"/>
      <sheetName val="May_4299"/>
      <sheetName val="ENTREE_JOURNAL"/>
      <sheetName val="LIQUIDATION_&amp;_AMORTIZATION_GAIN"/>
      <sheetName val="Calculation_Questionnaire"/>
      <sheetName val="CEF_Funding_LLC"/>
      <sheetName val="Comm_Mtg"/>
      <sheetName val="Review_Minutes"/>
      <sheetName val="Feed_sheet"/>
      <sheetName val="New_business"/>
      <sheetName val="U1-Turnover_and_COS"/>
      <sheetName val="U2_4"/>
      <sheetName val="U1_1_Analysis"/>
      <sheetName val="U1_Lead"/>
      <sheetName val="T2_Reserves_Lead"/>
      <sheetName val="问题က"/>
      <sheetName val="Route_13"/>
      <sheetName val="A1_-_Income_Statement2"/>
      <sheetName val="DIV_Y2"/>
      <sheetName val="Stock_Price2"/>
      <sheetName val="FTS_Universe_Inputs1"/>
      <sheetName val="Rel_1Yr1"/>
      <sheetName val="FS_ing2"/>
      <sheetName val="Extra_22"/>
      <sheetName val="TB__HSG2"/>
      <sheetName val="Consolidating_BS-PL_20072"/>
      <sheetName val="SD_AJE2"/>
      <sheetName val="DN_AJE2"/>
      <sheetName val="SD_TB2"/>
      <sheetName val="DN_TB2"/>
      <sheetName val="TB_EXEC_-_Done2"/>
      <sheetName val="P_&amp;L2"/>
      <sheetName val="Series_Description2"/>
      <sheetName val="Economic_Series_Chart2"/>
      <sheetName val="Series_Values2"/>
      <sheetName val="SEC_bridge2"/>
      <sheetName val="EMC_format2"/>
      <sheetName val="M_A_Private_Placements2"/>
      <sheetName val="Period_Cost2"/>
      <sheetName val="Orders_to_Revenue2"/>
      <sheetName val="Drop_Down1"/>
      <sheetName val="Transaction_Clients1"/>
      <sheetName val="top_301"/>
      <sheetName val="Data_Sheet_11"/>
      <sheetName val="Finance_IT_&amp;_Pro_(2)1"/>
      <sheetName val="WCOL_INDEX1"/>
      <sheetName val="WCOL_INPUT1"/>
      <sheetName val="F'cast_to_go1"/>
      <sheetName val="MF_20021"/>
      <sheetName val="2_6_Fxs_Prov_IG_post_al_cierre1"/>
      <sheetName val="Key_Stats1"/>
      <sheetName val="Income_Statement1"/>
      <sheetName val="Balance_Sheet1"/>
      <sheetName val="Cash_Flow1"/>
      <sheetName val="Historical_Capitalization1"/>
      <sheetName val="Capital_Structure_Summary1"/>
      <sheetName val="Industry_Specific1"/>
      <sheetName val="Pension_OPEB1"/>
      <sheetName val="Summary_1-Ph11"/>
      <sheetName val="Summary_1-Ph1&amp;21"/>
      <sheetName val="Summary_4-Ph1&amp;21"/>
      <sheetName val="Input_Sheet1"/>
      <sheetName val="Revision_Control1"/>
      <sheetName val="Summary_1-All_Phases1"/>
      <sheetName val="Summary_4-All_Phases1"/>
      <sheetName val="Summary-Precomm-All_Phases1"/>
      <sheetName val="Summary_2-DONOTUSE1"/>
      <sheetName val="Summary_3-DONOTUSE1"/>
      <sheetName val="Routine_O_&amp;_M-Peaker1"/>
      <sheetName val="Routine_O_&amp;_M-CCGT1"/>
      <sheetName val="General_Plant_Operations-CCGT1"/>
      <sheetName val="MM_Gas_Turbine1"/>
      <sheetName val="MM_GT_Spares1"/>
      <sheetName val="Major_Maint1"/>
      <sheetName val="Major_Maint-21"/>
      <sheetName val="Other_Oper__Exp_(Ins,Taxes_etc1"/>
      <sheetName val="Precomm_LaborA-CCGT1"/>
      <sheetName val="Precomm_LaborB-CCGT1"/>
      <sheetName val="Capital_Sched1"/>
      <sheetName val="Precomm_LaborA-Peaker1"/>
      <sheetName val="Precomm_LaborB-Peaker1"/>
      <sheetName val="Asset_Management1"/>
      <sheetName val="AssetMgt_Labor-Yrs1-30-CCGT1"/>
      <sheetName val="Summary_4-Ph11"/>
      <sheetName val="Routine_O_&amp;_M-CCGT-Ph21"/>
      <sheetName val="General_Plant_Ops-CCGT-Ph21"/>
      <sheetName val="AssetMgt_Labor-Yrs1-30-Ph31"/>
      <sheetName val="Regular&amp;Modified_Outage_Costs1"/>
      <sheetName val="Questions_&amp;_Answers1"/>
      <sheetName val="Regional_Labor_Coeff1"/>
      <sheetName val="AssetMgt_Labor-Yrs1-30-Peaker1"/>
      <sheetName val="Quarterly_rates1"/>
      <sheetName val="Global_Equity_Indices1"/>
      <sheetName val="IS_-CDN$_(2)1"/>
      <sheetName val="Input_and_controls1"/>
      <sheetName val="DIF_FAT_FEV_011"/>
      <sheetName val="Prod_Mac1"/>
      <sheetName val="Endividamento_(US$)1"/>
      <sheetName val="FluxoCorporativo_(US$)1"/>
      <sheetName val="DRENegócio_(US$)1"/>
      <sheetName val="Entrada_de_Dados1"/>
      <sheetName val="EfEnerg_(ton)1"/>
      <sheetName val="VendasZn_(US$)1"/>
      <sheetName val="ProdZnCont_(ton)1"/>
      <sheetName val="DistrFat_(US$)1"/>
      <sheetName val="ProdPbMA_(ton)1"/>
      <sheetName val="Entr_Dados_(US$)1"/>
      <sheetName val="Tres_Gerações1"/>
      <sheetName val="DRECorporativo_(US$)1"/>
      <sheetName val="painel_VM_MÊS1"/>
      <sheetName val="Historical_Volatility_Co_11"/>
      <sheetName val="GL_Profit_Analysis1"/>
      <sheetName val="Screen_Criteria1"/>
      <sheetName val="wo_Lan-hub_MBOM1"/>
      <sheetName val="wo_Lan-_Hub_(2USB)_function1"/>
      <sheetName val="Intel_Lan_+_AD1885_EBOM1"/>
      <sheetName val="Intel_Lan_+_AD1885_function1"/>
      <sheetName val="NA_Wood_Total_I1"/>
      <sheetName val="Inventory-FG_by_Submrkt_+_RM1"/>
      <sheetName val="YTD_(2)1"/>
      <sheetName val="pfc-sbu_look1"/>
      <sheetName val="YE_LOAD1"/>
      <sheetName val="Source_--&gt;1"/>
      <sheetName val="2014-2015_BBR1"/>
      <sheetName val="2013_BBR1"/>
      <sheetName val="Run_Sheet2"/>
      <sheetName val="Deal_&amp;_Company_Information2"/>
      <sheetName val="Amortization_Table_$610K2"/>
      <sheetName val="Planning_Data1"/>
      <sheetName val="PPL_Matrix1"/>
      <sheetName val="Fab_5_Development_Error_Rate1"/>
      <sheetName val="IS_Timesheet_1"/>
      <sheetName val="Fab_5_Development_Gen_9_X1"/>
      <sheetName val="R&amp;D_P_Colunm_Device_Data1"/>
      <sheetName val="FC5_6_1_98901"/>
      <sheetName val="LOCAL_FAR_TIL_JUL10_(2)1"/>
      <sheetName val="BS_Groupings1"/>
      <sheetName val="PL_Groupings1"/>
      <sheetName val="BS_(2)1"/>
      <sheetName val="P&amp;L_(2)1"/>
      <sheetName val="inv_e911"/>
      <sheetName val="inv_e921"/>
      <sheetName val="wip_e911"/>
      <sheetName val="wip_e921"/>
      <sheetName val="srp_e911"/>
      <sheetName val="srp_e921"/>
      <sheetName val="TNK-Staff_costs1"/>
      <sheetName val="CF-1|2_(2)1"/>
      <sheetName val="CF-3_(2)1"/>
      <sheetName val="Notes_to_FS_(2)1"/>
      <sheetName val="Notes_to_FS1"/>
      <sheetName val="Note_191"/>
      <sheetName val="A2_-_51"/>
      <sheetName val="A2_-_5_(2)1"/>
      <sheetName val="A2_-_61"/>
      <sheetName val="A8-6_(1)1"/>
      <sheetName val="A3_-_31"/>
      <sheetName val="A3_-_41"/>
      <sheetName val="Form_EYP_11"/>
      <sheetName val="I_(2)1"/>
      <sheetName val="APPENDIX_XIII1"/>
      <sheetName val="A2-2_RJE2"/>
      <sheetName val="A2-1_AJE1"/>
      <sheetName val="C4-1_(2)1"/>
      <sheetName val="A10-1_(2)1"/>
      <sheetName val="UA_(2)1"/>
      <sheetName val="A2|1(SAD)_1"/>
      <sheetName val="I2_1"/>
      <sheetName val="U1-2_Sales_Analysis1"/>
      <sheetName val="U1-2_Sales_Analysis_-by_produc1"/>
      <sheetName val="Outstanding_Matters_(2)1"/>
      <sheetName val="OS_1(FOR_CLIENT_DISTRIBUTION)1"/>
      <sheetName val="Inter-_Company_Reconciliation1"/>
      <sheetName val="U-4_1"/>
      <sheetName val="PMB_(opening_balance)1"/>
      <sheetName val="GP_analysis1"/>
      <sheetName val="Ff_-11"/>
      <sheetName val="Appendix_II1"/>
      <sheetName val="SRM-Appx_1_BS1"/>
      <sheetName val="K-1_1"/>
      <sheetName val="Attachment_11"/>
      <sheetName val="T__Equity1"/>
      <sheetName val="N1_(2)1"/>
      <sheetName val="sp_(2)1"/>
      <sheetName val="O|S_(2)1"/>
      <sheetName val="N1__11"/>
      <sheetName val="F3-Group_1_(2)1"/>
      <sheetName val="A2-4_(2004)1"/>
      <sheetName val="Revenue_Summary1"/>
      <sheetName val="Note_61"/>
      <sheetName val="Note_41"/>
      <sheetName val="I_1"/>
      <sheetName val="M-Note_Payable1"/>
      <sheetName val="U120-top_10_suppliers1"/>
      <sheetName val="G200预付帐款帐龄分析表__(2)1"/>
      <sheetName val="N100应付帐款帐龄分析表__(2)1"/>
      <sheetName val="U140-销售截止测试1-一定要填_1"/>
      <sheetName val="U150-销售截止测试2-一定要填_1"/>
      <sheetName val="Valuation_test-R_M1"/>
      <sheetName val="Other_receipt_and_payment_1"/>
      <sheetName val="U610-1-12月工资明细表__(2)1"/>
      <sheetName val="cut_off1"/>
      <sheetName val="transaction_test1"/>
      <sheetName val="G&amp;AU400_1"/>
      <sheetName val="F520_F_G__NRV_test1"/>
      <sheetName val="表6-1土地_(2)1"/>
      <sheetName val="K101_Summary_of_FA_Adj1"/>
      <sheetName val="K302_固定资产减值准备计提表1"/>
      <sheetName val="OA_A5001"/>
      <sheetName val="U110_Product_mix1"/>
      <sheetName val="U120_Premium_ceded1"/>
      <sheetName val="U130_Commission_paid1"/>
      <sheetName val="U140_Commission_recd1"/>
      <sheetName val="U150_Claims_incurred1"/>
      <sheetName val="固定资产NEW__(2)1"/>
      <sheetName val="&lt;A2_2&gt;Cla1"/>
      <sheetName val="Acs_(2)1"/>
      <sheetName val="CC-10_1"/>
      <sheetName val="BB-10_(2)1"/>
      <sheetName val="CC-10__(2)1"/>
      <sheetName val="B-10_(2)1"/>
      <sheetName val="(B3)Purchases_cutoff_test1"/>
      <sheetName val="(B4)Sales_cutoff_test1"/>
      <sheetName val="sales(B2_2)1"/>
      <sheetName val="E2_(4)1"/>
      <sheetName val="E2_(3)1"/>
      <sheetName val="E2_(2)1"/>
      <sheetName val="K4_-_Physical_Sightings1"/>
      <sheetName val="Provision_for_DD1"/>
      <sheetName val="N6|1_-_PV_after_YE1"/>
      <sheetName val="N6_-_Unrecorded_Liab1"/>
      <sheetName val="Sy_Kapasi1"/>
      <sheetName val="PLnotes_1"/>
      <sheetName val="Liferev_2002_(2)1"/>
      <sheetName val="Liferev_20021"/>
      <sheetName val="Genrevdetail_1"/>
      <sheetName val="MNIH-Consol_entries_2002(i)1"/>
      <sheetName val="U-_FINAL_(2)1"/>
      <sheetName val="U-2_FINAL1"/>
      <sheetName val="AP_110_sub1"/>
      <sheetName val="J_disclosure1"/>
      <sheetName val="M5_Cut_off1"/>
      <sheetName val="E4-1_cut_off1"/>
      <sheetName val="sales_cut-off1"/>
      <sheetName val="purchase_cut-off1"/>
      <sheetName val="APPENDIX_11"/>
      <sheetName val="Travel_OS_FY041"/>
      <sheetName val="A2-2-1_(2)1"/>
      <sheetName val="A2-2-2_(2)1"/>
      <sheetName val="A2-2-3_(2)1"/>
      <sheetName val="tax_com1"/>
      <sheetName val="CLA_(2)1"/>
      <sheetName val="Attached_91"/>
      <sheetName val="Attached_101"/>
      <sheetName val="Freehold_Land1"/>
      <sheetName val="Sch_I1"/>
      <sheetName val="Sch_IIa1"/>
      <sheetName val="Sch_IIb1"/>
      <sheetName val="Sch_III1"/>
      <sheetName val="M2_payables_listing1"/>
      <sheetName val="RCD-403-4_(2)1"/>
      <sheetName val="U2_AR_on_Revenue1"/>
      <sheetName val="OSM_(2)1"/>
      <sheetName val="OSM_21"/>
      <sheetName val="历年净利润及盈余公积复核_(审定)1"/>
      <sheetName val="OS_list_of_深中置_-_31"/>
      <sheetName val="Compilation_test1"/>
      <sheetName val="os_list1"/>
      <sheetName val="F_。1"/>
      <sheetName val="AC00(02)_O-lead1"/>
      <sheetName val="AC00(03)_O-lead1"/>
      <sheetName val="AC00(04)_O-lead1"/>
      <sheetName val="27_租赁承诺1"/>
      <sheetName val="28_资本承诺1"/>
      <sheetName val="29_关联交易1"/>
      <sheetName val="30_关联余额1"/>
      <sheetName val="FA_details1"/>
      <sheetName val="F810_Compliation1"/>
      <sheetName val="All_overhead_Variance1"/>
      <sheetName val="Jan_16_(2)1"/>
      <sheetName val="C_os1"/>
      <sheetName val="CIP2003_movement1"/>
      <sheetName val="stock_5_14报告版2003update_ok1"/>
      <sheetName val="农行环翠银票03_61"/>
      <sheetName val="G200_(2)1"/>
      <sheetName val="K_1"/>
      <sheetName val="U_3310-air1"/>
      <sheetName val="U3000-HQ_COS1"/>
      <sheetName val="F1003-FG_list_1"/>
      <sheetName val="F1004-consignment_list1"/>
      <sheetName val="现金流量表_(2)1"/>
      <sheetName val="U130-Consulting_fee1"/>
      <sheetName val="U120-Consulting_Fee__Breakd1"/>
      <sheetName val="U130-Professional_Fee_GPC1"/>
      <sheetName val="U140-Legal_Fee1"/>
      <sheetName val="U500_G&amp;A_Expenses1"/>
      <sheetName val="I100-Interco_Bal_confirmation1"/>
      <sheetName val="6_需报废清单1"/>
      <sheetName val="F311-RM_V_test1"/>
      <sheetName val="C-8220_1"/>
      <sheetName val="AFS_(2)1"/>
      <sheetName val="콜론(4_1-9_30)1"/>
      <sheetName val="명세(기타유형)_(2)1"/>
      <sheetName val="(D7_1)1"/>
      <sheetName val="(D10_1)1"/>
      <sheetName val="고정부채_1"/>
      <sheetName val="JOB_ASSIGN1"/>
      <sheetName val="급여_(2)1"/>
      <sheetName val="평균급여_(2)1"/>
      <sheetName val="제품수불(확)_(2)1"/>
      <sheetName val="원료수불_(확)1"/>
      <sheetName val="제품별매출_(2)1"/>
      <sheetName val="EPS_(2)1"/>
      <sheetName val="부가세_대사1"/>
      <sheetName val="재고실사_refer1"/>
      <sheetName val="수정사항_(2)1"/>
      <sheetName val="수정사항_정리표1"/>
      <sheetName val="재고관련_Issue1"/>
      <sheetName val="A521_(2)1"/>
      <sheetName val="A621_(2)1"/>
      <sheetName val="U2_11"/>
      <sheetName val="S_BDW_(2)1"/>
      <sheetName val="Sheet1_(2)1"/>
      <sheetName val="ALGO-LS14_5(92)V1"/>
      <sheetName val="sum_(3)1"/>
      <sheetName val="månres_jfrt_få1"/>
      <sheetName val="Matcost_(2)1"/>
      <sheetName val="upgsales_(2)1"/>
      <sheetName val="Trial_Balance{C}1"/>
      <sheetName val="FY03_Qualified_Additions1"/>
      <sheetName val="Monthly_Revenue1"/>
      <sheetName val="Profit_and_Loss1"/>
      <sheetName val="S&amp;M_Dept1"/>
      <sheetName val="NEW_WARRANTS1"/>
      <sheetName val="Print_Controls2"/>
      <sheetName val="Prior_Year1"/>
      <sheetName val="Trading_Stats1"/>
      <sheetName val="MergeCo_Summary1"/>
      <sheetName val="General_Assumptions1"/>
      <sheetName val="Company_Outputs1"/>
      <sheetName val="Corp__Trust_Structure1"/>
      <sheetName val="Comp_Data1"/>
      <sheetName val="Float_Matrix1"/>
      <sheetName val="Data_Master1"/>
      <sheetName val="Int__Rate_Data1"/>
      <sheetName val="Industry_Data1"/>
      <sheetName val="RT_Data1"/>
      <sheetName val="RT_Indices1"/>
      <sheetName val="Mkt_Cap_1"/>
      <sheetName val="RT_Targets1"/>
      <sheetName val="IT_Targets1"/>
      <sheetName val="TSE_info1"/>
      <sheetName val="cap_markets_data1"/>
      <sheetName val="PUblic_Float_data1"/>
      <sheetName val="Market_Data1"/>
      <sheetName val="Project_Info1"/>
      <sheetName val="Old_Model1"/>
      <sheetName val="Model_Assumptions1"/>
      <sheetName val="Profit_&amp;_Loss1"/>
      <sheetName val="Monthly_Budget_1"/>
      <sheetName val="A-1_-_Audit_Planning_Program1"/>
      <sheetName val="A-1_Audit_Prog_Index1"/>
      <sheetName val="E-5_Lunch_00861"/>
      <sheetName val="Sch_161"/>
      <sheetName val="Sch_81"/>
      <sheetName val="E_Cash_APG1"/>
      <sheetName val="A-1_Audit_Program_Index1"/>
      <sheetName val="K-40_FA-CAPLS1"/>
      <sheetName val="A-1_Gen_Procedures_1"/>
      <sheetName val="A-1-1_Audit_General_Procedures1"/>
      <sheetName val="General_File_Index1"/>
      <sheetName val="A-2_Minimum_Sub_Proc_Comm_Ent1"/>
      <sheetName val="J-31_NRV1"/>
      <sheetName val="subordinated_notes1"/>
      <sheetName val="senior_note1"/>
      <sheetName val="PS_B1"/>
      <sheetName val="PS_A1"/>
      <sheetName val="Splash_Screen1"/>
      <sheetName val="CN_Detail1"/>
      <sheetName val="ANNEXURE_5_c1"/>
      <sheetName val="21_(i)(B)(b)1"/>
      <sheetName val="Scope_of_supply1"/>
      <sheetName val="BS_Schdl-_1_&amp;_21"/>
      <sheetName val="Cabinet_details1"/>
      <sheetName val="provision_for_new_Salary1"/>
      <sheetName val="Factoring_Accrual_Summary1"/>
      <sheetName val="ttings\purnima\Application_Dat1"/>
      <sheetName val="OM_except_Sales_Mat_Intcom1"/>
      <sheetName val="Inv_(2)1"/>
      <sheetName val="FIFO_Reval1"/>
      <sheetName val="IT_PPV1"/>
      <sheetName val="fiannce_breakup_cost1"/>
      <sheetName val="IOB_Bank_Statement1"/>
      <sheetName val="Premature_falied_details_1"/>
      <sheetName val="Freight_Summary1"/>
      <sheetName val="CSIMS_Sales1"/>
      <sheetName val="Csims_Dispatches1"/>
      <sheetName val="CSIM_1"/>
      <sheetName val="4230004000_Discount1"/>
      <sheetName val="Discount_Summary1"/>
      <sheetName val="4230001000_Freight1"/>
      <sheetName val="4214000300_I_C_Sales_GEB_LAM1"/>
      <sheetName val="4212001900_Sales_adjusts1"/>
      <sheetName val="Sales_Summary1"/>
      <sheetName val="Corporate_MARS_COA1"/>
      <sheetName val="ANN_91"/>
      <sheetName val="DIR_REMN1"/>
      <sheetName val="80IA_(CONT)1"/>
      <sheetName val="80_IA1"/>
      <sheetName val="Raw_Material-old1"/>
      <sheetName val="By_Product1"/>
      <sheetName val="80_HHC1"/>
      <sheetName val="GS_Master1"/>
      <sheetName val="Summary_model1"/>
      <sheetName val="model_by_field1"/>
      <sheetName val="Crude_oil1"/>
      <sheetName val="Block_A1"/>
      <sheetName val="W_Natuna1"/>
      <sheetName val="Valuation_(F)1"/>
      <sheetName val="Valuation_21"/>
      <sheetName val="Adjusted_data1"/>
      <sheetName val="WRLD_EXPN1"/>
      <sheetName val="Consolidated_Trial_Bal1"/>
      <sheetName val="trial_bal_ibhq1"/>
      <sheetName val="ibhq_cash_sum1"/>
      <sheetName val="current_cash_tr1"/>
      <sheetName val="Qtrly_analysis_1"/>
      <sheetName val="Forecast_2001-021"/>
      <sheetName val="2001-02_monthly_pack1"/>
      <sheetName val="QIS_Form_No_II1"/>
      <sheetName val="Dep_Trading1"/>
      <sheetName val="monthly_tdg1"/>
      <sheetName val="head_count1"/>
      <sheetName val="Planning_Materiality_Mar_061"/>
      <sheetName val="Sheet2_(3)1"/>
      <sheetName val="Sheet2_(2)1"/>
      <sheetName val="BS_Schdl-3-Fixed_Assets1"/>
      <sheetName val="TDS_Entries_Apr_to_Sept1"/>
      <sheetName val="Add_to_FA1"/>
      <sheetName val="Capex_&amp;_Opex2"/>
      <sheetName val="SPS_DETAIL2"/>
      <sheetName val="list_-_do_not_delete2"/>
      <sheetName val="MAIN_LATEST2"/>
      <sheetName val="currency_(2)2"/>
      <sheetName val="final_sheet_2"/>
      <sheetName val="Consolidated_NE1"/>
      <sheetName val="Consolidated_SE1"/>
      <sheetName val="Consolidated_SO1"/>
      <sheetName val="Hyper_NE1"/>
      <sheetName val="Hyper_SO1"/>
      <sheetName val="Sam's_Club1"/>
      <sheetName val="Super_NE1"/>
      <sheetName val="Super_SO1"/>
      <sheetName val="Todo_Dia1"/>
      <sheetName val="Switch_V161"/>
      <sheetName val="Component_Pricing,_Costs1"/>
      <sheetName val="syndicate_codes1"/>
      <sheetName val="BTVL-ABN_Tranche_I1"/>
      <sheetName val="chiet_tinh2"/>
      <sheetName val="Other_assumptions2"/>
      <sheetName val="RSU_lookups2"/>
      <sheetName val="RSU_sites2"/>
      <sheetName val="DLC_sites2"/>
      <sheetName val="SDH_COST2"/>
      <sheetName val="Home_Office1"/>
      <sheetName val="IRR_Gaming1"/>
      <sheetName val="P&amp;L_breakup1"/>
      <sheetName val="Calcns_FDB1"/>
      <sheetName val="Assns_FDB1"/>
      <sheetName val="BR_(2)1"/>
      <sheetName val="comp_1"/>
      <sheetName val="Sheet_Index1"/>
      <sheetName val="Operating_Companies1"/>
      <sheetName val="Management_Companies1"/>
      <sheetName val="PCAP_Data1"/>
      <sheetName val="Rent_Roll1"/>
      <sheetName val="base_de_dados1"/>
      <sheetName val="ERE_`ODBCDriver`_`Component_`_1"/>
      <sheetName val="elfReg`,_`FileAction`_Where_`S1"/>
      <sheetName val="Database:_[2]__Exceeded_number1"/>
      <sheetName val="Dept_Score-Assoc-Avg_Dept_Wise1"/>
      <sheetName val="Dept_Score-Assoc-Avg_Dept_W_(21"/>
      <sheetName val="Encl_II1"/>
      <sheetName val="Other_notes1"/>
      <sheetName val="Enclosure_XV_(2)1"/>
      <sheetName val="Enclosure_X_contd1"/>
      <sheetName val="Clause_201"/>
      <sheetName val="Enclosure_VIII1"/>
      <sheetName val="Form_No__3CD1"/>
      <sheetName val="Base_Info1"/>
      <sheetName val="Summary_SC1"/>
      <sheetName val="Expanded_P&amp;L1"/>
      <sheetName val="44526_Dalkey1"/>
      <sheetName val="1601_Detail_information1"/>
      <sheetName val="2_대외공문2"/>
      <sheetName val="2_????1"/>
      <sheetName val="2_´ë¿Ü°ø¹®1"/>
      <sheetName val="외주현황_wq11"/>
      <sheetName val="Prior_Fund_Raising_MGD2"/>
      <sheetName val="Managed_Accounts_-_Gross_Tradi2"/>
      <sheetName val="Managed_Accounts2"/>
      <sheetName val="CREDIT_STATS2"/>
      <sheetName val="P&amp;L_Monthly2"/>
      <sheetName val="Cost_Analysis_plc2"/>
      <sheetName val="Transaction_Inputs2"/>
      <sheetName val="Company_Inputs2"/>
      <sheetName val="300_Valuation2"/>
      <sheetName val="Five_Year_DCF2"/>
      <sheetName val="Co__Inputs2"/>
      <sheetName val="Collar-Options_Cash2"/>
      <sheetName val="Cost_of_Services2"/>
      <sheetName val="Price_of_Service2"/>
      <sheetName val="Budget_Data2"/>
      <sheetName val="Rev_&amp;_PC2"/>
      <sheetName val="Non_Rev&amp;PC2"/>
      <sheetName val="Salary_Fcst2"/>
      <sheetName val="Lookup_Tables2"/>
      <sheetName val="ResortQuest_and_Hawaii_Hotel_O2"/>
      <sheetName val="prepaid_expenses2"/>
      <sheetName val="XTU_Sum_(2)2"/>
      <sheetName val="Ctix_Mktg_2"/>
      <sheetName val="Project_Analysis2"/>
      <sheetName val="bonus_from_Forecaster2"/>
      <sheetName val="cap_comp_from_Forecaster2"/>
      <sheetName val="bad_debt_from_Forecaster2"/>
      <sheetName val="FX_rates2"/>
      <sheetName val="Input_Table2"/>
      <sheetName val="Supporting_Data2"/>
      <sheetName val="Segment_Metrics2"/>
      <sheetName val="建物レントロール_1"/>
      <sheetName val="駐車場レントロール_1"/>
      <sheetName val="Significant_Processes1"/>
      <sheetName val="F-1_F-21"/>
      <sheetName val="Interim_--&gt;_Top1"/>
      <sheetName val="A2l1_SAD1"/>
      <sheetName val="Assumptions_11"/>
      <sheetName val="4_Analysis1"/>
      <sheetName val="FF-2_(1)1"/>
      <sheetName val="1_LeadSchedule1"/>
      <sheetName val="Audit_Sch1"/>
      <sheetName val="U2_-_Sales1"/>
      <sheetName val="65_FINANCE1"/>
      <sheetName val="61_HR1"/>
      <sheetName val="NON_QE1"/>
      <sheetName val="O2_TC1"/>
      <sheetName val="B_Redang1"/>
      <sheetName val="AJE_(2)1"/>
      <sheetName val="SP_B61"/>
      <sheetName val="NKS_B61"/>
      <sheetName val="U1-2F_Review_Margin1"/>
      <sheetName val="U2-Staff_Welfare1"/>
      <sheetName val="N3_SCH_FUND1"/>
      <sheetName val="K1_DEP_Leeza1"/>
      <sheetName val="interest_restriction1"/>
      <sheetName val="E_51"/>
      <sheetName val="Int_rea_(2)1"/>
      <sheetName val="Int_rea_(4)1"/>
      <sheetName val="E-Sales_Cut-off1"/>
      <sheetName val="E-Purch_Cut-off1"/>
      <sheetName val="E3_31"/>
      <sheetName val="E3_41"/>
      <sheetName val="Payroll_Summary1"/>
      <sheetName val="dpla_1"/>
      <sheetName val="OP__EXP_(2)1"/>
      <sheetName val="N1_2_(2)1"/>
      <sheetName val="Cut_off_-_Fac_A1"/>
      <sheetName val="B2-4_(2)1"/>
      <sheetName val="C1-2_1"/>
      <sheetName val="C3__1"/>
      <sheetName val="D_-_Loan_charges1"/>
      <sheetName val="M1_21"/>
      <sheetName val="BURGER_ACC1"/>
      <sheetName val="M6_1-insurance1"/>
      <sheetName val="PT_KUTAI_P7005_1"/>
      <sheetName val="PT_KUTAI_P705U1"/>
      <sheetName val="WTK_W70021"/>
      <sheetName val="WTK_W70031"/>
      <sheetName val="WTK_W70081"/>
      <sheetName val="WTK_W708U1"/>
      <sheetName val="c1_11"/>
      <sheetName val="c1_2_1"/>
      <sheetName val="fully_depreciated1"/>
      <sheetName val="asset_list_2004_(4)1"/>
      <sheetName val="details_fully_depr1"/>
      <sheetName val="c1_31"/>
      <sheetName val="FA_Addition1"/>
      <sheetName val="Sheet1_(3)1"/>
      <sheetName val="Sheet1_(4)1"/>
      <sheetName val="Sheet1_(5)1"/>
      <sheetName val="Sheet1_(6)1"/>
      <sheetName val="Sheet1_(7)1"/>
      <sheetName val="Sheet1_(8)1"/>
      <sheetName val="Sheet1_(9)1"/>
      <sheetName val="Sheet1_(10)1"/>
      <sheetName val="Sheet1_(11)1"/>
      <sheetName val="E1-2_1"/>
      <sheetName val="TBCS-PL_1"/>
      <sheetName val="U3_(disclosure)1"/>
      <sheetName val="E5-Recoverability_review1"/>
      <sheetName val="F1-Stock_Roll_fwd1"/>
      <sheetName val="N3|2-1_(2)1"/>
      <sheetName val="1660_SM1"/>
      <sheetName val="1670_SM1"/>
      <sheetName val="1641_SX1"/>
      <sheetName val="Simple_Coff_1"/>
      <sheetName val="F1-Stock_Listing1"/>
      <sheetName val="FYLE_20061"/>
      <sheetName val="CPC_251"/>
      <sheetName val="P12_41"/>
      <sheetName val="1570_NB1"/>
      <sheetName val="CA_Sheet1"/>
      <sheetName val="U_1"/>
      <sheetName val="Hyperion_1"/>
      <sheetName val="Services_site1"/>
      <sheetName val="O-5_1"/>
      <sheetName val="Unit_Fixed_costs1"/>
      <sheetName val="GRO_Cost4"/>
      <sheetName val="Amex_19_Jun4"/>
      <sheetName val="Amex_12_Jun4"/>
      <sheetName val="Amex_5_Jun4"/>
      <sheetName val="Detail_14"/>
      <sheetName val="Detail_24"/>
      <sheetName val="Detail_34"/>
      <sheetName val="Detail_44"/>
      <sheetName val="Detail_54"/>
      <sheetName val="HICAP_suspension_salvage1"/>
      <sheetName val="OH_&amp;_Scrap_Rate_Model1"/>
      <sheetName val="Dimeco_Financials1"/>
      <sheetName val="Earnings_Model1"/>
      <sheetName val="Renovation_Schedule_(3)1"/>
      <sheetName val="EV-EBITDAValuation_1"/>
      <sheetName val="ADR_Chart1"/>
      <sheetName val="Pricing_Power1"/>
      <sheetName val="Chart_Relative_ADR1"/>
      <sheetName val="Pricing_Vs__Comp_Set1"/>
      <sheetName val="Expansion_Yields1"/>
      <sheetName val="Same_Store_RevPAR_Growth1"/>
      <sheetName val="Mgmt__Team1"/>
      <sheetName val="Renovation_Schecule_(2)1"/>
      <sheetName val="DCF_Model1"/>
      <sheetName val="RevPAR_estimates1"/>
      <sheetName val="FCF_Table1"/>
      <sheetName val="Biz_Units1"/>
      <sheetName val="Chart_EBITDA_Mix1"/>
      <sheetName val="EBITDA_MIX1"/>
      <sheetName val="RevPAR_Comps_cut_n_paste1"/>
      <sheetName val="RevPAR_Comps1"/>
      <sheetName val="Valuation__1-10-011"/>
      <sheetName val="Earnings_Model___1"/>
      <sheetName val="Debt_@_3Q001"/>
      <sheetName val="Valuation_-_old1"/>
      <sheetName val="RevPAR_By_Qtr1"/>
      <sheetName val="CIGA_Analysis1"/>
      <sheetName val="RevPAR_3Q001"/>
      <sheetName val="EBITDA_Mix_1"/>
      <sheetName val="EBITDA_Mix_9-001"/>
      <sheetName val="2Q00_Comparison1"/>
      <sheetName val="bas_buying_hot_6-00_cash_deal1"/>
      <sheetName val="bas_hlt_cash_stock_merger1"/>
      <sheetName val="Valuation_(2)1"/>
      <sheetName val="EBITDA_Multiples1"/>
      <sheetName val="EPS_Multiples1"/>
      <sheetName val="MLP_IPO_Yields_vs_MLP_Index1"/>
      <sheetName val="sales_vol_1"/>
      <sheetName val="Page_A-11"/>
      <sheetName val="Financial_Data1"/>
      <sheetName val="Trading_Multiples1"/>
      <sheetName val="Operating_Statistics1"/>
      <sheetName val="Business_Description1"/>
      <sheetName val="Implied_Valuation1"/>
      <sheetName val="Valuation_Chart1"/>
      <sheetName val="Credit_Health_Panel1"/>
      <sheetName val="Sources_&amp;_Uses1"/>
      <sheetName val="Sch_G-2__LOC_Analysis_2004_(2)1"/>
      <sheetName val="EBITDA_Bridge1"/>
      <sheetName val="Sample_Pie1"/>
      <sheetName val="Capital_Expenditures1"/>
      <sheetName val="Dep__and_Amort_1"/>
      <sheetName val="Debt_Free_-_Cash_Free1"/>
      <sheetName val="Working_Cap1"/>
      <sheetName val="Income_Statement_Projections1"/>
      <sheetName val="Capital_Expenditure_Projection1"/>
      <sheetName val="Forecasted_WC1"/>
      <sheetName val="Summary_IS_(2)1"/>
      <sheetName val="Net_Sales_(2)1"/>
      <sheetName val="Gross_Profit_(2)1"/>
      <sheetName val="Summary_IS1"/>
      <sheetName val="Net_Sales1"/>
      <sheetName val="Gross_Profit1"/>
      <sheetName val="Sales_-_GP_Opening_Chart1"/>
      <sheetName val="Operating_Expense1"/>
      <sheetName val="Undadjusted_EBITDA1"/>
      <sheetName val="Adjusted_EBITDA1"/>
      <sheetName val="BD-GL_Account1"/>
      <sheetName val="DO_NOT_USE1"/>
      <sheetName val="BD_GL_Account1"/>
      <sheetName val="Pull_Sheet1"/>
      <sheetName val="Hotel_Directory1"/>
      <sheetName val="CD001-_AUG_TAL_INC1"/>
      <sheetName val="DT_Man-hours_Chart1"/>
      <sheetName val="Capital_Structure_Details1"/>
      <sheetName val="Data_WIP1"/>
      <sheetName val="장할생활_(2)1"/>
      <sheetName val="Site_Stats1"/>
      <sheetName val="Cash_Reg_Orders_Recd1"/>
      <sheetName val="Orders_Settled1"/>
      <sheetName val="Q-1_1"/>
      <sheetName val="Trial_Balance1"/>
      <sheetName val="เงินกู้_MGC1"/>
      <sheetName val="Stock_Aging1"/>
      <sheetName val="Hyp_-_Expense1"/>
      <sheetName val="Service_Delivery1"/>
      <sheetName val="K-1_Tax_Attributes_Cf_1"/>
      <sheetName val="폐토수익화_1"/>
      <sheetName val="final_TB(월)1"/>
      <sheetName val="nude_TB1"/>
      <sheetName val="As_is_Value1"/>
      <sheetName val="On_Going_Value1"/>
      <sheetName val="Deferred_Add1"/>
      <sheetName val="Returns_Analysis1"/>
      <sheetName val="Basic_Details1"/>
      <sheetName val="Notes_to_accounts1"/>
      <sheetName val="Hub_Inputs1"/>
      <sheetName val="BOM_Matrix_(2)1"/>
      <sheetName val="ECR_E04_22_03_02_FRZ1"/>
      <sheetName val="MP_-_DTA1"/>
      <sheetName val="SOAD_1"/>
      <sheetName val="Summary_of_Project_&amp;_WIP_Revie1"/>
      <sheetName val="附注汇总__(2)1"/>
      <sheetName val="现金合并_(2)1"/>
      <sheetName val="固定资产及累计折旧_1"/>
      <sheetName val="E4_Sales_cutoff1"/>
      <sheetName val="U2_1_1_(2)1"/>
      <sheetName val="M8memo_Prov_for_connectplan1"/>
      <sheetName val="U2_1_ARPs(P)1"/>
      <sheetName val="U1_Lead_(2)1"/>
      <sheetName val="U6_3A_Landscape_project_ana1"/>
      <sheetName val="A6_31"/>
      <sheetName val="I1-_interco1"/>
      <sheetName val="U3_Payroll_lead1"/>
      <sheetName val="E5_1_Sales_cut_off1"/>
      <sheetName val="CFChart_(2)1"/>
      <sheetName val="AJE__(2)1"/>
      <sheetName val="RJE_(2)1"/>
      <sheetName val="C101_(2)1"/>
      <sheetName val="T101-Share_Cap_(2)1"/>
      <sheetName val="CFChart_(3)1"/>
      <sheetName val="AJE_1"/>
      <sheetName val="Other_Info1"/>
      <sheetName val="MKT_PO-20111"/>
      <sheetName val="ONOFF-BUD_(ROC)1"/>
      <sheetName val="EEFC_Account1"/>
      <sheetName val="CHENNAI_-_ANNX1"/>
      <sheetName val="Allocation_for_Nov_041"/>
      <sheetName val="Aviva_Debit_Note-_Nov_041"/>
      <sheetName val="Aviva_Debit_Note-_Dec_041"/>
      <sheetName val="Aviva_Invoice-_Dec_041"/>
      <sheetName val="Encl_I1"/>
      <sheetName val="F'cast_Pr_Mth1"/>
      <sheetName val="Hyp_Dump1"/>
      <sheetName val="Juros_Financ__Siemsa1"/>
      <sheetName val="Juros_Conta_Garantida1"/>
      <sheetName val="Europe_2002-3_P&amp;L1"/>
      <sheetName val="Monthly_Rollforward1"/>
      <sheetName val="William_Gardner1"/>
      <sheetName val="James_Gardner1"/>
      <sheetName val="Michael_DiProspero1"/>
      <sheetName val="Scott_Lonkart1"/>
      <sheetName val="David_Gronik1"/>
      <sheetName val="Ross_Pollack1"/>
      <sheetName val="Phillip_Pollack1"/>
      <sheetName val="Robert_Levy1"/>
      <sheetName val="Van_Beusekom1"/>
      <sheetName val="Mason_Greene1"/>
      <sheetName val="Richard_Schmitt1"/>
      <sheetName val="NLevy_Trust1"/>
      <sheetName val="Co_11"/>
      <sheetName val="Co_51"/>
      <sheetName val="Co_41"/>
      <sheetName val="Exec_P&amp;L1"/>
      <sheetName val="Dept_Exp_SMIN1"/>
      <sheetName val="3-31-06_Write_OFf_1"/>
      <sheetName val="US_-_FINAL1"/>
      <sheetName val="Details_BS1"/>
      <sheetName val="Details_PL1"/>
      <sheetName val="RM_Consumption_Schedule_111"/>
      <sheetName val="TB_01-05-031"/>
      <sheetName val="New_Summary_P&amp;L1"/>
      <sheetName val="Order_Pipeline_Review_Ver21"/>
      <sheetName val="Summary_P&amp;L1"/>
      <sheetName val="Order_Pipeline_Review1"/>
      <sheetName val="Summary_Table_31"/>
      <sheetName val="Essbase_Budget_(3)1"/>
      <sheetName val="Essbase_Budget_(2)1"/>
      <sheetName val="E3_(2)1"/>
      <sheetName val="F6_Stock_Take_recon1"/>
      <sheetName val="F5_1_stk_valuation1"/>
      <sheetName val="A2_4_SAD1"/>
      <sheetName val="E2_(&lt;)1"/>
      <sheetName val="A2|3_AJE1"/>
      <sheetName val="A2|2_RJE1"/>
      <sheetName val="A2|1_OJE1"/>
      <sheetName val="Page_31"/>
      <sheetName val="Bakat_-_consol1"/>
      <sheetName val="向导生成器(&amp;W)控件向导(&amp;W)用_MS_Word_合并(1"/>
      <sheetName val="G200预付帐款帐龄分析表__(3)1"/>
      <sheetName val="N100应付帐款帐龄分析表__(3)1"/>
      <sheetName val="Detailed_PL1"/>
      <sheetName val="CA333-AR_&amp;_AP(ok)1"/>
      <sheetName val="CA341-CIP_&amp;_stock(ok)1"/>
      <sheetName val="OS_(7)1"/>
      <sheetName val="A301-03_(7)1"/>
      <sheetName val="U101-03_(2)1"/>
      <sheetName val="OS_(6)1"/>
      <sheetName val="A301-03_(6)1"/>
      <sheetName val="U101-03ok_(3)1"/>
      <sheetName val="OS_(5)1"/>
      <sheetName val="A301-03_(5)1"/>
      <sheetName val="OS_(4)1"/>
      <sheetName val="Staff_Sal1"/>
      <sheetName val="gen_ledger_data1"/>
      <sheetName val="1st_Q_20021"/>
      <sheetName val="Page_A-7_1"/>
      <sheetName val="Actual_month_$1"/>
      <sheetName val="fme_idex1"/>
      <sheetName val="fma_idex1"/>
      <sheetName val="fme_fm1"/>
      <sheetName val="Transaction_Summary1"/>
      <sheetName val="Transaction-Assum_1"/>
      <sheetName val="应收帐款_AR_1"/>
      <sheetName val="basic_working1"/>
      <sheetName val="June_analysis_1"/>
      <sheetName val="D&amp;O_list_IMl1"/>
      <sheetName val="TM_-_USA1"/>
      <sheetName val="German_Co_-_Attrition_study1"/>
      <sheetName val="Comp_IS1"/>
      <sheetName val="RB_AD1"/>
      <sheetName val="NTM_PE1"/>
      <sheetName val="CY_Head1"/>
      <sheetName val="Inventory_List_(2)1"/>
      <sheetName val="Wenger_Summary1"/>
      <sheetName val="GL_Summary1"/>
      <sheetName val="MCOE_Final_Slow1"/>
      <sheetName val="Modality_Summary1"/>
      <sheetName val="_BC_SUMMARY_20031"/>
      <sheetName val="Final_HU_TB_Jun_20021"/>
      <sheetName val="2001_even1"/>
      <sheetName val="condensed_p&amp;l1"/>
      <sheetName val="p&amp;l_by_month1"/>
      <sheetName val="GM_EPS_Model1"/>
      <sheetName val="Mix_in_Total1"/>
      <sheetName val="Page_11"/>
      <sheetName val="Business_Summary_Reports1"/>
      <sheetName val="Stock_Chart1"/>
      <sheetName val="S2_40m_by_mth1"/>
      <sheetName val="group-match__1"/>
      <sheetName val="Working_Capital1"/>
      <sheetName val="Stepped_Pmts1"/>
      <sheetName val="OP_PLAN1"/>
      <sheetName val="HEADCOUNT_WORKSHEET1"/>
      <sheetName val="Mat'l_Pareto1"/>
      <sheetName val="MIP_codes_20021"/>
      <sheetName val="MIP_actuals_20021"/>
      <sheetName val="Managers_Database1"/>
      <sheetName val="Health_Plans1"/>
      <sheetName val="3Q_Ops1"/>
      <sheetName val="3Q_Orders1"/>
      <sheetName val="4Q_Orders1"/>
      <sheetName val="4Q_Ops1"/>
      <sheetName val="2003_Ops1"/>
      <sheetName val="2003_Orders1"/>
      <sheetName val="TY_CM_Walk1"/>
      <sheetName val="CFOA-TCG_2008_OP1"/>
      <sheetName val="_BC_SUMMARY_20021"/>
      <sheetName val="P&amp;L_Analysis1"/>
      <sheetName val="94_Rev1"/>
      <sheetName val="Ind_Mat1"/>
      <sheetName val="Input_Page1"/>
      <sheetName val="TPM_Tot1"/>
      <sheetName val="inventory_snapshot_200203131"/>
      <sheetName val="Total_by_Function_QSplit1"/>
      <sheetName val="On_Hand1"/>
      <sheetName val="Eur_sub2_1"/>
      <sheetName val="3-13_Summary1"/>
      <sheetName val="95_Rev1"/>
      <sheetName val="FG_Obsol1"/>
      <sheetName val="chart_11"/>
      <sheetName val="CA_computation1"/>
      <sheetName val="CEP_register_-_ALL_(2)1"/>
      <sheetName val="Spend_June_2008_(2)1"/>
      <sheetName val="Estimate_Trending1"/>
      <sheetName val="Sales_to_CM_Summary1"/>
      <sheetName val="Estimate_Database1"/>
      <sheetName val="Version_Verification1"/>
      <sheetName val="Data_Sheet_Source_Example1"/>
      <sheetName val="Erlang_and_Infra1"/>
      <sheetName val="Network_Summary1"/>
      <sheetName val="margin_1"/>
      <sheetName val="CVK_p&amp;L1"/>
      <sheetName val="lot_no_861"/>
      <sheetName val="Sales_&amp;Sale_Cost1"/>
      <sheetName val="Stock_Cal1"/>
      <sheetName val="rawmat_break_up1"/>
      <sheetName val="cell_rel1"/>
      <sheetName val="Contract_Details1"/>
      <sheetName val="COST_SHEET1"/>
      <sheetName val="OTHER_RM1"/>
      <sheetName val="Top_Sheet1"/>
      <sheetName val="Break_up_of_RMcost1"/>
      <sheetName val="March_1"/>
      <sheetName val="Accounts_Payable_(11)1"/>
      <sheetName val="AP_Concentrations1"/>
      <sheetName val="FS_-_BS_(2)1"/>
      <sheetName val="FS_-_BS_Det_(2)1"/>
      <sheetName val="FS-_IS_(2)1"/>
      <sheetName val="Delinquent_Accounts_1"/>
      <sheetName val="Ship_Test1"/>
      <sheetName val="Mgmt_Letter1"/>
      <sheetName val="AR_Roll1"/>
      <sheetName val="Misc_-_Tax(NIC)1"/>
      <sheetName val="CM_Test_1"/>
      <sheetName val="Conc_(NIC)1"/>
      <sheetName val="AR_Roll_1"/>
      <sheetName val="Misc_-_Tax1"/>
      <sheetName val="AR_Statistics_-_Consolidated1"/>
      <sheetName val="AR_Activity_-_Domestic1"/>
      <sheetName val="AR_Activity_-_Canada1"/>
      <sheetName val="Cash_-_Lockbox1"/>
      <sheetName val="INV-Cost_Test_(Bottled)1"/>
      <sheetName val="INV_-_Counts_AHP1"/>
      <sheetName val="INV_-_Costs1"/>
      <sheetName val="Ship_Test_1"/>
      <sheetName val="INV_-_Counts_Div_B1"/>
      <sheetName val="AR_Stats_Input1"/>
      <sheetName val="Cash_Diagram_(3)1"/>
      <sheetName val="Cash__(2)1"/>
      <sheetName val="INV-Counts__(2)1"/>
      <sheetName val="CM_Test_(sales_credits)1"/>
      <sheetName val="Cash_-Lockbox1"/>
      <sheetName val="INV_-_Counts_Roto1"/>
      <sheetName val="Cash_-_Operating_Fleet1"/>
      <sheetName val="Cash_-_Operating_Trustco1"/>
      <sheetName val="Cash_Diagram1"/>
      <sheetName val="AP_-_stats1"/>
      <sheetName val="AP_Factored_By_CIT_(2)1"/>
      <sheetName val="INV_-_Costs_Intl_Environmental1"/>
      <sheetName val="INV_-_Costs_Climate_Master1"/>
      <sheetName val="INV_-_Costs_Climate_Craft1"/>
      <sheetName val="Flash_Pg-11"/>
      <sheetName val="Expanded_Shipping_Test1"/>
      <sheetName val="Conc-Merc_Air_Cargo1"/>
      <sheetName val="AP_-_conc1"/>
      <sheetName val="_AP_Delinq_1"/>
      <sheetName val="CM_Test1"/>
      <sheetName val="Missing_Doc_Rpt1"/>
      <sheetName val="AR_Roll_Consol1"/>
      <sheetName val="BU_Color_&amp;_Specialties1"/>
      <sheetName val="Manuf_Chem_Cleveland1"/>
      <sheetName val="Organic_Pigments1"/>
      <sheetName val="AP_Conc1"/>
      <sheetName val="AP_Disb1"/>
      <sheetName val="INV_-_Counts_Nashville1"/>
      <sheetName val="FS-_IS1"/>
      <sheetName val="_Cons__Financials_-_EIG1"/>
      <sheetName val="DETAILS_1_(3)1"/>
      <sheetName val="Accounts_Payable__11_1"/>
      <sheetName val="Service_Parts_Rejects_(RPPM)1"/>
      <sheetName val="Freight_Issues1"/>
      <sheetName val="Carole_Worksheet_Table2"/>
      <sheetName val="Fcst_Var1"/>
      <sheetName val="Lastyr_Conv_Cost1"/>
      <sheetName val="March_Conv_Cost1"/>
      <sheetName val="March_Conv_Cost_20081"/>
      <sheetName val="March_EQU1"/>
      <sheetName val="March_EQU_20081"/>
      <sheetName val="March_Var1"/>
      <sheetName val="March_Var_20081"/>
      <sheetName val="RFQ_Instructions1"/>
      <sheetName val="Quote_Cover_Page1"/>
      <sheetName val="outbound_Oct1"/>
      <sheetName val="Rejects_PPM1"/>
      <sheetName val="Tooling_Cost_(2)1"/>
      <sheetName val="RDO_CONT1"/>
      <sheetName val="A__FIJO1"/>
      <sheetName val="BB_Info1"/>
      <sheetName val="nethouse_input_(CURRENT_PERIOD1"/>
      <sheetName val="Dealer_names1"/>
      <sheetName val="BB_DATA1"/>
      <sheetName val="ER_LavSal_Vs_Ant1"/>
      <sheetName val="Tooling_Assembly1"/>
      <sheetName val="TOSH06ISR_1"/>
      <sheetName val="ajuste_IVA1"/>
      <sheetName val="DEPFIST_US20001"/>
      <sheetName val="Inv_Est_Now1"/>
      <sheetName val="MD_UK1"/>
      <sheetName val="U71_1800010041"/>
      <sheetName val="U71_1810010041"/>
      <sheetName val="3_Digit_Account_Grouping1"/>
      <sheetName val="Balanza_3231"/>
      <sheetName val="3_Dig_CDR_1"/>
      <sheetName val="table_grille1"/>
      <sheetName val="Economic_Inputs1"/>
      <sheetName val="Cur_Yr_Data1"/>
      <sheetName val="Prv_Year_Data1"/>
      <sheetName val="Front_Page1"/>
      <sheetName val="DYN_PP1"/>
      <sheetName val="Site_04_-_Level_41"/>
      <sheetName val="Vol_Detail1"/>
      <sheetName val="Assessment_Allocation1"/>
      <sheetName val="Headcount_Expense_Allocation1"/>
      <sheetName val="WIP_Details1"/>
      <sheetName val="CA_WIP1"/>
      <sheetName val="YTD_Big_Y's1"/>
      <sheetName val="Actual_03_Volume1"/>
      <sheetName val="Cross_Walk1"/>
      <sheetName val="Subledger_Description1"/>
      <sheetName val="Net_Income1"/>
      <sheetName val="EP_Vol_New1"/>
      <sheetName val="SP_Vol_New1"/>
      <sheetName val="Q2_Est1"/>
      <sheetName val="EPSP_Splitout1"/>
      <sheetName val="Cover_Page1"/>
      <sheetName val="Asset_Quality1"/>
      <sheetName val="Lease_Loan981"/>
      <sheetName val="Deal_Name1"/>
      <sheetName val="status_codes1"/>
      <sheetName val="ATLAS_1-Budget1"/>
      <sheetName val="bup_c8s001_050001%_mar03_(3)1"/>
      <sheetName val="10-24_Bal_Sheet1"/>
      <sheetName val="Borrowing_Base1"/>
      <sheetName val="May_42991"/>
      <sheetName val="ENTREE_JOURNAL1"/>
      <sheetName val="LIQUIDATION_&amp;_AMORTIZATION_GAI1"/>
      <sheetName val="Calculation_Questionnaire1"/>
      <sheetName val="CEF_Funding_LLC1"/>
      <sheetName val="Comm_Mtg1"/>
      <sheetName val="Review_Minutes1"/>
      <sheetName val="Feed_sheet1"/>
      <sheetName val="New_business1"/>
      <sheetName val="U1-Turnover_and_COS1"/>
      <sheetName val="U2_41"/>
      <sheetName val="U1_1_Analysis1"/>
      <sheetName val="U1_Lead1"/>
      <sheetName val="T2_Reserves_Lead1"/>
      <sheetName val="Revenue_Statement"/>
      <sheetName val="Ark1"/>
      <sheetName val="Bex Query P&amp;L"/>
      <sheetName val="Bex Query Branded"/>
      <sheetName val="Bex Query Unbranded"/>
      <sheetName val="地区別"/>
      <sheetName val="基本量販店動向 (2)"/>
      <sheetName val="基本量販店動向"/>
      <sheetName val="基本量販店動向 tomato"/>
      <sheetName val="基本量販店動向 (3)"/>
      <sheetName val="①充実野菜"/>
      <sheetName val="量販店動向1"/>
      <sheetName val="14w日曜の市"/>
      <sheetName val="商品台帳"/>
      <sheetName val="まとめグロサリー"/>
      <sheetName val="指数"/>
      <sheetName val="P４（７月）"/>
      <sheetName val="l37쳸d⨀䂤 _x0000_⋌,9"/>
      <sheetName val="l37쳸d⨀䂤 "/>
      <sheetName val="_7254_x0000__x0000_15"/>
      <sheetName val="_7254_515"/>
      <sheetName val="予算計画"/>
      <sheetName val="2月"/>
      <sheetName val="_7254"/>
      <sheetName val="台帳"/>
      <sheetName val="l37쳸d⨀䂤 ?⋌,9"/>
      <sheetName val="_7254??15"/>
      <sheetName val="予算・過去実績"/>
      <sheetName val="1_1006divson210"/>
      <sheetName val="2_1006divson220"/>
      <sheetName val="3_1006divson230"/>
      <sheetName val="4_1006divson240"/>
      <sheetName val="5_1006divson250"/>
      <sheetName val="6_1006divson270"/>
      <sheetName val="7_1006divson280"/>
      <sheetName val="8_1006divson999"/>
      <sheetName val="l37쳸d⨀䂤 _⋌,9"/>
      <sheetName val="_7254__15"/>
      <sheetName val="基本cvs動向"/>
      <sheetName val="表紙"/>
      <sheetName val="l37쳸d⨀䂤  ⋌,9"/>
      <sheetName val="_7254  15"/>
      <sheetName val="④回答結果"/>
      <sheetName val="Sheet1_x0000__x0000_¤_x0014__x0000__x0000__x0000__x0000__x0000__x0000__x0001_ļ䷨փ_x0000__x0004__x0000__x0000__x0000__x0000__x0000__x0000_䭸փ_x0000_"/>
      <sheetName val="oue\My Documents_x0000_ALLUSERSPROFIL"/>
      <sheetName val="oue_My Documents"/>
      <sheetName val="Sheet1_x0000_¤_x0014__x0000__x0001_ļ䷨փ_x0000__x0004__x0000_䭸փ_x0000_丈փ_x0000__x0001__x0000__x000e_[Book"/>
      <sheetName val="豆畑倉敷"/>
      <sheetName val="上期実績"/>
      <sheetName val="POP案内"/>
      <sheetName val="5-6月キャンペーン"/>
      <sheetName val="人口移動第４表"/>
      <sheetName val="ﾌﾙｰﾂ村pet"/>
      <sheetName val="⑤弁当"/>
      <sheetName val="行楽ﾌｪｱ"/>
      <sheetName val="489社"/>
      <sheetName val="カレドミルク"/>
      <sheetName val="原紙"/>
      <sheetName val="ﾒｲﾃﾝ"/>
      <sheetName val="銘店"/>
      <sheetName val="原紙 (3)"/>
      <sheetName val="原紙 (4)"/>
      <sheetName val="45週"/>
      <sheetName val="8月"/>
      <sheetName val="８月 （２）"/>
      <sheetName val="プチぐるみ"/>
      <sheetName val="８月（３）"/>
      <sheetName val="８月（４）"/>
      <sheetName val="298均一"/>
      <sheetName val="９９円均一"/>
      <sheetName val="ＣＢキット"/>
      <sheetName val="ダースキット"/>
      <sheetName val="001"/>
      <sheetName val="東北"/>
      <sheetName val="東北 (２)"/>
      <sheetName val="長野"/>
      <sheetName val="7月度"/>
      <sheetName val="ワイン 表 (2)"/>
      <sheetName val="ﾌﾙｰﾂﾜｲﾝ"/>
      <sheetName val="ﾌﾙｰﾂﾜｲﾝ (2)"/>
      <sheetName val="商品ﾏｽﾀｰ"/>
      <sheetName val="商談報告書"/>
      <sheetName val="ﾒ-ｶ-別対比"/>
      <sheetName val="アニマーレ"/>
      <sheetName val="イカワ"/>
      <sheetName val="フェレロ"/>
      <sheetName val="輸入"/>
      <sheetName val="輸入 (2)"/>
      <sheetName val="ホテルオ－クラ"/>
      <sheetName val="陳指38"/>
      <sheetName val="延岡040オープン"/>
      <sheetName val="０４２基本"/>
      <sheetName val="１2月度ﾏﾈｷﾝ計画"/>
      <sheetName val="コンタクト (2)"/>
      <sheetName val="シルバーおむつ (2)"/>
      <sheetName val="５月VP  (3)"/>
      <sheetName val="花粉吊り下げ２ (3)"/>
      <sheetName val="ｺﾝﾀｸﾄ3月度 (2)"/>
      <sheetName val="表紙 (2)"/>
      <sheetName val="特保ケース売り (2)"/>
      <sheetName val="カルピス健康フェア (2)"/>
      <sheetName val="バディエット企画書 (2)"/>
      <sheetName val="スリムリング (2)"/>
      <sheetName val="ダイエット (2)"/>
      <sheetName val="B-UPドロップ発注表  (2)"/>
      <sheetName val="TVマスク台紙 (2)"/>
      <sheetName val="救急衛生 (2)"/>
      <sheetName val="コンタクトケア (2)"/>
      <sheetName val="ホテルオ−クラ"/>
      <sheetName val="按分係数修正"/>
      <sheetName val="収支表"/>
      <sheetName val="全件ﾘｽﾄ"/>
      <sheetName val="カット"/>
      <sheetName val="新規リスト"/>
      <sheetName val="マット全件リスト"/>
      <sheetName val="ﾊﾟｰﾙ"/>
      <sheetName val="ニトムズ"/>
      <sheetName val="岩崎工業"/>
      <sheetName val="おたふく"/>
      <sheetName val="カゴメ"/>
      <sheetName val="リス"/>
      <sheetName val="関屋化学"/>
      <sheetName val="理研"/>
      <sheetName val="ｽｹｰﾀｰ"/>
      <sheetName val="清掃体系図"/>
      <sheetName val="02.02月POP"/>
      <sheetName val="サニタリー"/>
      <sheetName val="２本 (3)"/>
      <sheetName val="返品承認"/>
      <sheetName val="ラップ２－２"/>
      <sheetName val="ラップ２－１"/>
      <sheetName val="収納３－１ "/>
      <sheetName val="収納３－３"/>
      <sheetName val="収納３－２"/>
      <sheetName val="たわし3本"/>
      <sheetName val="新規"/>
      <sheetName val="都市ﾗｯﾌﾟ２本"/>
      <sheetName val="マスター登録用紙"/>
      <sheetName val="流し廻"/>
      <sheetName val="２００３年実績"/>
      <sheetName val="12月本部導入台帳"/>
      <sheetName val="商品登録票原紙 ﾌﾟﾘﾝﾄ"/>
      <sheetName val="03.10.11月"/>
      <sheetName val="依頼書"/>
      <sheetName val="山梨 (2)"/>
      <sheetName val="山梨"/>
      <sheetName val="月度数値"/>
      <sheetName val="週取組"/>
      <sheetName val="品質管理基準"/>
      <sheetName val="組織図"/>
      <sheetName val="管理基準"/>
      <sheetName val="ラップ２−２"/>
      <sheetName val="ラップ２−１"/>
      <sheetName val="収納３−１ "/>
      <sheetName val="収納３−３"/>
      <sheetName val="収納３−２"/>
      <sheetName val="05障子紙・清掃全件 (5)"/>
      <sheetName val="製菓"/>
      <sheetName val="新生活Ｋ"/>
      <sheetName val="5大塚"/>
      <sheetName val="年末年始."/>
      <sheetName val="PP大分"/>
      <sheetName val="PP大分 (2)"/>
      <sheetName val="PP大分 (3)"/>
      <sheetName val="イワタニ (15)"/>
      <sheetName val="リスト (2)"/>
      <sheetName val="リスト (3)"/>
      <sheetName val="リスト (4)"/>
      <sheetName val="まな板"/>
      <sheetName val="全件確定 (2)"/>
      <sheetName val="５月２日 "/>
      <sheetName val="５月２日  "/>
      <sheetName val="清掃"/>
      <sheetName val="2 (2)"/>
      <sheetName val="EXCEL_DATA_951042_221745"/>
      <sheetName val="マスター"/>
      <sheetName val="マスター作成"/>
      <sheetName val="追加カット"/>
      <sheetName val="画像"/>
      <sheetName val="&amp;B)..._x0000_ﾌｧｲﾙの種類(&amp;T)_x0000_自動的に更新する(&amp;C)"/>
      <sheetName val="６月販売目標修正"/>
      <sheetName val="新色ライブリッシュ予約状況５月２５日現在"/>
      <sheetName val="チラシ原稿01,05の②"/>
      <sheetName val="チラシ原稿01,05の①"/>
      <sheetName val="２月度活動実績"/>
      <sheetName val="１月度活動実績"/>
      <sheetName val="１２月度活動実績"/>
      <sheetName val="１１月度活動実績"/>
      <sheetName val="１０月度活動実績"/>
      <sheetName val="２００２年度下半期活動実績"/>
      <sheetName val="UV実績"/>
      <sheetName val="作成用値"/>
      <sheetName val="新規登録原紙 (5)"/>
      <sheetName val="社員"/>
      <sheetName val="部門順位"/>
      <sheetName val="９月"/>
      <sheetName val="0409重点 (2)"/>
      <sheetName val="売上"/>
      <sheetName val="売上伸率"/>
      <sheetName val="1次PL"/>
      <sheetName val="利益率"/>
      <sheetName val="3次PL"/>
      <sheetName val="昨年差"/>
      <sheetName val="荒利率"/>
      <sheetName val="1値下率"/>
      <sheetName val="後藤会議用"/>
      <sheetName val="目薬"/>
      <sheetName val="ごとう (2)"/>
      <sheetName val="ドライアイ"/>
      <sheetName val="サンテ"/>
      <sheetName val="アスピリン"/>
      <sheetName val="ｋｌｋ元 (2)"/>
      <sheetName val="&amp;B)..."/>
      <sheetName val="今後の対応①"/>
      <sheetName val="今後の対応②"/>
      <sheetName val="東北② (2)"/>
      <sheetName val="箱ﾓｼﾞｭｰﾙ"/>
      <sheetName val="_x0010_ʝ② (2)"/>
      <sheetName val="She}_x0013__x0000_kÞÌ"/>
      <sheetName val="1"/>
      <sheetName val="2"/>
      <sheetName val="3"/>
      <sheetName val="4"/>
      <sheetName val="5"/>
      <sheetName val="6"/>
      <sheetName val="7"/>
      <sheetName val="8"/>
      <sheetName val="9"/>
      <sheetName val="12"/>
      <sheetName val="２６０単品"/>
      <sheetName val="２７０単品"/>
      <sheetName val="汎用分析レポート"/>
      <sheetName val="③"/>
      <sheetName val="04,08"/>
      <sheetName val="31-33"/>
      <sheetName val="カテゴリ別店舗べスト"/>
      <sheetName val="単品作業表紙 (271)"/>
      <sheetName val="28-29"/>
      <sheetName val="28-29 (2)"/>
      <sheetName val="230"/>
      <sheetName val="241"/>
      <sheetName val="242"/>
      <sheetName val="243"/>
      <sheetName val="3 (3)"/>
      <sheetName val="月間行為計画書数値"/>
      <sheetName val="7月BSG375"/>
      <sheetName val="7月BSG375(2)"/>
      <sheetName val="7月BSG375(3)"/>
      <sheetName val="7月BSG375(4)"/>
      <sheetName val="7月BSG375(5)"/>
      <sheetName val="ｱｽﾍﾞﾙ"/>
      <sheetName val="ｱｽﾍﾞﾙ(2)"/>
      <sheetName val="ﾎｰｸｽｾｰﾙ商品ﾘｽﾄ (4)"/>
      <sheetName val="ｻﾘﾌﾞﾌﾗｲﾊﾟﾝｶﾊﾞｰ16～20変更"/>
      <sheetName val="3怑"/>
      <sheetName val="戦略展開"/>
      <sheetName val="半期販売計画"/>
      <sheetName val="&amp;B)...?ﾌｧｲﾙの種類(&amp;T)?自動的に更新する(&amp;C)"/>
      <sheetName val="デリカ荒利対策"/>
      <sheetName val="美ら海 (2)"/>
      <sheetName val="⑤原材料調査書 (2)"/>
      <sheetName val="⑥原材料リスト (3)"/>
      <sheetName val="ｻﾘﾌﾞﾌﾗｲﾊﾟﾝｶﾊﾞｰ16〜20変更"/>
      <sheetName val="3_"/>
      <sheetName val="&amp;B)..._ﾌｧｲﾙの種類(&amp;T)_自動的に更新する(&amp;C)"/>
      <sheetName val="She}_x0013_"/>
      <sheetName val="ギフト受注データ"/>
      <sheetName val="農産乾物"/>
      <sheetName val="かつおぶし"/>
      <sheetName val="のり"/>
      <sheetName val="海産乾物"/>
      <sheetName val="店舗別配布表"/>
      <sheetName val="購入平均売価"/>
      <sheetName val="06"/>
      <sheetName val="05"/>
      <sheetName val="橋本"/>
      <sheetName val="板本"/>
      <sheetName val="谷口"/>
      <sheetName val="藤川"/>
      <sheetName val="山崎"/>
      <sheetName val="奥本"/>
      <sheetName val="正地"/>
      <sheetName val="福田"/>
      <sheetName val="石井"/>
      <sheetName val="山縣"/>
      <sheetName val="She}_x0013_?kÞÌ"/>
      <sheetName val="08年６月"/>
      <sheetName val="１２月"/>
      <sheetName val="ユーカリ新聞"/>
      <sheetName val="３月売場計画"/>
      <sheetName val="11月コメント"/>
      <sheetName val="5月売場計画"/>
      <sheetName val="She}_x0013__kÞÌ"/>
      <sheetName val="見積り2 (3)"/>
      <sheetName val="変わります"/>
      <sheetName val="B_THKP(XDM)"/>
      <sheetName val="TKKTNTRAM"/>
      <sheetName val="THKLNTR"/>
      <sheetName val="XL4Poppy"/>
      <sheetName val="XL4Test5"/>
      <sheetName val="TSTT"/>
      <sheetName val="BKL"/>
      <sheetName val="TKT"/>
      <sheetName val="00000000"/>
      <sheetName val="10000000"/>
      <sheetName val="20000000"/>
      <sheetName val="XL4Test5 (2)"/>
      <sheetName val="XL4Test5 (3)"/>
      <sheetName val="XL4Test5 (4)"/>
      <sheetName val="XL4Test5 (5)"/>
      <sheetName val="VatLieu"/>
      <sheetName val="THVL"/>
      <sheetName val="nh_cb"/>
      <sheetName val="DG"/>
      <sheetName val="構成比"/>
      <sheetName val="売上推移"/>
      <sheetName val="売上推移グラフ"/>
      <sheetName val="予実"/>
      <sheetName val="買場別"/>
      <sheetName val="開発実績"/>
      <sheetName val="売店調査リスト（既存）"/>
      <sheetName val="全支店 計"/>
      <sheetName val="ｹｰｽ実績"/>
      <sheetName val="7月"/>
      <sheetName val="労保料"/>
      <sheetName val="介護保険 松本工場"/>
      <sheetName val="標準報酬"/>
      <sheetName val="１月"/>
      <sheetName val="２月"/>
      <sheetName val="３月"/>
      <sheetName val="４月"/>
      <sheetName val="５月"/>
      <sheetName val="６月"/>
      <sheetName val="７月"/>
      <sheetName val="東北② (2_x0002_"/>
      <sheetName val="_x0000__x0012_"/>
      <sheetName val="_x0000__x0000__x0000__x0012__x0013__x0000_&gt;_x0013__x0000__x0000__x0000__x0000__x0000__x0000__x0000__x0000__x0000_"/>
      <sheetName val="新生఻_x0000_"/>
      <sheetName val="05障子紙・清掃全件 (ȵ_x0000_"/>
      <sheetName val="_x0012_Ž"/>
      <sheetName val="_x0012__x0013__x0000_&gt;’_x0013__x0000_"/>
      <sheetName val="_x0012__x0013_"/>
      <sheetName val="カネボウ"/>
      <sheetName val="コーセー"/>
      <sheetName val="244"/>
      <sheetName val="暖房・冬物関連 (2)"/>
      <sheetName val="一覧"/>
      <sheetName val="直営マックスバリュVD傾向"/>
      <sheetName val="Sheet7 (2)"/>
      <sheetName val="仕事リストの設定(&amp;I)仕事リストのビュー(&amp;K)連絡先(&amp;A"/>
      <sheetName val="ＭＹ坂井醤油"/>
      <sheetName val="180"/>
      <sheetName val="430"/>
      <sheetName val="oue\My Documents"/>
      <sheetName val="Sheet1_x0000_¤_x0014__x0000__x0001_ļ䷨փ_x0004__x0000_䭸փ丈փ_x0001__x0000__x000e_[Book1.x"/>
      <sheetName val="AP(ｴﾝｼﾞﾆｱ)②"/>
      <sheetName val="2012果物供物（日別）"/>
      <sheetName val="2012生花（日別）"/>
      <sheetName val="34"/>
      <sheetName val="●改廃FVﾁｪｯｸ3（20140329通報～）.xls"/>
      <sheetName val="基本量販店動向_(2)"/>
      <sheetName val="基本量販店動向_tomato"/>
      <sheetName val="基本量販店動向_(3)"/>
      <sheetName val="l37쳸d⨀䂤 _⋌,91"/>
      <sheetName val="_7254__151"/>
      <sheetName val="Sheet1¤ļ䷨փ䭸փ"/>
      <sheetName val="oue\My_DocumentsALLUSERSPROFIL"/>
      <sheetName val="Sheet1¤ļ䷨փ䭸փ丈փ[Book"/>
      <sheetName val="oue_My_Documents"/>
      <sheetName val="原紙_(3)"/>
      <sheetName val="原紙_(4)"/>
      <sheetName val="８月_（２）"/>
      <sheetName val="東北_(２)"/>
      <sheetName val="ワイン_表_(2)"/>
      <sheetName val="ﾌﾙｰﾂﾜｲﾝ_(2)"/>
      <sheetName val="輸入_(2)"/>
      <sheetName val="コンタクト_(2)"/>
      <sheetName val="シルバーおむつ_(2)"/>
      <sheetName val="５月VP__(3)"/>
      <sheetName val="花粉吊り下げ２_(3)"/>
      <sheetName val="ｺﾝﾀｸﾄ3月度_(2)"/>
      <sheetName val="表紙_(2)"/>
      <sheetName val="特保ケース売り_(2)"/>
      <sheetName val="カルピス健康フェア_(2)"/>
      <sheetName val="バディエット企画書_(2)"/>
      <sheetName val="スリムリング_(2)"/>
      <sheetName val="ダイエット_(2)"/>
      <sheetName val="B-UPドロップ発注表__(2)"/>
      <sheetName val="TVマスク台紙_(2)"/>
      <sheetName val="救急衛生_(2)"/>
      <sheetName val="コンタクトケア_(2)"/>
      <sheetName val="02_02月POP"/>
      <sheetName val="２本_(3)"/>
      <sheetName val="収納３－１_"/>
      <sheetName val="商品登録票原紙_ﾌﾟﾘﾝﾄ"/>
      <sheetName val="03_10_11月"/>
      <sheetName val="山梨_(2)"/>
      <sheetName val="収納３−１_"/>
      <sheetName val="05障子紙・清掃全件_(5)"/>
      <sheetName val="年末年始_"/>
      <sheetName val="PP大分_(2)"/>
      <sheetName val="PP大分_(3)"/>
      <sheetName val="イワタニ_(15)"/>
      <sheetName val="リスト_(2)"/>
      <sheetName val="リスト_(3)"/>
      <sheetName val="リスト_(4)"/>
      <sheetName val="全件確定_(2)"/>
      <sheetName val="５月２日_"/>
      <sheetName val="５月２日__"/>
      <sheetName val="2_(2)"/>
      <sheetName val="&amp;B)___ﾌｧｲﾙの種類(&amp;T)自動的に更新する(&amp;C)"/>
      <sheetName val="新規登録原紙_(5)"/>
      <sheetName val="0409重点_(2)"/>
      <sheetName val="ごとう_(2)"/>
      <sheetName val="ｋｌｋ元_(2)"/>
      <sheetName val="&amp;B)___"/>
      <sheetName val="東北②_(2)"/>
      <sheetName val="ʝ②_(2)"/>
      <sheetName val="She}kÞÌ"/>
      <sheetName val="単品作業表紙_(271)"/>
      <sheetName val="28-29_(2)"/>
      <sheetName val="3_(3)"/>
      <sheetName val="ﾎｰｸｽｾｰﾙ商品ﾘｽﾄ_(4)"/>
      <sheetName val="&amp;B)___?ﾌｧｲﾙの種類(&amp;T)?自動的に更新する(&amp;C)"/>
      <sheetName val="美ら海_(2)"/>
      <sheetName val="⑤原材料調査書_(2)"/>
      <sheetName val="⑥原材料リスト_(3)"/>
      <sheetName val="&amp;B)____ﾌｧｲﾙの種類(&amp;T)_自動的に更新する(&amp;C)"/>
      <sheetName val="She}"/>
      <sheetName val="She}?kÞÌ"/>
      <sheetName val="She}_kÞÌ"/>
      <sheetName val="見積り2_(3)"/>
      <sheetName val="XL4Test5_(2)"/>
      <sheetName val="XL4Test5_(3)"/>
      <sheetName val="XL4Test5_(4)"/>
      <sheetName val="XL4Test5_(5)"/>
      <sheetName val="全支店_計"/>
      <sheetName val="介護保険_松本工場"/>
      <sheetName val="東北②_(2"/>
      <sheetName val=""/>
      <sheetName val="&gt;"/>
      <sheetName val="05障子紙・清掃全件_(ȵ"/>
      <sheetName val="Ž"/>
      <sheetName val="&gt;’"/>
      <sheetName val=""/>
      <sheetName val="暖房・冬物関連_(2)"/>
      <sheetName val="Sheet7_(2)"/>
      <sheetName val="oue\My_Documents"/>
      <sheetName val="Sheet1¤ļ䷨փ䭸փ丈փ[Book1_x"/>
      <sheetName val="刺身"/>
      <sheetName val="丸魚切り身"/>
      <sheetName val="SF"/>
      <sheetName val="合計"/>
      <sheetName val="DPT"/>
      <sheetName val="０３年"/>
      <sheetName val="０４年上期"/>
      <sheetName val="０２年７月分析シート.xls"/>
      <sheetName val="発注実績照会 (3)"/>
      <sheetName val=" ʝ② (2)"/>
      <sheetName val="She} "/>
      <sheetName val="東北② (2 "/>
      <sheetName val=" Ž"/>
      <sheetName val="  "/>
      <sheetName val="?_x0012_"/>
      <sheetName val="???_x0012__x0013_?&gt;_x0013_?????????"/>
      <sheetName val="新生఻?"/>
      <sheetName val="05障子紙・清掃全件 (ȵ?"/>
      <sheetName val="_x0012__x0013_?&gt;’_x0013_?"/>
      <sheetName val="She} ?kÞÌ"/>
      <sheetName val="? "/>
      <sheetName val="???  ?&gt; ?????????"/>
      <sheetName val="  ?&gt;’ ?"/>
      <sheetName val="fficeGlobal"/>
      <sheetName val="__x0012_"/>
      <sheetName val="____x0012__x0013__&gt;_x0013__________"/>
      <sheetName val="新生఻_"/>
      <sheetName val="05障子紙・清掃全件 (ȵ_"/>
      <sheetName val="_x0012__x0013__&gt;’_x0013__"/>
      <sheetName val="１品"/>
      <sheetName val="１品 (2)"/>
      <sheetName val="商品台帳（ＭＤコーナー）"/>
      <sheetName val="店名"/>
      <sheetName val="oue_My_DocumentsALLUSERSPROFIL"/>
      <sheetName val="Sheet1¤ļ䷨փ䭸փ丈փ_Book"/>
      <sheetName val="She} _kÞÌ"/>
      <sheetName val="_ "/>
      <sheetName val="Sheet1¤ļ䷨փ䭸փ丈փ_Book1_x"/>
      <sheetName val="Sheet1??¤_x0014_??????_x0001_ļ䷨փ?_x0004_??????䭸փ?"/>
      <sheetName val="Sheet1__¤_x0014________x0001_ļ䷨փ__x0004_______䭸փ_"/>
      <sheetName val="l37쳸d⨀䂤 _x005f_x0000_⋌,9"/>
      <sheetName val="_7254_x005f_x0000__x005f_x0000_15"/>
      <sheetName val="Sheet1_x005f_x0000__x005f_x0000_¤_x005f_x0014__x0"/>
      <sheetName val="Sheet1__¤_x005f_x0014________x005f_x0001_ļ䷨"/>
      <sheetName val="l37쳸d⨀䂤 _x005f_x005f_x005f_x0000_⋌,9"/>
      <sheetName val="_7254_x005f_x005f_x005f_x0000__x005f_x005f_x005f_x0000_"/>
      <sheetName val="___  _&gt; _________"/>
      <sheetName val="  _&gt;’ _"/>
      <sheetName val="[Book1.xls]oue\My Documents_x0000_ALL"/>
      <sheetName val="[Book1.xls]oue\My Documents"/>
      <sheetName val="[Book1.xls]oue\My_DocumentsALLU"/>
      <sheetName val="[Book1.xls]oue\My_Documents"/>
      <sheetName val="[Book1.xls][Book1.xls][Book1.xl"/>
      <sheetName val="[Book1.xls][Book1.xls]oue\My Do"/>
      <sheetName val="[Book1.xls][Book1.xls]oue\My_Do"/>
      <sheetName val="７月本部発注企画"/>
      <sheetName val="＜うなぎ企画」「料理のための清酒」"/>
      <sheetName val="集約表(帳合ﾍﾞｰｽ）"/>
      <sheetName val="商品台帳（大部門別）"/>
      <sheetName val="25DJ40"/>
      <sheetName val="Q9　日本酒掲載要望　男女"/>
      <sheetName val="A表　右"/>
      <sheetName val="ext Box 81_x0000_Text Box 85_x0000_倠㪡_x0001__x0000_垘ө_x0002__x0000_"/>
      <sheetName val="冷蔵庫3(400L以上)"/>
      <sheetName val="下書2 (2)"/>
      <sheetName val="下書2"/>
      <sheetName val="She} _x0000_kÞÌ"/>
      <sheetName val="_x0000_ "/>
      <sheetName val="_x0000__x0000__x0000_  _x0000_&gt; _x0000__x0000__x0000__x0000__x0000__x0000__x0000__x0000__x0000_"/>
      <sheetName val="  _x0000_&gt;’ _x0000_"/>
      <sheetName val="fficeGlobal_x0000_InfoPath_x0000_RibbonUI_x0000_A"/>
      <sheetName val="販促物-用"/>
      <sheetName val="0108発売ｻﾏﾘｰ"/>
      <sheetName val="緑黄色野菜のお豆腐バーグ"/>
      <sheetName val="いわしの魚バーグ"/>
      <sheetName val="ひじきのお豆腐バーグ"/>
      <sheetName val="鶏肉と根菜のお豆腐バーグ"/>
      <sheetName val="発売提案チーズかまぼこ"/>
      <sheetName val="ベーコン"/>
      <sheetName val="ハーフベーコン"/>
      <sheetName val="ミニカットベーコン"/>
      <sheetName val="ﾌﾟﾚｰﾝ"/>
      <sheetName val="ﾁｰｽﾞ"/>
      <sheetName val="ﾁｮｺ"/>
      <sheetName val="ﾁｮｺﾊﾞﾅﾅ"/>
      <sheetName val="関東-月間"/>
      <sheetName val="赤どり"/>
      <sheetName val="●改廃FVﾁｪｯｸ3（20140329通報～）_xls"/>
      <sheetName val="ドライエイド"/>
      <sheetName val="'Sheet4'!$B$7:$I$8"/>
      <sheetName val="導入アイテム②"/>
      <sheetName val="虫さされ企画明細"/>
      <sheetName val="ｸﾘｰﾝﾃﾞﾝﾀﾙ企画明細"/>
      <sheetName val="ｶﾛﾔﾝｼﾞｪｯﾄ企画明細"/>
      <sheetName val="ｼﾃｨｰｽﾎﾜｲﾄ吊下げ企画明細"/>
      <sheetName val="ｻﾝｼｰﾗ･ﾋﾟｭｱ1000企画明細"/>
      <sheetName val="検索結果"/>
      <sheetName val="検索結果 (2)"/>
      <sheetName val="殺虫(3月)"/>
      <sheetName val="アクネージア"/>
      <sheetName val="配荷案"/>
      <sheetName val="配荷まとめ"/>
      <sheetName val="自然発注見込み"/>
      <sheetName val="メラノ"/>
      <sheetName val="リフレア"/>
      <sheetName val="Sheet1¤ļ䷨փ䭸փ_x0000__x0000_退흰簷ثĂ"/>
      <sheetName val="IHP Detailed QA"/>
      <sheetName val="Profit &amp; Loss (2)"/>
      <sheetName val="M-2 Discounted"/>
      <sheetName val="PE EV charts"/>
      <sheetName val="Herramientas para análisis-VBA"/>
      <sheetName val="Mont. Ward"/>
      <sheetName val="Table - 807(f)"/>
      <sheetName val="CY M-1's"/>
      <sheetName val="4Q02provision"/>
      <sheetName val="Goldman Sachs Cov Ratio Analysi"/>
      <sheetName val="Assumptions2001"/>
      <sheetName val="cck"/>
      <sheetName val="Asset Profile"/>
      <sheetName val="Table Data"/>
      <sheetName val="UFLIC New Business"/>
      <sheetName val="GL Bals"/>
      <sheetName val="Ref Table"/>
      <sheetName val="Main Menu"/>
      <sheetName val="Insurance Assumptions"/>
      <sheetName val="Columns"/>
      <sheetName val="DATA - ACQ"/>
      <sheetName val="old data"/>
      <sheetName val="curr year"/>
      <sheetName val="column"/>
      <sheetName val="FEBE_Data"/>
      <sheetName val="Relocation_Data"/>
      <sheetName val="GEFA (2)"/>
      <sheetName val="Railcar (2)"/>
      <sheetName val="Input - Acq&amp;ExNonEx"/>
      <sheetName val="walk_data"/>
      <sheetName val="GECC"/>
      <sheetName val="GEFA"/>
      <sheetName val="TYQ"/>
      <sheetName val="Codes"/>
      <sheetName val="Corp P&amp;L Summary"/>
      <sheetName val="Unlevered NI"/>
      <sheetName val="floating rates 2002"/>
      <sheetName val="Controlsheet"/>
      <sheetName val="Rates - 00"/>
      <sheetName val="LookUp Ref"/>
      <sheetName val="Dec 18 1030AM"/>
      <sheetName val="Rollforward"/>
      <sheetName val="Lookups"/>
      <sheetName val="O - CY Stat"/>
      <sheetName val="GECA SA FY AMEX LAST 6 Mo GAAP"/>
      <sheetName val="GECA SA FY AMEX Last 6 Mo STAT "/>
      <sheetName val="Payments"/>
      <sheetName val="GNIAC"/>
      <sheetName val="schD Rec"/>
      <sheetName val="ALL GEFA"/>
      <sheetName val="O - PY Stat"/>
      <sheetName val="O-CY Reserves"/>
      <sheetName val="PQ STATPROVISION "/>
      <sheetName val="PY TAXRETURN SUMMARIES"/>
      <sheetName val="Table - IMR Tax"/>
      <sheetName val="Table -  PY Adj"/>
      <sheetName val="Table -  Settlements"/>
      <sheetName val="Ex 1 pt2"/>
      <sheetName val="Ex 11"/>
      <sheetName val="PYbk2tax all companies"/>
      <sheetName val="CookBook"/>
      <sheetName val="GAAP_CY"/>
      <sheetName val="Stat_CY"/>
      <sheetName val="GAAPDRIL"/>
      <sheetName val="AC"/>
      <sheetName val="AE"/>
      <sheetName val="AF"/>
      <sheetName val="AH"/>
      <sheetName val="AL"/>
      <sheetName val="V"/>
      <sheetName val="X"/>
      <sheetName val="Z"/>
      <sheetName val="AB"/>
      <sheetName val="Y"/>
      <sheetName val="AG"/>
      <sheetName val="SPIA"/>
      <sheetName val="SPDA LOOKUP"/>
      <sheetName val="OFA 2001"/>
      <sheetName val="Stat_PY"/>
      <sheetName val="COC-EB"/>
      <sheetName val="PYADJ_FITSIT"/>
      <sheetName val="Data Inputs"/>
      <sheetName val="TableI"/>
      <sheetName val="Import"/>
      <sheetName val="EBS"/>
      <sheetName val="XFBS"/>
      <sheetName val="RBC"/>
      <sheetName val="Assumptions-Waterfall"/>
      <sheetName val="OUTPUT"/>
      <sheetName val="3-2004"/>
      <sheetName val="CF summary"/>
      <sheetName val="Wynne"/>
      <sheetName val="data_Account Manager Scorecar"/>
      <sheetName val="s_3data_Account Manager Score"/>
      <sheetName val="data_Page1_1_1"/>
      <sheetName val="data_Page1_1_2"/>
      <sheetName val="Ass"/>
      <sheetName val="Underperform"/>
      <sheetName val="DSO 2005"/>
      <sheetName val="FS2000"/>
      <sheetName val="Region-Dist-Loc US"/>
      <sheetName val="Month to Date"/>
      <sheetName val="11090"/>
      <sheetName val="Unadjusted_Transactions"/>
      <sheetName val="Tabel ratios"/>
      <sheetName val="Feuil1"/>
      <sheetName val="Output TK"/>
      <sheetName val="VLCC"/>
      <sheetName val="OBO"/>
      <sheetName val="BULK"/>
      <sheetName val="@"/>
      <sheetName val="Summary Cash Flow"/>
      <sheetName val="TK Fleet Composition"/>
      <sheetName val="K101"/>
      <sheetName val="Equipment"/>
      <sheetName val="Motor Vehicle"/>
      <sheetName val="Renovation"/>
      <sheetName val="CCTL"/>
      <sheetName val="P101"/>
      <sheetName val="I101 "/>
      <sheetName val="FDREPORT"/>
      <sheetName val="Air Conditional"/>
      <sheetName val="Ã«ÀûÂÊ·ÖÎö±í"/>
      <sheetName val="Computer"/>
      <sheetName val="Phase1f.a.DEC"/>
      <sheetName val="WIP"/>
      <sheetName val="C101 "/>
      <sheetName val="Phase2 f.a.DEC (2)"/>
      <sheetName val="Phase2 movementDEC"/>
      <sheetName val="Q101"/>
      <sheetName val="A771"/>
      <sheetName val="A801 "/>
      <sheetName val="A401"/>
      <sheetName val="U301"/>
      <sheetName val="U501"/>
      <sheetName val="A1000"/>
      <sheetName val="CD"/>
      <sheetName val="interco balance receivable"/>
      <sheetName val="interco_balance_receivable"/>
      <sheetName val="Client List"/>
      <sheetName val="interco_balance_receivable1"/>
      <sheetName val="INSTRUCTIONS"/>
      <sheetName val="VXXX"/>
      <sheetName val="선급금"/>
      <sheetName val="선급비용"/>
      <sheetName val="미지급비용"/>
      <sheetName val="잡손실 "/>
      <sheetName val="잡이익 "/>
      <sheetName val="하미착기계"/>
      <sheetName val="미착기계대체"/>
      <sheetName val="미착원료"/>
      <sheetName val="외매금"/>
      <sheetName val="외환차익"/>
      <sheetName val="외환차손"/>
      <sheetName val="평가손익"/>
      <sheetName val="세금과1"/>
      <sheetName val="세금과2"/>
      <sheetName val="세금과3"/>
      <sheetName val="세금과4"/>
      <sheetName val="세금과5"/>
      <sheetName val="세금과6"/>
      <sheetName val="세금과7"/>
      <sheetName val="세금과8"/>
      <sheetName val="세금과9"/>
      <sheetName val="세금과10"/>
      <sheetName val="세금과11"/>
      <sheetName val="세금과12"/>
      <sheetName val="Crossholdings"/>
      <sheetName val="Ⅱ-6予算"/>
      <sheetName val="oar"/>
      <sheetName val="EXPCOM"/>
      <sheetName val="SUBEXP"/>
      <sheetName val="STABDC"/>
      <sheetName val="Add Sales"/>
      <sheetName val="improved sales"/>
      <sheetName val="COST"/>
      <sheetName val="land sales"/>
      <sheetName val="RENT"/>
      <sheetName val="전사 (2)"/>
      <sheetName val="BA (2)"/>
      <sheetName val="CP (2)"/>
      <sheetName val="Capacity Red. C200 - 50 ms"/>
      <sheetName val="procurement"/>
      <sheetName val="EPC  PAYMENTS"/>
      <sheetName val="As per PCA"/>
      <sheetName val="Constr, Op &amp; Fin Assmp"/>
      <sheetName val="HIOS 93 thru 9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>
        <row r="1">
          <cell r="A1" t="str">
            <v>242901300011</v>
          </cell>
        </row>
      </sheetData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 refreshError="1"/>
      <sheetData sheetId="243" refreshError="1"/>
      <sheetData sheetId="244" refreshError="1"/>
      <sheetData sheetId="245" refreshError="1"/>
      <sheetData sheetId="246"/>
      <sheetData sheetId="247"/>
      <sheetData sheetId="248"/>
      <sheetData sheetId="249"/>
      <sheetData sheetId="250" refreshError="1"/>
      <sheetData sheetId="251"/>
      <sheetData sheetId="252" refreshError="1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 refreshError="1"/>
      <sheetData sheetId="265" refreshError="1"/>
      <sheetData sheetId="266" refreshError="1"/>
      <sheetData sheetId="267" refreshError="1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 refreshError="1"/>
      <sheetData sheetId="286" refreshError="1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>
        <row r="2">
          <cell r="A2" t="str">
            <v>FM1</v>
          </cell>
        </row>
      </sheetData>
      <sheetData sheetId="311"/>
      <sheetData sheetId="312">
        <row r="1">
          <cell r="A1" t="str">
            <v>Key</v>
          </cell>
        </row>
      </sheetData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 refreshError="1"/>
      <sheetData sheetId="340"/>
      <sheetData sheetId="341"/>
      <sheetData sheetId="342" refreshError="1"/>
      <sheetData sheetId="343">
        <row r="2">
          <cell r="A2" t="str">
            <v>Product RFPs</v>
          </cell>
        </row>
      </sheetData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/>
      <sheetData sheetId="357"/>
      <sheetData sheetId="358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/>
      <sheetData sheetId="469" refreshError="1"/>
      <sheetData sheetId="470"/>
      <sheetData sheetId="471"/>
      <sheetData sheetId="472"/>
      <sheetData sheetId="473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/>
      <sheetData sheetId="509" refreshError="1"/>
      <sheetData sheetId="510" refreshError="1"/>
      <sheetData sheetId="51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/>
      <sheetData sheetId="547" refreshError="1"/>
      <sheetData sheetId="548" refreshError="1"/>
      <sheetData sheetId="549" refreshError="1"/>
      <sheetData sheetId="550"/>
      <sheetData sheetId="55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/>
      <sheetData sheetId="579"/>
      <sheetData sheetId="580" refreshError="1"/>
      <sheetData sheetId="581" refreshError="1"/>
      <sheetData sheetId="582" refreshError="1"/>
      <sheetData sheetId="583" refreshError="1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 refreshError="1"/>
      <sheetData sheetId="597"/>
      <sheetData sheetId="598"/>
      <sheetData sheetId="599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/>
      <sheetData sheetId="616"/>
      <sheetData sheetId="617"/>
      <sheetData sheetId="618" refreshError="1"/>
      <sheetData sheetId="619" refreshError="1"/>
      <sheetData sheetId="620" refreshError="1"/>
      <sheetData sheetId="621"/>
      <sheetData sheetId="622"/>
      <sheetData sheetId="623"/>
      <sheetData sheetId="624" refreshError="1"/>
      <sheetData sheetId="625" refreshError="1"/>
      <sheetData sheetId="626" refreshError="1"/>
      <sheetData sheetId="627" refreshError="1"/>
      <sheetData sheetId="628"/>
      <sheetData sheetId="629"/>
      <sheetData sheetId="630" refreshError="1"/>
      <sheetData sheetId="631" refreshError="1"/>
      <sheetData sheetId="632" refreshError="1"/>
      <sheetData sheetId="633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/>
      <sheetData sheetId="686" refreshError="1"/>
      <sheetData sheetId="687"/>
      <sheetData sheetId="688"/>
      <sheetData sheetId="689"/>
      <sheetData sheetId="690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/>
      <sheetData sheetId="702"/>
      <sheetData sheetId="703"/>
      <sheetData sheetId="704" refreshError="1"/>
      <sheetData sheetId="705" refreshError="1"/>
      <sheetData sheetId="706"/>
      <sheetData sheetId="707"/>
      <sheetData sheetId="708" refreshError="1"/>
      <sheetData sheetId="709" refreshError="1"/>
      <sheetData sheetId="710"/>
      <sheetData sheetId="711" refreshError="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 refreshError="1"/>
      <sheetData sheetId="727" refreshError="1"/>
      <sheetData sheetId="728" refreshError="1"/>
      <sheetData sheetId="729" refreshError="1"/>
      <sheetData sheetId="730"/>
      <sheetData sheetId="731"/>
      <sheetData sheetId="732"/>
      <sheetData sheetId="733" refreshError="1"/>
      <sheetData sheetId="734"/>
      <sheetData sheetId="735" refreshError="1"/>
      <sheetData sheetId="736"/>
      <sheetData sheetId="737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/>
      <sheetData sheetId="748" refreshError="1"/>
      <sheetData sheetId="749" refreshError="1"/>
      <sheetData sheetId="750" refreshError="1"/>
      <sheetData sheetId="751" refreshError="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/>
      <sheetData sheetId="771"/>
      <sheetData sheetId="772"/>
      <sheetData sheetId="773"/>
      <sheetData sheetId="774"/>
      <sheetData sheetId="775"/>
      <sheetData sheetId="776" refreshError="1"/>
      <sheetData sheetId="777" refreshError="1"/>
      <sheetData sheetId="778" refreshError="1"/>
      <sheetData sheetId="779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/>
      <sheetData sheetId="790" refreshError="1"/>
      <sheetData sheetId="791"/>
      <sheetData sheetId="792" refreshError="1"/>
      <sheetData sheetId="793" refreshError="1"/>
      <sheetData sheetId="794" refreshError="1"/>
      <sheetData sheetId="795"/>
      <sheetData sheetId="796" refreshError="1"/>
      <sheetData sheetId="797"/>
      <sheetData sheetId="798"/>
      <sheetData sheetId="799"/>
      <sheetData sheetId="800"/>
      <sheetData sheetId="801" refreshError="1"/>
      <sheetData sheetId="802"/>
      <sheetData sheetId="803" refreshError="1"/>
      <sheetData sheetId="804" refreshError="1"/>
      <sheetData sheetId="805" refreshError="1"/>
      <sheetData sheetId="806"/>
      <sheetData sheetId="807" refreshError="1"/>
      <sheetData sheetId="808" refreshError="1"/>
      <sheetData sheetId="809" refreshError="1"/>
      <sheetData sheetId="810" refreshError="1"/>
      <sheetData sheetId="811"/>
      <sheetData sheetId="812" refreshError="1"/>
      <sheetData sheetId="813" refreshError="1"/>
      <sheetData sheetId="814" refreshError="1"/>
      <sheetData sheetId="815" refreshError="1"/>
      <sheetData sheetId="816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/>
      <sheetData sheetId="857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/>
      <sheetData sheetId="897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 refreshError="1"/>
      <sheetData sheetId="930" refreshError="1"/>
      <sheetData sheetId="931"/>
      <sheetData sheetId="932"/>
      <sheetData sheetId="933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/>
      <sheetData sheetId="945"/>
      <sheetData sheetId="946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/>
      <sheetData sheetId="1015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/>
      <sheetData sheetId="1064" refreshError="1"/>
      <sheetData sheetId="1065" refreshError="1"/>
      <sheetData sheetId="1066" refreshError="1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/>
      <sheetData sheetId="1098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/>
      <sheetData sheetId="1106"/>
      <sheetData sheetId="1107" refreshError="1"/>
      <sheetData sheetId="1108"/>
      <sheetData sheetId="1109" refreshError="1"/>
      <sheetData sheetId="1110" refreshError="1"/>
      <sheetData sheetId="111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/>
      <sheetData sheetId="1170"/>
      <sheetData sheetId="1171"/>
      <sheetData sheetId="1172" refreshError="1"/>
      <sheetData sheetId="1173"/>
      <sheetData sheetId="1174"/>
      <sheetData sheetId="1175"/>
      <sheetData sheetId="1176"/>
      <sheetData sheetId="1177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/>
      <sheetData sheetId="1189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/>
      <sheetData sheetId="1204" refreshError="1"/>
      <sheetData sheetId="1205" refreshError="1"/>
      <sheetData sheetId="1206" refreshError="1"/>
      <sheetData sheetId="1207"/>
      <sheetData sheetId="1208"/>
      <sheetData sheetId="1209"/>
      <sheetData sheetId="1210" refreshError="1"/>
      <sheetData sheetId="1211" refreshError="1"/>
      <sheetData sheetId="1212" refreshError="1"/>
      <sheetData sheetId="1213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/>
      <sheetData sheetId="1220" refreshError="1"/>
      <sheetData sheetId="1221"/>
      <sheetData sheetId="1222"/>
      <sheetData sheetId="1223"/>
      <sheetData sheetId="1224"/>
      <sheetData sheetId="1225" refreshError="1"/>
      <sheetData sheetId="1226" refreshError="1"/>
      <sheetData sheetId="1227"/>
      <sheetData sheetId="1228" refreshError="1"/>
      <sheetData sheetId="1229"/>
      <sheetData sheetId="1230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/>
      <sheetData sheetId="1252"/>
      <sheetData sheetId="1253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/>
      <sheetData sheetId="1310"/>
      <sheetData sheetId="1311"/>
      <sheetData sheetId="1312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/>
      <sheetData sheetId="1331"/>
      <sheetData sheetId="1332" refreshError="1"/>
      <sheetData sheetId="1333" refreshError="1"/>
      <sheetData sheetId="1334" refreshError="1"/>
      <sheetData sheetId="1335"/>
      <sheetData sheetId="1336"/>
      <sheetData sheetId="1337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/>
      <sheetData sheetId="1353"/>
      <sheetData sheetId="1354"/>
      <sheetData sheetId="1355"/>
      <sheetData sheetId="1356"/>
      <sheetData sheetId="1357"/>
      <sheetData sheetId="1358"/>
      <sheetData sheetId="1359" refreshError="1"/>
      <sheetData sheetId="1360"/>
      <sheetData sheetId="136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/>
      <sheetData sheetId="1376"/>
      <sheetData sheetId="1377"/>
      <sheetData sheetId="1378"/>
      <sheetData sheetId="1379"/>
      <sheetData sheetId="1380"/>
      <sheetData sheetId="1381"/>
      <sheetData sheetId="1382" refreshError="1"/>
      <sheetData sheetId="1383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>
        <row r="1">
          <cell r="A1" t="str">
            <v>OXFORD UNIVERSITY PRESS INDIAN BRANCH</v>
          </cell>
        </row>
      </sheetData>
      <sheetData sheetId="1406">
        <row r="1">
          <cell r="A1" t="str">
            <v>OXFORD UNIVERSITY PRESS INDIAN BRANCH</v>
          </cell>
        </row>
      </sheetData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>
        <row r="1">
          <cell r="A1" t="str">
            <v>OXFORD UNIVERSITY PRESS INDIAN BRANCH</v>
          </cell>
        </row>
      </sheetData>
      <sheetData sheetId="1420">
        <row r="1">
          <cell r="A1" t="str">
            <v>OXFORD UNIVERSITY PRESS INDIAN BRANCH</v>
          </cell>
        </row>
      </sheetData>
      <sheetData sheetId="1421">
        <row r="1">
          <cell r="A1" t="str">
            <v>OXFORD UNIVERSITY PRESS INDIAN BRANCH</v>
          </cell>
        </row>
      </sheetData>
      <sheetData sheetId="1422">
        <row r="1">
          <cell r="A1" t="str">
            <v>OXFORD UNIVERSITY PRESS INDIAN BRANCH</v>
          </cell>
        </row>
      </sheetData>
      <sheetData sheetId="1423"/>
      <sheetData sheetId="1424" refreshError="1"/>
      <sheetData sheetId="1425"/>
      <sheetData sheetId="1426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>
        <row r="19">
          <cell r="C19" t="str">
            <v>VEHICLES</v>
          </cell>
        </row>
      </sheetData>
      <sheetData sheetId="1553" refreshError="1"/>
      <sheetData sheetId="1554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/>
      <sheetData sheetId="1562"/>
      <sheetData sheetId="1563"/>
      <sheetData sheetId="1564"/>
      <sheetData sheetId="1565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/>
      <sheetData sheetId="1588" refreshError="1"/>
      <sheetData sheetId="1589">
        <row r="1">
          <cell r="J1" t="str">
            <v>K:\CLIENTS\W\WONDERWA.CRP\1996\WRKPAPER\STATES\[BOOK1.XLS]APPORT</v>
          </cell>
        </row>
      </sheetData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/>
      <sheetData sheetId="1606" refreshError="1"/>
      <sheetData sheetId="1607"/>
      <sheetData sheetId="1608"/>
      <sheetData sheetId="1609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/>
      <sheetData sheetId="1749" refreshError="1"/>
      <sheetData sheetId="1750" refreshError="1"/>
      <sheetData sheetId="175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/>
      <sheetData sheetId="1782" refreshError="1"/>
      <sheetData sheetId="1783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/>
      <sheetData sheetId="1798"/>
      <sheetData sheetId="1799" refreshError="1"/>
      <sheetData sheetId="1800" refreshError="1"/>
      <sheetData sheetId="1801"/>
      <sheetData sheetId="1802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/>
      <sheetData sheetId="1956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>
        <row r="28">
          <cell r="J28" t="str">
            <v>Not yet processed</v>
          </cell>
        </row>
      </sheetData>
      <sheetData sheetId="1980">
        <row r="1">
          <cell r="B1" t="str">
            <v>Acc_PersonnelID</v>
          </cell>
        </row>
      </sheetData>
      <sheetData sheetId="1981"/>
      <sheetData sheetId="1982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/>
      <sheetData sheetId="2026">
        <row r="1">
          <cell r="A1" t="str">
            <v>FAUJI CEMENT COMPANY LIMITED</v>
          </cell>
        </row>
      </sheetData>
      <sheetData sheetId="2027"/>
      <sheetData sheetId="2028" refreshError="1"/>
      <sheetData sheetId="2029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/>
      <sheetData sheetId="2080"/>
      <sheetData sheetId="2081"/>
      <sheetData sheetId="2082"/>
      <sheetData sheetId="2083">
        <row r="22">
          <cell r="D22" t="str">
            <v>VALOR</v>
          </cell>
        </row>
      </sheetData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/>
      <sheetData sheetId="2205"/>
      <sheetData sheetId="2206"/>
      <sheetData sheetId="2207"/>
      <sheetData sheetId="2208"/>
      <sheetData sheetId="2209"/>
      <sheetData sheetId="2210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/>
      <sheetData sheetId="2367"/>
      <sheetData sheetId="2368" refreshError="1"/>
      <sheetData sheetId="2369"/>
      <sheetData sheetId="2370"/>
      <sheetData sheetId="2371"/>
      <sheetData sheetId="2372" refreshError="1"/>
      <sheetData sheetId="2373" refreshError="1"/>
      <sheetData sheetId="2374">
        <row r="7">
          <cell r="D7">
            <v>336622.46</v>
          </cell>
        </row>
      </sheetData>
      <sheetData sheetId="2375"/>
      <sheetData sheetId="2376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 refreshError="1"/>
      <sheetData sheetId="2445" refreshError="1"/>
      <sheetData sheetId="2446" refreshError="1"/>
      <sheetData sheetId="2447"/>
      <sheetData sheetId="2448"/>
      <sheetData sheetId="2449"/>
      <sheetData sheetId="2450" refreshError="1"/>
      <sheetData sheetId="2451" refreshError="1"/>
      <sheetData sheetId="2452" refreshError="1"/>
      <sheetData sheetId="2453"/>
      <sheetData sheetId="2454"/>
      <sheetData sheetId="2455"/>
      <sheetData sheetId="2456"/>
      <sheetData sheetId="2457"/>
      <sheetData sheetId="2458"/>
      <sheetData sheetId="2459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/>
      <sheetData sheetId="2558"/>
      <sheetData sheetId="2559">
        <row r="4">
          <cell r="A4" t="str">
            <v>1 GL-TR May 31</v>
          </cell>
        </row>
      </sheetData>
      <sheetData sheetId="2560" refreshError="1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/>
      <sheetData sheetId="2727"/>
      <sheetData sheetId="2728" refreshError="1"/>
      <sheetData sheetId="2729" refreshError="1"/>
      <sheetData sheetId="2730" refreshError="1"/>
      <sheetData sheetId="2731" refreshError="1"/>
      <sheetData sheetId="2732"/>
      <sheetData sheetId="2733" refreshError="1"/>
      <sheetData sheetId="2734" refreshError="1"/>
      <sheetData sheetId="2735"/>
      <sheetData sheetId="2736"/>
      <sheetData sheetId="2737"/>
      <sheetData sheetId="2738"/>
      <sheetData sheetId="2739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/>
      <sheetData sheetId="2776"/>
      <sheetData sheetId="2777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/>
      <sheetData sheetId="2851"/>
      <sheetData sheetId="2852"/>
      <sheetData sheetId="2853" refreshError="1"/>
      <sheetData sheetId="2854" refreshError="1"/>
      <sheetData sheetId="2855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/>
      <sheetData sheetId="2863"/>
      <sheetData sheetId="2864" refreshError="1"/>
      <sheetData sheetId="2865"/>
      <sheetData sheetId="2866"/>
      <sheetData sheetId="2867" refreshError="1"/>
      <sheetData sheetId="2868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/>
      <sheetData sheetId="2880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>
        <row r="30">
          <cell r="F30">
            <v>126829286</v>
          </cell>
        </row>
      </sheetData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 refreshError="1"/>
      <sheetData sheetId="2936" refreshError="1"/>
      <sheetData sheetId="2937" refreshError="1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>
        <row r="2">
          <cell r="A2" t="str">
            <v>Product RFPs</v>
          </cell>
        </row>
      </sheetData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>
        <row r="1">
          <cell r="A1" t="str">
            <v>242901300011</v>
          </cell>
        </row>
      </sheetData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>
        <row r="1">
          <cell r="A1" t="str">
            <v>OXFORD UNIVERSITY PRESS INDIAN BRANCH</v>
          </cell>
        </row>
      </sheetData>
      <sheetData sheetId="3439">
        <row r="1">
          <cell r="A1" t="str">
            <v>OXFORD UNIVERSITY PRESS INDIAN BRANCH</v>
          </cell>
        </row>
      </sheetData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/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/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/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>
        <row r="22">
          <cell r="D22" t="str">
            <v>VALOR</v>
          </cell>
        </row>
      </sheetData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>
        <row r="1">
          <cell r="A1" t="str">
            <v>242901300011</v>
          </cell>
        </row>
      </sheetData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>
        <row r="1">
          <cell r="A1" t="str">
            <v>OXFORD UNIVERSITY PRESS INDIAN BRANCH</v>
          </cell>
        </row>
      </sheetData>
      <sheetData sheetId="4474">
        <row r="1">
          <cell r="A1" t="str">
            <v>OXFORD UNIVERSITY PRESS INDIAN BRANCH</v>
          </cell>
        </row>
      </sheetData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>
        <row r="22">
          <cell r="D22" t="str">
            <v>VALOR</v>
          </cell>
        </row>
      </sheetData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 refreshError="1"/>
      <sheetData sheetId="5089" refreshError="1"/>
      <sheetData sheetId="5090" refreshError="1"/>
      <sheetData sheetId="5091" refreshError="1"/>
      <sheetData sheetId="5092"/>
      <sheetData sheetId="5093"/>
      <sheetData sheetId="5094"/>
      <sheetData sheetId="5095"/>
      <sheetData sheetId="5096"/>
      <sheetData sheetId="5097"/>
      <sheetData sheetId="5098" refreshError="1"/>
      <sheetData sheetId="5099" refreshError="1"/>
      <sheetData sheetId="5100" refreshError="1"/>
      <sheetData sheetId="5101" refreshError="1"/>
      <sheetData sheetId="5102" refreshError="1"/>
      <sheetData sheetId="5103" refreshError="1"/>
      <sheetData sheetId="5104" refreshError="1"/>
      <sheetData sheetId="5105"/>
      <sheetData sheetId="5106" refreshError="1"/>
      <sheetData sheetId="5107" refreshError="1"/>
      <sheetData sheetId="5108" refreshError="1"/>
      <sheetData sheetId="5109" refreshError="1"/>
      <sheetData sheetId="5110" refreshError="1"/>
      <sheetData sheetId="5111" refreshError="1"/>
      <sheetData sheetId="5112" refreshError="1"/>
      <sheetData sheetId="5113" refreshError="1"/>
      <sheetData sheetId="5114" refreshError="1"/>
      <sheetData sheetId="5115" refreshError="1"/>
      <sheetData sheetId="5116" refreshError="1"/>
      <sheetData sheetId="5117" refreshError="1"/>
      <sheetData sheetId="5118" refreshError="1"/>
      <sheetData sheetId="5119" refreshError="1"/>
      <sheetData sheetId="5120" refreshError="1"/>
      <sheetData sheetId="5121" refreshError="1"/>
      <sheetData sheetId="5122" refreshError="1"/>
      <sheetData sheetId="5123" refreshError="1"/>
      <sheetData sheetId="5124" refreshError="1"/>
      <sheetData sheetId="5125" refreshError="1"/>
      <sheetData sheetId="5126" refreshError="1"/>
      <sheetData sheetId="5127" refreshError="1"/>
      <sheetData sheetId="5128" refreshError="1"/>
      <sheetData sheetId="5129" refreshError="1"/>
      <sheetData sheetId="5130" refreshError="1"/>
      <sheetData sheetId="5131" refreshError="1"/>
      <sheetData sheetId="5132" refreshError="1"/>
      <sheetData sheetId="5133" refreshError="1"/>
      <sheetData sheetId="5134"/>
      <sheetData sheetId="5135" refreshError="1"/>
      <sheetData sheetId="5136" refreshError="1"/>
      <sheetData sheetId="5137" refreshError="1"/>
      <sheetData sheetId="5138" refreshError="1"/>
      <sheetData sheetId="5139" refreshError="1"/>
      <sheetData sheetId="5140" refreshError="1"/>
      <sheetData sheetId="5141" refreshError="1"/>
      <sheetData sheetId="5142" refreshError="1"/>
      <sheetData sheetId="5143" refreshError="1"/>
      <sheetData sheetId="5144" refreshError="1"/>
      <sheetData sheetId="5145" refreshError="1"/>
      <sheetData sheetId="5146" refreshError="1"/>
      <sheetData sheetId="5147" refreshError="1"/>
      <sheetData sheetId="5148" refreshError="1"/>
      <sheetData sheetId="5149" refreshError="1"/>
      <sheetData sheetId="5150" refreshError="1"/>
      <sheetData sheetId="5151" refreshError="1"/>
      <sheetData sheetId="5152" refreshError="1"/>
      <sheetData sheetId="5153" refreshError="1"/>
      <sheetData sheetId="5154" refreshError="1"/>
      <sheetData sheetId="5155" refreshError="1"/>
      <sheetData sheetId="5156" refreshError="1"/>
      <sheetData sheetId="5157" refreshError="1"/>
      <sheetData sheetId="5158" refreshError="1"/>
      <sheetData sheetId="5159" refreshError="1"/>
      <sheetData sheetId="5160" refreshError="1"/>
      <sheetData sheetId="5161" refreshError="1"/>
      <sheetData sheetId="5162" refreshError="1"/>
      <sheetData sheetId="5163" refreshError="1"/>
      <sheetData sheetId="5164" refreshError="1"/>
      <sheetData sheetId="5165" refreshError="1"/>
      <sheetData sheetId="5166" refreshError="1"/>
      <sheetData sheetId="5167" refreshError="1"/>
      <sheetData sheetId="5168" refreshError="1"/>
      <sheetData sheetId="5169" refreshError="1"/>
      <sheetData sheetId="5170" refreshError="1"/>
      <sheetData sheetId="5171" refreshError="1"/>
      <sheetData sheetId="5172" refreshError="1"/>
      <sheetData sheetId="5173" refreshError="1"/>
      <sheetData sheetId="5174" refreshError="1"/>
      <sheetData sheetId="5175" refreshError="1"/>
      <sheetData sheetId="5176" refreshError="1"/>
      <sheetData sheetId="5177" refreshError="1"/>
      <sheetData sheetId="5178" refreshError="1"/>
      <sheetData sheetId="5179" refreshError="1"/>
      <sheetData sheetId="5180" refreshError="1"/>
      <sheetData sheetId="5181" refreshError="1"/>
      <sheetData sheetId="5182" refreshError="1"/>
      <sheetData sheetId="5183" refreshError="1"/>
      <sheetData sheetId="5184" refreshError="1"/>
      <sheetData sheetId="5185" refreshError="1"/>
      <sheetData sheetId="5186" refreshError="1"/>
      <sheetData sheetId="5187" refreshError="1"/>
      <sheetData sheetId="5188" refreshError="1"/>
      <sheetData sheetId="5189" refreshError="1"/>
      <sheetData sheetId="5190" refreshError="1"/>
      <sheetData sheetId="5191" refreshError="1"/>
      <sheetData sheetId="5192" refreshError="1"/>
      <sheetData sheetId="5193" refreshError="1"/>
      <sheetData sheetId="5194" refreshError="1"/>
      <sheetData sheetId="5195" refreshError="1"/>
      <sheetData sheetId="5196" refreshError="1"/>
      <sheetData sheetId="5197" refreshError="1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 refreshError="1"/>
      <sheetData sheetId="5217" refreshError="1"/>
      <sheetData sheetId="5218" refreshError="1"/>
      <sheetData sheetId="5219" refreshError="1"/>
      <sheetData sheetId="5220" refreshError="1"/>
      <sheetData sheetId="5221" refreshError="1"/>
      <sheetData sheetId="5222" refreshError="1"/>
      <sheetData sheetId="5223" refreshError="1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 refreshError="1"/>
      <sheetData sheetId="5231" refreshError="1"/>
      <sheetData sheetId="5232" refreshError="1"/>
      <sheetData sheetId="5233" refreshError="1"/>
      <sheetData sheetId="5234" refreshError="1"/>
      <sheetData sheetId="5235" refreshError="1"/>
      <sheetData sheetId="5236" refreshError="1"/>
      <sheetData sheetId="5237" refreshError="1"/>
      <sheetData sheetId="5238" refreshError="1"/>
      <sheetData sheetId="5239" refreshError="1"/>
      <sheetData sheetId="5240" refreshError="1"/>
      <sheetData sheetId="5241" refreshError="1"/>
      <sheetData sheetId="5242" refreshError="1"/>
      <sheetData sheetId="5243" refreshError="1"/>
      <sheetData sheetId="5244" refreshError="1"/>
      <sheetData sheetId="5245" refreshError="1"/>
      <sheetData sheetId="5246" refreshError="1"/>
      <sheetData sheetId="5247" refreshError="1"/>
      <sheetData sheetId="5248" refreshError="1"/>
      <sheetData sheetId="5249" refreshError="1"/>
      <sheetData sheetId="5250" refreshError="1"/>
      <sheetData sheetId="5251" refreshError="1"/>
      <sheetData sheetId="5252" refreshError="1"/>
      <sheetData sheetId="5253" refreshError="1"/>
      <sheetData sheetId="5254" refreshError="1"/>
      <sheetData sheetId="5255" refreshError="1"/>
      <sheetData sheetId="5256" refreshError="1"/>
      <sheetData sheetId="5257" refreshError="1"/>
      <sheetData sheetId="5258" refreshError="1"/>
      <sheetData sheetId="5259" refreshError="1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 refreshError="1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 refreshError="1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  <sheetData sheetId="5316" refreshError="1"/>
      <sheetData sheetId="5317" refreshError="1"/>
      <sheetData sheetId="5318" refreshError="1"/>
      <sheetData sheetId="5319" refreshError="1"/>
      <sheetData sheetId="5320" refreshError="1"/>
      <sheetData sheetId="5321" refreshError="1"/>
      <sheetData sheetId="5322" refreshError="1"/>
      <sheetData sheetId="5323" refreshError="1"/>
      <sheetData sheetId="5324" refreshError="1"/>
      <sheetData sheetId="5325" refreshError="1"/>
      <sheetData sheetId="5326" refreshError="1"/>
      <sheetData sheetId="5327" refreshError="1"/>
      <sheetData sheetId="5328" refreshError="1"/>
      <sheetData sheetId="5329" refreshError="1"/>
      <sheetData sheetId="5330" refreshError="1"/>
      <sheetData sheetId="5331" refreshError="1"/>
      <sheetData sheetId="5332" refreshError="1"/>
      <sheetData sheetId="5333" refreshError="1"/>
      <sheetData sheetId="5334" refreshError="1"/>
      <sheetData sheetId="5335" refreshError="1"/>
      <sheetData sheetId="5336" refreshError="1"/>
      <sheetData sheetId="5337" refreshError="1"/>
      <sheetData sheetId="5338" refreshError="1"/>
      <sheetData sheetId="5339" refreshError="1"/>
      <sheetData sheetId="5340" refreshError="1"/>
      <sheetData sheetId="5341" refreshError="1"/>
      <sheetData sheetId="5342" refreshError="1"/>
      <sheetData sheetId="5343" refreshError="1"/>
      <sheetData sheetId="5344" refreshError="1"/>
      <sheetData sheetId="5345" refreshError="1"/>
      <sheetData sheetId="5346" refreshError="1"/>
      <sheetData sheetId="5347" refreshError="1"/>
      <sheetData sheetId="5348" refreshError="1"/>
      <sheetData sheetId="5349" refreshError="1"/>
      <sheetData sheetId="5350" refreshError="1"/>
      <sheetData sheetId="5351" refreshError="1"/>
      <sheetData sheetId="5352" refreshError="1"/>
      <sheetData sheetId="5353" refreshError="1"/>
      <sheetData sheetId="5354" refreshError="1"/>
      <sheetData sheetId="5355" refreshError="1"/>
      <sheetData sheetId="5356" refreshError="1"/>
      <sheetData sheetId="5357" refreshError="1"/>
      <sheetData sheetId="5358" refreshError="1"/>
      <sheetData sheetId="5359" refreshError="1"/>
      <sheetData sheetId="5360" refreshError="1"/>
      <sheetData sheetId="5361" refreshError="1"/>
      <sheetData sheetId="5362" refreshError="1"/>
      <sheetData sheetId="5363" refreshError="1"/>
      <sheetData sheetId="5364" refreshError="1"/>
      <sheetData sheetId="5365" refreshError="1"/>
      <sheetData sheetId="5366" refreshError="1"/>
      <sheetData sheetId="5367" refreshError="1"/>
      <sheetData sheetId="5368" refreshError="1"/>
      <sheetData sheetId="5369" refreshError="1"/>
      <sheetData sheetId="5370" refreshError="1"/>
      <sheetData sheetId="5371" refreshError="1"/>
      <sheetData sheetId="5372" refreshError="1"/>
      <sheetData sheetId="5373" refreshError="1"/>
      <sheetData sheetId="5374" refreshError="1"/>
      <sheetData sheetId="5375" refreshError="1"/>
      <sheetData sheetId="5376" refreshError="1"/>
      <sheetData sheetId="5377" refreshError="1"/>
      <sheetData sheetId="5378" refreshError="1"/>
      <sheetData sheetId="5379" refreshError="1"/>
      <sheetData sheetId="5380" refreshError="1"/>
      <sheetData sheetId="5381" refreshError="1"/>
      <sheetData sheetId="5382" refreshError="1"/>
      <sheetData sheetId="5383" refreshError="1"/>
      <sheetData sheetId="5384" refreshError="1"/>
      <sheetData sheetId="5385" refreshError="1"/>
      <sheetData sheetId="5386" refreshError="1"/>
      <sheetData sheetId="5387" refreshError="1"/>
      <sheetData sheetId="5388" refreshError="1"/>
      <sheetData sheetId="5389" refreshError="1"/>
      <sheetData sheetId="5390" refreshError="1"/>
      <sheetData sheetId="5391" refreshError="1"/>
      <sheetData sheetId="5392" refreshError="1"/>
      <sheetData sheetId="5393" refreshError="1"/>
      <sheetData sheetId="5394" refreshError="1"/>
      <sheetData sheetId="5395" refreshError="1"/>
      <sheetData sheetId="5396" refreshError="1"/>
      <sheetData sheetId="5397" refreshError="1"/>
      <sheetData sheetId="5398" refreshError="1"/>
      <sheetData sheetId="5399" refreshError="1"/>
      <sheetData sheetId="5400" refreshError="1"/>
      <sheetData sheetId="5401" refreshError="1"/>
      <sheetData sheetId="5402" refreshError="1"/>
      <sheetData sheetId="5403" refreshError="1"/>
      <sheetData sheetId="5404" refreshError="1"/>
      <sheetData sheetId="5405" refreshError="1"/>
      <sheetData sheetId="5406" refreshError="1"/>
      <sheetData sheetId="5407" refreshError="1"/>
      <sheetData sheetId="5408" refreshError="1"/>
      <sheetData sheetId="5409" refreshError="1"/>
      <sheetData sheetId="5410" refreshError="1"/>
      <sheetData sheetId="5411" refreshError="1"/>
      <sheetData sheetId="5412" refreshError="1"/>
      <sheetData sheetId="5413" refreshError="1"/>
      <sheetData sheetId="5414" refreshError="1"/>
      <sheetData sheetId="5415" refreshError="1"/>
      <sheetData sheetId="5416" refreshError="1"/>
      <sheetData sheetId="5417" refreshError="1"/>
      <sheetData sheetId="5418" refreshError="1"/>
      <sheetData sheetId="5419" refreshError="1"/>
      <sheetData sheetId="5420" refreshError="1"/>
      <sheetData sheetId="5421" refreshError="1"/>
      <sheetData sheetId="5422" refreshError="1"/>
      <sheetData sheetId="5423" refreshError="1"/>
      <sheetData sheetId="5424" refreshError="1"/>
      <sheetData sheetId="5425" refreshError="1"/>
      <sheetData sheetId="5426" refreshError="1"/>
      <sheetData sheetId="5427" refreshError="1"/>
      <sheetData sheetId="5428" refreshError="1"/>
      <sheetData sheetId="5429" refreshError="1"/>
      <sheetData sheetId="5430" refreshError="1"/>
      <sheetData sheetId="5431" refreshError="1"/>
      <sheetData sheetId="5432" refreshError="1"/>
      <sheetData sheetId="5433" refreshError="1"/>
      <sheetData sheetId="5434" refreshError="1"/>
      <sheetData sheetId="5435" refreshError="1"/>
      <sheetData sheetId="5436" refreshError="1"/>
      <sheetData sheetId="5437" refreshError="1"/>
      <sheetData sheetId="5438" refreshError="1"/>
      <sheetData sheetId="5439" refreshError="1"/>
      <sheetData sheetId="5440"/>
      <sheetData sheetId="5441" refreshError="1"/>
      <sheetData sheetId="5442" refreshError="1"/>
      <sheetData sheetId="5443" refreshError="1"/>
      <sheetData sheetId="5444" refreshError="1"/>
      <sheetData sheetId="5445" refreshError="1"/>
      <sheetData sheetId="5446" refreshError="1"/>
      <sheetData sheetId="5447"/>
      <sheetData sheetId="5448"/>
      <sheetData sheetId="5449"/>
      <sheetData sheetId="5450"/>
      <sheetData sheetId="5451"/>
      <sheetData sheetId="5452"/>
      <sheetData sheetId="5453"/>
      <sheetData sheetId="5454"/>
      <sheetData sheetId="5455"/>
      <sheetData sheetId="5456"/>
      <sheetData sheetId="5457"/>
      <sheetData sheetId="5458"/>
      <sheetData sheetId="5459"/>
      <sheetData sheetId="5460"/>
      <sheetData sheetId="5461"/>
      <sheetData sheetId="5462"/>
      <sheetData sheetId="5463"/>
      <sheetData sheetId="5464"/>
      <sheetData sheetId="5465"/>
      <sheetData sheetId="5466"/>
      <sheetData sheetId="5467"/>
      <sheetData sheetId="5468"/>
      <sheetData sheetId="5469"/>
      <sheetData sheetId="5470"/>
      <sheetData sheetId="5471"/>
      <sheetData sheetId="5472"/>
      <sheetData sheetId="5473"/>
      <sheetData sheetId="5474"/>
      <sheetData sheetId="5475"/>
      <sheetData sheetId="5476"/>
      <sheetData sheetId="5477"/>
      <sheetData sheetId="5478"/>
      <sheetData sheetId="5479"/>
      <sheetData sheetId="5480"/>
      <sheetData sheetId="5481"/>
      <sheetData sheetId="5482"/>
      <sheetData sheetId="5483"/>
      <sheetData sheetId="5484"/>
      <sheetData sheetId="5485"/>
      <sheetData sheetId="5486"/>
      <sheetData sheetId="5487"/>
      <sheetData sheetId="5488"/>
      <sheetData sheetId="5489"/>
      <sheetData sheetId="5490"/>
      <sheetData sheetId="5491"/>
      <sheetData sheetId="5492"/>
      <sheetData sheetId="5493"/>
      <sheetData sheetId="5494"/>
      <sheetData sheetId="5495"/>
      <sheetData sheetId="5496"/>
      <sheetData sheetId="5497"/>
      <sheetData sheetId="5498"/>
      <sheetData sheetId="5499"/>
      <sheetData sheetId="5500"/>
      <sheetData sheetId="5501"/>
      <sheetData sheetId="5502"/>
      <sheetData sheetId="5503"/>
      <sheetData sheetId="5504"/>
      <sheetData sheetId="5505"/>
      <sheetData sheetId="5506"/>
      <sheetData sheetId="5507"/>
      <sheetData sheetId="5508"/>
      <sheetData sheetId="5509"/>
      <sheetData sheetId="5510"/>
      <sheetData sheetId="5511"/>
      <sheetData sheetId="5512"/>
      <sheetData sheetId="5513"/>
      <sheetData sheetId="5514"/>
      <sheetData sheetId="5515"/>
      <sheetData sheetId="5516"/>
      <sheetData sheetId="5517"/>
      <sheetData sheetId="5518"/>
      <sheetData sheetId="5519"/>
      <sheetData sheetId="5520"/>
      <sheetData sheetId="5521"/>
      <sheetData sheetId="5522"/>
      <sheetData sheetId="5523"/>
      <sheetData sheetId="5524"/>
      <sheetData sheetId="5525"/>
      <sheetData sheetId="5526"/>
      <sheetData sheetId="5527"/>
      <sheetData sheetId="5528"/>
      <sheetData sheetId="5529"/>
      <sheetData sheetId="5530"/>
      <sheetData sheetId="5531"/>
      <sheetData sheetId="5532"/>
      <sheetData sheetId="5533"/>
      <sheetData sheetId="5534"/>
      <sheetData sheetId="5535"/>
      <sheetData sheetId="5536"/>
      <sheetData sheetId="5537"/>
      <sheetData sheetId="5538"/>
      <sheetData sheetId="5539"/>
      <sheetData sheetId="5540"/>
      <sheetData sheetId="5541"/>
      <sheetData sheetId="5542"/>
      <sheetData sheetId="5543"/>
      <sheetData sheetId="5544"/>
      <sheetData sheetId="5545"/>
      <sheetData sheetId="5546"/>
      <sheetData sheetId="5547"/>
      <sheetData sheetId="5548"/>
      <sheetData sheetId="5549"/>
      <sheetData sheetId="5550"/>
      <sheetData sheetId="5551"/>
      <sheetData sheetId="5552"/>
      <sheetData sheetId="5553"/>
      <sheetData sheetId="5554"/>
      <sheetData sheetId="5555"/>
      <sheetData sheetId="5556"/>
      <sheetData sheetId="5557"/>
      <sheetData sheetId="5558"/>
      <sheetData sheetId="5559"/>
      <sheetData sheetId="5560"/>
      <sheetData sheetId="5561"/>
      <sheetData sheetId="5562"/>
      <sheetData sheetId="5563"/>
      <sheetData sheetId="5564"/>
      <sheetData sheetId="5565"/>
      <sheetData sheetId="5566"/>
      <sheetData sheetId="5567"/>
      <sheetData sheetId="5568"/>
      <sheetData sheetId="5569" refreshError="1"/>
      <sheetData sheetId="5570" refreshError="1"/>
      <sheetData sheetId="5571"/>
      <sheetData sheetId="5572"/>
      <sheetData sheetId="5573" refreshError="1"/>
      <sheetData sheetId="5574" refreshError="1"/>
      <sheetData sheetId="5575" refreshError="1"/>
      <sheetData sheetId="5576" refreshError="1"/>
      <sheetData sheetId="5577" refreshError="1"/>
      <sheetData sheetId="5578" refreshError="1"/>
      <sheetData sheetId="5579" refreshError="1"/>
      <sheetData sheetId="5580" refreshError="1"/>
      <sheetData sheetId="5581" refreshError="1"/>
      <sheetData sheetId="5582" refreshError="1"/>
      <sheetData sheetId="5583" refreshError="1"/>
      <sheetData sheetId="5584" refreshError="1"/>
      <sheetData sheetId="5585"/>
      <sheetData sheetId="5586"/>
      <sheetData sheetId="5587"/>
      <sheetData sheetId="5588" refreshError="1"/>
      <sheetData sheetId="5589" refreshError="1"/>
      <sheetData sheetId="5590" refreshError="1"/>
      <sheetData sheetId="5591"/>
      <sheetData sheetId="5592" refreshError="1"/>
      <sheetData sheetId="5593" refreshError="1"/>
      <sheetData sheetId="5594" refreshError="1"/>
      <sheetData sheetId="5595" refreshError="1"/>
      <sheetData sheetId="5596" refreshError="1"/>
      <sheetData sheetId="5597" refreshError="1"/>
      <sheetData sheetId="5598" refreshError="1"/>
      <sheetData sheetId="5599" refreshError="1"/>
      <sheetData sheetId="5600" refreshError="1"/>
      <sheetData sheetId="5601" refreshError="1"/>
      <sheetData sheetId="5602" refreshError="1"/>
      <sheetData sheetId="5603" refreshError="1"/>
      <sheetData sheetId="5604" refreshError="1"/>
      <sheetData sheetId="5605" refreshError="1"/>
      <sheetData sheetId="5606" refreshError="1"/>
      <sheetData sheetId="5607" refreshError="1"/>
      <sheetData sheetId="5608" refreshError="1"/>
      <sheetData sheetId="5609" refreshError="1"/>
      <sheetData sheetId="5610" refreshError="1"/>
      <sheetData sheetId="5611" refreshError="1"/>
      <sheetData sheetId="5612" refreshError="1"/>
      <sheetData sheetId="5613" refreshError="1"/>
      <sheetData sheetId="5614" refreshError="1"/>
      <sheetData sheetId="5615" refreshError="1"/>
      <sheetData sheetId="5616" refreshError="1"/>
      <sheetData sheetId="5617" refreshError="1"/>
      <sheetData sheetId="5618" refreshError="1"/>
      <sheetData sheetId="5619" refreshError="1"/>
      <sheetData sheetId="5620" refreshError="1"/>
      <sheetData sheetId="5621" refreshError="1"/>
      <sheetData sheetId="5622" refreshError="1"/>
      <sheetData sheetId="5623" refreshError="1"/>
      <sheetData sheetId="5624" refreshError="1"/>
      <sheetData sheetId="5625" refreshError="1"/>
      <sheetData sheetId="5626" refreshError="1"/>
      <sheetData sheetId="5627" refreshError="1"/>
      <sheetData sheetId="5628" refreshError="1"/>
      <sheetData sheetId="5629" refreshError="1"/>
      <sheetData sheetId="5630" refreshError="1"/>
      <sheetData sheetId="5631" refreshError="1"/>
      <sheetData sheetId="5632" refreshError="1"/>
      <sheetData sheetId="5633" refreshError="1"/>
      <sheetData sheetId="5634" refreshError="1"/>
      <sheetData sheetId="5635" refreshError="1"/>
      <sheetData sheetId="5636" refreshError="1"/>
      <sheetData sheetId="5637" refreshError="1"/>
      <sheetData sheetId="5638" refreshError="1"/>
      <sheetData sheetId="5639" refreshError="1"/>
      <sheetData sheetId="5640" refreshError="1"/>
      <sheetData sheetId="5641" refreshError="1"/>
      <sheetData sheetId="5642" refreshError="1"/>
      <sheetData sheetId="5643" refreshError="1"/>
      <sheetData sheetId="5644" refreshError="1"/>
      <sheetData sheetId="5645" refreshError="1"/>
      <sheetData sheetId="5646" refreshError="1"/>
      <sheetData sheetId="5647" refreshError="1"/>
      <sheetData sheetId="5648" refreshError="1"/>
      <sheetData sheetId="5649" refreshError="1"/>
      <sheetData sheetId="5650" refreshError="1"/>
      <sheetData sheetId="5651" refreshError="1"/>
      <sheetData sheetId="5652" refreshError="1"/>
      <sheetData sheetId="5653" refreshError="1"/>
      <sheetData sheetId="5654" refreshError="1"/>
      <sheetData sheetId="5655" refreshError="1"/>
      <sheetData sheetId="5656" refreshError="1"/>
      <sheetData sheetId="5657" refreshError="1"/>
      <sheetData sheetId="5658" refreshError="1"/>
      <sheetData sheetId="5659" refreshError="1"/>
      <sheetData sheetId="5660" refreshError="1"/>
      <sheetData sheetId="5661" refreshError="1"/>
      <sheetData sheetId="5662" refreshError="1"/>
      <sheetData sheetId="5663" refreshError="1"/>
      <sheetData sheetId="5664" refreshError="1"/>
      <sheetData sheetId="5665" refreshError="1"/>
      <sheetData sheetId="5666" refreshError="1"/>
      <sheetData sheetId="5667" refreshError="1"/>
      <sheetData sheetId="5668" refreshError="1"/>
      <sheetData sheetId="5669" refreshError="1"/>
      <sheetData sheetId="5670" refreshError="1"/>
      <sheetData sheetId="5671" refreshError="1"/>
      <sheetData sheetId="5672" refreshError="1"/>
      <sheetData sheetId="5673" refreshError="1"/>
      <sheetData sheetId="5674" refreshError="1"/>
      <sheetData sheetId="5675" refreshError="1"/>
      <sheetData sheetId="5676" refreshError="1"/>
      <sheetData sheetId="5677" refreshError="1"/>
      <sheetData sheetId="5678" refreshError="1"/>
      <sheetData sheetId="5679" refreshError="1"/>
      <sheetData sheetId="5680" refreshError="1"/>
      <sheetData sheetId="5681" refreshError="1"/>
      <sheetData sheetId="5682" refreshError="1"/>
      <sheetData sheetId="5683" refreshError="1"/>
      <sheetData sheetId="5684" refreshError="1"/>
      <sheetData sheetId="5685" refreshError="1"/>
      <sheetData sheetId="5686" refreshError="1"/>
      <sheetData sheetId="5687" refreshError="1"/>
      <sheetData sheetId="5688" refreshError="1"/>
      <sheetData sheetId="5689" refreshError="1"/>
      <sheetData sheetId="5690" refreshError="1"/>
      <sheetData sheetId="5691" refreshError="1"/>
      <sheetData sheetId="5692" refreshError="1"/>
      <sheetData sheetId="5693" refreshError="1"/>
      <sheetData sheetId="5694" refreshError="1"/>
      <sheetData sheetId="5695" refreshError="1"/>
      <sheetData sheetId="5696" refreshError="1"/>
      <sheetData sheetId="5697" refreshError="1"/>
      <sheetData sheetId="5698" refreshError="1"/>
      <sheetData sheetId="5699" refreshError="1"/>
      <sheetData sheetId="5700" refreshError="1"/>
      <sheetData sheetId="5701" refreshError="1"/>
      <sheetData sheetId="5702" refreshError="1"/>
      <sheetData sheetId="5703" refreshError="1"/>
      <sheetData sheetId="5704" refreshError="1"/>
      <sheetData sheetId="5705" refreshError="1"/>
      <sheetData sheetId="5706" refreshError="1"/>
      <sheetData sheetId="5707" refreshError="1"/>
      <sheetData sheetId="5708" refreshError="1"/>
      <sheetData sheetId="5709" refreshError="1"/>
      <sheetData sheetId="5710" refreshError="1"/>
      <sheetData sheetId="5711" refreshError="1"/>
      <sheetData sheetId="5712" refreshError="1"/>
      <sheetData sheetId="5713" refreshError="1"/>
      <sheetData sheetId="5714" refreshError="1"/>
      <sheetData sheetId="5715" refreshError="1"/>
      <sheetData sheetId="5716" refreshError="1"/>
      <sheetData sheetId="5717" refreshError="1"/>
      <sheetData sheetId="5718" refreshError="1"/>
      <sheetData sheetId="5719" refreshError="1"/>
      <sheetData sheetId="5720" refreshError="1"/>
      <sheetData sheetId="5721" refreshError="1"/>
      <sheetData sheetId="5722" refreshError="1"/>
      <sheetData sheetId="5723" refreshError="1"/>
      <sheetData sheetId="5724" refreshError="1"/>
      <sheetData sheetId="5725" refreshError="1"/>
      <sheetData sheetId="5726" refreshError="1"/>
      <sheetData sheetId="5727" refreshError="1"/>
      <sheetData sheetId="5728" refreshError="1"/>
      <sheetData sheetId="5729" refreshError="1"/>
      <sheetData sheetId="5730" refreshError="1"/>
      <sheetData sheetId="5731" refreshError="1"/>
      <sheetData sheetId="5732" refreshError="1"/>
      <sheetData sheetId="5733" refreshError="1"/>
      <sheetData sheetId="5734" refreshError="1"/>
      <sheetData sheetId="5735" refreshError="1"/>
      <sheetData sheetId="5736" refreshError="1"/>
      <sheetData sheetId="5737" refreshError="1"/>
      <sheetData sheetId="5738" refreshError="1"/>
      <sheetData sheetId="5739" refreshError="1"/>
      <sheetData sheetId="5740" refreshError="1"/>
      <sheetData sheetId="5741" refreshError="1"/>
      <sheetData sheetId="5742" refreshError="1"/>
      <sheetData sheetId="5743" refreshError="1"/>
      <sheetData sheetId="5744" refreshError="1"/>
      <sheetData sheetId="5745"/>
      <sheetData sheetId="5746" refreshError="1"/>
      <sheetData sheetId="5747" refreshError="1"/>
      <sheetData sheetId="5748" refreshError="1"/>
      <sheetData sheetId="5749" refreshError="1"/>
      <sheetData sheetId="5750" refreshError="1"/>
      <sheetData sheetId="5751" refreshError="1"/>
      <sheetData sheetId="5752" refreshError="1"/>
      <sheetData sheetId="5753" refreshError="1"/>
      <sheetData sheetId="5754" refreshError="1"/>
      <sheetData sheetId="5755" refreshError="1"/>
      <sheetData sheetId="5756" refreshError="1"/>
      <sheetData sheetId="5757" refreshError="1"/>
      <sheetData sheetId="5758" refreshError="1"/>
      <sheetData sheetId="5759" refreshError="1"/>
      <sheetData sheetId="5760" refreshError="1"/>
      <sheetData sheetId="5761" refreshError="1"/>
      <sheetData sheetId="5762" refreshError="1"/>
      <sheetData sheetId="5763" refreshError="1"/>
      <sheetData sheetId="5764" refreshError="1"/>
      <sheetData sheetId="5765" refreshError="1"/>
      <sheetData sheetId="5766" refreshError="1"/>
      <sheetData sheetId="5767" refreshError="1"/>
      <sheetData sheetId="5768" refreshError="1"/>
      <sheetData sheetId="5769" refreshError="1"/>
      <sheetData sheetId="5770" refreshError="1"/>
      <sheetData sheetId="5771" refreshError="1"/>
      <sheetData sheetId="5772" refreshError="1"/>
      <sheetData sheetId="5773" refreshError="1"/>
      <sheetData sheetId="5774" refreshError="1"/>
      <sheetData sheetId="5775" refreshError="1"/>
      <sheetData sheetId="5776" refreshError="1"/>
      <sheetData sheetId="5777" refreshError="1"/>
      <sheetData sheetId="5778" refreshError="1"/>
      <sheetData sheetId="5779" refreshError="1"/>
      <sheetData sheetId="5780" refreshError="1"/>
      <sheetData sheetId="5781" refreshError="1"/>
      <sheetData sheetId="5782" refreshError="1"/>
      <sheetData sheetId="5783" refreshError="1"/>
      <sheetData sheetId="5784" refreshError="1"/>
      <sheetData sheetId="5785"/>
      <sheetData sheetId="5786"/>
      <sheetData sheetId="5787"/>
      <sheetData sheetId="5788"/>
      <sheetData sheetId="5789"/>
      <sheetData sheetId="5790"/>
      <sheetData sheetId="5791"/>
      <sheetData sheetId="5792"/>
      <sheetData sheetId="5793"/>
      <sheetData sheetId="5794"/>
      <sheetData sheetId="5795"/>
      <sheetData sheetId="5796"/>
      <sheetData sheetId="5797"/>
      <sheetData sheetId="5798"/>
      <sheetData sheetId="5799"/>
      <sheetData sheetId="5800"/>
      <sheetData sheetId="5801"/>
      <sheetData sheetId="5802"/>
      <sheetData sheetId="5803"/>
      <sheetData sheetId="5804"/>
      <sheetData sheetId="5805"/>
      <sheetData sheetId="5806"/>
      <sheetData sheetId="5807"/>
      <sheetData sheetId="5808"/>
      <sheetData sheetId="5809" refreshError="1"/>
      <sheetData sheetId="5810" refreshError="1"/>
      <sheetData sheetId="5811"/>
      <sheetData sheetId="5812">
        <row r="3">
          <cell r="B3" t="str">
            <v>Property Owner:</v>
          </cell>
        </row>
      </sheetData>
      <sheetData sheetId="5813"/>
      <sheetData sheetId="5814" refreshError="1"/>
      <sheetData sheetId="5815">
        <row r="322">
          <cell r="C322" t="str">
            <v>Quality 1</v>
          </cell>
        </row>
      </sheetData>
      <sheetData sheetId="5816" refreshError="1"/>
      <sheetData sheetId="5817" refreshError="1"/>
      <sheetData sheetId="5818" refreshError="1"/>
      <sheetData sheetId="5819" refreshError="1"/>
      <sheetData sheetId="5820" refreshError="1"/>
      <sheetData sheetId="5821" refreshError="1"/>
      <sheetData sheetId="5822" refreshError="1"/>
      <sheetData sheetId="5823" refreshError="1"/>
      <sheetData sheetId="5824" refreshError="1"/>
      <sheetData sheetId="5825" refreshError="1"/>
      <sheetData sheetId="5826" refreshError="1"/>
      <sheetData sheetId="5827" refreshError="1"/>
      <sheetData sheetId="582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WA RR"/>
      <sheetName val="rr sheet"/>
      <sheetName val="Sheet3"/>
      <sheetName val="MW GEG"/>
      <sheetName val="BS"/>
      <sheetName val="KPI's"/>
      <sheetName val="RI Valuation"/>
      <sheetName val="rr%20sheet"/>
    </sheetNames>
    <definedNames>
      <definedName name="PRT6BD5BK32"/>
    </defined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"/>
      <sheetName val="Summary"/>
      <sheetName val="11100"/>
      <sheetName val="11200"/>
      <sheetName val="12100 &amp; 12101"/>
      <sheetName val="12300"/>
      <sheetName val="12705"/>
      <sheetName val="12710"/>
      <sheetName val="12730"/>
      <sheetName val="12750"/>
      <sheetName val="12910"/>
      <sheetName val="15170"/>
      <sheetName val="15220"/>
      <sheetName val="16200"/>
      <sheetName val="21105"/>
      <sheetName val="21110"/>
      <sheetName val="21140"/>
      <sheetName val="21320 "/>
      <sheetName val="21330"/>
      <sheetName val="21333"/>
      <sheetName val="21350"/>
      <sheetName val="22010"/>
      <sheetName val="22011"/>
      <sheetName val="22101"/>
      <sheetName val="27100"/>
      <sheetName val="27200"/>
      <sheetName val="30120"/>
      <sheetName val="30150"/>
      <sheetName val="35000"/>
      <sheetName val="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ation"/>
      <sheetName val="Dialog1"/>
      <sheetName val="Checksheet"/>
      <sheetName val="Input Notes"/>
      <sheetName val="Cover Page"/>
      <sheetName val="P&amp;L"/>
      <sheetName val="Balance Sheet"/>
      <sheetName val="Cashflow"/>
      <sheetName val="cfws - Consol"/>
      <sheetName val="Notes"/>
      <sheetName val="Prop note"/>
      <sheetName val="Asset Values00"/>
      <sheetName val="Assoc note"/>
      <sheetName val="Finance note"/>
      <sheetName val="finance costs note workings"/>
      <sheetName val="ANALYST INFO-HALFYR"/>
      <sheetName val="net op y lhn"/>
      <sheetName val="defined costs &amp;NRO  lhn"/>
      <sheetName val="receivables - lhn"/>
      <sheetName val="asset val left note"/>
      <sheetName val="creditors lhn"/>
      <sheetName val="Borrowings LHN June"/>
      <sheetName val="reserves lh note"/>
      <sheetName val="cash - lhn"/>
      <sheetName val="EPSAVEWS"/>
      <sheetName val="Manual data"/>
      <sheetName val="pivot"/>
      <sheetName val="gptconsol DOWNLOAD"/>
      <sheetName val="Dialog Info"/>
      <sheetName val="ANALYST INFO-YE"/>
      <sheetName val="Pivot_Par"/>
      <sheetName val="Data_par"/>
      <sheetName val="CFWS Parent"/>
      <sheetName val="Sheet1"/>
      <sheetName val="Module1"/>
      <sheetName val="Module3"/>
      <sheetName val="Module4"/>
      <sheetName val="Module5"/>
      <sheetName val="Input"/>
      <sheetName val="P&amp;L "/>
      <sheetName val="Ag Pol"/>
      <sheetName val="Prop text"/>
      <sheetName val="Audit"/>
      <sheetName val="Directors"/>
      <sheetName val="op y lhn (3)"/>
      <sheetName val="op y lhn (2)"/>
      <sheetName val="op y lhn"/>
      <sheetName val="asset val lhn"/>
      <sheetName val="reserves lhn"/>
      <sheetName val="receivables lhn"/>
      <sheetName val="Borrowings LHN Dec"/>
      <sheetName val="ANALYST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6">
          <cell r="C6" t="str">
            <v>HALF YEAR ENDED</v>
          </cell>
        </row>
        <row r="16">
          <cell r="C16">
            <v>36707</v>
          </cell>
        </row>
        <row r="33">
          <cell r="C33">
            <v>36341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B"/>
      <sheetName val="QUERY (2)"/>
      <sheetName val="QUERY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"/>
      <sheetName val="P&amp;L-GMHADMCON"/>
      <sheetName val="P&amp;L-RTL,JV,VOY"/>
      <sheetName val="P&amp;L-GMHCONSOL"/>
      <sheetName val="Consolidated Summary"/>
      <sheetName val="Summary"/>
      <sheetName val="11100"/>
      <sheetName val="11200"/>
      <sheetName val="12100 &amp; 12101"/>
      <sheetName val="12300"/>
      <sheetName val="12705"/>
      <sheetName val="12710"/>
      <sheetName val="12730"/>
      <sheetName val="12740"/>
      <sheetName val="12750"/>
      <sheetName val="12910"/>
      <sheetName val="15170"/>
      <sheetName val="15212"/>
      <sheetName val="15220"/>
      <sheetName val="15225"/>
      <sheetName val="15230"/>
      <sheetName val="16200"/>
      <sheetName val="21105"/>
      <sheetName val="21110"/>
      <sheetName val="21111"/>
      <sheetName val="21115"/>
      <sheetName val="21140"/>
      <sheetName val="21320 "/>
      <sheetName val="21330"/>
      <sheetName val="21333"/>
      <sheetName val="21350"/>
      <sheetName val="26110"/>
      <sheetName val="22010"/>
      <sheetName val="22011"/>
      <sheetName val="22012"/>
      <sheetName val="22014"/>
      <sheetName val="22016"/>
      <sheetName val="22101"/>
      <sheetName val="26100"/>
      <sheetName val="27100"/>
      <sheetName val="27200"/>
      <sheetName val="30120"/>
      <sheetName val="30150"/>
      <sheetName val="350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Cover Page"/>
      <sheetName val="Directors report"/>
      <sheetName val="Dir &amp; Exec Discl (DR1)"/>
      <sheetName val="Dir &amp; Exec Discl (DR2)"/>
      <sheetName val="Dir &amp; Exec Discl (DR3)"/>
      <sheetName val="Directors report half year"/>
      <sheetName val="P&amp;L "/>
      <sheetName val="Balance Sheet"/>
      <sheetName val="Changes in Equity"/>
      <sheetName val="Cashflow"/>
      <sheetName val="Ag Pol"/>
      <sheetName val="Notes"/>
      <sheetName val="Property Plant &amp; Equipment"/>
      <sheetName val="Prop text"/>
      <sheetName val="Prop note"/>
      <sheetName val="Finance note"/>
      <sheetName val="Segment"/>
      <sheetName val="Directors"/>
      <sheetName val="op y lhn "/>
      <sheetName val="Revaluation P&amp;L AC"/>
      <sheetName val="Distribution rec lhn  "/>
      <sheetName val="cfws - Consol"/>
      <sheetName val="CFWS Parent"/>
      <sheetName val="receivables lhn"/>
      <sheetName val="other current lhn "/>
      <sheetName val="asset val lhn"/>
      <sheetName val="lease inc lhn"/>
      <sheetName val="Assoc asset val lhn "/>
      <sheetName val="Prop Plant &amp; equip val lhn"/>
      <sheetName val="Costs incl Additions LHN"/>
      <sheetName val="creditors lhn"/>
      <sheetName val="Assoc note"/>
      <sheetName val="Finance WP"/>
      <sheetName val="Dir &amp; Exec Discl"/>
      <sheetName val="Dir &amp; Exec Discl 2"/>
      <sheetName val="Dir &amp; Exec Discl 3"/>
      <sheetName val="Assoc lease inc lhn"/>
      <sheetName val="Borrowings LHN Dec"/>
      <sheetName val="Segment Note WP"/>
      <sheetName val="Unrealised Earnings"/>
    </sheetNames>
    <sheetDataSet>
      <sheetData sheetId="0" refreshError="1">
        <row r="2">
          <cell r="B2">
            <v>38533</v>
          </cell>
        </row>
        <row r="5">
          <cell r="B5">
            <v>38352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cruals"/>
      <sheetName val="Forecast trust exps 699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s and Tables"/>
      <sheetName val="GPTGF Validations_Errors"/>
      <sheetName val="Boomerang"/>
      <sheetName val="IQ Go Between"/>
      <sheetName val="iQ_Measure_Validations_Errors"/>
      <sheetName val="iQ_CoreIndustrials"/>
      <sheetName val="Historical Data"/>
      <sheetName val="Development Pipeline"/>
      <sheetName val="Debt maturity"/>
      <sheetName val="Variance"/>
      <sheetName val="Group"/>
      <sheetName val="NAV"/>
      <sheetName val="DCF"/>
      <sheetName val="Properties"/>
      <sheetName val="Retail"/>
      <sheetName val="Industrial"/>
      <sheetName val="Office"/>
      <sheetName val="JV"/>
      <sheetName val="Hotels"/>
      <sheetName val="Developments"/>
      <sheetName val="Sector Assumptions"/>
      <sheetName val="GPT break up"/>
      <sheetName val="Portfolio"/>
      <sheetName val="Key metrics table"/>
      <sheetName val="3 stage DCF"/>
      <sheetName val="Estimates"/>
      <sheetName val="Debt"/>
      <sheetName val="New Debt Schedule"/>
      <sheetName val="GPT IQ"/>
    </sheetNames>
    <sheetDataSet>
      <sheetData sheetId="0" refreshError="1"/>
      <sheetData sheetId="1" refreshError="1"/>
      <sheetData sheetId="2" refreshError="1">
        <row r="54">
          <cell r="B54" t="str">
            <v>Date:</v>
          </cell>
          <cell r="C54">
            <v>40483</v>
          </cell>
        </row>
        <row r="55">
          <cell r="B55" t="str">
            <v>Company</v>
          </cell>
          <cell r="C55">
            <v>0</v>
          </cell>
          <cell r="D55">
            <v>19</v>
          </cell>
          <cell r="E55">
            <v>22</v>
          </cell>
          <cell r="F55">
            <v>23</v>
          </cell>
          <cell r="G55">
            <v>24</v>
          </cell>
          <cell r="H55">
            <v>25</v>
          </cell>
          <cell r="I55">
            <v>26</v>
          </cell>
          <cell r="J55">
            <v>27</v>
          </cell>
          <cell r="K55">
            <v>28</v>
          </cell>
          <cell r="L55">
            <v>29</v>
          </cell>
          <cell r="M55">
            <v>30</v>
          </cell>
          <cell r="N55">
            <v>31</v>
          </cell>
          <cell r="O55">
            <v>32</v>
          </cell>
          <cell r="P55">
            <v>33</v>
          </cell>
          <cell r="Q55">
            <v>34</v>
          </cell>
          <cell r="R55">
            <v>35</v>
          </cell>
          <cell r="S55">
            <v>36</v>
          </cell>
          <cell r="T55">
            <v>37</v>
          </cell>
          <cell r="U55">
            <v>38</v>
          </cell>
          <cell r="V55">
            <v>39</v>
          </cell>
          <cell r="W55">
            <v>40</v>
          </cell>
          <cell r="X55">
            <v>41</v>
          </cell>
          <cell r="Y55">
            <v>42</v>
          </cell>
          <cell r="Z55">
            <v>43</v>
          </cell>
          <cell r="AA55">
            <v>44</v>
          </cell>
          <cell r="AB55">
            <v>45</v>
          </cell>
          <cell r="AC55">
            <v>46</v>
          </cell>
          <cell r="AD55">
            <v>47</v>
          </cell>
          <cell r="AE55">
            <v>48</v>
          </cell>
          <cell r="AF55">
            <v>49</v>
          </cell>
          <cell r="AG55">
            <v>50</v>
          </cell>
          <cell r="AH55">
            <v>51</v>
          </cell>
          <cell r="AI55">
            <v>52</v>
          </cell>
          <cell r="AJ55">
            <v>53</v>
          </cell>
          <cell r="AK55">
            <v>54</v>
          </cell>
          <cell r="AL55">
            <v>55</v>
          </cell>
        </row>
        <row r="56">
          <cell r="D56" t="str">
            <v>2005A</v>
          </cell>
          <cell r="E56" t="str">
            <v>2006A</v>
          </cell>
          <cell r="F56" t="str">
            <v>1H07A</v>
          </cell>
          <cell r="G56" t="str">
            <v>2H07A</v>
          </cell>
          <cell r="H56" t="str">
            <v>2007A</v>
          </cell>
          <cell r="I56" t="str">
            <v>1H08A</v>
          </cell>
          <cell r="J56" t="str">
            <v>2H08A</v>
          </cell>
          <cell r="K56" t="str">
            <v>2008A</v>
          </cell>
          <cell r="L56" t="str">
            <v>1H09A</v>
          </cell>
          <cell r="M56" t="str">
            <v>2H09A</v>
          </cell>
          <cell r="N56" t="str">
            <v>2009A</v>
          </cell>
          <cell r="O56" t="str">
            <v>1H10</v>
          </cell>
          <cell r="P56" t="str">
            <v>2H10</v>
          </cell>
          <cell r="Q56">
            <v>2010</v>
          </cell>
          <cell r="R56" t="str">
            <v>1H11</v>
          </cell>
          <cell r="S56" t="str">
            <v>2H11</v>
          </cell>
          <cell r="T56">
            <v>2011</v>
          </cell>
          <cell r="U56" t="str">
            <v>1H12</v>
          </cell>
          <cell r="V56" t="str">
            <v>2H12</v>
          </cell>
          <cell r="W56">
            <v>2012</v>
          </cell>
          <cell r="X56" t="str">
            <v>1H13</v>
          </cell>
          <cell r="Y56" t="str">
            <v>2H13</v>
          </cell>
          <cell r="Z56">
            <v>2013</v>
          </cell>
          <cell r="AA56" t="str">
            <v>1H14</v>
          </cell>
          <cell r="AB56" t="str">
            <v>2H14</v>
          </cell>
          <cell r="AC56">
            <v>2014</v>
          </cell>
          <cell r="AD56" t="str">
            <v>1H15</v>
          </cell>
          <cell r="AE56" t="str">
            <v>2H15</v>
          </cell>
          <cell r="AF56">
            <v>2015</v>
          </cell>
          <cell r="AG56" t="str">
            <v>1H16</v>
          </cell>
          <cell r="AH56" t="str">
            <v>2H16</v>
          </cell>
          <cell r="AI56">
            <v>2016</v>
          </cell>
          <cell r="AJ56" t="str">
            <v>1H17</v>
          </cell>
          <cell r="AK56" t="str">
            <v>2H17</v>
          </cell>
          <cell r="AL56">
            <v>2017</v>
          </cell>
        </row>
        <row r="57">
          <cell r="B57" t="str">
            <v>Line Item</v>
          </cell>
        </row>
        <row r="58">
          <cell r="B58" t="str">
            <v xml:space="preserve">   AFFO</v>
          </cell>
          <cell r="D58">
            <v>187.97559999999993</v>
          </cell>
          <cell r="E58">
            <v>503.7023999999999</v>
          </cell>
          <cell r="F58">
            <v>275.78560000000004</v>
          </cell>
          <cell r="G58">
            <v>286.25359999999995</v>
          </cell>
          <cell r="H58">
            <v>581.15120000000002</v>
          </cell>
          <cell r="I58">
            <v>205.05119999999999</v>
          </cell>
          <cell r="J58">
            <v>203.30880000000008</v>
          </cell>
          <cell r="K58">
            <v>408.36</v>
          </cell>
          <cell r="L58">
            <v>139.40639999999999</v>
          </cell>
          <cell r="M58">
            <v>151.71475421745384</v>
          </cell>
          <cell r="N58">
            <v>291.12115421745398</v>
          </cell>
          <cell r="O58">
            <v>166.77951999999993</v>
          </cell>
          <cell r="P58">
            <v>164.39814025620333</v>
          </cell>
          <cell r="Q58">
            <v>331.17766025620324</v>
          </cell>
          <cell r="R58">
            <v>158.02089475565438</v>
          </cell>
          <cell r="S58">
            <v>161.72602774616513</v>
          </cell>
          <cell r="T58">
            <v>319.74692250181954</v>
          </cell>
          <cell r="U58">
            <v>162.10374915873393</v>
          </cell>
          <cell r="V58">
            <v>171.08391884580777</v>
          </cell>
          <cell r="W58">
            <v>333.18766800454148</v>
          </cell>
          <cell r="X58">
            <v>170.47238692057078</v>
          </cell>
          <cell r="Y58">
            <v>176.88687743788682</v>
          </cell>
          <cell r="Z58">
            <v>347.35926435845772</v>
          </cell>
          <cell r="AA58">
            <v>181.90527844424679</v>
          </cell>
          <cell r="AB58">
            <v>188.57555410640151</v>
          </cell>
          <cell r="AC58">
            <v>370.48083255064847</v>
          </cell>
          <cell r="AD58">
            <v>192.30249602203173</v>
          </cell>
          <cell r="AE58">
            <v>197.54883485731079</v>
          </cell>
          <cell r="AF58">
            <v>389.85133087934264</v>
          </cell>
          <cell r="AG58">
            <v>208.55098007071163</v>
          </cell>
          <cell r="AH58">
            <v>215.87749580985641</v>
          </cell>
          <cell r="AI58">
            <v>424.42847588056821</v>
          </cell>
          <cell r="AJ58">
            <v>224.68350952397955</v>
          </cell>
          <cell r="AK58">
            <v>232.42922475743649</v>
          </cell>
          <cell r="AL58">
            <v>457.11273428141595</v>
          </cell>
        </row>
        <row r="59">
          <cell r="B59" t="str">
            <v xml:space="preserve">   Net Liabilities</v>
          </cell>
          <cell r="D59">
            <v>0</v>
          </cell>
          <cell r="E59">
            <v>0</v>
          </cell>
          <cell r="F59">
            <v>2512.5</v>
          </cell>
          <cell r="G59">
            <v>3226.6</v>
          </cell>
          <cell r="H59">
            <v>3226.6</v>
          </cell>
          <cell r="I59">
            <v>3833.8413079178886</v>
          </cell>
          <cell r="J59">
            <v>4281.2873197534173</v>
          </cell>
          <cell r="K59">
            <v>4281.2873197534173</v>
          </cell>
          <cell r="L59">
            <v>1577.783672589879</v>
          </cell>
          <cell r="M59">
            <v>1609.8200225606317</v>
          </cell>
          <cell r="N59">
            <v>1609.8200225606317</v>
          </cell>
          <cell r="O59">
            <v>1898.3136771991119</v>
          </cell>
          <cell r="P59">
            <v>1793.9978002594623</v>
          </cell>
          <cell r="Q59">
            <v>1963.7598002594618</v>
          </cell>
          <cell r="R59">
            <v>1988.7693555761634</v>
          </cell>
          <cell r="S59">
            <v>2238.0363169824072</v>
          </cell>
          <cell r="T59">
            <v>2238.0363169824072</v>
          </cell>
          <cell r="U59">
            <v>2455.0855495436281</v>
          </cell>
          <cell r="V59">
            <v>2503.609278537876</v>
          </cell>
          <cell r="W59">
            <v>2503.609278537876</v>
          </cell>
          <cell r="X59">
            <v>2645.122747449997</v>
          </cell>
          <cell r="Y59">
            <v>2766.7448599862892</v>
          </cell>
          <cell r="Z59">
            <v>2766.7448599862892</v>
          </cell>
          <cell r="AA59">
            <v>2914.7832807483205</v>
          </cell>
          <cell r="AB59">
            <v>3060.2729694305535</v>
          </cell>
          <cell r="AC59">
            <v>3060.2729694305535</v>
          </cell>
          <cell r="AD59">
            <v>3207.5717533913439</v>
          </cell>
          <cell r="AE59">
            <v>3352.7147539681901</v>
          </cell>
          <cell r="AF59">
            <v>3352.7147539681901</v>
          </cell>
          <cell r="AG59">
            <v>3491.2553893544673</v>
          </cell>
          <cell r="AH59">
            <v>3629.3011741958417</v>
          </cell>
          <cell r="AI59">
            <v>3629.3011741958417</v>
          </cell>
          <cell r="AJ59">
            <v>3764.5991693160381</v>
          </cell>
          <cell r="AK59">
            <v>3899.3011068269216</v>
          </cell>
          <cell r="AL59">
            <v>3899.3011068269216</v>
          </cell>
        </row>
        <row r="60">
          <cell r="B60" t="str">
            <v xml:space="preserve">   Group Distribution</v>
          </cell>
          <cell r="D60">
            <v>492.0748000000001</v>
          </cell>
          <cell r="E60">
            <v>556.59449999999993</v>
          </cell>
          <cell r="F60">
            <v>290.39009999999996</v>
          </cell>
          <cell r="G60">
            <v>297.05833150000001</v>
          </cell>
          <cell r="H60">
            <v>587.44843149999997</v>
          </cell>
          <cell r="I60">
            <v>245.08768127400003</v>
          </cell>
          <cell r="J60">
            <v>210.02731281000004</v>
          </cell>
          <cell r="K60">
            <v>455.11499408400005</v>
          </cell>
          <cell r="L60">
            <v>170.6</v>
          </cell>
          <cell r="M60">
            <v>180.2</v>
          </cell>
          <cell r="N60">
            <v>350.8</v>
          </cell>
          <cell r="O60">
            <v>141.18199999999996</v>
          </cell>
          <cell r="P60">
            <v>156.77003086724213</v>
          </cell>
          <cell r="Q60">
            <v>297.95203086724212</v>
          </cell>
          <cell r="R60">
            <v>149.8870146508753</v>
          </cell>
          <cell r="S60">
            <v>152.99195515715709</v>
          </cell>
          <cell r="T60">
            <v>302.87896980803242</v>
          </cell>
          <cell r="U60">
            <v>153.3453025111167</v>
          </cell>
          <cell r="V60">
            <v>160.67139266695992</v>
          </cell>
          <cell r="W60">
            <v>314.01669517807642</v>
          </cell>
          <cell r="X60">
            <v>160.23379043185977</v>
          </cell>
          <cell r="Y60">
            <v>165.50846648299242</v>
          </cell>
          <cell r="Z60">
            <v>325.74225691485231</v>
          </cell>
          <cell r="AA60">
            <v>169.57526764852349</v>
          </cell>
          <cell r="AB60">
            <v>175.05571005694222</v>
          </cell>
          <cell r="AC60">
            <v>344.63097770546591</v>
          </cell>
          <cell r="AD60">
            <v>178.08980501400765</v>
          </cell>
          <cell r="AE60">
            <v>182.4322452847689</v>
          </cell>
          <cell r="AF60">
            <v>360.52205029877661</v>
          </cell>
          <cell r="AG60">
            <v>189.20567770680299</v>
          </cell>
          <cell r="AH60">
            <v>195.2047619286451</v>
          </cell>
          <cell r="AI60">
            <v>384.41043963544826</v>
          </cell>
          <cell r="AJ60">
            <v>202.29435858421164</v>
          </cell>
          <cell r="AK60">
            <v>208.62989599175646</v>
          </cell>
          <cell r="AL60">
            <v>410.92425457596801</v>
          </cell>
        </row>
        <row r="61">
          <cell r="B61" t="str">
            <v>AFFO Payout Ratio</v>
          </cell>
          <cell r="D61">
            <v>2.617758900623274</v>
          </cell>
          <cell r="E61">
            <v>1.1050066467819093</v>
          </cell>
          <cell r="F61">
            <v>1.0529559919009546</v>
          </cell>
          <cell r="G61">
            <v>1.0377453121986939</v>
          </cell>
          <cell r="H61">
            <v>1.0108357885176869</v>
          </cell>
          <cell r="I61">
            <v>1.1952511434900164</v>
          </cell>
          <cell r="J61">
            <v>1.0330458534505145</v>
          </cell>
          <cell r="K61">
            <v>1.1144945491331175</v>
          </cell>
          <cell r="L61">
            <v>1.2237601716994342</v>
          </cell>
          <cell r="M61">
            <v>1.1877552775237536</v>
          </cell>
          <cell r="N61">
            <v>1.2049965964959344</v>
          </cell>
          <cell r="O61">
            <v>0.84651880518663214</v>
          </cell>
          <cell r="P61">
            <v>0.95359978295938552</v>
          </cell>
          <cell r="Q61">
            <v>0.89967430362525858</v>
          </cell>
          <cell r="R61">
            <v>0.94852655329311741</v>
          </cell>
          <cell r="S61">
            <v>0.94599463852091592</v>
          </cell>
          <cell r="T61">
            <v>0.94724592636637139</v>
          </cell>
          <cell r="U61">
            <v>0.94597011671185438</v>
          </cell>
          <cell r="V61">
            <v>0.93913790232831695</v>
          </cell>
          <cell r="W61">
            <v>0.94246193761828023</v>
          </cell>
          <cell r="X61">
            <v>0.93993985375777289</v>
          </cell>
          <cell r="Y61">
            <v>0.93567408097364435</v>
          </cell>
          <cell r="Z61">
            <v>0.93776758053789022</v>
          </cell>
          <cell r="AA61">
            <v>0.9322174106151494</v>
          </cell>
          <cell r="AB61">
            <v>0.92830542583567921</v>
          </cell>
          <cell r="AC61">
            <v>0.93022620180586901</v>
          </cell>
          <cell r="AD61">
            <v>0.92609200971371808</v>
          </cell>
          <cell r="AE61">
            <v>0.92347922687845474</v>
          </cell>
          <cell r="AF61">
            <v>0.92476803781992645</v>
          </cell>
          <cell r="AG61">
            <v>0.90723945599608602</v>
          </cell>
          <cell r="AH61">
            <v>0.90423858770615106</v>
          </cell>
          <cell r="AI61">
            <v>0.90571312124594394</v>
          </cell>
          <cell r="AJ61">
            <v>0.90035249588542499</v>
          </cell>
          <cell r="AK61">
            <v>0.89760612594858913</v>
          </cell>
          <cell r="AL61">
            <v>0.89895604247810657</v>
          </cell>
        </row>
        <row r="62">
          <cell r="B62" t="str">
            <v>Cash assets</v>
          </cell>
          <cell r="D62">
            <v>93.7</v>
          </cell>
          <cell r="E62">
            <v>58.8</v>
          </cell>
          <cell r="F62">
            <v>153.30000000000001</v>
          </cell>
          <cell r="G62">
            <v>350.3</v>
          </cell>
          <cell r="H62">
            <v>350.3</v>
          </cell>
          <cell r="I62">
            <v>426.2</v>
          </cell>
          <cell r="J62">
            <v>961.9</v>
          </cell>
          <cell r="K62">
            <v>961.9</v>
          </cell>
          <cell r="L62">
            <v>70.2</v>
          </cell>
          <cell r="M62">
            <v>40.299999999999997</v>
          </cell>
          <cell r="N62">
            <v>40.299999999999997</v>
          </cell>
          <cell r="O62">
            <v>39.299999999999997</v>
          </cell>
          <cell r="P62">
            <v>56.790586038749368</v>
          </cell>
          <cell r="Q62">
            <v>56.790586038749368</v>
          </cell>
          <cell r="R62">
            <v>52.178672818434634</v>
          </cell>
          <cell r="S62">
            <v>58.229908804997237</v>
          </cell>
          <cell r="T62">
            <v>58.229908804997237</v>
          </cell>
          <cell r="U62">
            <v>61.516425697847453</v>
          </cell>
          <cell r="V62">
            <v>73.505323267180714</v>
          </cell>
          <cell r="W62">
            <v>73.505323267180714</v>
          </cell>
          <cell r="X62">
            <v>77.518819583749476</v>
          </cell>
          <cell r="Y62">
            <v>88.460529496103092</v>
          </cell>
          <cell r="Z62">
            <v>88.460529496103092</v>
          </cell>
          <cell r="AA62">
            <v>99.10790394199968</v>
          </cell>
          <cell r="AB62">
            <v>112.43544041546456</v>
          </cell>
          <cell r="AC62">
            <v>112.43544041546456</v>
          </cell>
          <cell r="AD62">
            <v>123.97113263066812</v>
          </cell>
          <cell r="AE62">
            <v>137.79632716135518</v>
          </cell>
          <cell r="AF62">
            <v>137.79632716135518</v>
          </cell>
          <cell r="AG62">
            <v>158.24259741604692</v>
          </cell>
          <cell r="AH62">
            <v>179.31978458160094</v>
          </cell>
          <cell r="AI62">
            <v>179.31978458160094</v>
          </cell>
          <cell r="AJ62">
            <v>203.16498444256047</v>
          </cell>
          <cell r="AK62">
            <v>227.7447159134411</v>
          </cell>
          <cell r="AL62">
            <v>227.7447159134411</v>
          </cell>
        </row>
        <row r="63">
          <cell r="B63" t="str">
            <v>Total Cash NOI</v>
          </cell>
          <cell r="D63">
            <v>0</v>
          </cell>
          <cell r="E63">
            <v>0</v>
          </cell>
          <cell r="F63">
            <v>593.79999999999995</v>
          </cell>
          <cell r="G63">
            <v>467.6</v>
          </cell>
          <cell r="H63">
            <v>530.70000000000005</v>
          </cell>
          <cell r="I63">
            <v>557.33982427722594</v>
          </cell>
          <cell r="J63">
            <v>662.7071611894371</v>
          </cell>
          <cell r="K63">
            <v>610.02349273333152</v>
          </cell>
          <cell r="L63">
            <v>615.80560000000014</v>
          </cell>
          <cell r="M63">
            <v>620.00520000000006</v>
          </cell>
          <cell r="N63">
            <v>617.90539999999999</v>
          </cell>
          <cell r="O63">
            <v>589.62495472506862</v>
          </cell>
          <cell r="P63">
            <v>606.88686712514311</v>
          </cell>
          <cell r="Q63">
            <v>598.25591092510592</v>
          </cell>
          <cell r="R63">
            <v>594.30843589462359</v>
          </cell>
          <cell r="S63">
            <v>612.14717695039587</v>
          </cell>
          <cell r="T63">
            <v>612.68655642250974</v>
          </cell>
          <cell r="U63">
            <v>625.58724343192466</v>
          </cell>
          <cell r="V63">
            <v>639.60224385099843</v>
          </cell>
          <cell r="W63">
            <v>652.37189989146145</v>
          </cell>
          <cell r="X63">
            <v>653.96244933031369</v>
          </cell>
          <cell r="Y63">
            <v>669.97162174091739</v>
          </cell>
          <cell r="Z63">
            <v>692.08021177040803</v>
          </cell>
          <cell r="AA63">
            <v>684.51739100035991</v>
          </cell>
          <cell r="AB63">
            <v>702.01725837540141</v>
          </cell>
          <cell r="AC63">
            <v>735.05831145237767</v>
          </cell>
          <cell r="AD63">
            <v>716.43529393402503</v>
          </cell>
          <cell r="AE63">
            <v>734.38580342147236</v>
          </cell>
          <cell r="AF63">
            <v>779.51696981704094</v>
          </cell>
          <cell r="AG63">
            <v>749.26092733945927</v>
          </cell>
          <cell r="AH63">
            <v>767.67506490194262</v>
          </cell>
          <cell r="AI63">
            <v>825.19773749415822</v>
          </cell>
          <cell r="AJ63">
            <v>783.02045145309933</v>
          </cell>
          <cell r="AK63">
            <v>801.91158244354938</v>
          </cell>
          <cell r="AL63">
            <v>872.13466156180084</v>
          </cell>
        </row>
        <row r="64">
          <cell r="B64" t="str">
            <v>DCF</v>
          </cell>
          <cell r="C64">
            <v>3.0566127566125183</v>
          </cell>
          <cell r="D64">
            <v>0</v>
          </cell>
        </row>
        <row r="65">
          <cell r="B65" t="str">
            <v>Dividends/Unit (¢)</v>
          </cell>
          <cell r="D65">
            <v>122</v>
          </cell>
          <cell r="E65">
            <v>137.5</v>
          </cell>
          <cell r="F65">
            <v>71.5</v>
          </cell>
          <cell r="G65">
            <v>72.25</v>
          </cell>
          <cell r="H65">
            <v>144.5</v>
          </cell>
          <cell r="I65">
            <v>57</v>
          </cell>
          <cell r="J65">
            <v>31.5</v>
          </cell>
          <cell r="K65">
            <v>88.5</v>
          </cell>
          <cell r="L65">
            <v>12.5</v>
          </cell>
          <cell r="M65">
            <v>10</v>
          </cell>
          <cell r="N65">
            <v>22.5</v>
          </cell>
          <cell r="O65">
            <v>7.6087690875862242</v>
          </cell>
          <cell r="P65">
            <v>8.4488032497956187</v>
          </cell>
          <cell r="Q65">
            <v>16.057572337381842</v>
          </cell>
          <cell r="R65">
            <v>8.0779113747231506</v>
          </cell>
          <cell r="S65">
            <v>8.2452469794248202</v>
          </cell>
          <cell r="T65">
            <v>16.323158354147971</v>
          </cell>
          <cell r="U65">
            <v>8.2642900474079077</v>
          </cell>
          <cell r="V65">
            <v>8.6591174922000889</v>
          </cell>
          <cell r="W65">
            <v>16.923407539607997</v>
          </cell>
          <cell r="X65">
            <v>8.6355336475237934</v>
          </cell>
          <cell r="Y65">
            <v>8.9198035408876031</v>
          </cell>
          <cell r="Z65">
            <v>17.555337188411396</v>
          </cell>
          <cell r="AA65">
            <v>9.1389770261311369</v>
          </cell>
          <cell r="AB65">
            <v>9.4343363551070194</v>
          </cell>
          <cell r="AC65">
            <v>18.573313381238158</v>
          </cell>
          <cell r="AD65">
            <v>9.5978538567582259</v>
          </cell>
          <cell r="AE65">
            <v>9.8318824531576094</v>
          </cell>
          <cell r="AF65">
            <v>19.429736309915835</v>
          </cell>
          <cell r="AG65">
            <v>10.196925328521518</v>
          </cell>
          <cell r="AH65">
            <v>10.520235995468994</v>
          </cell>
          <cell r="AI65">
            <v>20.71716132399051</v>
          </cell>
          <cell r="AJ65">
            <v>10.902318016380509</v>
          </cell>
          <cell r="AK65">
            <v>11.24376126820987</v>
          </cell>
          <cell r="AL65">
            <v>22.146079284590378</v>
          </cell>
        </row>
        <row r="66">
          <cell r="B66" t="str">
            <v>Property Wght Avg. Cap Rate (excl. Seniors/Hotels)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5.8389941059427498E-2</v>
          </cell>
          <cell r="I66">
            <v>6.1119486132501386E-2</v>
          </cell>
          <cell r="J66">
            <v>6.1723205422880886E-2</v>
          </cell>
          <cell r="K66">
            <v>6.1552571756343405E-2</v>
          </cell>
          <cell r="L66">
            <v>7.1329893888918861E-2</v>
          </cell>
          <cell r="M66">
            <v>7.1635308517020851E-2</v>
          </cell>
          <cell r="N66">
            <v>7.1479869756124539E-2</v>
          </cell>
          <cell r="O66">
            <v>7.1499288949751327E-2</v>
          </cell>
          <cell r="P66">
            <v>7.1546100844435037E-2</v>
          </cell>
          <cell r="Q66">
            <v>6.9942882008731777E-2</v>
          </cell>
          <cell r="R66">
            <v>6.9936100154263214E-2</v>
          </cell>
          <cell r="S66">
            <v>6.9910602863058779E-2</v>
          </cell>
          <cell r="T66">
            <v>6.9900419493080304E-2</v>
          </cell>
          <cell r="U66">
            <v>6.9893143988035172E-2</v>
          </cell>
          <cell r="V66">
            <v>6.9873900126672148E-2</v>
          </cell>
          <cell r="W66">
            <v>6.9838972662557092E-2</v>
          </cell>
          <cell r="X66">
            <v>6.9854829879027594E-2</v>
          </cell>
          <cell r="Y66">
            <v>6.9840262209374795E-2</v>
          </cell>
          <cell r="Z66">
            <v>6.9785549260029042E-2</v>
          </cell>
          <cell r="AA66">
            <v>6.9822743478576144E-2</v>
          </cell>
          <cell r="AB66">
            <v>6.9799887015960752E-2</v>
          </cell>
          <cell r="AC66">
            <v>6.9731549459715436E-2</v>
          </cell>
          <cell r="AD66">
            <v>6.9784043525335446E-2</v>
          </cell>
          <cell r="AE66">
            <v>6.9762013814012105E-2</v>
          </cell>
          <cell r="AF66">
            <v>6.9677648990620622E-2</v>
          </cell>
          <cell r="AG66">
            <v>6.9746760767578048E-2</v>
          </cell>
          <cell r="AH66">
            <v>6.972567867902979E-2</v>
          </cell>
          <cell r="AI66">
            <v>6.9627430758250064E-2</v>
          </cell>
          <cell r="AJ66">
            <v>6.9710978288916189E-2</v>
          </cell>
          <cell r="AK66">
            <v>6.9690768874983877E-2</v>
          </cell>
          <cell r="AL66">
            <v>6.958044939068618E-2</v>
          </cell>
        </row>
        <row r="67">
          <cell r="B67" t="str">
            <v>Normalised EPS (¢)</v>
          </cell>
          <cell r="D67">
            <v>140.52660286606832</v>
          </cell>
          <cell r="E67">
            <v>137.53877973112719</v>
          </cell>
          <cell r="F67">
            <v>73.053626828187333</v>
          </cell>
          <cell r="G67">
            <v>75.008500476950942</v>
          </cell>
          <cell r="H67">
            <v>147.17134772569071</v>
          </cell>
          <cell r="I67">
            <v>54.421339867704532</v>
          </cell>
          <cell r="J67">
            <v>35.215419847279243</v>
          </cell>
          <cell r="K67">
            <v>109.48666448689806</v>
          </cell>
          <cell r="L67">
            <v>15.762144982168266</v>
          </cell>
          <cell r="M67">
            <v>9.7110559448141895</v>
          </cell>
          <cell r="N67">
            <v>23.82990285986007</v>
          </cell>
          <cell r="O67">
            <v>10.422971352857841</v>
          </cell>
          <cell r="P67">
            <v>10.30341859731173</v>
          </cell>
          <cell r="Q67">
            <v>20.726459263140484</v>
          </cell>
          <cell r="R67">
            <v>10.097389218403936</v>
          </cell>
          <cell r="S67">
            <v>10.306558724281025</v>
          </cell>
          <cell r="T67">
            <v>20.403947942684962</v>
          </cell>
          <cell r="U67">
            <v>10.330362559259884</v>
          </cell>
          <cell r="V67">
            <v>10.823896865250109</v>
          </cell>
          <cell r="W67">
            <v>21.154259424509981</v>
          </cell>
          <cell r="X67">
            <v>10.79441705940474</v>
          </cell>
          <cell r="Y67">
            <v>11.149754426109505</v>
          </cell>
          <cell r="Z67">
            <v>21.94417148551425</v>
          </cell>
          <cell r="AA67">
            <v>11.423721282663919</v>
          </cell>
          <cell r="AB67">
            <v>11.792920443883773</v>
          </cell>
          <cell r="AC67">
            <v>23.216641726547707</v>
          </cell>
          <cell r="AD67">
            <v>11.997317320947783</v>
          </cell>
          <cell r="AE67">
            <v>12.28985306644701</v>
          </cell>
          <cell r="AF67">
            <v>24.287170387394795</v>
          </cell>
          <cell r="AG67">
            <v>12.746156660651895</v>
          </cell>
          <cell r="AH67">
            <v>13.150294994336239</v>
          </cell>
          <cell r="AI67">
            <v>25.896451654988144</v>
          </cell>
          <cell r="AJ67">
            <v>13.627897520475631</v>
          </cell>
          <cell r="AK67">
            <v>14.054701585262338</v>
          </cell>
          <cell r="AL67">
            <v>27.682599105737967</v>
          </cell>
        </row>
        <row r="68">
          <cell r="B68" t="str">
            <v>NOI/EBIT of "Other" Businesses</v>
          </cell>
          <cell r="D68">
            <v>0</v>
          </cell>
          <cell r="E68">
            <v>0</v>
          </cell>
          <cell r="F68">
            <v>151.19999999999999</v>
          </cell>
          <cell r="G68">
            <v>271.8</v>
          </cell>
          <cell r="H68">
            <v>211.5</v>
          </cell>
          <cell r="I68">
            <v>84.88</v>
          </cell>
          <cell r="J68">
            <v>13.890770342755374</v>
          </cell>
          <cell r="K68">
            <v>49.385385171377678</v>
          </cell>
          <cell r="L68">
            <v>-11.6</v>
          </cell>
          <cell r="M68">
            <v>-84</v>
          </cell>
          <cell r="N68">
            <v>-47.8</v>
          </cell>
          <cell r="O68">
            <v>-18.195685131729885</v>
          </cell>
          <cell r="P68">
            <v>-19.795635702767875</v>
          </cell>
          <cell r="Q68">
            <v>-18.995660417248875</v>
          </cell>
          <cell r="R68">
            <v>-16.205258057757199</v>
          </cell>
          <cell r="S68">
            <v>-15.601325720179222</v>
          </cell>
          <cell r="T68">
            <v>-15.903291888968223</v>
          </cell>
          <cell r="U68">
            <v>-17.403468178831233</v>
          </cell>
          <cell r="V68">
            <v>-16.153117525856182</v>
          </cell>
          <cell r="W68">
            <v>-16.778292852343718</v>
          </cell>
          <cell r="X68">
            <v>-19.013602924023161</v>
          </cell>
          <cell r="Y68">
            <v>-18.729739081996023</v>
          </cell>
          <cell r="Z68">
            <v>-18.871671003009585</v>
          </cell>
          <cell r="AA68">
            <v>-19.043629297057556</v>
          </cell>
          <cell r="AB68">
            <v>-19.238010407604847</v>
          </cell>
          <cell r="AC68">
            <v>-19.140819852331198</v>
          </cell>
          <cell r="AD68">
            <v>-19.437508093206965</v>
          </cell>
          <cell r="AE68">
            <v>-19.642198136012475</v>
          </cell>
          <cell r="AF68">
            <v>-19.539853114609727</v>
          </cell>
          <cell r="AG68">
            <v>-19.852157436972988</v>
          </cell>
          <cell r="AH68">
            <v>-20.067464032304592</v>
          </cell>
          <cell r="AI68">
            <v>-19.959810734638772</v>
          </cell>
          <cell r="AJ68">
            <v>-20.288197110190445</v>
          </cell>
          <cell r="AK68">
            <v>-20.514437027728491</v>
          </cell>
          <cell r="AL68">
            <v>-20.401317068959479</v>
          </cell>
        </row>
        <row r="69">
          <cell r="B69" t="str">
            <v xml:space="preserve">   FFO</v>
          </cell>
          <cell r="D69">
            <v>201.7</v>
          </cell>
          <cell r="E69">
            <v>558.6</v>
          </cell>
          <cell r="F69">
            <v>296.7</v>
          </cell>
          <cell r="G69">
            <v>308.39999999999998</v>
          </cell>
          <cell r="H69">
            <v>605.1</v>
          </cell>
          <cell r="I69">
            <v>234</v>
          </cell>
          <cell r="J69">
            <v>234.8</v>
          </cell>
          <cell r="K69">
            <v>468.8</v>
          </cell>
          <cell r="L69">
            <v>170.6</v>
          </cell>
          <cell r="M69">
            <v>180.2</v>
          </cell>
          <cell r="N69">
            <v>350.8</v>
          </cell>
          <cell r="O69">
            <v>193.4</v>
          </cell>
          <cell r="P69">
            <v>191.18296447224651</v>
          </cell>
          <cell r="Q69">
            <v>384.58296447224637</v>
          </cell>
          <cell r="R69">
            <v>187.35876831359411</v>
          </cell>
          <cell r="S69">
            <v>191.23994394644637</v>
          </cell>
          <cell r="T69">
            <v>378.59871226004049</v>
          </cell>
          <cell r="U69">
            <v>191.68162813889586</v>
          </cell>
          <cell r="V69">
            <v>200.83924083369988</v>
          </cell>
          <cell r="W69">
            <v>392.52086897259551</v>
          </cell>
          <cell r="X69">
            <v>200.2922380398247</v>
          </cell>
          <cell r="Y69">
            <v>206.88558310374052</v>
          </cell>
          <cell r="Z69">
            <v>407.17782114356532</v>
          </cell>
          <cell r="AA69">
            <v>211.96908456065435</v>
          </cell>
          <cell r="AB69">
            <v>218.81963757117776</v>
          </cell>
          <cell r="AC69">
            <v>430.78872213183234</v>
          </cell>
          <cell r="AD69">
            <v>222.61225626750957</v>
          </cell>
          <cell r="AE69">
            <v>228.04030660596109</v>
          </cell>
          <cell r="AF69">
            <v>450.65256287347074</v>
          </cell>
          <cell r="AG69">
            <v>236.50709713350372</v>
          </cell>
          <cell r="AH69">
            <v>244.00595241080634</v>
          </cell>
          <cell r="AI69">
            <v>480.51304954431026</v>
          </cell>
          <cell r="AJ69">
            <v>252.86794823026452</v>
          </cell>
          <cell r="AK69">
            <v>260.78736998969555</v>
          </cell>
          <cell r="AL69">
            <v>513.65531821996001</v>
          </cell>
        </row>
        <row r="70">
          <cell r="B70" t="str">
            <v>Other Multiple</v>
          </cell>
          <cell r="D70">
            <v>0</v>
          </cell>
          <cell r="E70">
            <v>0</v>
          </cell>
          <cell r="F70">
            <v>-1.8181249680185427</v>
          </cell>
          <cell r="G70">
            <v>4.7736814854558514</v>
          </cell>
          <cell r="H70">
            <v>2.3734252748264808</v>
          </cell>
          <cell r="I70">
            <v>-3.4272265166124529</v>
          </cell>
          <cell r="J70">
            <v>-60.409144940445685</v>
          </cell>
          <cell r="K70">
            <v>-11.317407318621166</v>
          </cell>
          <cell r="L70">
            <v>8.5081109465930229</v>
          </cell>
          <cell r="M70">
            <v>10.607768519960462</v>
          </cell>
          <cell r="N70">
            <v>10.25639194392963</v>
          </cell>
          <cell r="O70">
            <v>18.71946764214713</v>
          </cell>
          <cell r="P70">
            <v>19.821403720396152</v>
          </cell>
          <cell r="Q70">
            <v>18.434561034748601</v>
          </cell>
          <cell r="R70">
            <v>23.259695791523722</v>
          </cell>
          <cell r="S70">
            <v>24.261609285716858</v>
          </cell>
          <cell r="T70">
            <v>23.779123181476933</v>
          </cell>
          <cell r="U70">
            <v>21.700945492828378</v>
          </cell>
          <cell r="V70">
            <v>23.478569597819167</v>
          </cell>
          <cell r="W70">
            <v>22.583146085840568</v>
          </cell>
          <cell r="X70">
            <v>20.115833869096985</v>
          </cell>
          <cell r="Y70">
            <v>20.597575840513116</v>
          </cell>
          <cell r="Z70">
            <v>20.404105854605266</v>
          </cell>
          <cell r="AA70">
            <v>20.584679348232594</v>
          </cell>
          <cell r="AB70">
            <v>20.627397919994614</v>
          </cell>
          <cell r="AC70">
            <v>20.660892164637755</v>
          </cell>
          <cell r="AD70">
            <v>20.66406647168958</v>
          </cell>
          <cell r="AE70">
            <v>20.703706593696371</v>
          </cell>
          <cell r="AF70">
            <v>20.750432487603014</v>
          </cell>
          <cell r="AG70">
            <v>20.737471301759172</v>
          </cell>
          <cell r="AH70">
            <v>20.774015871421803</v>
          </cell>
          <cell r="AI70">
            <v>20.832740118616986</v>
          </cell>
          <cell r="AJ70">
            <v>20.804916792163798</v>
          </cell>
          <cell r="AK70">
            <v>20.838426178449065</v>
          </cell>
          <cell r="AL70">
            <v>20.90805909899748</v>
          </cell>
        </row>
        <row r="71">
          <cell r="B71" t="str">
            <v>% Floating (Incl. Revolver)</v>
          </cell>
          <cell r="D71" t="e">
            <v>#N/A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</row>
        <row r="72">
          <cell r="B72" t="str">
            <v xml:space="preserve">     Total Assets</v>
          </cell>
          <cell r="D72">
            <v>10431.700000000001</v>
          </cell>
          <cell r="E72">
            <v>12001.9</v>
          </cell>
          <cell r="F72">
            <v>11953.2</v>
          </cell>
          <cell r="G72">
            <v>13966.9</v>
          </cell>
          <cell r="H72">
            <v>13966.9</v>
          </cell>
          <cell r="I72">
            <v>13870.3</v>
          </cell>
          <cell r="J72">
            <v>13029.8</v>
          </cell>
          <cell r="K72">
            <v>13029.8</v>
          </cell>
          <cell r="L72">
            <v>9660.2000000000007</v>
          </cell>
          <cell r="M72">
            <v>9163.4</v>
          </cell>
          <cell r="N72">
            <v>9163.4</v>
          </cell>
          <cell r="O72">
            <v>9476.9</v>
          </cell>
          <cell r="P72">
            <v>9706.7687435881271</v>
          </cell>
          <cell r="Q72">
            <v>9706.7687435881271</v>
          </cell>
          <cell r="R72">
            <v>9748.7328552386643</v>
          </cell>
          <cell r="S72">
            <v>9932.499083945675</v>
          </cell>
          <cell r="T72">
            <v>9932.499083945675</v>
          </cell>
          <cell r="U72">
            <v>10005.170306278194</v>
          </cell>
          <cell r="V72">
            <v>10237.557683173589</v>
          </cell>
          <cell r="W72">
            <v>10237.557683173589</v>
          </cell>
          <cell r="X72">
            <v>10450.533550275299</v>
          </cell>
          <cell r="Y72">
            <v>10697.358255275934</v>
          </cell>
          <cell r="Z72">
            <v>10697.358255275934</v>
          </cell>
          <cell r="AA72">
            <v>10945.502750219737</v>
          </cell>
          <cell r="AB72">
            <v>11198.486827210294</v>
          </cell>
          <cell r="AC72">
            <v>11198.486827210294</v>
          </cell>
          <cell r="AD72">
            <v>11451.74187456093</v>
          </cell>
          <cell r="AE72">
            <v>11709.482463689685</v>
          </cell>
          <cell r="AF72">
            <v>11709.482463689685</v>
          </cell>
          <cell r="AG72">
            <v>11818.341402144908</v>
          </cell>
          <cell r="AH72">
            <v>12085.032035950815</v>
          </cell>
          <cell r="AI72">
            <v>12085.032035950815</v>
          </cell>
          <cell r="AJ72">
            <v>12356.593443279469</v>
          </cell>
          <cell r="AK72">
            <v>12631.127390472919</v>
          </cell>
          <cell r="AL72">
            <v>12631.127390472919</v>
          </cell>
        </row>
        <row r="73">
          <cell r="B73" t="str">
            <v>ML NAV Estimate</v>
          </cell>
          <cell r="D73">
            <v>0</v>
          </cell>
          <cell r="E73">
            <v>20.837663343636311</v>
          </cell>
          <cell r="F73">
            <v>16.977749860562799</v>
          </cell>
          <cell r="G73">
            <v>12.828725367190957</v>
          </cell>
          <cell r="H73">
            <v>13.908665402529676</v>
          </cell>
          <cell r="I73">
            <v>10.755897934943542</v>
          </cell>
          <cell r="J73">
            <v>7.5398045442838653</v>
          </cell>
          <cell r="K73">
            <v>10.72528700158127</v>
          </cell>
          <cell r="L73">
            <v>6.1324617595895585</v>
          </cell>
          <cell r="M73">
            <v>3.0889028541362404</v>
          </cell>
          <cell r="N73">
            <v>4.1934747545801967</v>
          </cell>
          <cell r="O73">
            <v>3.1188225766487689</v>
          </cell>
          <cell r="P73">
            <v>3.256705592968633</v>
          </cell>
          <cell r="Q73">
            <v>3.2236262024657156</v>
          </cell>
          <cell r="R73">
            <v>3.2505602176831765</v>
          </cell>
          <cell r="S73">
            <v>3.2509046187489767</v>
          </cell>
          <cell r="T73">
            <v>3.259251881195377</v>
          </cell>
          <cell r="U73">
            <v>3.2381546522537574</v>
          </cell>
          <cell r="V73">
            <v>3.3226864689371802</v>
          </cell>
          <cell r="W73">
            <v>3.4211550138488986</v>
          </cell>
          <cell r="X73">
            <v>3.3557970946616824</v>
          </cell>
          <cell r="Y73">
            <v>3.4087441017514362</v>
          </cell>
          <cell r="Z73">
            <v>3.5875998095562993</v>
          </cell>
          <cell r="AA73">
            <v>3.4414078762612972</v>
          </cell>
          <cell r="AB73">
            <v>3.4961677431318137</v>
          </cell>
          <cell r="AC73">
            <v>3.7579535225386627</v>
          </cell>
          <cell r="AD73">
            <v>3.5256781891996929</v>
          </cell>
          <cell r="AE73">
            <v>3.5840639234523084</v>
          </cell>
          <cell r="AF73">
            <v>3.9410093785001461</v>
          </cell>
          <cell r="AG73">
            <v>3.6217605324232132</v>
          </cell>
          <cell r="AH73">
            <v>3.6874944151617743</v>
          </cell>
          <cell r="AI73">
            <v>4.1420115736129262</v>
          </cell>
          <cell r="AJ73">
            <v>3.7305041613832963</v>
          </cell>
          <cell r="AK73">
            <v>3.8016648457222799</v>
          </cell>
          <cell r="AL73">
            <v>4.3562258764533253</v>
          </cell>
        </row>
        <row r="74">
          <cell r="B74" t="str">
            <v>Net assets</v>
          </cell>
          <cell r="D74">
            <v>6373.3</v>
          </cell>
          <cell r="E74">
            <v>7442.1</v>
          </cell>
          <cell r="F74">
            <v>7895.3</v>
          </cell>
          <cell r="G74">
            <v>8295.4</v>
          </cell>
          <cell r="H74">
            <v>8295.4</v>
          </cell>
          <cell r="I74">
            <v>8150.3</v>
          </cell>
          <cell r="J74">
            <v>6812.3</v>
          </cell>
          <cell r="K74">
            <v>6812.3</v>
          </cell>
          <cell r="L74">
            <v>6887.3</v>
          </cell>
          <cell r="M74">
            <v>6668.4</v>
          </cell>
          <cell r="N74">
            <v>6668.4</v>
          </cell>
          <cell r="O74">
            <v>6656.7</v>
          </cell>
          <cell r="P74">
            <v>6743.3942978055811</v>
          </cell>
          <cell r="Q74">
            <v>6743.3942978055811</v>
          </cell>
          <cell r="R74">
            <v>6811.2961865648458</v>
          </cell>
          <cell r="S74">
            <v>6889.9251923805832</v>
          </cell>
          <cell r="T74">
            <v>6889.9251923805832</v>
          </cell>
          <cell r="U74">
            <v>6968.4966918218297</v>
          </cell>
          <cell r="V74">
            <v>7058.208787482582</v>
          </cell>
          <cell r="W74">
            <v>7058.208787482582</v>
          </cell>
          <cell r="X74">
            <v>7141.0721525213339</v>
          </cell>
          <cell r="Y74">
            <v>7232.7082346156431</v>
          </cell>
          <cell r="Z74">
            <v>7232.7082346156431</v>
          </cell>
          <cell r="AA74">
            <v>7325.7021670748036</v>
          </cell>
          <cell r="AB74">
            <v>7423.4589940497735</v>
          </cell>
          <cell r="AC74">
            <v>7423.4589940497735</v>
          </cell>
          <cell r="AD74">
            <v>7521.5251351502957</v>
          </cell>
          <cell r="AE74">
            <v>7623.9995595916662</v>
          </cell>
          <cell r="AF74">
            <v>7623.9995595916662</v>
          </cell>
          <cell r="AG74">
            <v>7732.6309625781405</v>
          </cell>
          <cell r="AH74">
            <v>7844.0162273215474</v>
          </cell>
          <cell r="AI74">
            <v>7844.0162273215474</v>
          </cell>
          <cell r="AJ74">
            <v>7960.3111823845766</v>
          </cell>
          <cell r="AK74">
            <v>8079.5002642803702</v>
          </cell>
          <cell r="AL74">
            <v>8079.5002642803702</v>
          </cell>
        </row>
        <row r="75">
          <cell r="B75" t="str">
            <v>Total Debt</v>
          </cell>
          <cell r="D75">
            <v>3628.2</v>
          </cell>
          <cell r="E75">
            <v>4291.7</v>
          </cell>
          <cell r="F75">
            <v>3786.2</v>
          </cell>
          <cell r="G75">
            <v>4995</v>
          </cell>
          <cell r="H75">
            <v>4995</v>
          </cell>
          <cell r="I75">
            <v>5156.8</v>
          </cell>
          <cell r="J75">
            <v>5013.3</v>
          </cell>
          <cell r="K75">
            <v>5013.3</v>
          </cell>
          <cell r="L75">
            <v>2039</v>
          </cell>
          <cell r="M75">
            <v>2183.6999999999998</v>
          </cell>
          <cell r="N75">
            <v>2183.6999999999998</v>
          </cell>
          <cell r="O75">
            <v>2434.9</v>
          </cell>
          <cell r="P75">
            <v>2578.0744457825458</v>
          </cell>
          <cell r="Q75">
            <v>2578.0744457825458</v>
          </cell>
          <cell r="R75">
            <v>2552.1366686738188</v>
          </cell>
          <cell r="S75">
            <v>2657.2738915650916</v>
          </cell>
          <cell r="T75">
            <v>2657.2738915650916</v>
          </cell>
          <cell r="U75">
            <v>2651.373614456365</v>
          </cell>
          <cell r="V75">
            <v>2794.0488956910071</v>
          </cell>
          <cell r="W75">
            <v>2794.0488956910071</v>
          </cell>
          <cell r="X75">
            <v>2924.161397753965</v>
          </cell>
          <cell r="Y75">
            <v>3079.3500206602916</v>
          </cell>
          <cell r="Z75">
            <v>3079.3500206602916</v>
          </cell>
          <cell r="AA75">
            <v>3234.5005831449339</v>
          </cell>
          <cell r="AB75">
            <v>3389.7278331605207</v>
          </cell>
          <cell r="AC75">
            <v>3389.7278331605207</v>
          </cell>
          <cell r="AD75">
            <v>3544.9167394106348</v>
          </cell>
          <cell r="AE75">
            <v>3700.1829040980188</v>
          </cell>
          <cell r="AF75">
            <v>3700.1829040980188</v>
          </cell>
          <cell r="AG75">
            <v>3700.4104395667678</v>
          </cell>
          <cell r="AH75">
            <v>3855.7158086292684</v>
          </cell>
          <cell r="AI75">
            <v>3855.7158086292684</v>
          </cell>
          <cell r="AJ75">
            <v>4010.9822608948934</v>
          </cell>
          <cell r="AK75">
            <v>4166.3271261925493</v>
          </cell>
          <cell r="AL75">
            <v>4166.3271261925493</v>
          </cell>
        </row>
        <row r="76">
          <cell r="B76" t="str">
            <v>Net Debt</v>
          </cell>
          <cell r="D76">
            <v>3534.5</v>
          </cell>
          <cell r="E76">
            <v>4232.8999999999996</v>
          </cell>
          <cell r="F76">
            <v>3632.9</v>
          </cell>
          <cell r="G76">
            <v>4644.7</v>
          </cell>
          <cell r="H76">
            <v>4644.7</v>
          </cell>
          <cell r="I76">
            <v>4730.6000000000004</v>
          </cell>
          <cell r="J76">
            <v>4051.4</v>
          </cell>
          <cell r="K76">
            <v>4051.4</v>
          </cell>
          <cell r="L76">
            <v>1968.8</v>
          </cell>
          <cell r="M76">
            <v>2143.4</v>
          </cell>
          <cell r="N76">
            <v>2143.4</v>
          </cell>
          <cell r="O76">
            <v>2395.6</v>
          </cell>
          <cell r="P76">
            <v>2521.2838597437963</v>
          </cell>
          <cell r="Q76">
            <v>2521.2838597437963</v>
          </cell>
          <cell r="R76">
            <v>2499.9579958553841</v>
          </cell>
          <cell r="S76">
            <v>2599.0439827600944</v>
          </cell>
          <cell r="T76">
            <v>2599.0439827600944</v>
          </cell>
          <cell r="U76">
            <v>2589.8571887585176</v>
          </cell>
          <cell r="V76">
            <v>2720.5435724238264</v>
          </cell>
          <cell r="W76">
            <v>2720.5435724238264</v>
          </cell>
          <cell r="X76">
            <v>2846.6425781702155</v>
          </cell>
          <cell r="Y76">
            <v>2990.8894911641887</v>
          </cell>
          <cell r="Z76">
            <v>2990.8894911641887</v>
          </cell>
          <cell r="AA76">
            <v>3135.3926792029342</v>
          </cell>
          <cell r="AB76">
            <v>3277.2923927450561</v>
          </cell>
          <cell r="AC76">
            <v>3277.2923927450561</v>
          </cell>
          <cell r="AD76">
            <v>3420.9456067799665</v>
          </cell>
          <cell r="AE76">
            <v>3562.3865769366635</v>
          </cell>
          <cell r="AF76">
            <v>3562.3865769366635</v>
          </cell>
          <cell r="AG76">
            <v>3542.1678421507208</v>
          </cell>
          <cell r="AH76">
            <v>3676.3960240476677</v>
          </cell>
          <cell r="AI76">
            <v>3676.3960240476677</v>
          </cell>
          <cell r="AJ76">
            <v>3807.8172764523329</v>
          </cell>
          <cell r="AK76">
            <v>3938.582410279108</v>
          </cell>
          <cell r="AL76">
            <v>3938.582410279108</v>
          </cell>
        </row>
        <row r="77">
          <cell r="B77" t="str">
            <v>Net Gearing</v>
          </cell>
          <cell r="D77">
            <v>0.55457926035177996</v>
          </cell>
          <cell r="E77">
            <v>0.56877762997003545</v>
          </cell>
          <cell r="F77">
            <v>0.46013451040492431</v>
          </cell>
          <cell r="G77">
            <v>0.55991272271379322</v>
          </cell>
          <cell r="H77">
            <v>0.55991272271379322</v>
          </cell>
          <cell r="I77">
            <v>0.58042035262505676</v>
          </cell>
          <cell r="J77">
            <v>0.59471837705327124</v>
          </cell>
          <cell r="K77">
            <v>0.59471837705327124</v>
          </cell>
          <cell r="L77">
            <v>0.28585948049308141</v>
          </cell>
          <cell r="M77">
            <v>0.32142642912842673</v>
          </cell>
          <cell r="N77">
            <v>0.32142642912842673</v>
          </cell>
          <cell r="O77">
            <v>0.35987801763636618</v>
          </cell>
          <cell r="P77">
            <v>0.37388943140463643</v>
          </cell>
          <cell r="Q77">
            <v>0.37388943140463643</v>
          </cell>
          <cell r="R77">
            <v>0.367031168133094</v>
          </cell>
          <cell r="S77">
            <v>0.37722383192698811</v>
          </cell>
          <cell r="T77">
            <v>0.37722383192698811</v>
          </cell>
          <cell r="U77">
            <v>0.37165220897614154</v>
          </cell>
          <cell r="V77">
            <v>0.38544390713527615</v>
          </cell>
          <cell r="W77">
            <v>0.38544390713527615</v>
          </cell>
          <cell r="X77">
            <v>0.39862957793601583</v>
          </cell>
          <cell r="Y77">
            <v>0.41352276272528626</v>
          </cell>
          <cell r="Z77">
            <v>0.41352276272528626</v>
          </cell>
          <cell r="AA77">
            <v>0.42799892866173062</v>
          </cell>
          <cell r="AB77">
            <v>0.44147780642042328</v>
          </cell>
          <cell r="AC77">
            <v>0.44147780642042328</v>
          </cell>
          <cell r="AD77">
            <v>0.45482073719236582</v>
          </cell>
          <cell r="AE77">
            <v>0.4672595465269756</v>
          </cell>
          <cell r="AF77">
            <v>0.4672595465269756</v>
          </cell>
          <cell r="AG77">
            <v>0.4580805497240133</v>
          </cell>
          <cell r="AH77">
            <v>0.46868796768196208</v>
          </cell>
          <cell r="AI77">
            <v>0.46868796768196208</v>
          </cell>
          <cell r="AJ77">
            <v>0.47835030430451964</v>
          </cell>
          <cell r="AK77">
            <v>0.48747846790619692</v>
          </cell>
          <cell r="AL77">
            <v>0.48747846790619692</v>
          </cell>
        </row>
        <row r="78">
          <cell r="B78" t="str">
            <v>EBIT - Property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231.18052900510972</v>
          </cell>
          <cell r="J78">
            <v>268.20093425605535</v>
          </cell>
          <cell r="K78">
            <v>500.01242089771898</v>
          </cell>
          <cell r="L78">
            <v>247.78350550964186</v>
          </cell>
          <cell r="M78">
            <v>227.36109399075499</v>
          </cell>
          <cell r="N78">
            <v>476.51072727272725</v>
          </cell>
          <cell r="O78">
            <v>227.03454410674573</v>
          </cell>
          <cell r="P78">
            <v>235.43822496541878</v>
          </cell>
          <cell r="Q78">
            <v>462.47289861478669</v>
          </cell>
          <cell r="R78">
            <v>229.88016504800797</v>
          </cell>
          <cell r="S78">
            <v>241.36831736989049</v>
          </cell>
          <cell r="T78">
            <v>471.24684787562194</v>
          </cell>
          <cell r="U78">
            <v>249.06612991082866</v>
          </cell>
          <cell r="V78">
            <v>257.4075259459126</v>
          </cell>
          <cell r="W78">
            <v>506.47353728627718</v>
          </cell>
          <cell r="X78">
            <v>265.93071232196621</v>
          </cell>
          <cell r="Y78">
            <v>275.27953842390116</v>
          </cell>
          <cell r="Z78">
            <v>541.20985654625144</v>
          </cell>
          <cell r="AA78">
            <v>283.91266995948092</v>
          </cell>
          <cell r="AB78">
            <v>295.36753620884707</v>
          </cell>
          <cell r="AC78">
            <v>579.27994907255038</v>
          </cell>
          <cell r="AD78">
            <v>303.66726503144332</v>
          </cell>
          <cell r="AE78">
            <v>315.39042234590408</v>
          </cell>
          <cell r="AF78">
            <v>619.05746101928639</v>
          </cell>
          <cell r="AG78">
            <v>323.96130931218238</v>
          </cell>
          <cell r="AH78">
            <v>335.95998075463638</v>
          </cell>
          <cell r="AI78">
            <v>659.92108954123319</v>
          </cell>
          <cell r="AJ78">
            <v>344.80944829677679</v>
          </cell>
          <cell r="AK78">
            <v>357.09108684592951</v>
          </cell>
          <cell r="AL78">
            <v>701.90035651003654</v>
          </cell>
        </row>
        <row r="79">
          <cell r="B79" t="str">
            <v>NTA</v>
          </cell>
          <cell r="D79">
            <v>15.713046065354293</v>
          </cell>
          <cell r="E79">
            <v>18.267466653443737</v>
          </cell>
          <cell r="F79">
            <v>19.168462036197468</v>
          </cell>
          <cell r="G79">
            <v>19.849078855743535</v>
          </cell>
          <cell r="H79">
            <v>19.299811166618269</v>
          </cell>
          <cell r="I79">
            <v>18.398910627339372</v>
          </cell>
          <cell r="J79">
            <v>7.5700939642096401</v>
          </cell>
          <cell r="K79">
            <v>7.5700939642096401</v>
          </cell>
          <cell r="L79">
            <v>3.6947654965763976</v>
          </cell>
          <cell r="M79">
            <v>3.5850925560227989</v>
          </cell>
          <cell r="N79">
            <v>3.5850856003826621</v>
          </cell>
          <cell r="O79">
            <v>3.5653067841212702</v>
          </cell>
          <cell r="P79">
            <v>3.6120291434457146</v>
          </cell>
          <cell r="Q79">
            <v>3.6120291434457146</v>
          </cell>
          <cell r="R79">
            <v>3.6486236661043274</v>
          </cell>
          <cell r="S79">
            <v>3.6909993788794102</v>
          </cell>
          <cell r="T79">
            <v>3.6909993788794102</v>
          </cell>
          <cell r="U79">
            <v>3.7333440996104899</v>
          </cell>
          <cell r="V79">
            <v>3.7816928477439666</v>
          </cell>
          <cell r="W79">
            <v>3.7816928477439666</v>
          </cell>
          <cell r="X79">
            <v>3.8263505935723665</v>
          </cell>
          <cell r="Y79">
            <v>3.875736240184283</v>
          </cell>
          <cell r="Z79">
            <v>3.875736240184283</v>
          </cell>
          <cell r="AA79">
            <v>3.9258536762478853</v>
          </cell>
          <cell r="AB79">
            <v>3.9785379901180433</v>
          </cell>
          <cell r="AC79">
            <v>3.9785379901180433</v>
          </cell>
          <cell r="AD79">
            <v>4.0313890033684832</v>
          </cell>
          <cell r="AE79">
            <v>4.0866157830011245</v>
          </cell>
          <cell r="AF79">
            <v>4.0866157830011245</v>
          </cell>
          <cell r="AG79">
            <v>4.1451607573849643</v>
          </cell>
          <cell r="AH79">
            <v>4.2051898768832352</v>
          </cell>
          <cell r="AI79">
            <v>4.2051898768832352</v>
          </cell>
          <cell r="AJ79">
            <v>4.2678649871916461</v>
          </cell>
          <cell r="AK79">
            <v>4.3320998359976715</v>
          </cell>
          <cell r="AL79">
            <v>4.3320998359976715</v>
          </cell>
        </row>
        <row r="80">
          <cell r="B80" t="str">
            <v>Weighted Average Fully Diluted Stock</v>
          </cell>
          <cell r="D80">
            <v>403.34</v>
          </cell>
          <cell r="E80">
            <v>406.14</v>
          </cell>
          <cell r="F80">
            <v>406.14</v>
          </cell>
          <cell r="G80">
            <v>411.15339999999998</v>
          </cell>
          <cell r="H80">
            <v>411.15339999999998</v>
          </cell>
          <cell r="I80">
            <v>429.97838820000004</v>
          </cell>
          <cell r="J80">
            <v>666.75337400000012</v>
          </cell>
          <cell r="K80">
            <v>428.18</v>
          </cell>
          <cell r="L80">
            <v>1082.3399999999999</v>
          </cell>
          <cell r="M80">
            <v>1855.6169485999999</v>
          </cell>
          <cell r="N80">
            <v>1472.1</v>
          </cell>
          <cell r="O80">
            <v>1855.5169486</v>
          </cell>
          <cell r="P80">
            <v>1855.5294309999999</v>
          </cell>
          <cell r="Q80">
            <v>1855.5169486</v>
          </cell>
          <cell r="R80">
            <v>1855.5169486</v>
          </cell>
          <cell r="S80">
            <v>1855.5169486</v>
          </cell>
          <cell r="T80">
            <v>1855.5169486</v>
          </cell>
          <cell r="U80">
            <v>1855.5169486</v>
          </cell>
          <cell r="V80">
            <v>1855.5169486</v>
          </cell>
          <cell r="W80">
            <v>1855.5169486</v>
          </cell>
          <cell r="X80">
            <v>1855.5169486</v>
          </cell>
          <cell r="Y80">
            <v>1855.5169486</v>
          </cell>
          <cell r="Z80">
            <v>1855.5169486</v>
          </cell>
          <cell r="AA80">
            <v>1855.5169486</v>
          </cell>
          <cell r="AB80">
            <v>1855.5169486</v>
          </cell>
          <cell r="AC80">
            <v>1855.5169486</v>
          </cell>
          <cell r="AD80">
            <v>1855.5169486</v>
          </cell>
          <cell r="AE80">
            <v>1855.5169486</v>
          </cell>
          <cell r="AF80">
            <v>1855.5169486</v>
          </cell>
          <cell r="AG80">
            <v>1855.5169486</v>
          </cell>
          <cell r="AH80">
            <v>1855.5169486</v>
          </cell>
          <cell r="AI80">
            <v>1855.5169486</v>
          </cell>
          <cell r="AJ80">
            <v>1855.5169486</v>
          </cell>
          <cell r="AK80">
            <v>1855.5169486</v>
          </cell>
          <cell r="AL80">
            <v>1855.5169486</v>
          </cell>
        </row>
        <row r="81">
          <cell r="B81" t="str">
            <v>% HEDGED (TOTAL)</v>
          </cell>
          <cell r="D81" t="e">
            <v>#N/A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  <cell r="O81" t="e">
            <v>#N/A</v>
          </cell>
          <cell r="P81" t="e">
            <v>#N/A</v>
          </cell>
          <cell r="Q81" t="e">
            <v>#N/A</v>
          </cell>
          <cell r="R81" t="e">
            <v>#N/A</v>
          </cell>
          <cell r="S81" t="e">
            <v>#N/A</v>
          </cell>
          <cell r="T81" t="e">
            <v>#N/A</v>
          </cell>
          <cell r="U81" t="e">
            <v>#N/A</v>
          </cell>
          <cell r="V81" t="e">
            <v>#N/A</v>
          </cell>
          <cell r="W81" t="e">
            <v>#N/A</v>
          </cell>
          <cell r="X81" t="e">
            <v>#N/A</v>
          </cell>
          <cell r="Y81" t="e">
            <v>#N/A</v>
          </cell>
          <cell r="Z81" t="e">
            <v>#N/A</v>
          </cell>
          <cell r="AA81" t="e">
            <v>#N/A</v>
          </cell>
          <cell r="AB81" t="e">
            <v>#N/A</v>
          </cell>
          <cell r="AC81" t="e">
            <v>#N/A</v>
          </cell>
          <cell r="AD81" t="e">
            <v>#N/A</v>
          </cell>
          <cell r="AE81" t="e">
            <v>#N/A</v>
          </cell>
          <cell r="AF81" t="e">
            <v>#N/A</v>
          </cell>
          <cell r="AG81" t="e">
            <v>#N/A</v>
          </cell>
          <cell r="AH81" t="e">
            <v>#N/A</v>
          </cell>
          <cell r="AI81" t="e">
            <v>#N/A</v>
          </cell>
          <cell r="AJ81" t="e">
            <v>#N/A</v>
          </cell>
          <cell r="AK81" t="e">
            <v>#N/A</v>
          </cell>
          <cell r="AL81" t="e">
            <v>#N/A</v>
          </cell>
        </row>
        <row r="82">
          <cell r="B82" t="str">
            <v>Rate Hedged At</v>
          </cell>
          <cell r="D82" t="e">
            <v>#N/A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  <cell r="O82" t="e">
            <v>#N/A</v>
          </cell>
          <cell r="P82" t="e">
            <v>#N/A</v>
          </cell>
          <cell r="Q82" t="e">
            <v>#N/A</v>
          </cell>
          <cell r="R82" t="e">
            <v>#N/A</v>
          </cell>
          <cell r="S82" t="e">
            <v>#N/A</v>
          </cell>
          <cell r="T82" t="e">
            <v>#N/A</v>
          </cell>
          <cell r="U82" t="e">
            <v>#N/A</v>
          </cell>
          <cell r="V82" t="e">
            <v>#N/A</v>
          </cell>
          <cell r="W82" t="e">
            <v>#N/A</v>
          </cell>
          <cell r="X82" t="e">
            <v>#N/A</v>
          </cell>
          <cell r="Y82" t="e">
            <v>#N/A</v>
          </cell>
          <cell r="Z82" t="e">
            <v>#N/A</v>
          </cell>
          <cell r="AA82" t="e">
            <v>#N/A</v>
          </cell>
          <cell r="AB82" t="e">
            <v>#N/A</v>
          </cell>
          <cell r="AC82" t="e">
            <v>#N/A</v>
          </cell>
          <cell r="AD82" t="e">
            <v>#N/A</v>
          </cell>
          <cell r="AE82" t="e">
            <v>#N/A</v>
          </cell>
          <cell r="AF82" t="e">
            <v>#N/A</v>
          </cell>
          <cell r="AG82" t="e">
            <v>#N/A</v>
          </cell>
          <cell r="AH82" t="e">
            <v>#N/A</v>
          </cell>
          <cell r="AI82" t="e">
            <v>#N/A</v>
          </cell>
          <cell r="AJ82" t="e">
            <v>#N/A</v>
          </cell>
          <cell r="AK82" t="e">
            <v>#N/A</v>
          </cell>
          <cell r="AL82" t="e">
            <v>#N/A</v>
          </cell>
        </row>
        <row r="83">
          <cell r="B83" t="str">
            <v>Interest Cover (EBIT / Interest)</v>
          </cell>
          <cell r="D83" t="e">
            <v>#REF!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2.6666666666666665</v>
          </cell>
          <cell r="M83">
            <v>2.9907834101382487</v>
          </cell>
          <cell r="N83">
            <v>2.8104241185487995</v>
          </cell>
          <cell r="O83">
            <v>3.2583600635945089</v>
          </cell>
          <cell r="P83">
            <v>2.8216009509597462</v>
          </cell>
          <cell r="Q83">
            <v>3.0200166853309547</v>
          </cell>
          <cell r="R83">
            <v>3.0480970317307392</v>
          </cell>
          <cell r="S83">
            <v>3.0981808897078622</v>
          </cell>
          <cell r="T83">
            <v>3.0734431708169256</v>
          </cell>
          <cell r="U83">
            <v>3.0998985819559022</v>
          </cell>
          <cell r="V83">
            <v>3.0779713890284937</v>
          </cell>
          <cell r="W83">
            <v>3.0887261415246088</v>
          </cell>
          <cell r="X83">
            <v>2.8985414594567245</v>
          </cell>
          <cell r="Y83">
            <v>2.8582496936469837</v>
          </cell>
          <cell r="Z83">
            <v>2.8779496521981311</v>
          </cell>
          <cell r="AA83">
            <v>2.8241483228143087</v>
          </cell>
          <cell r="AB83">
            <v>2.7997677825318523</v>
          </cell>
          <cell r="AC83">
            <v>2.8116805516326755</v>
          </cell>
          <cell r="AD83">
            <v>2.7536261673384961</v>
          </cell>
          <cell r="AE83">
            <v>2.6979750271761325</v>
          </cell>
          <cell r="AF83">
            <v>2.7250237079785946</v>
          </cell>
          <cell r="AG83">
            <v>2.7921410883881852</v>
          </cell>
          <cell r="AH83">
            <v>2.7768395042743617</v>
          </cell>
          <cell r="AI83">
            <v>2.7843386921524966</v>
          </cell>
          <cell r="AJ83">
            <v>2.8361670062518614</v>
          </cell>
          <cell r="AK83">
            <v>2.8239909102467928</v>
          </cell>
          <cell r="AL83">
            <v>2.8299655456969961</v>
          </cell>
        </row>
        <row r="84">
          <cell r="B84" t="str">
            <v>Trust Development Capex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130.5</v>
          </cell>
          <cell r="P84">
            <v>138</v>
          </cell>
          <cell r="Q84">
            <v>268.5</v>
          </cell>
          <cell r="R84">
            <v>50.024999999999999</v>
          </cell>
          <cell r="S84">
            <v>100.02500000000001</v>
          </cell>
          <cell r="T84">
            <v>150.05000000000001</v>
          </cell>
          <cell r="U84">
            <v>70.025000000000006</v>
          </cell>
          <cell r="V84">
            <v>137.52500000000001</v>
          </cell>
          <cell r="W84">
            <v>207.55</v>
          </cell>
          <cell r="X84">
            <v>125</v>
          </cell>
          <cell r="Y84">
            <v>150</v>
          </cell>
          <cell r="Z84">
            <v>275</v>
          </cell>
          <cell r="AA84">
            <v>150</v>
          </cell>
          <cell r="AB84">
            <v>150</v>
          </cell>
          <cell r="AC84">
            <v>300</v>
          </cell>
          <cell r="AD84">
            <v>150</v>
          </cell>
          <cell r="AE84">
            <v>150</v>
          </cell>
          <cell r="AF84">
            <v>300</v>
          </cell>
          <cell r="AG84">
            <v>150</v>
          </cell>
          <cell r="AH84">
            <v>150</v>
          </cell>
          <cell r="AI84">
            <v>300</v>
          </cell>
          <cell r="AJ84">
            <v>150</v>
          </cell>
          <cell r="AK84">
            <v>150</v>
          </cell>
          <cell r="AL84">
            <v>300</v>
          </cell>
        </row>
        <row r="85">
          <cell r="B85" t="str">
            <v>ROE normalised</v>
          </cell>
          <cell r="D85">
            <v>3.1647655060957423E-2</v>
          </cell>
          <cell r="E85">
            <v>7.5059459023662664E-2</v>
          </cell>
          <cell r="F85">
            <v>3.7579319341886956E-2</v>
          </cell>
          <cell r="G85">
            <v>3.717723075439399E-2</v>
          </cell>
          <cell r="H85">
            <v>7.2944041275887828E-2</v>
          </cell>
          <cell r="I85">
            <v>2.8710599609830311E-2</v>
          </cell>
          <cell r="J85">
            <v>3.4467066923065642E-2</v>
          </cell>
          <cell r="K85">
            <v>6.8816699205848264E-2</v>
          </cell>
          <cell r="L85">
            <v>2.4770229262555718E-2</v>
          </cell>
          <cell r="M85">
            <v>2.7022974026753039E-2</v>
          </cell>
          <cell r="N85">
            <v>5.2606322356187403E-2</v>
          </cell>
          <cell r="O85">
            <v>2.9053434885153294E-2</v>
          </cell>
          <cell r="P85">
            <v>2.8351147215944474E-2</v>
          </cell>
          <cell r="Q85">
            <v>5.703106588285909E-2</v>
          </cell>
          <cell r="R85">
            <v>2.7507065201944354E-2</v>
          </cell>
          <cell r="S85">
            <v>2.7756461587991468E-2</v>
          </cell>
          <cell r="T85">
            <v>5.494961145278101E-2</v>
          </cell>
          <cell r="U85">
            <v>2.7506883710492664E-2</v>
          </cell>
          <cell r="V85">
            <v>2.845470386054311E-2</v>
          </cell>
          <cell r="W85">
            <v>5.5611966263836493E-2</v>
          </cell>
          <cell r="X85">
            <v>2.8047922463450614E-2</v>
          </cell>
          <cell r="Y85">
            <v>2.8604165465100466E-2</v>
          </cell>
          <cell r="Z85">
            <v>5.629672979131356E-2</v>
          </cell>
          <cell r="AA85">
            <v>2.8934985306029018E-2</v>
          </cell>
          <cell r="AB85">
            <v>2.9476775953982012E-2</v>
          </cell>
          <cell r="AC85">
            <v>5.8030726980121863E-2</v>
          </cell>
          <cell r="AD85">
            <v>2.9596691132118554E-2</v>
          </cell>
          <cell r="AE85">
            <v>2.9910849918539956E-2</v>
          </cell>
          <cell r="AF85">
            <v>5.9109730968768204E-2</v>
          </cell>
          <cell r="AG85">
            <v>3.0585592184351425E-2</v>
          </cell>
          <cell r="AH85">
            <v>3.1107272771938883E-2</v>
          </cell>
          <cell r="AI85">
            <v>6.1258548633623663E-2</v>
          </cell>
          <cell r="AJ85">
            <v>3.1766088339591235E-2</v>
          </cell>
          <cell r="AK85">
            <v>3.2277660926956296E-2</v>
          </cell>
          <cell r="AL85">
            <v>6.3575134775456385E-2</v>
          </cell>
        </row>
        <row r="86">
          <cell r="B86" t="str">
            <v xml:space="preserve">EBIT from Consolidated Operations </v>
          </cell>
          <cell r="D86">
            <v>369</v>
          </cell>
          <cell r="E86">
            <v>741.4</v>
          </cell>
          <cell r="F86">
            <v>372.5</v>
          </cell>
          <cell r="G86">
            <v>369.7</v>
          </cell>
          <cell r="H86">
            <v>742.2</v>
          </cell>
          <cell r="I86">
            <v>332.7</v>
          </cell>
          <cell r="J86">
            <v>346.8</v>
          </cell>
          <cell r="K86">
            <v>679.5</v>
          </cell>
          <cell r="L86">
            <v>290.39999999999998</v>
          </cell>
          <cell r="M86">
            <v>259.60000000000002</v>
          </cell>
          <cell r="N86">
            <v>550</v>
          </cell>
          <cell r="O86">
            <v>269.8</v>
          </cell>
          <cell r="P86">
            <v>280.65025825668675</v>
          </cell>
          <cell r="Q86">
            <v>550.45025825668665</v>
          </cell>
          <cell r="R86">
            <v>271.42435417158907</v>
          </cell>
          <cell r="S86">
            <v>282.66950575803043</v>
          </cell>
          <cell r="T86">
            <v>554.0938599296195</v>
          </cell>
          <cell r="U86">
            <v>290.46898506775767</v>
          </cell>
          <cell r="V86">
            <v>299.61564555948138</v>
          </cell>
          <cell r="W86">
            <v>590.08463062723899</v>
          </cell>
          <cell r="X86">
            <v>307.40759546195812</v>
          </cell>
          <cell r="Y86">
            <v>316.85779448264572</v>
          </cell>
          <cell r="Z86">
            <v>624.26538994460395</v>
          </cell>
          <cell r="AA86">
            <v>326.92436208139901</v>
          </cell>
          <cell r="AB86">
            <v>339.20160130431248</v>
          </cell>
          <cell r="AC86">
            <v>666.12596338571166</v>
          </cell>
          <cell r="AD86">
            <v>348.39492121004076</v>
          </cell>
          <cell r="AE86">
            <v>360.96246945375361</v>
          </cell>
          <cell r="AF86">
            <v>709.35739066379438</v>
          </cell>
          <cell r="AG86">
            <v>370.4517173980783</v>
          </cell>
          <cell r="AH86">
            <v>383.31763458083867</v>
          </cell>
          <cell r="AI86">
            <v>753.76935197891703</v>
          </cell>
          <cell r="AJ86">
            <v>393.11103617758215</v>
          </cell>
          <cell r="AK86">
            <v>406.28361180889937</v>
          </cell>
          <cell r="AL86">
            <v>799.39464798648146</v>
          </cell>
        </row>
        <row r="87">
          <cell r="B87" t="str">
            <v>EBIT from Unconsolidated Ventures</v>
          </cell>
          <cell r="D87">
            <v>593.37</v>
          </cell>
          <cell r="E87">
            <v>1547.4</v>
          </cell>
          <cell r="F87">
            <v>771.2</v>
          </cell>
          <cell r="G87">
            <v>793.8</v>
          </cell>
          <cell r="H87">
            <v>1565</v>
          </cell>
          <cell r="I87">
            <v>697.4</v>
          </cell>
          <cell r="J87">
            <v>750</v>
          </cell>
          <cell r="K87">
            <v>1447.4</v>
          </cell>
          <cell r="L87">
            <v>593</v>
          </cell>
          <cell r="M87">
            <v>576.20000000000005</v>
          </cell>
          <cell r="N87">
            <v>1169.2</v>
          </cell>
          <cell r="O87">
            <v>569.6</v>
          </cell>
          <cell r="P87">
            <v>592.33275781173927</v>
          </cell>
          <cell r="Q87">
            <v>1161.9327578117391</v>
          </cell>
          <cell r="R87">
            <v>562.36594964154392</v>
          </cell>
          <cell r="S87">
            <v>570.05125281442656</v>
          </cell>
          <cell r="T87">
            <v>1132.4172024559705</v>
          </cell>
          <cell r="U87">
            <v>577.55549755964421</v>
          </cell>
          <cell r="V87">
            <v>586.65383500556936</v>
          </cell>
          <cell r="W87">
            <v>1164.2093325652133</v>
          </cell>
          <cell r="X87">
            <v>592.63792303999526</v>
          </cell>
          <cell r="Y87">
            <v>600.48330911010009</v>
          </cell>
          <cell r="Z87">
            <v>1193.1212321500955</v>
          </cell>
          <cell r="AA87">
            <v>611.25115082452578</v>
          </cell>
          <cell r="AB87">
            <v>620.83128080496874</v>
          </cell>
          <cell r="AC87">
            <v>1232.082431629495</v>
          </cell>
          <cell r="AD87">
            <v>630.71093940559263</v>
          </cell>
          <cell r="AE87">
            <v>640.58244283836859</v>
          </cell>
          <cell r="AF87">
            <v>1271.2933822439613</v>
          </cell>
          <cell r="AG87">
            <v>650.76115631794482</v>
          </cell>
          <cell r="AH87">
            <v>660.93299618380763</v>
          </cell>
          <cell r="AI87">
            <v>1311.6941525017526</v>
          </cell>
          <cell r="AJ87">
            <v>671.41997110466775</v>
          </cell>
          <cell r="AK87">
            <v>681.90139287326951</v>
          </cell>
          <cell r="AL87">
            <v>1353.3213639779372</v>
          </cell>
        </row>
        <row r="88">
          <cell r="B88" t="str">
            <v>Total Interest Expense</v>
          </cell>
          <cell r="D88">
            <v>155.6</v>
          </cell>
          <cell r="E88">
            <v>225.2</v>
          </cell>
          <cell r="F88">
            <v>108.2</v>
          </cell>
          <cell r="G88">
            <v>118.9</v>
          </cell>
          <cell r="H88">
            <v>227.1</v>
          </cell>
          <cell r="I88">
            <v>142.1</v>
          </cell>
          <cell r="J88">
            <v>161.5</v>
          </cell>
          <cell r="K88">
            <v>303.60000000000002</v>
          </cell>
          <cell r="L88">
            <v>100</v>
          </cell>
          <cell r="M88">
            <v>75.099999999999994</v>
          </cell>
          <cell r="N88">
            <v>175.1</v>
          </cell>
          <cell r="P88">
            <v>77.748029796005085</v>
          </cell>
          <cell r="Q88">
            <v>143.0480297960051</v>
          </cell>
          <cell r="R88">
            <v>81.472778446566778</v>
          </cell>
          <cell r="S88">
            <v>88.851147627818349</v>
          </cell>
          <cell r="T88">
            <v>170.32392607438513</v>
          </cell>
          <cell r="U88">
            <v>93.669820273890267</v>
          </cell>
          <cell r="V88">
            <v>93.811622215431825</v>
          </cell>
          <cell r="W88">
            <v>187.48144248932209</v>
          </cell>
          <cell r="X88">
            <v>102.31059885064271</v>
          </cell>
          <cell r="Y88">
            <v>105.31700486970369</v>
          </cell>
          <cell r="Z88">
            <v>207.6276037203464</v>
          </cell>
          <cell r="AA88">
            <v>110.51596185512564</v>
          </cell>
          <cell r="AB88">
            <v>116.1823971767093</v>
          </cell>
          <cell r="AC88">
            <v>226.69835903183494</v>
          </cell>
          <cell r="AD88">
            <v>121.83173067299251</v>
          </cell>
          <cell r="AE88">
            <v>129.22483744571272</v>
          </cell>
          <cell r="AF88">
            <v>251.05656811870523</v>
          </cell>
          <cell r="AG88">
            <v>124.40500951034859</v>
          </cell>
          <cell r="AH88">
            <v>130.18730599000875</v>
          </cell>
          <cell r="AI88">
            <v>254.59231550035736</v>
          </cell>
          <cell r="AJ88">
            <v>131.56793563755926</v>
          </cell>
          <cell r="AK88">
            <v>137.30533882276379</v>
          </cell>
          <cell r="AL88">
            <v>268.87327446032305</v>
          </cell>
        </row>
        <row r="89">
          <cell r="B89" t="str">
            <v>Interest Capitalised (Assuming all @ Trust)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18.399999999999999</v>
          </cell>
          <cell r="L89">
            <v>8.9</v>
          </cell>
          <cell r="M89">
            <v>11.7</v>
          </cell>
          <cell r="N89">
            <v>20.6</v>
          </cell>
          <cell r="O89">
            <v>17.502389770996025</v>
          </cell>
          <cell r="P89">
            <v>22.497606863975577</v>
          </cell>
          <cell r="Q89">
            <v>39.999996634971602</v>
          </cell>
          <cell r="R89">
            <v>15.781564329829516</v>
          </cell>
          <cell r="S89">
            <v>10.607688633364749</v>
          </cell>
          <cell r="T89">
            <v>26.389252963194266</v>
          </cell>
          <cell r="U89">
            <v>5.7153812053916893</v>
          </cell>
          <cell r="V89">
            <v>9.3655155491985536</v>
          </cell>
          <cell r="W89">
            <v>15.080896754590242</v>
          </cell>
          <cell r="X89">
            <v>9.7406020187833775</v>
          </cell>
          <cell r="Y89">
            <v>11.685071379463988</v>
          </cell>
          <cell r="Z89">
            <v>21.425673398247365</v>
          </cell>
          <cell r="AA89">
            <v>11.60505965432759</v>
          </cell>
          <cell r="AB89">
            <v>11.571513144711906</v>
          </cell>
          <cell r="AC89">
            <v>23.176572799039498</v>
          </cell>
          <cell r="AD89">
            <v>11.539564306466758</v>
          </cell>
          <cell r="AE89">
            <v>11.667981915541104</v>
          </cell>
          <cell r="AF89">
            <v>23.207546222007863</v>
          </cell>
          <cell r="AG89">
            <v>11.231955048433106</v>
          </cell>
          <cell r="AH89">
            <v>11.229293547434173</v>
          </cell>
          <cell r="AI89">
            <v>22.461248595867279</v>
          </cell>
          <cell r="AJ89">
            <v>10.863360583757503</v>
          </cell>
          <cell r="AK89">
            <v>10.872355751244385</v>
          </cell>
          <cell r="AL89">
            <v>21.735716335001889</v>
          </cell>
        </row>
        <row r="90">
          <cell r="B90" t="str">
            <v>Average property yield</v>
          </cell>
          <cell r="D90">
            <v>6.8308044188224545E-2</v>
          </cell>
        </row>
        <row r="91">
          <cell r="B91" t="str">
            <v>Target Gearing Ratio</v>
          </cell>
          <cell r="D91">
            <v>0.3</v>
          </cell>
          <cell r="E91">
            <v>0.3</v>
          </cell>
          <cell r="F91">
            <v>0.35</v>
          </cell>
          <cell r="G91">
            <v>0.35</v>
          </cell>
          <cell r="H91">
            <v>0.3</v>
          </cell>
          <cell r="I91">
            <v>0.35</v>
          </cell>
          <cell r="J91">
            <v>0.35</v>
          </cell>
          <cell r="K91">
            <v>0.3</v>
          </cell>
          <cell r="L91">
            <v>0.35</v>
          </cell>
          <cell r="M91">
            <v>0.35</v>
          </cell>
          <cell r="N91">
            <v>0.3</v>
          </cell>
          <cell r="O91">
            <v>0.35</v>
          </cell>
          <cell r="P91">
            <v>0.35</v>
          </cell>
          <cell r="Q91">
            <v>0.3</v>
          </cell>
          <cell r="R91">
            <v>0.35</v>
          </cell>
          <cell r="S91">
            <v>0.35</v>
          </cell>
          <cell r="T91">
            <v>0.3</v>
          </cell>
          <cell r="U91">
            <v>0.35</v>
          </cell>
          <cell r="V91">
            <v>0.35</v>
          </cell>
          <cell r="W91">
            <v>0.3</v>
          </cell>
          <cell r="X91">
            <v>0.35</v>
          </cell>
          <cell r="Y91">
            <v>0.35</v>
          </cell>
          <cell r="Z91">
            <v>0.3</v>
          </cell>
          <cell r="AA91">
            <v>0.35</v>
          </cell>
          <cell r="AB91">
            <v>0.35</v>
          </cell>
          <cell r="AC91">
            <v>0.3</v>
          </cell>
          <cell r="AD91">
            <v>0.35</v>
          </cell>
          <cell r="AE91">
            <v>0.35</v>
          </cell>
          <cell r="AF91">
            <v>0.3</v>
          </cell>
          <cell r="AG91">
            <v>0.35</v>
          </cell>
          <cell r="AH91">
            <v>0.35</v>
          </cell>
          <cell r="AI91">
            <v>0.3</v>
          </cell>
          <cell r="AJ91">
            <v>0.35</v>
          </cell>
          <cell r="AK91">
            <v>0.35</v>
          </cell>
          <cell r="AL91">
            <v>0.3</v>
          </cell>
        </row>
        <row r="92">
          <cell r="B92" t="str">
            <v>DRP</v>
          </cell>
          <cell r="D92" t="str">
            <v>N</v>
          </cell>
          <cell r="E92" t="str">
            <v>N</v>
          </cell>
          <cell r="F92" t="str">
            <v>N</v>
          </cell>
          <cell r="G92" t="str">
            <v>N</v>
          </cell>
          <cell r="H92" t="str">
            <v>N</v>
          </cell>
          <cell r="I92" t="str">
            <v>Y</v>
          </cell>
          <cell r="J92" t="str">
            <v>Y</v>
          </cell>
          <cell r="K92" t="str">
            <v>Y</v>
          </cell>
          <cell r="L92" t="str">
            <v>N</v>
          </cell>
          <cell r="M92" t="str">
            <v>N</v>
          </cell>
          <cell r="N92" t="str">
            <v>N</v>
          </cell>
          <cell r="O92" t="str">
            <v>N</v>
          </cell>
          <cell r="P92" t="str">
            <v>N</v>
          </cell>
          <cell r="Q92" t="str">
            <v>N</v>
          </cell>
          <cell r="R92" t="str">
            <v>N</v>
          </cell>
          <cell r="S92" t="str">
            <v>N</v>
          </cell>
          <cell r="T92" t="str">
            <v>N</v>
          </cell>
          <cell r="U92" t="str">
            <v>N</v>
          </cell>
          <cell r="V92" t="str">
            <v>N</v>
          </cell>
          <cell r="W92" t="str">
            <v>N</v>
          </cell>
          <cell r="X92" t="str">
            <v>N</v>
          </cell>
          <cell r="Y92" t="str">
            <v>N</v>
          </cell>
          <cell r="Z92" t="str">
            <v>N</v>
          </cell>
          <cell r="AA92" t="str">
            <v>N</v>
          </cell>
          <cell r="AB92" t="str">
            <v>N</v>
          </cell>
          <cell r="AC92" t="str">
            <v>N</v>
          </cell>
          <cell r="AD92" t="str">
            <v>N</v>
          </cell>
          <cell r="AE92" t="str">
            <v>N</v>
          </cell>
          <cell r="AF92" t="str">
            <v>N</v>
          </cell>
          <cell r="AG92" t="str">
            <v>N</v>
          </cell>
          <cell r="AH92" t="str">
            <v>N</v>
          </cell>
          <cell r="AI92" t="str">
            <v>N</v>
          </cell>
          <cell r="AJ92" t="str">
            <v>N</v>
          </cell>
          <cell r="AK92" t="str">
            <v>N</v>
          </cell>
          <cell r="AL92" t="str">
            <v>N</v>
          </cell>
        </row>
        <row r="94">
          <cell r="B94" t="str">
            <v>Management and other administrative</v>
          </cell>
          <cell r="D94">
            <v>15.3</v>
          </cell>
          <cell r="E94">
            <v>32.299999999999997</v>
          </cell>
          <cell r="F94">
            <v>13.1</v>
          </cell>
          <cell r="G94">
            <v>27.2</v>
          </cell>
          <cell r="H94">
            <v>40.299999999999997</v>
          </cell>
          <cell r="I94">
            <v>16</v>
          </cell>
          <cell r="J94">
            <v>28.2</v>
          </cell>
          <cell r="K94">
            <v>44.2</v>
          </cell>
          <cell r="L94">
            <v>6.1</v>
          </cell>
          <cell r="M94">
            <v>28.5</v>
          </cell>
          <cell r="N94">
            <v>34.6</v>
          </cell>
          <cell r="O94">
            <v>15</v>
          </cell>
          <cell r="P94">
            <v>15.5161206491829</v>
          </cell>
          <cell r="Q94">
            <v>30.516120649182902</v>
          </cell>
          <cell r="R94">
            <v>15.5161206491829</v>
          </cell>
          <cell r="S94">
            <v>15.5161206491829</v>
          </cell>
          <cell r="T94">
            <v>31.0322412983658</v>
          </cell>
          <cell r="U94">
            <v>15.670513712064452</v>
          </cell>
          <cell r="V94">
            <v>15.903834443303287</v>
          </cell>
          <cell r="W94">
            <v>31.574348155367737</v>
          </cell>
          <cell r="X94">
            <v>16.140629123426386</v>
          </cell>
          <cell r="Y94">
            <v>16.380949476602389</v>
          </cell>
          <cell r="Z94">
            <v>32.521578600028775</v>
          </cell>
          <cell r="AA94">
            <v>16.62484799712918</v>
          </cell>
          <cell r="AB94">
            <v>16.872377960900462</v>
          </cell>
          <cell r="AC94">
            <v>33.497225958029645</v>
          </cell>
          <cell r="AD94">
            <v>17.123593437043056</v>
          </cell>
          <cell r="AE94">
            <v>17.378549299727474</v>
          </cell>
          <cell r="AF94">
            <v>34.50214273677053</v>
          </cell>
          <cell r="AG94">
            <v>17.637301240154347</v>
          </cell>
          <cell r="AH94">
            <v>17.899905778719301</v>
          </cell>
          <cell r="AI94">
            <v>35.537207018873644</v>
          </cell>
          <cell r="AJ94">
            <v>18.166420277358981</v>
          </cell>
          <cell r="AK94">
            <v>18.436902952080882</v>
          </cell>
          <cell r="AL94">
            <v>36.603323229439866</v>
          </cell>
        </row>
        <row r="95">
          <cell r="B95" t="str">
            <v>MER</v>
          </cell>
          <cell r="D95">
            <v>1.4666832826864267E-3</v>
          </cell>
          <cell r="E95">
            <v>2.691240553579017E-3</v>
          </cell>
          <cell r="F95">
            <v>1.095940835926781E-3</v>
          </cell>
          <cell r="G95">
            <v>1.9474614982565922E-3</v>
          </cell>
          <cell r="H95">
            <v>2.8853933227845833E-3</v>
          </cell>
          <cell r="I95">
            <v>1.1535439031599894E-3</v>
          </cell>
          <cell r="J95">
            <v>2.1642695973844574E-3</v>
          </cell>
          <cell r="K95">
            <v>3.3922239788791845E-3</v>
          </cell>
          <cell r="L95">
            <v>6.3145690565412718E-4</v>
          </cell>
          <cell r="M95">
            <v>3.1101992710129435E-3</v>
          </cell>
          <cell r="N95">
            <v>3.7758910448086967E-3</v>
          </cell>
          <cell r="O95">
            <v>1.5827960620033975E-3</v>
          </cell>
          <cell r="P95">
            <v>1.5984846305761823E-3</v>
          </cell>
          <cell r="Q95">
            <v>3.1437980501328555E-3</v>
          </cell>
          <cell r="R95">
            <v>1.5916038401693428E-3</v>
          </cell>
          <cell r="S95">
            <v>1.5621567661921331E-3</v>
          </cell>
          <cell r="T95">
            <v>3.1243135323842661E-3</v>
          </cell>
          <cell r="U95">
            <v>1.5662415763409126E-3</v>
          </cell>
          <cell r="V95">
            <v>1.5534793488336353E-3</v>
          </cell>
          <cell r="W95">
            <v>3.0841680342630173E-3</v>
          </cell>
          <cell r="X95">
            <v>1.5444789537086548E-3</v>
          </cell>
          <cell r="Y95">
            <v>1.5313079253490747E-3</v>
          </cell>
          <cell r="Z95">
            <v>3.0401504580805398E-3</v>
          </cell>
          <cell r="AA95">
            <v>1.5188747722707783E-3</v>
          </cell>
          <cell r="AB95">
            <v>1.5066658755988032E-3</v>
          </cell>
          <cell r="AC95">
            <v>2.9912278752373452E-3</v>
          </cell>
          <cell r="AD95">
            <v>1.4952828682841394E-3</v>
          </cell>
          <cell r="AE95">
            <v>1.4841432448972176E-3</v>
          </cell>
          <cell r="AF95">
            <v>2.9465130370842046E-3</v>
          </cell>
          <cell r="AG95">
            <v>1.4923668761974804E-3</v>
          </cell>
          <cell r="AH95">
            <v>1.4811632874013303E-3</v>
          </cell>
          <cell r="AI95">
            <v>2.9405968402199342E-3</v>
          </cell>
          <cell r="AJ95">
            <v>1.4701803017755975E-3</v>
          </cell>
          <cell r="AK95">
            <v>1.4596403299666659E-3</v>
          </cell>
          <cell r="AL95">
            <v>2.8978666826722115E-3</v>
          </cell>
        </row>
        <row r="96">
          <cell r="B96" t="str">
            <v>Net Value</v>
          </cell>
          <cell r="D96" t="e">
            <v>#N/A</v>
          </cell>
          <cell r="E96" t="e">
            <v>#N/A</v>
          </cell>
          <cell r="F96" t="e">
            <v>#N/A</v>
          </cell>
          <cell r="G96" t="e">
            <v>#N/A</v>
          </cell>
          <cell r="H96" t="e">
            <v>#N/A</v>
          </cell>
          <cell r="I96" t="e">
            <v>#N/A</v>
          </cell>
          <cell r="J96" t="e">
            <v>#N/A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  <cell r="O96" t="e">
            <v>#N/A</v>
          </cell>
          <cell r="P96" t="e">
            <v>#N/A</v>
          </cell>
          <cell r="Q96" t="e">
            <v>#N/A</v>
          </cell>
          <cell r="R96" t="e">
            <v>#N/A</v>
          </cell>
          <cell r="S96" t="e">
            <v>#N/A</v>
          </cell>
          <cell r="T96" t="e">
            <v>#N/A</v>
          </cell>
          <cell r="U96" t="e">
            <v>#N/A</v>
          </cell>
          <cell r="V96" t="e">
            <v>#N/A</v>
          </cell>
          <cell r="W96" t="e">
            <v>#N/A</v>
          </cell>
          <cell r="X96" t="e">
            <v>#N/A</v>
          </cell>
          <cell r="Y96" t="e">
            <v>#N/A</v>
          </cell>
          <cell r="Z96" t="e">
            <v>#N/A</v>
          </cell>
          <cell r="AA96" t="e">
            <v>#N/A</v>
          </cell>
          <cell r="AB96" t="e">
            <v>#N/A</v>
          </cell>
          <cell r="AC96" t="e">
            <v>#N/A</v>
          </cell>
          <cell r="AD96" t="e">
            <v>#N/A</v>
          </cell>
          <cell r="AE96" t="e">
            <v>#N/A</v>
          </cell>
          <cell r="AF96" t="e">
            <v>#N/A</v>
          </cell>
          <cell r="AG96" t="e">
            <v>#N/A</v>
          </cell>
          <cell r="AH96" t="e">
            <v>#N/A</v>
          </cell>
          <cell r="AI96" t="e">
            <v>#N/A</v>
          </cell>
          <cell r="AJ96" t="e">
            <v>#N/A</v>
          </cell>
          <cell r="AK96" t="e">
            <v>#N/A</v>
          </cell>
          <cell r="AL96" t="e">
            <v>#N/A</v>
          </cell>
        </row>
        <row r="97">
          <cell r="B97" t="str">
            <v>IRR</v>
          </cell>
          <cell r="C97">
            <v>0.13064228829082836</v>
          </cell>
          <cell r="E97" t="str">
            <v>NSW</v>
          </cell>
          <cell r="F97" t="str">
            <v>VIC</v>
          </cell>
          <cell r="G97" t="str">
            <v>QLD</v>
          </cell>
          <cell r="H97" t="str">
            <v>ACT</v>
          </cell>
          <cell r="I97" t="str">
            <v>SA</v>
          </cell>
          <cell r="J97" t="str">
            <v>WA</v>
          </cell>
          <cell r="K97" t="str">
            <v>NZ</v>
          </cell>
          <cell r="L97" t="str">
            <v>US &amp; Canada</v>
          </cell>
          <cell r="M97" t="str">
            <v>Asia</v>
          </cell>
          <cell r="N97" t="str">
            <v>Europe</v>
          </cell>
          <cell r="O97" t="str">
            <v>UK</v>
          </cell>
          <cell r="P97" t="str">
            <v>Other</v>
          </cell>
          <cell r="Q97" t="str">
            <v>TOTAL - Geography</v>
          </cell>
          <cell r="R97" t="str">
            <v>Office</v>
          </cell>
          <cell r="S97" t="str">
            <v>Retail</v>
          </cell>
          <cell r="T97" t="str">
            <v>Retail - Other</v>
          </cell>
          <cell r="U97" t="str">
            <v>Industrial</v>
          </cell>
          <cell r="V97" t="str">
            <v>Hotel</v>
          </cell>
          <cell r="W97" t="str">
            <v>Hotel mgmt</v>
          </cell>
          <cell r="X97" t="str">
            <v>Sr. Housing</v>
          </cell>
          <cell r="Y97" t="str">
            <v>Development - Resi</v>
          </cell>
          <cell r="Z97" t="str">
            <v>Development - Commercial</v>
          </cell>
          <cell r="AA97" t="str">
            <v>Development mgmt</v>
          </cell>
          <cell r="AB97" t="str">
            <v>Funds mgmt</v>
          </cell>
          <cell r="AC97" t="str">
            <v>Other</v>
          </cell>
          <cell r="AD97" t="str">
            <v>TOTAL - Business</v>
          </cell>
        </row>
        <row r="98">
          <cell r="B98" t="str">
            <v>Location</v>
          </cell>
          <cell r="E98">
            <v>196.95586713258905</v>
          </cell>
          <cell r="F98">
            <v>96.209189870810022</v>
          </cell>
          <cell r="G98">
            <v>36.909599220000004</v>
          </cell>
          <cell r="H98">
            <v>13.937624999999999</v>
          </cell>
          <cell r="I98">
            <v>0.51129000000000013</v>
          </cell>
          <cell r="J98">
            <v>0</v>
          </cell>
          <cell r="K98">
            <v>0</v>
          </cell>
          <cell r="L98">
            <v>0.03</v>
          </cell>
          <cell r="N98">
            <v>0.19</v>
          </cell>
          <cell r="P98">
            <v>0</v>
          </cell>
        </row>
        <row r="99">
          <cell r="B99" t="str">
            <v>Asset Type</v>
          </cell>
          <cell r="D99" t="str">
            <v>Risk Free Rate (15-Yr)</v>
          </cell>
          <cell r="E99">
            <v>0.06</v>
          </cell>
          <cell r="F99" t="str">
            <v>Long-Term</v>
          </cell>
          <cell r="G99">
            <v>9.4318110891501106E-2</v>
          </cell>
          <cell r="R99">
            <v>0.16118422813129329</v>
          </cell>
          <cell r="S99">
            <v>0.69712527623811771</v>
          </cell>
          <cell r="T99">
            <v>0</v>
          </cell>
          <cell r="U99">
            <v>0.10779231627978259</v>
          </cell>
          <cell r="V99" t="e">
            <v>#N/A</v>
          </cell>
          <cell r="X99">
            <v>0</v>
          </cell>
        </row>
        <row r="100">
          <cell r="B100" t="str">
            <v>ML Prem</v>
          </cell>
          <cell r="C100">
            <v>0</v>
          </cell>
          <cell r="D100" t="str">
            <v>Company Beta</v>
          </cell>
          <cell r="E100">
            <v>0.68636221783002194</v>
          </cell>
          <cell r="F100" t="str">
            <v xml:space="preserve">          Long-Term Adjusted Beta</v>
          </cell>
          <cell r="G100">
            <v>0.68636221783002194</v>
          </cell>
        </row>
        <row r="101">
          <cell r="B101" t="str">
            <v>Total NLA</v>
          </cell>
          <cell r="C101">
            <v>1677254.7</v>
          </cell>
          <cell r="D101" t="str">
            <v>Equity Risk Premium</v>
          </cell>
          <cell r="E101">
            <v>0.05</v>
          </cell>
          <cell r="F101" t="str">
            <v>Perpetuity Growth Rate</v>
          </cell>
          <cell r="G101">
            <v>2.75E-2</v>
          </cell>
        </row>
        <row r="102">
          <cell r="B102" t="str">
            <v>Number of properties</v>
          </cell>
          <cell r="C102">
            <v>0</v>
          </cell>
          <cell r="D102" t="str">
            <v>Size Premium</v>
          </cell>
          <cell r="E102">
            <v>0</v>
          </cell>
          <cell r="F102" t="str">
            <v>PT</v>
          </cell>
          <cell r="G102">
            <v>3.1</v>
          </cell>
        </row>
        <row r="103">
          <cell r="B103" t="str">
            <v>Valuation ($A)</v>
          </cell>
          <cell r="C103">
            <v>7218.7031732550022</v>
          </cell>
          <cell r="D103" t="str">
            <v>Current</v>
          </cell>
          <cell r="E103">
            <v>9.4318110891501106E-2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C6" t="str">
            <v>Variance Analysis</v>
          </cell>
          <cell r="F6" t="str">
            <v/>
          </cell>
        </row>
        <row r="7">
          <cell r="D7" t="str">
            <v>Change</v>
          </cell>
          <cell r="F7" t="str">
            <v/>
          </cell>
          <cell r="H7" t="str">
            <v>Change</v>
          </cell>
        </row>
        <row r="8">
          <cell r="B8" t="str">
            <v>2009A</v>
          </cell>
          <cell r="C8" t="str">
            <v>2009E</v>
          </cell>
          <cell r="D8" t="str">
            <v>$</v>
          </cell>
          <cell r="E8" t="str">
            <v>%</v>
          </cell>
          <cell r="G8" t="str">
            <v>2008A</v>
          </cell>
          <cell r="H8" t="str">
            <v>Y-o-Y</v>
          </cell>
        </row>
        <row r="9">
          <cell r="A9" t="str">
            <v>Retail</v>
          </cell>
          <cell r="B9">
            <v>266.5</v>
          </cell>
          <cell r="C9">
            <v>268.80946400343316</v>
          </cell>
          <cell r="D9">
            <v>-2.3094640034331633</v>
          </cell>
          <cell r="E9">
            <v>-8.5914534742856929E-3</v>
          </cell>
          <cell r="G9">
            <v>260.60000000000002</v>
          </cell>
          <cell r="H9">
            <v>2.2640061396776545E-2</v>
          </cell>
        </row>
        <row r="10">
          <cell r="A10" t="str">
            <v>Office</v>
          </cell>
          <cell r="B10">
            <v>120.2</v>
          </cell>
          <cell r="C10">
            <v>120.82643582593235</v>
          </cell>
          <cell r="D10">
            <v>-0.62643582593234726</v>
          </cell>
          <cell r="E10">
            <v>-5.1845924416310529E-3</v>
          </cell>
          <cell r="G10">
            <v>148.5</v>
          </cell>
          <cell r="H10">
            <v>-0.1905723905723905</v>
          </cell>
        </row>
        <row r="11">
          <cell r="A11" t="str">
            <v>Industrial</v>
          </cell>
          <cell r="B11">
            <v>49.9</v>
          </cell>
          <cell r="C11">
            <v>50.23798075935516</v>
          </cell>
          <cell r="D11">
            <v>-0.33798075935516181</v>
          </cell>
          <cell r="E11">
            <v>-6.7275944264981735E-3</v>
          </cell>
          <cell r="G11">
            <v>50.8</v>
          </cell>
          <cell r="H11">
            <v>-1.7716535433070835E-2</v>
          </cell>
        </row>
        <row r="12">
          <cell r="A12" t="str">
            <v>Hotel &amp; Tourism</v>
          </cell>
          <cell r="B12">
            <v>53.3</v>
          </cell>
          <cell r="C12">
            <v>39.277132309477963</v>
          </cell>
          <cell r="D12">
            <v>14.022867690522034</v>
          </cell>
          <cell r="E12">
            <v>0.35702371497061103</v>
          </cell>
          <cell r="G12">
            <v>62.3</v>
          </cell>
          <cell r="H12">
            <v>-0.14446227929374</v>
          </cell>
        </row>
        <row r="13">
          <cell r="A13" t="str">
            <v>Senior Housing</v>
          </cell>
          <cell r="B13">
            <v>18.600000000000001</v>
          </cell>
          <cell r="C13">
            <v>17.684096610058624</v>
          </cell>
          <cell r="D13">
            <v>0.9159033899413771</v>
          </cell>
          <cell r="E13">
            <v>5.1792489610151593E-2</v>
          </cell>
          <cell r="G13">
            <v>12.6</v>
          </cell>
          <cell r="H13">
            <v>0.47619047619047628</v>
          </cell>
        </row>
        <row r="14">
          <cell r="A14" t="str">
            <v>Funds Mgmt. - AUS (incl. GWOF/GWSCF)</v>
          </cell>
          <cell r="B14">
            <v>95.6</v>
          </cell>
          <cell r="C14">
            <v>94.51090235351208</v>
          </cell>
          <cell r="D14">
            <v>1.0890976464879145</v>
          </cell>
          <cell r="E14">
            <v>1.1523513365836013E-2</v>
          </cell>
          <cell r="G14">
            <v>109</v>
          </cell>
          <cell r="H14">
            <v>-0.12293577981651382</v>
          </cell>
        </row>
        <row r="15">
          <cell r="A15" t="str">
            <v>Funds Mgmt. - EUR</v>
          </cell>
          <cell r="B15">
            <v>-21</v>
          </cell>
          <cell r="C15">
            <v>-8.4837244775571605</v>
          </cell>
          <cell r="D15">
            <v>-12.516275522442839</v>
          </cell>
          <cell r="E15">
            <v>1.475327912351867</v>
          </cell>
          <cell r="G15">
            <v>-28.8</v>
          </cell>
          <cell r="H15">
            <v>-0.27083333333333337</v>
          </cell>
        </row>
        <row r="16">
          <cell r="A16" t="str">
            <v>Joint Venture</v>
          </cell>
          <cell r="B16">
            <v>-1</v>
          </cell>
          <cell r="C16">
            <v>-1.4</v>
          </cell>
          <cell r="D16">
            <v>0.39999999999999991</v>
          </cell>
          <cell r="E16">
            <v>-0.2857142857142857</v>
          </cell>
          <cell r="G16">
            <v>108.7</v>
          </cell>
          <cell r="H16">
            <v>-1.0091996320147194</v>
          </cell>
        </row>
        <row r="17">
          <cell r="A17" t="str">
            <v>Other</v>
          </cell>
          <cell r="B17">
            <v>2.5</v>
          </cell>
          <cell r="C17">
            <v>2.6</v>
          </cell>
          <cell r="D17">
            <v>-0.10000000000000009</v>
          </cell>
          <cell r="E17">
            <v>-3.8461538461538547E-2</v>
          </cell>
          <cell r="G17">
            <v>0</v>
          </cell>
          <cell r="H17">
            <v>0</v>
          </cell>
        </row>
        <row r="18">
          <cell r="A18" t="str">
            <v>Total EBIT (Before Corp. Costs)</v>
          </cell>
          <cell r="B18">
            <v>584.6</v>
          </cell>
          <cell r="C18">
            <v>584.06228738421214</v>
          </cell>
          <cell r="D18">
            <v>0.53771261578788199</v>
          </cell>
          <cell r="E18">
            <v>9.2064258796109577E-4</v>
          </cell>
          <cell r="G18">
            <v>723.70000000000016</v>
          </cell>
          <cell r="H18">
            <v>-0.19220671548984403</v>
          </cell>
        </row>
        <row r="19">
          <cell r="A19" t="str">
            <v>Development NOI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G19">
            <v>0</v>
          </cell>
          <cell r="H19">
            <v>0</v>
          </cell>
        </row>
        <row r="20">
          <cell r="A20" t="str">
            <v>Total NOI</v>
          </cell>
          <cell r="B20">
            <v>584.6</v>
          </cell>
          <cell r="C20">
            <v>584.06228738421214</v>
          </cell>
          <cell r="D20">
            <v>0.53771261578788199</v>
          </cell>
          <cell r="E20">
            <v>9.2064258796109577E-4</v>
          </cell>
          <cell r="G20">
            <v>723.70000000000016</v>
          </cell>
          <cell r="H20">
            <v>-0.19220671548984403</v>
          </cell>
        </row>
        <row r="22">
          <cell r="A22" t="str">
            <v>Interest Revenue</v>
          </cell>
          <cell r="B22">
            <v>0</v>
          </cell>
          <cell r="C22">
            <v>1.0530000000000042</v>
          </cell>
          <cell r="D22">
            <v>-1.0530000000000042</v>
          </cell>
          <cell r="E22">
            <v>-1</v>
          </cell>
          <cell r="G22">
            <v>21.7</v>
          </cell>
          <cell r="H22">
            <v>-1</v>
          </cell>
        </row>
        <row r="23">
          <cell r="A23" t="str">
            <v>General and Administrative</v>
          </cell>
          <cell r="B23">
            <v>-34.6</v>
          </cell>
          <cell r="C23">
            <v>-13.6</v>
          </cell>
          <cell r="D23">
            <v>-21</v>
          </cell>
          <cell r="E23">
            <v>1.5441176470588238</v>
          </cell>
          <cell r="G23">
            <v>-44.2</v>
          </cell>
          <cell r="H23">
            <v>-0.21719457013574661</v>
          </cell>
        </row>
        <row r="24">
          <cell r="A24" t="str">
            <v>LT Debt Interest Expense</v>
          </cell>
          <cell r="B24">
            <v>-175.1</v>
          </cell>
          <cell r="C24">
            <v>-175.1789468177783</v>
          </cell>
          <cell r="D24">
            <v>7.8946817778302147E-2</v>
          </cell>
          <cell r="E24">
            <v>-4.5066384524172776E-4</v>
          </cell>
          <cell r="G24">
            <v>-303.60000000000002</v>
          </cell>
          <cell r="H24">
            <v>-0.4232542819499342</v>
          </cell>
        </row>
        <row r="25">
          <cell r="A25" t="str">
            <v>Revolver Int. Expense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G25">
            <v>0</v>
          </cell>
          <cell r="H25">
            <v>0</v>
          </cell>
        </row>
        <row r="26">
          <cell r="A26" t="str">
            <v>Other''</v>
          </cell>
          <cell r="B26">
            <v>-2.1</v>
          </cell>
          <cell r="C26">
            <v>-8.4</v>
          </cell>
          <cell r="D26">
            <v>6.3000000000000007</v>
          </cell>
          <cell r="E26">
            <v>-0.75</v>
          </cell>
          <cell r="G26">
            <v>85.700000000000017</v>
          </cell>
          <cell r="H26">
            <v>-1.0245040840140023</v>
          </cell>
        </row>
        <row r="27">
          <cell r="A27" t="str">
            <v xml:space="preserve">   Profit Before Tax</v>
          </cell>
          <cell r="B27">
            <v>372.80000000000007</v>
          </cell>
          <cell r="C27">
            <v>387.93634056643384</v>
          </cell>
          <cell r="D27">
            <v>-15.136340566433773</v>
          </cell>
          <cell r="E27">
            <v>-3.9017588670174352E-2</v>
          </cell>
          <cell r="G27">
            <v>483.30000000000018</v>
          </cell>
          <cell r="H27">
            <v>-0.22863645768673713</v>
          </cell>
        </row>
        <row r="28">
          <cell r="D28">
            <v>0</v>
          </cell>
        </row>
        <row r="29">
          <cell r="A29" t="str">
            <v>Income tax expense (benefit)</v>
          </cell>
          <cell r="B29">
            <v>3</v>
          </cell>
          <cell r="C29">
            <v>-2.08904510849651</v>
          </cell>
          <cell r="D29">
            <v>5.08904510849651</v>
          </cell>
          <cell r="E29">
            <v>-2.4360628153975603</v>
          </cell>
          <cell r="G29">
            <v>-12.1</v>
          </cell>
          <cell r="H29">
            <v>-1.2479338842975207</v>
          </cell>
        </row>
        <row r="30">
          <cell r="A30" t="str">
            <v>Minority Interest - Exchangeable Securities</v>
          </cell>
          <cell r="B30">
            <v>-25</v>
          </cell>
          <cell r="C30">
            <v>-24.9</v>
          </cell>
          <cell r="D30">
            <v>-0.10000000000000142</v>
          </cell>
          <cell r="E30">
            <v>4.0160642570281624E-3</v>
          </cell>
          <cell r="G30">
            <v>-2.4</v>
          </cell>
          <cell r="H30">
            <v>9.4166666666666679</v>
          </cell>
        </row>
        <row r="31">
          <cell r="A31" t="str">
            <v>NPTA</v>
          </cell>
          <cell r="B31">
            <v>350.80000000000007</v>
          </cell>
          <cell r="C31">
            <v>360.94729545793734</v>
          </cell>
          <cell r="D31">
            <v>-10.147295457937275</v>
          </cell>
          <cell r="E31">
            <v>-2.8112956062084637E-2</v>
          </cell>
          <cell r="G31">
            <v>468.80000000000018</v>
          </cell>
          <cell r="H31">
            <v>-0.25170648464163836</v>
          </cell>
        </row>
        <row r="32">
          <cell r="A32" t="str">
            <v>Normalized EPS (¢)</v>
          </cell>
          <cell r="B32">
            <v>4.7659805719720136</v>
          </cell>
          <cell r="C32">
            <v>4.9059133621325222</v>
          </cell>
          <cell r="D32">
            <v>-0.13993279016050852</v>
          </cell>
          <cell r="E32">
            <v>-2.8523290125874179E-2</v>
          </cell>
          <cell r="G32">
            <v>21.897332897379616</v>
          </cell>
          <cell r="H32">
            <v>-0.78234880958756658</v>
          </cell>
        </row>
        <row r="35">
          <cell r="A35" t="str">
            <v>Fair Value Adjustments Investment Properties</v>
          </cell>
          <cell r="B35">
            <v>-551.79999999999995</v>
          </cell>
          <cell r="C35">
            <v>-349.02749999999997</v>
          </cell>
          <cell r="D35">
            <v>202.77249999999998</v>
          </cell>
          <cell r="E35">
            <v>0.58096425066792734</v>
          </cell>
          <cell r="G35">
            <v>-79.8</v>
          </cell>
          <cell r="H35">
            <v>5.9147869674185465</v>
          </cell>
        </row>
        <row r="36">
          <cell r="A36" t="str">
            <v xml:space="preserve">Fair Value Adjustments Realised 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G36">
            <v>-31.4</v>
          </cell>
          <cell r="H36">
            <v>-1</v>
          </cell>
        </row>
        <row r="37">
          <cell r="A37" t="str">
            <v>Fair Value Adjustments Equity Accounts</v>
          </cell>
          <cell r="B37">
            <v>-292.7</v>
          </cell>
          <cell r="C37">
            <v>-249.2</v>
          </cell>
          <cell r="D37">
            <v>43.5</v>
          </cell>
          <cell r="E37">
            <v>0.1745585874799358</v>
          </cell>
          <cell r="G37">
            <v>-818.7</v>
          </cell>
          <cell r="H37">
            <v>-0.64248198363258835</v>
          </cell>
        </row>
        <row r="38">
          <cell r="A38" t="str">
            <v>JV Adjustments - Realized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G38">
            <v>-1.1000000000000001</v>
          </cell>
          <cell r="H38">
            <v>-1</v>
          </cell>
        </row>
        <row r="39">
          <cell r="A39" t="str">
            <v>Revaluation of Hotel Properties</v>
          </cell>
          <cell r="B39">
            <v>-49</v>
          </cell>
          <cell r="C39">
            <v>-65.7</v>
          </cell>
          <cell r="D39">
            <v>-16.700000000000003</v>
          </cell>
          <cell r="E39">
            <v>-0.25418569254185697</v>
          </cell>
          <cell r="G39">
            <v>-191.8</v>
          </cell>
          <cell r="H39">
            <v>-0.74452554744525545</v>
          </cell>
        </row>
        <row r="40">
          <cell r="A40" t="str">
            <v>Unrealized Loss on FX Borrowings</v>
          </cell>
          <cell r="B40">
            <v>238.6</v>
          </cell>
          <cell r="C40">
            <v>229.9</v>
          </cell>
          <cell r="D40">
            <v>-8.6999999999999886</v>
          </cell>
          <cell r="E40">
            <v>3.7842540234884758E-2</v>
          </cell>
          <cell r="G40">
            <v>-544.6</v>
          </cell>
          <cell r="H40">
            <v>-1.4381197208960705</v>
          </cell>
        </row>
        <row r="41">
          <cell r="A41" t="str">
            <v>Realized Loss/Profit on derivatives - Adj.</v>
          </cell>
          <cell r="B41">
            <v>456.5</v>
          </cell>
          <cell r="C41">
            <v>0</v>
          </cell>
          <cell r="D41">
            <v>-456.5</v>
          </cell>
          <cell r="E41">
            <v>0</v>
          </cell>
          <cell r="G41">
            <v>-67.3</v>
          </cell>
          <cell r="H41">
            <v>-7.7830609212481425</v>
          </cell>
        </row>
        <row r="42">
          <cell r="A42" t="str">
            <v>Unrealized Loss on derivatives</v>
          </cell>
          <cell r="B42">
            <v>0</v>
          </cell>
          <cell r="C42">
            <v>376.7</v>
          </cell>
          <cell r="D42">
            <v>376.7</v>
          </cell>
          <cell r="E42">
            <v>-1</v>
          </cell>
          <cell r="G42">
            <v>-839</v>
          </cell>
          <cell r="H42">
            <v>-1</v>
          </cell>
        </row>
        <row r="43">
          <cell r="A43" t="str">
            <v>Impairments</v>
          </cell>
          <cell r="B43">
            <v>-1220.0999999999999</v>
          </cell>
          <cell r="C43">
            <v>-1213.8</v>
          </cell>
          <cell r="D43">
            <v>6.2999999999999545</v>
          </cell>
          <cell r="E43">
            <v>5.1903114186850896E-3</v>
          </cell>
          <cell r="G43">
            <v>-1152.1999999999998</v>
          </cell>
          <cell r="H43">
            <v>5.8930741190765579E-2</v>
          </cell>
        </row>
        <row r="44">
          <cell r="A44" t="str">
            <v>Depreciation and Amortisation</v>
          </cell>
          <cell r="B44">
            <v>-19</v>
          </cell>
          <cell r="C44">
            <v>-10.4</v>
          </cell>
          <cell r="D44">
            <v>8.6</v>
          </cell>
          <cell r="E44">
            <v>0.82692307692307687</v>
          </cell>
          <cell r="G44">
            <v>-21</v>
          </cell>
          <cell r="H44">
            <v>-9.5238095238095233E-2</v>
          </cell>
        </row>
        <row r="45">
          <cell r="A45" t="str">
            <v>Net Loss on Disposal of Assets</v>
          </cell>
          <cell r="B45">
            <v>-18.5</v>
          </cell>
          <cell r="C45">
            <v>-77.099999999999994</v>
          </cell>
          <cell r="D45">
            <v>-58.599999999999994</v>
          </cell>
          <cell r="E45">
            <v>-0.76005188067444873</v>
          </cell>
          <cell r="G45">
            <v>5.3</v>
          </cell>
          <cell r="H45">
            <v>-4.4905660377358494</v>
          </cell>
        </row>
        <row r="46">
          <cell r="A46" t="str">
            <v>Non Cash Revenue Adjustment (incl. SL Rents)</v>
          </cell>
          <cell r="B46">
            <v>-19.100000000000001</v>
          </cell>
          <cell r="C46">
            <v>-16.399999999999999</v>
          </cell>
          <cell r="D46">
            <v>2.7000000000000028</v>
          </cell>
          <cell r="E46">
            <v>0.16463414634146356</v>
          </cell>
          <cell r="G46">
            <v>-7.5</v>
          </cell>
          <cell r="H46">
            <v>1.5466666666666669</v>
          </cell>
        </row>
        <row r="47">
          <cell r="A47" t="str">
            <v>Tax Allocation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G47">
            <v>0</v>
          </cell>
          <cell r="H47">
            <v>0</v>
          </cell>
        </row>
        <row r="48">
          <cell r="A48" t="str">
            <v>Minority Interest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G48">
            <v>-0.7</v>
          </cell>
          <cell r="H48">
            <v>-1</v>
          </cell>
        </row>
        <row r="49">
          <cell r="A49" t="str">
            <v>Other'"</v>
          </cell>
          <cell r="B49">
            <v>28.700000000000006</v>
          </cell>
          <cell r="C49">
            <v>37.1</v>
          </cell>
          <cell r="D49">
            <v>8.399999999999995</v>
          </cell>
          <cell r="E49">
            <v>-0.22641509433962248</v>
          </cell>
          <cell r="G49">
            <v>27.499999999999996</v>
          </cell>
          <cell r="H49">
            <v>4.3636363636363917E-2</v>
          </cell>
        </row>
        <row r="50">
          <cell r="A50" t="str">
            <v>Reported Net Income</v>
          </cell>
          <cell r="B50">
            <v>-1095.5999999999999</v>
          </cell>
          <cell r="C50">
            <v>-976.98020454206289</v>
          </cell>
          <cell r="D50">
            <v>98.325204542062664</v>
          </cell>
          <cell r="E50">
            <v>0.12141473788973789</v>
          </cell>
          <cell r="G50">
            <v>-3253.4999999999991</v>
          </cell>
          <cell r="H50">
            <v>-0.66325495620101416</v>
          </cell>
        </row>
        <row r="51">
          <cell r="A51" t="str">
            <v>Reported EPS</v>
          </cell>
          <cell r="B51">
            <v>-14.884858365600163</v>
          </cell>
          <cell r="C51">
            <v>-13.278892238050904</v>
          </cell>
          <cell r="D51">
            <v>1.6059661275492587</v>
          </cell>
          <cell r="E51">
            <v>0.12094127271756405</v>
          </cell>
          <cell r="G51">
            <v>-151.96879816899428</v>
          </cell>
          <cell r="H51">
            <v>-0.90205319417576946</v>
          </cell>
        </row>
        <row r="53">
          <cell r="A53" t="str">
            <v>Dividends/Unit (¢)</v>
          </cell>
          <cell r="B53">
            <v>4.5</v>
          </cell>
          <cell r="C53">
            <v>4.5460664469509648</v>
          </cell>
          <cell r="D53">
            <v>4.6066446950964846E-2</v>
          </cell>
          <cell r="E53">
            <v>-1.0133254207461362E-2</v>
          </cell>
          <cell r="G53">
            <v>11.9</v>
          </cell>
          <cell r="H53">
            <v>-0.62184873949579833</v>
          </cell>
        </row>
        <row r="55">
          <cell r="A55" t="str">
            <v>Weighted Avg. Shares</v>
          </cell>
          <cell r="B55">
            <v>1855.5169486</v>
          </cell>
          <cell r="C55">
            <v>7357.3923715000001</v>
          </cell>
          <cell r="D55">
            <v>5501.8754229000006</v>
          </cell>
          <cell r="E55">
            <v>-0.74780236598667316</v>
          </cell>
          <cell r="G55">
            <v>1082.3399999999999</v>
          </cell>
          <cell r="H55">
            <v>0.71435680895097664</v>
          </cell>
        </row>
      </sheetData>
      <sheetData sheetId="10" refreshError="1">
        <row r="2">
          <cell r="BC2">
            <v>1</v>
          </cell>
        </row>
        <row r="3">
          <cell r="BG3" t="str">
            <v>2009A</v>
          </cell>
          <cell r="BH3" t="str">
            <v>2010E</v>
          </cell>
          <cell r="BI3" t="str">
            <v>2011E</v>
          </cell>
          <cell r="BJ3" t="str">
            <v>2012E</v>
          </cell>
        </row>
        <row r="4">
          <cell r="BF4" t="str">
            <v>EPS New</v>
          </cell>
          <cell r="BG4">
            <v>4.7659805719720136</v>
          </cell>
          <cell r="BH4">
            <v>3.916522371883393</v>
          </cell>
          <cell r="BI4">
            <v>3.9310618334534735</v>
          </cell>
          <cell r="BJ4">
            <v>4.1627929430930566</v>
          </cell>
        </row>
        <row r="5">
          <cell r="BF5" t="str">
            <v>DPS New</v>
          </cell>
          <cell r="BG5">
            <v>4.5</v>
          </cell>
          <cell r="BH5">
            <v>3.1394806205219075</v>
          </cell>
          <cell r="BI5">
            <v>3.1503851050747596</v>
          </cell>
          <cell r="BJ5">
            <v>3.3241834373044465</v>
          </cell>
        </row>
        <row r="7">
          <cell r="BF7" t="str">
            <v>EPS Old</v>
          </cell>
          <cell r="BG7">
            <v>4.9059133621325213</v>
          </cell>
          <cell r="BH7">
            <v>4.0391963954232351</v>
          </cell>
          <cell r="BI7">
            <v>4.0873041939764505</v>
          </cell>
          <cell r="BJ7">
            <v>4.3061656493427547</v>
          </cell>
        </row>
        <row r="8">
          <cell r="BF8" t="str">
            <v>DPS Old</v>
          </cell>
          <cell r="BG8">
            <v>4.5460664469509648</v>
          </cell>
          <cell r="BH8">
            <v>3.4457631039266854</v>
          </cell>
          <cell r="BI8">
            <v>3.4842492268897289</v>
          </cell>
          <cell r="BJ8">
            <v>3.6593383911827728</v>
          </cell>
        </row>
        <row r="10">
          <cell r="BF10" t="str">
            <v>EPS Change</v>
          </cell>
          <cell r="BG10">
            <v>-2.8523290125873957E-2</v>
          </cell>
          <cell r="BH10">
            <v>-3.0370898448721761E-2</v>
          </cell>
          <cell r="BI10">
            <v>-3.8226261885091595E-2</v>
          </cell>
          <cell r="BJ10">
            <v>-3.3294749418564695E-2</v>
          </cell>
        </row>
        <row r="11">
          <cell r="BF11" t="str">
            <v>DPS Change</v>
          </cell>
          <cell r="BG11">
            <v>-1.0133254207461362E-2</v>
          </cell>
          <cell r="BH11">
            <v>-8.888669190744658E-2</v>
          </cell>
          <cell r="BI11">
            <v>-9.5820964596438629E-2</v>
          </cell>
          <cell r="BJ11">
            <v>-9.1588948069379672E-2</v>
          </cell>
        </row>
        <row r="18">
          <cell r="A18" t="str">
            <v>SEGMENT P+L RESULT</v>
          </cell>
          <cell r="D18">
            <v>2000</v>
          </cell>
          <cell r="E18" t="str">
            <v>1H01</v>
          </cell>
          <cell r="F18" t="str">
            <v>2H01</v>
          </cell>
          <cell r="G18">
            <v>2001</v>
          </cell>
          <cell r="H18" t="str">
            <v>1H02</v>
          </cell>
          <cell r="I18" t="str">
            <v>2H02</v>
          </cell>
          <cell r="J18">
            <v>2002</v>
          </cell>
          <cell r="K18" t="str">
            <v>1H03</v>
          </cell>
          <cell r="L18" t="str">
            <v>2H03</v>
          </cell>
          <cell r="M18">
            <v>2003</v>
          </cell>
          <cell r="N18" t="str">
            <v>1H04</v>
          </cell>
          <cell r="O18" t="str">
            <v>2H04</v>
          </cell>
          <cell r="P18">
            <v>2004</v>
          </cell>
          <cell r="Q18" t="str">
            <v>1H05A</v>
          </cell>
          <cell r="R18" t="str">
            <v>2H05A</v>
          </cell>
          <cell r="S18" t="str">
            <v>2005A</v>
          </cell>
          <cell r="T18" t="str">
            <v>1H06A</v>
          </cell>
          <cell r="U18" t="str">
            <v>2H06A</v>
          </cell>
          <cell r="V18" t="str">
            <v>2006A</v>
          </cell>
          <cell r="W18" t="str">
            <v>1H07A</v>
          </cell>
          <cell r="X18" t="str">
            <v>2H07A</v>
          </cell>
          <cell r="Y18" t="str">
            <v>2007A</v>
          </cell>
          <cell r="Z18" t="str">
            <v>1H08A</v>
          </cell>
          <cell r="AA18" t="str">
            <v>2H08A</v>
          </cell>
          <cell r="AB18" t="str">
            <v>2008A</v>
          </cell>
          <cell r="AC18" t="str">
            <v>1H09A</v>
          </cell>
          <cell r="AD18" t="str">
            <v>2H09A</v>
          </cell>
          <cell r="AE18" t="str">
            <v>2009A</v>
          </cell>
          <cell r="AF18" t="str">
            <v>1H10</v>
          </cell>
          <cell r="AG18" t="str">
            <v>2H10</v>
          </cell>
          <cell r="AH18">
            <v>2010</v>
          </cell>
          <cell r="AI18" t="str">
            <v>1H11</v>
          </cell>
          <cell r="AJ18" t="str">
            <v>2H11</v>
          </cell>
          <cell r="AK18">
            <v>2011</v>
          </cell>
          <cell r="AL18" t="str">
            <v>1H12</v>
          </cell>
          <cell r="AM18" t="str">
            <v>2H12</v>
          </cell>
          <cell r="AN18">
            <v>2012</v>
          </cell>
        </row>
        <row r="19">
          <cell r="A19" t="str">
            <v>Normalised EPS (¢)</v>
          </cell>
          <cell r="Q19">
            <v>3.2825903704071</v>
          </cell>
          <cell r="R19">
            <v>24.822730202806564</v>
          </cell>
          <cell r="S19">
            <v>28.105320573213668</v>
          </cell>
          <cell r="T19">
            <v>34.536619229434223</v>
          </cell>
          <cell r="U19">
            <v>34.150785443443148</v>
          </cell>
          <cell r="V19">
            <v>27.507755946225434</v>
          </cell>
          <cell r="W19">
            <v>14.610725365637466</v>
          </cell>
          <cell r="X19">
            <v>15.001700095390188</v>
          </cell>
          <cell r="Y19">
            <v>29.434269545138143</v>
          </cell>
          <cell r="Z19">
            <v>10.88426797354091</v>
          </cell>
          <cell r="AA19">
            <v>7.04308396945585</v>
          </cell>
          <cell r="AB19">
            <v>21.897332897379613</v>
          </cell>
          <cell r="AC19">
            <v>3.1524289964336529</v>
          </cell>
          <cell r="AD19">
            <v>1.942211188962838</v>
          </cell>
          <cell r="AE19">
            <v>4.7659805719720136</v>
          </cell>
          <cell r="AF19">
            <v>1.9769671629312739</v>
          </cell>
          <cell r="AG19">
            <v>1.9395552270974028</v>
          </cell>
          <cell r="AH19">
            <v>3.916522371883393</v>
          </cell>
          <cell r="AI19">
            <v>1.9702190077531645</v>
          </cell>
          <cell r="AJ19">
            <v>1.9608428257003101</v>
          </cell>
          <cell r="AK19">
            <v>3.9310618334534735</v>
          </cell>
          <cell r="AL19">
            <v>2.0403194599978067</v>
          </cell>
          <cell r="AM19">
            <v>2.1224734830952507</v>
          </cell>
          <cell r="AN19">
            <v>4.1627929430930566</v>
          </cell>
        </row>
        <row r="20">
          <cell r="A20" t="str">
            <v>EPS Multiple</v>
          </cell>
          <cell r="AC20">
            <v>9.516471277842907</v>
          </cell>
          <cell r="AD20">
            <v>15.446312002774697</v>
          </cell>
          <cell r="AE20">
            <v>12.589224629418469</v>
          </cell>
          <cell r="AF20">
            <v>15.174758874355113</v>
          </cell>
          <cell r="AG20">
            <v>15.467463664283391</v>
          </cell>
          <cell r="AH20">
            <v>15.319713333118779</v>
          </cell>
          <cell r="AI20">
            <v>15.226733617909801</v>
          </cell>
          <cell r="AJ20">
            <v>15.299543444684597</v>
          </cell>
          <cell r="AK20">
            <v>15.263051700026162</v>
          </cell>
          <cell r="AL20">
            <v>14.703579801190667</v>
          </cell>
          <cell r="AM20">
            <v>14.13445220349718</v>
          </cell>
          <cell r="AN20">
            <v>14.413400046608741</v>
          </cell>
        </row>
        <row r="21">
          <cell r="A21" t="str">
            <v>AFFO/Unit (¢)</v>
          </cell>
          <cell r="Q21">
            <v>11.079377200376854</v>
          </cell>
          <cell r="R21">
            <v>-2.0986958893241439</v>
          </cell>
          <cell r="S21">
            <v>9.3209500669410392</v>
          </cell>
          <cell r="T21">
            <v>12.28002181782119</v>
          </cell>
          <cell r="U21">
            <v>12.609011670852416</v>
          </cell>
          <cell r="V21">
            <v>24.804372876348051</v>
          </cell>
          <cell r="W21">
            <v>13.58081449746393</v>
          </cell>
          <cell r="X21">
            <v>13.92441847738581</v>
          </cell>
          <cell r="Y21">
            <v>28.269312621517912</v>
          </cell>
          <cell r="Z21">
            <v>9.5377444833168017</v>
          </cell>
          <cell r="AA21">
            <v>6.0984708267857988</v>
          </cell>
          <cell r="AB21">
            <v>19.074221121958061</v>
          </cell>
          <cell r="AC21">
            <v>2.5760186263096623</v>
          </cell>
          <cell r="AD21">
            <v>1.6351947456819413</v>
          </cell>
          <cell r="AE21">
            <v>3.9551817704973029</v>
          </cell>
          <cell r="AF21">
            <v>1.6562288644801328</v>
          </cell>
          <cell r="AG21">
            <v>1.6143668576146326</v>
          </cell>
          <cell r="AH21">
            <v>3.2705957017911382</v>
          </cell>
          <cell r="AI21">
            <v>1.6371540395624402</v>
          </cell>
          <cell r="AJ21">
            <v>1.6110464366004389</v>
          </cell>
          <cell r="AK21">
            <v>3.2482004761628778</v>
          </cell>
          <cell r="AL21">
            <v>1.6783640206326118</v>
          </cell>
          <cell r="AM21">
            <v>1.7527496241507057</v>
          </cell>
          <cell r="AN21">
            <v>3.4311136447833173</v>
          </cell>
        </row>
        <row r="22">
          <cell r="A22" t="str">
            <v>AFFO Yield</v>
          </cell>
          <cell r="AC22">
            <v>8.5867287543655413E-2</v>
          </cell>
          <cell r="AD22">
            <v>5.4506491522731376E-2</v>
          </cell>
          <cell r="AE22">
            <v>6.591969617495505E-2</v>
          </cell>
          <cell r="AF22">
            <v>5.5207628816004425E-2</v>
          </cell>
          <cell r="AG22">
            <v>5.3812228587154419E-2</v>
          </cell>
          <cell r="AH22">
            <v>5.450992836318564E-2</v>
          </cell>
          <cell r="AI22">
            <v>5.457180131874801E-2</v>
          </cell>
          <cell r="AJ22">
            <v>5.3701547886681293E-2</v>
          </cell>
          <cell r="AK22">
            <v>5.4136674602714631E-2</v>
          </cell>
          <cell r="AL22">
            <v>5.5945467354420395E-2</v>
          </cell>
          <cell r="AM22">
            <v>5.8424987471690192E-2</v>
          </cell>
          <cell r="AN22">
            <v>5.718522741305529E-2</v>
          </cell>
        </row>
        <row r="23">
          <cell r="A23" t="str">
            <v>Dividends/Unit (¢)</v>
          </cell>
          <cell r="Q23">
            <v>11.4</v>
          </cell>
          <cell r="R23">
            <v>13</v>
          </cell>
          <cell r="S23">
            <v>24.4</v>
          </cell>
          <cell r="T23">
            <v>13.2</v>
          </cell>
          <cell r="U23">
            <v>14.3</v>
          </cell>
          <cell r="V23">
            <v>27.5</v>
          </cell>
          <cell r="W23">
            <v>14.3</v>
          </cell>
          <cell r="X23">
            <v>14.45</v>
          </cell>
          <cell r="Y23">
            <v>28.9</v>
          </cell>
          <cell r="Z23">
            <v>11.4</v>
          </cell>
          <cell r="AA23">
            <v>6.2999999999999989</v>
          </cell>
          <cell r="AB23">
            <v>17.7</v>
          </cell>
          <cell r="AC23">
            <v>2.5</v>
          </cell>
          <cell r="AD23">
            <v>2</v>
          </cell>
          <cell r="AE23">
            <v>4.5</v>
          </cell>
          <cell r="AF23">
            <v>1.5837698352065288</v>
          </cell>
          <cell r="AG23">
            <v>1.5557107853153789</v>
          </cell>
          <cell r="AH23">
            <v>3.1394806205219075</v>
          </cell>
          <cell r="AI23">
            <v>1.5787086208071999</v>
          </cell>
          <cell r="AJ23">
            <v>1.5716764842675595</v>
          </cell>
          <cell r="AK23">
            <v>3.1503851050747596</v>
          </cell>
          <cell r="AL23">
            <v>1.6312839599906819</v>
          </cell>
          <cell r="AM23">
            <v>1.6928994773137647</v>
          </cell>
          <cell r="AN23">
            <v>3.3241834373044465</v>
          </cell>
        </row>
        <row r="24">
          <cell r="A24" t="str">
            <v>Dividend Yield</v>
          </cell>
          <cell r="AC24">
            <v>8.3333333333333329E-2</v>
          </cell>
          <cell r="AD24">
            <v>6.6666666666666666E-2</v>
          </cell>
          <cell r="AE24">
            <v>7.4999999999999997E-2</v>
          </cell>
          <cell r="AF24">
            <v>5.2792327840217625E-2</v>
          </cell>
          <cell r="AG24">
            <v>5.1857026177179293E-2</v>
          </cell>
          <cell r="AH24">
            <v>5.2324677008698459E-2</v>
          </cell>
          <cell r="AI24">
            <v>5.2623620693573327E-2</v>
          </cell>
          <cell r="AJ24">
            <v>5.2389216142251983E-2</v>
          </cell>
          <cell r="AK24">
            <v>5.2506418417912662E-2</v>
          </cell>
          <cell r="AL24">
            <v>5.4376131999689395E-2</v>
          </cell>
          <cell r="AM24">
            <v>5.642998257712549E-2</v>
          </cell>
          <cell r="AN24">
            <v>5.5403057288407442E-2</v>
          </cell>
        </row>
        <row r="25">
          <cell r="A25" t="str">
            <v>OPERATING EBIT</v>
          </cell>
          <cell r="Q25" t="str">
            <v xml:space="preserve"> </v>
          </cell>
        </row>
        <row r="26">
          <cell r="A26" t="str">
            <v>Retail</v>
          </cell>
          <cell r="Q26">
            <v>140.84999999999997</v>
          </cell>
          <cell r="R26">
            <v>172.14999999999998</v>
          </cell>
          <cell r="S26">
            <v>312.99999999999994</v>
          </cell>
          <cell r="T26">
            <v>161.80000000000001</v>
          </cell>
          <cell r="U26">
            <v>171.2</v>
          </cell>
          <cell r="V26">
            <v>333</v>
          </cell>
          <cell r="W26">
            <v>152.69999999999999</v>
          </cell>
          <cell r="X26">
            <v>110</v>
          </cell>
          <cell r="Y26">
            <v>262.7</v>
          </cell>
          <cell r="Z26">
            <v>131.9</v>
          </cell>
          <cell r="AA26">
            <v>128.70000000000002</v>
          </cell>
          <cell r="AB26">
            <v>260.60000000000002</v>
          </cell>
          <cell r="AC26">
            <v>138.9</v>
          </cell>
          <cell r="AD26">
            <v>127.6</v>
          </cell>
          <cell r="AE26">
            <v>266.5</v>
          </cell>
          <cell r="AF26">
            <v>132.23736445931544</v>
          </cell>
          <cell r="AG26">
            <v>134.27365897688492</v>
          </cell>
          <cell r="AH26">
            <v>266.51102343620039</v>
          </cell>
          <cell r="AI26">
            <v>137.40726610015182</v>
          </cell>
          <cell r="AJ26">
            <v>139.95085530590589</v>
          </cell>
          <cell r="AK26">
            <v>277.35812140605771</v>
          </cell>
          <cell r="AL26">
            <v>142.22505670462687</v>
          </cell>
          <cell r="AM26">
            <v>144.53621387607703</v>
          </cell>
          <cell r="AN26">
            <v>286.76127058070392</v>
          </cell>
        </row>
        <row r="27">
          <cell r="A27" t="str">
            <v>Office</v>
          </cell>
          <cell r="Q27">
            <v>99.225000000000009</v>
          </cell>
          <cell r="R27">
            <v>121.27500000000002</v>
          </cell>
          <cell r="S27">
            <v>220.50000000000003</v>
          </cell>
          <cell r="T27">
            <v>135.69999999999999</v>
          </cell>
          <cell r="U27">
            <v>86.4</v>
          </cell>
          <cell r="V27">
            <v>222.1</v>
          </cell>
          <cell r="W27">
            <v>81.599999999999994</v>
          </cell>
          <cell r="X27">
            <v>46.300000000000011</v>
          </cell>
          <cell r="Y27">
            <v>127.9</v>
          </cell>
          <cell r="Z27">
            <v>56.160000000000004</v>
          </cell>
          <cell r="AA27">
            <v>92.34</v>
          </cell>
          <cell r="AB27">
            <v>148.5</v>
          </cell>
          <cell r="AC27">
            <v>59.1</v>
          </cell>
          <cell r="AD27">
            <v>61.1</v>
          </cell>
          <cell r="AE27">
            <v>120.2</v>
          </cell>
          <cell r="AF27">
            <v>62.91962381389154</v>
          </cell>
          <cell r="AG27">
            <v>63.323423598342202</v>
          </cell>
          <cell r="AH27">
            <v>126.24304741223375</v>
          </cell>
          <cell r="AI27">
            <v>64.396792016767179</v>
          </cell>
          <cell r="AJ27">
            <v>65.54489307870368</v>
          </cell>
          <cell r="AK27">
            <v>129.94168509547086</v>
          </cell>
          <cell r="AL27">
            <v>66.446135358535855</v>
          </cell>
          <cell r="AM27">
            <v>67.359769719715729</v>
          </cell>
          <cell r="AN27">
            <v>133.80590507825158</v>
          </cell>
        </row>
        <row r="28">
          <cell r="A28" t="str">
            <v>Industrial</v>
          </cell>
          <cell r="Q28">
            <v>11.610000000000003</v>
          </cell>
          <cell r="R28">
            <v>14.190000000000001</v>
          </cell>
          <cell r="S28">
            <v>25.800000000000004</v>
          </cell>
          <cell r="T28">
            <v>17.600000000000001</v>
          </cell>
          <cell r="U28">
            <v>21.699999999999996</v>
          </cell>
          <cell r="V28">
            <v>39.299999999999997</v>
          </cell>
          <cell r="W28">
            <v>22.8</v>
          </cell>
          <cell r="X28">
            <v>24.900000000000002</v>
          </cell>
          <cell r="Y28">
            <v>47.7</v>
          </cell>
          <cell r="Z28">
            <v>23.8</v>
          </cell>
          <cell r="AA28">
            <v>26.999999999999996</v>
          </cell>
          <cell r="AB28">
            <v>50.8</v>
          </cell>
          <cell r="AC28">
            <v>24.5</v>
          </cell>
          <cell r="AD28">
            <v>25.4</v>
          </cell>
          <cell r="AE28">
            <v>49.9</v>
          </cell>
          <cell r="AF28">
            <v>26.253163747553685</v>
          </cell>
          <cell r="AG28">
            <v>26.369214703257708</v>
          </cell>
          <cell r="AH28">
            <v>52.622378450811397</v>
          </cell>
          <cell r="AI28">
            <v>26.68608108818038</v>
          </cell>
          <cell r="AJ28">
            <v>27.055683311251673</v>
          </cell>
          <cell r="AK28">
            <v>53.741764399432057</v>
          </cell>
          <cell r="AL28">
            <v>27.393879352642323</v>
          </cell>
          <cell r="AM28">
            <v>27.736302844550359</v>
          </cell>
          <cell r="AN28">
            <v>55.130182197192681</v>
          </cell>
        </row>
        <row r="29">
          <cell r="A29" t="str">
            <v>Hotel &amp; Tourism</v>
          </cell>
          <cell r="Q29">
            <v>31.004999999999995</v>
          </cell>
          <cell r="R29">
            <v>37.894999999999996</v>
          </cell>
          <cell r="S29">
            <v>68.899999999999991</v>
          </cell>
          <cell r="T29">
            <v>26.9</v>
          </cell>
          <cell r="U29">
            <v>49.9</v>
          </cell>
          <cell r="V29">
            <v>76.8</v>
          </cell>
          <cell r="W29">
            <v>28.8</v>
          </cell>
          <cell r="X29">
            <v>43.7</v>
          </cell>
          <cell r="Y29">
            <v>72.5</v>
          </cell>
          <cell r="Z29">
            <v>22.6</v>
          </cell>
          <cell r="AA29">
            <v>39.699999999999996</v>
          </cell>
          <cell r="AB29">
            <v>62.3</v>
          </cell>
          <cell r="AC29">
            <v>21.5</v>
          </cell>
          <cell r="AD29">
            <v>31.799999999999997</v>
          </cell>
          <cell r="AE29">
            <v>53.3</v>
          </cell>
          <cell r="AF29">
            <v>14.489999999999998</v>
          </cell>
          <cell r="AG29">
            <v>14.489999999999998</v>
          </cell>
          <cell r="AH29">
            <v>28.979999999999997</v>
          </cell>
          <cell r="AI29">
            <v>14.997149999999998</v>
          </cell>
          <cell r="AJ29">
            <v>14.997149999999998</v>
          </cell>
          <cell r="AK29">
            <v>29.994299999999996</v>
          </cell>
          <cell r="AL29">
            <v>15.522050249999996</v>
          </cell>
          <cell r="AM29">
            <v>15.522050249999996</v>
          </cell>
          <cell r="AN29">
            <v>31.044100499999992</v>
          </cell>
        </row>
        <row r="30">
          <cell r="A30" t="str">
            <v>Senior Housing</v>
          </cell>
          <cell r="Q30">
            <v>0</v>
          </cell>
          <cell r="R30">
            <v>0</v>
          </cell>
          <cell r="U30">
            <v>0</v>
          </cell>
          <cell r="W30">
            <v>11</v>
          </cell>
          <cell r="X30">
            <v>8.8999999999999986</v>
          </cell>
          <cell r="Y30">
            <v>19.899999999999999</v>
          </cell>
          <cell r="Z30">
            <v>8.4</v>
          </cell>
          <cell r="AA30">
            <v>4.1999999999999993</v>
          </cell>
          <cell r="AB30">
            <v>12.6</v>
          </cell>
          <cell r="AC30">
            <v>9.1</v>
          </cell>
          <cell r="AD30">
            <v>9.5000000000000018</v>
          </cell>
          <cell r="AE30">
            <v>18.600000000000001</v>
          </cell>
          <cell r="AF30">
            <v>8.937648622684744</v>
          </cell>
          <cell r="AG30">
            <v>8.4173833877879005</v>
          </cell>
          <cell r="AH30">
            <v>17.355032010472645</v>
          </cell>
          <cell r="AI30">
            <v>6.9567189685839281</v>
          </cell>
          <cell r="AJ30">
            <v>6.7877497877878987</v>
          </cell>
          <cell r="AK30">
            <v>13.744468756371827</v>
          </cell>
          <cell r="AL30">
            <v>6.9144734571476327</v>
          </cell>
          <cell r="AM30">
            <v>7.0431933004825886</v>
          </cell>
          <cell r="AN30">
            <v>13.957666757630221</v>
          </cell>
        </row>
        <row r="31">
          <cell r="A31" t="str">
            <v>Funds Mgmt. - AUS (incl. GWOF/GWSCF)</v>
          </cell>
          <cell r="Q31">
            <v>0</v>
          </cell>
          <cell r="R31">
            <v>0</v>
          </cell>
          <cell r="U31">
            <v>2.2999999999999998</v>
          </cell>
          <cell r="V31">
            <v>2.2999999999999998</v>
          </cell>
          <cell r="W31">
            <v>5.3</v>
          </cell>
          <cell r="X31">
            <v>100.60000000000001</v>
          </cell>
          <cell r="Y31">
            <v>105.9</v>
          </cell>
          <cell r="Z31">
            <v>57.339999999999996</v>
          </cell>
          <cell r="AA31">
            <v>51.660000000000004</v>
          </cell>
          <cell r="AB31">
            <v>109</v>
          </cell>
          <cell r="AC31">
            <v>47.8</v>
          </cell>
          <cell r="AD31">
            <v>47.8</v>
          </cell>
          <cell r="AE31">
            <v>95.6</v>
          </cell>
          <cell r="AF31">
            <v>42.942409115416019</v>
          </cell>
          <cell r="AG31">
            <v>41.487929985121994</v>
          </cell>
          <cell r="AH31">
            <v>84.430339100538021</v>
          </cell>
          <cell r="AI31">
            <v>38.901993973188688</v>
          </cell>
          <cell r="AJ31">
            <v>38.6411264755763</v>
          </cell>
          <cell r="AK31">
            <v>77.543120448764995</v>
          </cell>
          <cell r="AL31">
            <v>39.959720766445628</v>
          </cell>
          <cell r="AM31">
            <v>40.651093661236999</v>
          </cell>
          <cell r="AN31">
            <v>80.610814427682627</v>
          </cell>
        </row>
        <row r="32">
          <cell r="A32" t="str">
            <v>Funds Mgmt. - EUR</v>
          </cell>
          <cell r="Q32">
            <v>0</v>
          </cell>
          <cell r="R32">
            <v>0</v>
          </cell>
          <cell r="U32">
            <v>0</v>
          </cell>
          <cell r="V32">
            <v>0</v>
          </cell>
          <cell r="W32">
            <v>0</v>
          </cell>
          <cell r="X32">
            <v>-5.0999999999999996</v>
          </cell>
          <cell r="Y32">
            <v>-5.0999999999999996</v>
          </cell>
          <cell r="Z32">
            <v>-11.9</v>
          </cell>
          <cell r="AA32">
            <v>-16.899999999999999</v>
          </cell>
          <cell r="AB32">
            <v>-28.8</v>
          </cell>
          <cell r="AC32">
            <v>-5.6</v>
          </cell>
          <cell r="AD32">
            <v>-15.4</v>
          </cell>
          <cell r="AE32">
            <v>-21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</row>
        <row r="33">
          <cell r="A33" t="str">
            <v>Joint Venture</v>
          </cell>
          <cell r="Q33">
            <v>13.994999999999999</v>
          </cell>
          <cell r="R33">
            <v>17.104999999999997</v>
          </cell>
          <cell r="S33">
            <v>31.099999999999998</v>
          </cell>
          <cell r="T33">
            <v>47.4</v>
          </cell>
          <cell r="U33">
            <v>52.800000000000004</v>
          </cell>
          <cell r="V33">
            <v>100.2</v>
          </cell>
          <cell r="W33">
            <v>83.4</v>
          </cell>
          <cell r="X33">
            <v>67.599999999999994</v>
          </cell>
          <cell r="Y33">
            <v>151</v>
          </cell>
          <cell r="Z33">
            <v>60.4</v>
          </cell>
          <cell r="AA33">
            <v>48.300000000000004</v>
          </cell>
          <cell r="AB33">
            <v>108.7</v>
          </cell>
          <cell r="AC33">
            <v>-1.4</v>
          </cell>
          <cell r="AD33">
            <v>0.39999999999999991</v>
          </cell>
          <cell r="AE33">
            <v>-1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</row>
        <row r="34">
          <cell r="A34" t="str">
            <v>Other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2.6</v>
          </cell>
          <cell r="AD34">
            <v>-0.10000000000000009</v>
          </cell>
          <cell r="AE34">
            <v>2.5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</row>
        <row r="35">
          <cell r="A35" t="str">
            <v>Total EBIT (Before Corp. Costs)</v>
          </cell>
          <cell r="Q35">
            <v>296.685</v>
          </cell>
          <cell r="R35">
            <v>362.61500000000001</v>
          </cell>
          <cell r="S35">
            <v>659.3</v>
          </cell>
          <cell r="T35">
            <v>389.4</v>
          </cell>
          <cell r="U35">
            <v>384.3</v>
          </cell>
          <cell r="V35">
            <v>773.69999999999993</v>
          </cell>
          <cell r="W35">
            <v>385.6</v>
          </cell>
          <cell r="X35">
            <v>396.9</v>
          </cell>
          <cell r="Y35">
            <v>782.5</v>
          </cell>
          <cell r="Z35">
            <v>348.7</v>
          </cell>
          <cell r="AA35">
            <v>375.00000000000006</v>
          </cell>
          <cell r="AB35">
            <v>723.70000000000016</v>
          </cell>
          <cell r="AC35">
            <v>296.5</v>
          </cell>
          <cell r="AD35">
            <v>288.09999999999997</v>
          </cell>
          <cell r="AE35">
            <v>584.6</v>
          </cell>
          <cell r="AF35">
            <v>287.78020975886147</v>
          </cell>
          <cell r="AG35">
            <v>288.36161065139476</v>
          </cell>
          <cell r="AH35">
            <v>576.14182041025629</v>
          </cell>
          <cell r="AI35">
            <v>289.34600214687197</v>
          </cell>
          <cell r="AJ35">
            <v>292.97745795922543</v>
          </cell>
          <cell r="AK35">
            <v>582.3234601060974</v>
          </cell>
          <cell r="AL35">
            <v>298.46131588939829</v>
          </cell>
          <cell r="AM35">
            <v>302.84862365206271</v>
          </cell>
          <cell r="AN35">
            <v>601.30993954146106</v>
          </cell>
        </row>
        <row r="36">
          <cell r="A36" t="str">
            <v>Development NOI</v>
          </cell>
          <cell r="AE36">
            <v>0</v>
          </cell>
          <cell r="AF36">
            <v>0</v>
          </cell>
          <cell r="AG36">
            <v>8.5187499999999989</v>
          </cell>
          <cell r="AH36">
            <v>8.5187499999999989</v>
          </cell>
          <cell r="AI36">
            <v>18.979999999999997</v>
          </cell>
          <cell r="AJ36">
            <v>21.569999999999997</v>
          </cell>
          <cell r="AK36">
            <v>40.549999999999997</v>
          </cell>
          <cell r="AL36">
            <v>24.177499999999998</v>
          </cell>
          <cell r="AM36">
            <v>27.014249999999997</v>
          </cell>
          <cell r="AN36">
            <v>51.191749999999999</v>
          </cell>
        </row>
        <row r="37">
          <cell r="A37" t="str">
            <v>Total</v>
          </cell>
          <cell r="Q37">
            <v>296.685</v>
          </cell>
          <cell r="R37">
            <v>362.61500000000001</v>
          </cell>
          <cell r="S37">
            <v>659.3</v>
          </cell>
          <cell r="T37">
            <v>389.4</v>
          </cell>
          <cell r="U37">
            <v>384.3</v>
          </cell>
          <cell r="V37">
            <v>773.69999999999993</v>
          </cell>
          <cell r="W37">
            <v>385.6</v>
          </cell>
          <cell r="X37">
            <v>396.9</v>
          </cell>
          <cell r="Y37">
            <v>782.5</v>
          </cell>
          <cell r="Z37">
            <v>348.7</v>
          </cell>
          <cell r="AA37">
            <v>375.00000000000006</v>
          </cell>
          <cell r="AB37">
            <v>723.70000000000016</v>
          </cell>
          <cell r="AC37">
            <v>296.5</v>
          </cell>
          <cell r="AD37">
            <v>288.09999999999997</v>
          </cell>
          <cell r="AE37">
            <v>584.6</v>
          </cell>
          <cell r="AF37">
            <v>287.78020975886147</v>
          </cell>
          <cell r="AG37">
            <v>296.88036065139477</v>
          </cell>
          <cell r="AH37">
            <v>584.66057041025624</v>
          </cell>
          <cell r="AI37">
            <v>308.32600214687199</v>
          </cell>
          <cell r="AJ37">
            <v>314.54745795922543</v>
          </cell>
          <cell r="AK37">
            <v>622.87346010609735</v>
          </cell>
          <cell r="AL37">
            <v>322.6388158893983</v>
          </cell>
          <cell r="AM37">
            <v>329.86287365206272</v>
          </cell>
          <cell r="AN37">
            <v>652.50168954146102</v>
          </cell>
        </row>
        <row r="38">
          <cell r="A38" t="str">
            <v xml:space="preserve"> - growth</v>
          </cell>
          <cell r="V38">
            <v>0.17351736690429242</v>
          </cell>
          <cell r="W38">
            <v>-9.7586029789418216E-3</v>
          </cell>
          <cell r="X38">
            <v>3.2786885245901454E-2</v>
          </cell>
          <cell r="Y38">
            <v>1.1373917539097889E-2</v>
          </cell>
          <cell r="Z38">
            <v>-9.5695020746888071E-2</v>
          </cell>
          <cell r="AA38">
            <v>-5.5177626606197849E-2</v>
          </cell>
          <cell r="AB38">
            <v>-7.5143769968050944E-2</v>
          </cell>
          <cell r="AC38">
            <v>-0.14969888156008027</v>
          </cell>
          <cell r="AD38">
            <v>-0.23173333333333357</v>
          </cell>
          <cell r="AE38">
            <v>-0.19220671548984403</v>
          </cell>
          <cell r="AF38">
            <v>-2.9409073325930901E-2</v>
          </cell>
          <cell r="AG38">
            <v>3.0476781157219079E-2</v>
          </cell>
          <cell r="AH38">
            <v>1.0361000728065228E-4</v>
          </cell>
          <cell r="AI38">
            <v>7.1394042019867765E-2</v>
          </cell>
          <cell r="AJ38">
            <v>5.9509147958008102E-2</v>
          </cell>
          <cell r="AK38">
            <v>6.5359101724659086E-2</v>
          </cell>
          <cell r="AL38">
            <v>4.6421040207009101E-2</v>
          </cell>
          <cell r="AM38">
            <v>4.8690317805151651E-2</v>
          </cell>
          <cell r="AN38">
            <v>4.7567012134883679E-2</v>
          </cell>
        </row>
        <row r="39">
          <cell r="A39" t="str">
            <v>GPT Reported Operating Total EBIT</v>
          </cell>
          <cell r="Z39">
            <v>234</v>
          </cell>
          <cell r="AA39">
            <v>237.20000000000013</v>
          </cell>
          <cell r="AB39">
            <v>471.20000000000016</v>
          </cell>
          <cell r="AC39">
            <v>182.99999999999997</v>
          </cell>
          <cell r="AD39">
            <v>192.79999999999998</v>
          </cell>
          <cell r="AE39">
            <v>375.79999999999995</v>
          </cell>
          <cell r="AF39">
            <v>195.92486664509113</v>
          </cell>
          <cell r="AG39">
            <v>192.45392672732396</v>
          </cell>
          <cell r="AH39">
            <v>388.37879337241509</v>
          </cell>
          <cell r="AI39">
            <v>195.29894380145373</v>
          </cell>
          <cell r="AJ39">
            <v>194.42901199721916</v>
          </cell>
          <cell r="AK39">
            <v>389.72795579867284</v>
          </cell>
          <cell r="AL39">
            <v>201.80293578401927</v>
          </cell>
          <cell r="AM39">
            <v>209.42527045450808</v>
          </cell>
          <cell r="AN39">
            <v>411.22820623852738</v>
          </cell>
        </row>
        <row r="41">
          <cell r="A41" t="str">
            <v>OTHER INCOME</v>
          </cell>
        </row>
        <row r="42">
          <cell r="A42" t="str">
            <v>Interest Revenue</v>
          </cell>
          <cell r="Q42">
            <v>0</v>
          </cell>
          <cell r="R42">
            <v>0</v>
          </cell>
          <cell r="U42">
            <v>0</v>
          </cell>
          <cell r="X42">
            <v>0</v>
          </cell>
          <cell r="Z42">
            <v>4.5999999999999996</v>
          </cell>
          <cell r="AA42">
            <v>17.100000000000001</v>
          </cell>
          <cell r="AB42">
            <v>21.7</v>
          </cell>
          <cell r="AC42">
            <v>0</v>
          </cell>
          <cell r="AD42">
            <v>0</v>
          </cell>
          <cell r="AE42">
            <v>0</v>
          </cell>
          <cell r="AF42">
            <v>0.40299999999999503</v>
          </cell>
          <cell r="AG42">
            <v>2.549561499946059</v>
          </cell>
          <cell r="AH42">
            <v>2.9525614999460541</v>
          </cell>
          <cell r="AI42">
            <v>4.8728998731420576</v>
          </cell>
          <cell r="AJ42">
            <v>3.664667799815601</v>
          </cell>
          <cell r="AK42">
            <v>8.5375676729576586</v>
          </cell>
          <cell r="AL42">
            <v>2.8277789794220798</v>
          </cell>
          <cell r="AM42">
            <v>1.9497103434003302</v>
          </cell>
          <cell r="AN42">
            <v>4.7774893228224098</v>
          </cell>
        </row>
        <row r="44">
          <cell r="A44" t="str">
            <v>NON-OPERATING EXPENSES</v>
          </cell>
        </row>
        <row r="45">
          <cell r="A45" t="str">
            <v>General and Administrative</v>
          </cell>
          <cell r="Q45">
            <v>15</v>
          </cell>
          <cell r="R45">
            <v>294.60000000000002</v>
          </cell>
          <cell r="S45">
            <v>309.60000000000002</v>
          </cell>
          <cell r="T45">
            <v>17</v>
          </cell>
          <cell r="U45">
            <v>15.299999999999997</v>
          </cell>
          <cell r="V45">
            <v>32.299999999999997</v>
          </cell>
          <cell r="W45">
            <v>13.1</v>
          </cell>
          <cell r="X45">
            <v>27.199999999999996</v>
          </cell>
          <cell r="Y45">
            <v>40.299999999999997</v>
          </cell>
          <cell r="Z45">
            <v>16</v>
          </cell>
          <cell r="AA45">
            <v>28.200000000000003</v>
          </cell>
          <cell r="AB45">
            <v>44.2</v>
          </cell>
          <cell r="AC45">
            <v>6.1</v>
          </cell>
          <cell r="AD45">
            <v>28.5</v>
          </cell>
          <cell r="AE45">
            <v>34.6</v>
          </cell>
          <cell r="AF45">
            <v>14.7</v>
          </cell>
          <cell r="AG45">
            <v>15.205798236199241</v>
          </cell>
          <cell r="AH45">
            <v>29.905798236199239</v>
          </cell>
          <cell r="AI45">
            <v>15.506932385226937</v>
          </cell>
          <cell r="AJ45">
            <v>15.737817528488504</v>
          </cell>
          <cell r="AK45">
            <v>31.244749913715442</v>
          </cell>
          <cell r="AL45">
            <v>15.894416584801093</v>
          </cell>
          <cell r="AM45">
            <v>16.131071040954968</v>
          </cell>
          <cell r="AN45">
            <v>32.025487625756057</v>
          </cell>
        </row>
        <row r="46">
          <cell r="A46" t="str">
            <v>Other'</v>
          </cell>
          <cell r="Q46">
            <v>0</v>
          </cell>
          <cell r="R46">
            <v>-2.5</v>
          </cell>
          <cell r="S46">
            <v>-2.5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-54.499999999999972</v>
          </cell>
          <cell r="AB46">
            <v>-54.499999999999972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</row>
        <row r="47">
          <cell r="A47" t="str">
            <v>LT Debt Interest Expense</v>
          </cell>
          <cell r="Q47">
            <v>74.2</v>
          </cell>
          <cell r="R47">
            <v>81.399999999999991</v>
          </cell>
          <cell r="S47">
            <v>155.6</v>
          </cell>
          <cell r="T47">
            <v>117.8</v>
          </cell>
          <cell r="U47">
            <v>107.39999999999999</v>
          </cell>
          <cell r="V47">
            <v>225.2</v>
          </cell>
          <cell r="W47">
            <v>108.2</v>
          </cell>
          <cell r="X47">
            <v>118.89999999999999</v>
          </cell>
          <cell r="Y47">
            <v>227.1</v>
          </cell>
          <cell r="Z47">
            <v>142.1</v>
          </cell>
          <cell r="AA47">
            <v>161.50000000000003</v>
          </cell>
          <cell r="AB47">
            <v>303.60000000000002</v>
          </cell>
          <cell r="AC47">
            <v>100</v>
          </cell>
          <cell r="AD47">
            <v>75.099999999999994</v>
          </cell>
          <cell r="AE47">
            <v>175.1</v>
          </cell>
          <cell r="AF47">
            <v>77.558343113770377</v>
          </cell>
          <cell r="AG47">
            <v>91.770197187817573</v>
          </cell>
          <cell r="AH47">
            <v>169.32854030158796</v>
          </cell>
          <cell r="AI47">
            <v>102.39302583333335</v>
          </cell>
          <cell r="AJ47">
            <v>108.04529623333336</v>
          </cell>
          <cell r="AK47">
            <v>210.43832206666673</v>
          </cell>
          <cell r="AL47">
            <v>107.76924250000002</v>
          </cell>
          <cell r="AM47">
            <v>106.25624250000001</v>
          </cell>
          <cell r="AN47">
            <v>214.02548500000003</v>
          </cell>
        </row>
        <row r="48">
          <cell r="A48" t="str">
            <v>Revolver Int. Expense</v>
          </cell>
          <cell r="Q48">
            <v>0</v>
          </cell>
          <cell r="R48">
            <v>0</v>
          </cell>
          <cell r="U48">
            <v>0</v>
          </cell>
          <cell r="X48">
            <v>0</v>
          </cell>
          <cell r="AA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</row>
        <row r="49">
          <cell r="A49" t="str">
            <v>Other''</v>
          </cell>
          <cell r="Q49">
            <v>-22.015000000000001</v>
          </cell>
          <cell r="R49">
            <v>16.915000000000006</v>
          </cell>
          <cell r="S49">
            <v>-5.0999999999999943</v>
          </cell>
          <cell r="T49">
            <v>-22.3</v>
          </cell>
          <cell r="U49">
            <v>-21.299999999999979</v>
          </cell>
          <cell r="V49">
            <v>-43.59999999999998</v>
          </cell>
          <cell r="W49">
            <v>-32.399999999999991</v>
          </cell>
          <cell r="X49">
            <v>-66.09999999999998</v>
          </cell>
          <cell r="Y49">
            <v>-98.499999999999972</v>
          </cell>
          <cell r="Z49">
            <v>-38.799999999999997</v>
          </cell>
          <cell r="AA49">
            <v>7.5999999999999517</v>
          </cell>
          <cell r="AB49">
            <v>-31.200000000000045</v>
          </cell>
          <cell r="AC49">
            <v>8.4</v>
          </cell>
          <cell r="AD49">
            <v>-6.3000000000000007</v>
          </cell>
          <cell r="AE49">
            <v>2.1</v>
          </cell>
          <cell r="AH49">
            <v>0</v>
          </cell>
          <cell r="AK49">
            <v>0</v>
          </cell>
          <cell r="AN49">
            <v>0</v>
          </cell>
        </row>
        <row r="50">
          <cell r="A50" t="str">
            <v>Total Expense</v>
          </cell>
          <cell r="Q50">
            <v>67.185000000000002</v>
          </cell>
          <cell r="R50">
            <v>390.41500000000002</v>
          </cell>
          <cell r="S50">
            <v>457.6</v>
          </cell>
          <cell r="T50">
            <v>112.50000000000001</v>
          </cell>
          <cell r="U50">
            <v>101.4</v>
          </cell>
          <cell r="V50">
            <v>213.90000000000003</v>
          </cell>
          <cell r="W50">
            <v>88.9</v>
          </cell>
          <cell r="X50">
            <v>80.000000000000014</v>
          </cell>
          <cell r="Y50">
            <v>168.9</v>
          </cell>
          <cell r="Z50">
            <v>119.3</v>
          </cell>
          <cell r="AA50">
            <v>142.80000000000001</v>
          </cell>
          <cell r="AB50">
            <v>262.10000000000002</v>
          </cell>
          <cell r="AC50">
            <v>114.5</v>
          </cell>
          <cell r="AD50">
            <v>97.3</v>
          </cell>
          <cell r="AE50">
            <v>211.79999999999998</v>
          </cell>
          <cell r="AF50">
            <v>92.25834311377038</v>
          </cell>
          <cell r="AG50">
            <v>106.97599542401682</v>
          </cell>
          <cell r="AH50">
            <v>199.23433853778721</v>
          </cell>
          <cell r="AI50">
            <v>117.89995821856029</v>
          </cell>
          <cell r="AJ50">
            <v>123.78311376182187</v>
          </cell>
          <cell r="AK50">
            <v>241.68307198038218</v>
          </cell>
          <cell r="AL50">
            <v>123.66365908480111</v>
          </cell>
          <cell r="AM50">
            <v>122.38731354095498</v>
          </cell>
          <cell r="AN50">
            <v>246.05097262575609</v>
          </cell>
        </row>
        <row r="52">
          <cell r="A52" t="str">
            <v>Profit b/f tax</v>
          </cell>
          <cell r="Q52">
            <v>229.5</v>
          </cell>
          <cell r="R52">
            <v>-27.800000000000011</v>
          </cell>
          <cell r="S52">
            <v>201.69999999999993</v>
          </cell>
          <cell r="T52">
            <v>276.89999999999998</v>
          </cell>
          <cell r="U52">
            <v>282.89999999999998</v>
          </cell>
          <cell r="V52">
            <v>559.79999999999995</v>
          </cell>
          <cell r="W52">
            <v>296.70000000000005</v>
          </cell>
          <cell r="X52">
            <v>316.89999999999998</v>
          </cell>
          <cell r="Y52">
            <v>613.6</v>
          </cell>
          <cell r="Z52">
            <v>234</v>
          </cell>
          <cell r="AA52">
            <v>249.30000000000007</v>
          </cell>
          <cell r="AB52">
            <v>483.30000000000018</v>
          </cell>
          <cell r="AC52">
            <v>182</v>
          </cell>
          <cell r="AD52">
            <v>190.79999999999995</v>
          </cell>
          <cell r="AE52">
            <v>372.80000000000007</v>
          </cell>
          <cell r="AF52">
            <v>195.92486664509113</v>
          </cell>
          <cell r="AG52">
            <v>192.45392672732399</v>
          </cell>
          <cell r="AH52">
            <v>388.37879337241503</v>
          </cell>
          <cell r="AI52">
            <v>195.29894380145373</v>
          </cell>
          <cell r="AJ52">
            <v>194.42901199721916</v>
          </cell>
          <cell r="AK52">
            <v>389.72795579867278</v>
          </cell>
          <cell r="AL52">
            <v>201.80293578401927</v>
          </cell>
          <cell r="AM52">
            <v>209.42527045450808</v>
          </cell>
          <cell r="AN52">
            <v>411.22820623852726</v>
          </cell>
        </row>
        <row r="54">
          <cell r="A54" t="str">
            <v>Income tax expense (benefit)</v>
          </cell>
          <cell r="Q54">
            <v>-0.8</v>
          </cell>
          <cell r="R54">
            <v>0.8</v>
          </cell>
          <cell r="S54">
            <v>0</v>
          </cell>
          <cell r="T54">
            <v>1.8</v>
          </cell>
          <cell r="U54">
            <v>-0.60000000000000009</v>
          </cell>
          <cell r="V54">
            <v>1.2</v>
          </cell>
          <cell r="W54">
            <v>0</v>
          </cell>
          <cell r="X54">
            <v>8.5</v>
          </cell>
          <cell r="Y54">
            <v>8.5</v>
          </cell>
          <cell r="Z54">
            <v>0</v>
          </cell>
          <cell r="AA54">
            <v>12.1</v>
          </cell>
          <cell r="AB54">
            <v>12.1</v>
          </cell>
          <cell r="AC54">
            <v>-1</v>
          </cell>
          <cell r="AD54">
            <v>-2</v>
          </cell>
          <cell r="AE54">
            <v>-3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</row>
        <row r="55">
          <cell r="A55" t="str">
            <v>Effective tax rate for the group</v>
          </cell>
          <cell r="Q55">
            <v>-0.8</v>
          </cell>
          <cell r="R55">
            <v>0.8</v>
          </cell>
          <cell r="S55">
            <v>0</v>
          </cell>
          <cell r="T55">
            <v>6.5005417118093184E-3</v>
          </cell>
          <cell r="U55">
            <v>-2.1208907741251332E-3</v>
          </cell>
          <cell r="V55">
            <v>2.1436227224008574E-3</v>
          </cell>
          <cell r="W55">
            <v>0</v>
          </cell>
          <cell r="X55">
            <v>2.6822341432628592E-2</v>
          </cell>
          <cell r="Y55">
            <v>1.3852672750977835E-2</v>
          </cell>
          <cell r="Z55">
            <v>0</v>
          </cell>
          <cell r="AA55">
            <v>4.8535900521460076E-2</v>
          </cell>
          <cell r="AB55">
            <v>2.5036209393751282E-2</v>
          </cell>
          <cell r="AC55">
            <v>-5.4945054945054949E-3</v>
          </cell>
          <cell r="AD55">
            <v>-1.0482180293501051E-2</v>
          </cell>
          <cell r="AE55">
            <v>-8.0472103004291824E-3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</row>
        <row r="56">
          <cell r="A56" t="str">
            <v>Profit After Tax</v>
          </cell>
          <cell r="Q56">
            <v>230.3</v>
          </cell>
          <cell r="R56">
            <v>-28.600000000000012</v>
          </cell>
          <cell r="S56">
            <v>0</v>
          </cell>
          <cell r="T56">
            <v>6.5005417118093184E-3</v>
          </cell>
          <cell r="U56">
            <v>-2.1208907741251332E-3</v>
          </cell>
          <cell r="V56">
            <v>2.1436227224008574E-3</v>
          </cell>
          <cell r="W56">
            <v>0</v>
          </cell>
          <cell r="X56">
            <v>2.6822341432628592E-2</v>
          </cell>
          <cell r="Y56">
            <v>1.3852672750977835E-2</v>
          </cell>
          <cell r="Z56">
            <v>0</v>
          </cell>
          <cell r="AA56">
            <v>4.8535900521460076E-2</v>
          </cell>
          <cell r="AB56">
            <v>2.5036209393751282E-2</v>
          </cell>
          <cell r="AC56">
            <v>-5.4945054945054949E-3</v>
          </cell>
          <cell r="AD56">
            <v>-1.0482180293501051E-2</v>
          </cell>
          <cell r="AE56">
            <v>-8.0472103004291824E-3</v>
          </cell>
          <cell r="AF56">
            <v>0</v>
          </cell>
          <cell r="AG56">
            <v>0</v>
          </cell>
          <cell r="AH56">
            <v>-3.1848462899004477E-3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209.42527045450808</v>
          </cell>
          <cell r="AN56">
            <v>411.22820623852726</v>
          </cell>
        </row>
        <row r="57">
          <cell r="A57" t="str">
            <v>Y-o-Y Growth</v>
          </cell>
          <cell r="Q57">
            <v>230.3</v>
          </cell>
          <cell r="R57">
            <v>-28.600000000000012</v>
          </cell>
          <cell r="S57">
            <v>201.69999999999993</v>
          </cell>
          <cell r="T57">
            <v>275.09999999999997</v>
          </cell>
          <cell r="U57">
            <v>283.5</v>
          </cell>
          <cell r="V57">
            <v>558.59999999999991</v>
          </cell>
          <cell r="W57">
            <v>296.70000000000005</v>
          </cell>
          <cell r="X57">
            <v>308.39999999999998</v>
          </cell>
          <cell r="Y57">
            <v>605.1</v>
          </cell>
          <cell r="Z57">
            <v>234</v>
          </cell>
          <cell r="AA57">
            <v>237.20000000000007</v>
          </cell>
          <cell r="AB57">
            <v>471.20000000000016</v>
          </cell>
          <cell r="AC57">
            <v>183</v>
          </cell>
          <cell r="AD57">
            <v>192.79999999999995</v>
          </cell>
          <cell r="AE57">
            <v>375.80000000000007</v>
          </cell>
          <cell r="AF57">
            <v>7.0627686585197358E-2</v>
          </cell>
          <cell r="AG57">
            <v>-1.7949858541284058E-3</v>
          </cell>
          <cell r="AH57">
            <v>3.3472041970236788E-2</v>
          </cell>
          <cell r="AI57">
            <v>-3.1947085347324711E-3</v>
          </cell>
          <cell r="AJ57">
            <v>1.0262639497574666E-2</v>
          </cell>
          <cell r="AK57">
            <v>3.4738313452764569E-3</v>
          </cell>
          <cell r="AL57">
            <v>3.3302750419263338E-2</v>
          </cell>
          <cell r="AM57">
            <v>7.7129736469079058E-2</v>
          </cell>
          <cell r="AN57">
            <v>5.5167329209919957E-2</v>
          </cell>
        </row>
        <row r="58">
          <cell r="A58" t="str">
            <v>Minority Interest - Exchangeable Securities</v>
          </cell>
          <cell r="Z58">
            <v>0</v>
          </cell>
          <cell r="AA58">
            <v>2.4</v>
          </cell>
          <cell r="AB58">
            <v>2.4</v>
          </cell>
          <cell r="AC58">
            <v>12.4</v>
          </cell>
          <cell r="AD58">
            <v>12.6</v>
          </cell>
          <cell r="AE58">
            <v>25</v>
          </cell>
          <cell r="AF58">
            <v>0.12459016393442601</v>
          </cell>
          <cell r="AG58">
            <v>5.6446911163104518E-2</v>
          </cell>
          <cell r="AH58">
            <v>8.9630027866541395E-2</v>
          </cell>
          <cell r="AI58">
            <v>-2.8868958631709685E-2</v>
          </cell>
          <cell r="AJ58">
            <v>2.7974589994550492E-4</v>
          </cell>
          <cell r="AK58">
            <v>-1.4369956073238987E-2</v>
          </cell>
          <cell r="AL58">
            <v>2.1629573031886506E-2</v>
          </cell>
          <cell r="AM58">
            <v>12.5</v>
          </cell>
          <cell r="AN58">
            <v>25</v>
          </cell>
        </row>
        <row r="59">
          <cell r="A59" t="str">
            <v>NPAT (Normalized Net Income)</v>
          </cell>
          <cell r="Q59">
            <v>230.3</v>
          </cell>
          <cell r="R59">
            <v>-28.600000000000012</v>
          </cell>
          <cell r="S59">
            <v>201.69999999999993</v>
          </cell>
          <cell r="T59">
            <v>275.09999999999997</v>
          </cell>
          <cell r="U59">
            <v>283.5</v>
          </cell>
          <cell r="V59">
            <v>558.59999999999991</v>
          </cell>
          <cell r="W59">
            <v>296.70000000000005</v>
          </cell>
          <cell r="X59">
            <v>308.39999999999998</v>
          </cell>
          <cell r="Y59">
            <v>605.1</v>
          </cell>
          <cell r="Z59">
            <v>0</v>
          </cell>
          <cell r="AA59">
            <v>2.4</v>
          </cell>
          <cell r="AB59">
            <v>2.4</v>
          </cell>
          <cell r="AC59">
            <v>12.4</v>
          </cell>
          <cell r="AD59">
            <v>12.6</v>
          </cell>
          <cell r="AE59">
            <v>25</v>
          </cell>
          <cell r="AF59">
            <v>12.4</v>
          </cell>
          <cell r="AG59">
            <v>12.5</v>
          </cell>
          <cell r="AH59">
            <v>24.9</v>
          </cell>
          <cell r="AI59">
            <v>12.5</v>
          </cell>
          <cell r="AJ59">
            <v>12.5</v>
          </cell>
          <cell r="AK59">
            <v>25</v>
          </cell>
          <cell r="AL59">
            <v>12.5</v>
          </cell>
          <cell r="AM59">
            <v>196.92527045450808</v>
          </cell>
          <cell r="AN59">
            <v>386.22820623852726</v>
          </cell>
        </row>
        <row r="60">
          <cell r="Q60">
            <v>230.3</v>
          </cell>
          <cell r="R60">
            <v>-28.600000000000012</v>
          </cell>
          <cell r="S60">
            <v>201.69999999999993</v>
          </cell>
          <cell r="T60">
            <v>0.19452887537993901</v>
          </cell>
          <cell r="U60">
            <v>-10.912587412587408</v>
          </cell>
          <cell r="V60">
            <v>1.7694595934556276</v>
          </cell>
          <cell r="W60">
            <v>7.8516902944384181E-2</v>
          </cell>
          <cell r="X60">
            <v>8.7830687830687815E-2</v>
          </cell>
          <cell r="Y60">
            <v>8.3243823845327913E-2</v>
          </cell>
          <cell r="Z60">
            <v>-0.21132457027300311</v>
          </cell>
          <cell r="AA60">
            <v>-0.23865110246433174</v>
          </cell>
          <cell r="AB60">
            <v>-0.22525202445876691</v>
          </cell>
          <cell r="AC60">
            <v>-0.27094017094017098</v>
          </cell>
          <cell r="AD60">
            <v>-0.23253833049403783</v>
          </cell>
          <cell r="AE60">
            <v>-0.25170648464163836</v>
          </cell>
          <cell r="AF60">
            <v>7.5175068259619726E-2</v>
          </cell>
          <cell r="AG60">
            <v>-1.3655564521418695E-3</v>
          </cell>
          <cell r="AH60">
            <v>3.5857449750327675E-2</v>
          </cell>
          <cell r="AI60">
            <v>-3.4124208733841144E-3</v>
          </cell>
          <cell r="AJ60">
            <v>1.0975505263010721E-2</v>
          </cell>
          <cell r="AK60">
            <v>3.7128265349128942E-3</v>
          </cell>
          <cell r="AL60">
            <v>3.5580030427472487E-2</v>
          </cell>
          <cell r="AM60">
            <v>8.242917549356088E-2</v>
          </cell>
          <cell r="AN60">
            <v>5.8948731782223041E-2</v>
          </cell>
        </row>
        <row r="61">
          <cell r="A61" t="str">
            <v>Normalised EPS (¢)</v>
          </cell>
          <cell r="Q61">
            <v>11.419645956265185</v>
          </cell>
          <cell r="R61">
            <v>-1.4181583775474791</v>
          </cell>
          <cell r="S61">
            <v>10.001487578717702</v>
          </cell>
          <cell r="T61">
            <v>0.19452887537993901</v>
          </cell>
          <cell r="U61">
            <v>-10.912587412587408</v>
          </cell>
          <cell r="V61">
            <v>1.7694595934556276</v>
          </cell>
          <cell r="W61">
            <v>7.8516902944384181E-2</v>
          </cell>
          <cell r="X61">
            <v>8.7830687830687815E-2</v>
          </cell>
          <cell r="Y61">
            <v>8.3243823845327913E-2</v>
          </cell>
          <cell r="Z61">
            <v>-0.21132457027300311</v>
          </cell>
          <cell r="AA61">
            <v>-0.23865110246433174</v>
          </cell>
          <cell r="AB61">
            <v>-0.22525202445876691</v>
          </cell>
          <cell r="AC61">
            <v>-0.27094017094017098</v>
          </cell>
          <cell r="AD61">
            <v>-0.23253833049403783</v>
          </cell>
          <cell r="AE61">
            <v>-0.25170648464163836</v>
          </cell>
          <cell r="AF61">
            <v>0.13364595545134783</v>
          </cell>
          <cell r="AG61">
            <v>6.0948748458637958E-2</v>
          </cell>
          <cell r="AH61">
            <v>9.6302635325673513E-2</v>
          </cell>
          <cell r="AI61">
            <v>-3.123697873012321E-2</v>
          </cell>
          <cell r="AJ61">
            <v>2.980363567284261E-4</v>
          </cell>
          <cell r="AK61">
            <v>-1.5560367372012718E-2</v>
          </cell>
          <cell r="AL61">
            <v>2.3072631530467236E-2</v>
          </cell>
          <cell r="AM61">
            <v>2.1224734830952507</v>
          </cell>
          <cell r="AN61">
            <v>4.1627929430930566</v>
          </cell>
        </row>
      </sheetData>
      <sheetData sheetId="11" refreshError="1">
        <row r="6">
          <cell r="BH6" t="str">
            <v>Cases</v>
          </cell>
        </row>
        <row r="8">
          <cell r="A8" t="str">
            <v>(in $ mm, except per share data)</v>
          </cell>
          <cell r="E8" t="str">
            <v>1H01</v>
          </cell>
          <cell r="F8" t="str">
            <v>2H01</v>
          </cell>
          <cell r="G8">
            <v>2001</v>
          </cell>
          <cell r="H8" t="str">
            <v>1H02</v>
          </cell>
          <cell r="I8" t="str">
            <v>2H02</v>
          </cell>
          <cell r="J8">
            <v>2002</v>
          </cell>
          <cell r="K8" t="str">
            <v>1H03</v>
          </cell>
          <cell r="L8" t="str">
            <v>2H03</v>
          </cell>
          <cell r="M8">
            <v>2003</v>
          </cell>
          <cell r="N8" t="str">
            <v>1H04</v>
          </cell>
          <cell r="O8" t="str">
            <v>2H04</v>
          </cell>
          <cell r="P8">
            <v>2004</v>
          </cell>
          <cell r="Q8" t="str">
            <v>1H05</v>
          </cell>
          <cell r="R8" t="str">
            <v>2H05</v>
          </cell>
          <cell r="S8">
            <v>2005</v>
          </cell>
          <cell r="T8" t="str">
            <v>1H06</v>
          </cell>
          <cell r="U8" t="str">
            <v>2H06</v>
          </cell>
          <cell r="V8">
            <v>2006</v>
          </cell>
          <cell r="W8" t="str">
            <v>1H07</v>
          </cell>
          <cell r="X8" t="str">
            <v>2H07</v>
          </cell>
          <cell r="Y8">
            <v>2007</v>
          </cell>
          <cell r="Z8" t="str">
            <v>1H08</v>
          </cell>
          <cell r="AA8" t="str">
            <v>2H08</v>
          </cell>
          <cell r="AB8">
            <v>2008</v>
          </cell>
          <cell r="AC8" t="str">
            <v>1H09</v>
          </cell>
          <cell r="AD8" t="str">
            <v>2H09</v>
          </cell>
          <cell r="AE8">
            <v>2009</v>
          </cell>
          <cell r="AF8" t="str">
            <v>1H10</v>
          </cell>
          <cell r="AG8" t="str">
            <v>2H10</v>
          </cell>
          <cell r="AH8">
            <v>2010</v>
          </cell>
        </row>
        <row r="9">
          <cell r="T9" t="str">
            <v>PRIOR TO FY08 GWOF/GWSCF IN FUNDS MGMT</v>
          </cell>
        </row>
        <row r="10">
          <cell r="A10" t="str">
            <v xml:space="preserve">Cash Retail NOI (annualized) (incl. GWSCF NOI) </v>
          </cell>
          <cell r="T10">
            <v>323.60000000000002</v>
          </cell>
          <cell r="U10">
            <v>342.4</v>
          </cell>
          <cell r="V10">
            <v>333</v>
          </cell>
          <cell r="W10">
            <v>305.39999999999998</v>
          </cell>
          <cell r="X10">
            <v>220</v>
          </cell>
          <cell r="Y10">
            <v>262.7</v>
          </cell>
          <cell r="Z10">
            <v>311.66774193548389</v>
          </cell>
          <cell r="AA10">
            <v>301.82912087912092</v>
          </cell>
          <cell r="AB10">
            <v>306.74843140730241</v>
          </cell>
          <cell r="AC10">
            <v>318.73700000000002</v>
          </cell>
          <cell r="AD10">
            <v>296.137</v>
          </cell>
          <cell r="AE10">
            <v>307.43700000000001</v>
          </cell>
          <cell r="AF10">
            <v>305.71761362054036</v>
          </cell>
          <cell r="AG10">
            <v>320.53367165666134</v>
          </cell>
          <cell r="AH10">
            <v>313.15212995115775</v>
          </cell>
        </row>
        <row r="11">
          <cell r="A11" t="str">
            <v>Assumed Capitalization Rate</v>
          </cell>
          <cell r="T11">
            <v>5.7222845866616238E-2</v>
          </cell>
          <cell r="U11">
            <v>5.7222845866616238E-2</v>
          </cell>
          <cell r="V11">
            <v>5.7222845866616238E-2</v>
          </cell>
          <cell r="W11">
            <v>5.7222845866616238E-2</v>
          </cell>
          <cell r="X11">
            <v>5.7222845866616238E-2</v>
          </cell>
          <cell r="Y11">
            <v>5.7222845866616238E-2</v>
          </cell>
          <cell r="Z11">
            <v>5.872284586661624E-2</v>
          </cell>
          <cell r="AA11">
            <v>5.897284586661624E-2</v>
          </cell>
          <cell r="AB11">
            <v>5.897284586661624E-2</v>
          </cell>
          <cell r="AC11">
            <v>6.6400000000000001E-2</v>
          </cell>
          <cell r="AD11">
            <v>6.6400000000000001E-2</v>
          </cell>
          <cell r="AE11">
            <v>6.6400000000000001E-2</v>
          </cell>
          <cell r="AF11">
            <v>6.6400000000000001E-2</v>
          </cell>
          <cell r="AG11">
            <v>6.6400000000000001E-2</v>
          </cell>
          <cell r="AH11">
            <v>6.5500000000000003E-2</v>
          </cell>
        </row>
        <row r="12">
          <cell r="A12" t="str">
            <v xml:space="preserve">   Implied Value </v>
          </cell>
          <cell r="T12">
            <v>5655.0839983438855</v>
          </cell>
          <cell r="U12">
            <v>5983.6241070239366</v>
          </cell>
          <cell r="V12">
            <v>5819.3540526839115</v>
          </cell>
          <cell r="W12">
            <v>5337.0292122812807</v>
          </cell>
          <cell r="X12">
            <v>3844.6182930644459</v>
          </cell>
          <cell r="Y12">
            <v>4590.8237526728626</v>
          </cell>
          <cell r="Z12">
            <v>5307.4359278058437</v>
          </cell>
          <cell r="AA12">
            <v>5118.1033650943828</v>
          </cell>
          <cell r="AB12">
            <v>5201.5199012287903</v>
          </cell>
          <cell r="AC12">
            <v>4800.2560240963858</v>
          </cell>
          <cell r="AD12">
            <v>4459.8945783132531</v>
          </cell>
          <cell r="AE12">
            <v>4630.075301204819</v>
          </cell>
          <cell r="AF12">
            <v>4604.180928020186</v>
          </cell>
          <cell r="AG12">
            <v>4827.3143321786347</v>
          </cell>
          <cell r="AH12">
            <v>4780.9485488726368</v>
          </cell>
        </row>
        <row r="14">
          <cell r="A14" t="str">
            <v>Cash Office NOI (annualized)  (incl. GWOF NOI)</v>
          </cell>
          <cell r="T14">
            <v>271.39999999999998</v>
          </cell>
          <cell r="U14">
            <v>172.8</v>
          </cell>
          <cell r="V14">
            <v>222.1</v>
          </cell>
          <cell r="W14">
            <v>163.19999999999999</v>
          </cell>
          <cell r="X14">
            <v>92.600000000000023</v>
          </cell>
          <cell r="Y14">
            <v>127.9</v>
          </cell>
          <cell r="Z14">
            <v>136.07208234174203</v>
          </cell>
          <cell r="AA14">
            <v>219.07804031031628</v>
          </cell>
          <cell r="AB14">
            <v>177.57506132602916</v>
          </cell>
          <cell r="AC14">
            <v>186.86860000000001</v>
          </cell>
          <cell r="AD14">
            <v>190.46820000000002</v>
          </cell>
          <cell r="AE14">
            <v>188.66840000000002</v>
          </cell>
          <cell r="AF14">
            <v>193.42131765094234</v>
          </cell>
          <cell r="AG14">
            <v>200.15188449379289</v>
          </cell>
          <cell r="AH14">
            <v>196.76011375981079</v>
          </cell>
        </row>
        <row r="15">
          <cell r="A15" t="str">
            <v>Assumed Capitalization Rate</v>
          </cell>
          <cell r="T15">
            <v>5.6395411827628354E-2</v>
          </cell>
          <cell r="U15">
            <v>5.6395411827628354E-2</v>
          </cell>
          <cell r="V15">
            <v>5.6395411827628354E-2</v>
          </cell>
          <cell r="W15">
            <v>5.6395411827628354E-2</v>
          </cell>
          <cell r="X15">
            <v>5.6395411827628354E-2</v>
          </cell>
          <cell r="Y15">
            <v>5.6395411827628354E-2</v>
          </cell>
          <cell r="Z15">
            <v>6.2395411827628353E-2</v>
          </cell>
          <cell r="AA15">
            <v>6.2645411827628353E-2</v>
          </cell>
          <cell r="AB15">
            <v>6.2645411827628353E-2</v>
          </cell>
          <cell r="AC15">
            <v>7.7399999999999997E-2</v>
          </cell>
          <cell r="AD15">
            <v>7.7399999999999997E-2</v>
          </cell>
          <cell r="AE15">
            <v>7.7399999999999997E-2</v>
          </cell>
          <cell r="AF15">
            <v>7.7399999999999997E-2</v>
          </cell>
          <cell r="AG15">
            <v>7.7399999999999997E-2</v>
          </cell>
          <cell r="AH15">
            <v>7.6499999999999999E-2</v>
          </cell>
        </row>
        <row r="16">
          <cell r="A16" t="str">
            <v xml:space="preserve">   Implied Value </v>
          </cell>
          <cell r="T16">
            <v>4812.4482330145865</v>
          </cell>
          <cell r="U16">
            <v>3064.079051823584</v>
          </cell>
          <cell r="V16">
            <v>3938.263642419085</v>
          </cell>
          <cell r="W16">
            <v>2893.8524378333841</v>
          </cell>
          <cell r="X16">
            <v>1641.9775474471292</v>
          </cell>
          <cell r="Y16">
            <v>2267.9149926402565</v>
          </cell>
          <cell r="Z16">
            <v>2180.802696160586</v>
          </cell>
          <cell r="AA16">
            <v>3497.1123011070513</v>
          </cell>
          <cell r="AB16">
            <v>2834.6060173510373</v>
          </cell>
          <cell r="AC16">
            <v>2414.3229974160208</v>
          </cell>
          <cell r="AD16">
            <v>2460.8294573643416</v>
          </cell>
          <cell r="AE16">
            <v>2437.5762273901814</v>
          </cell>
          <cell r="AF16">
            <v>2498.9834321827179</v>
          </cell>
          <cell r="AG16">
            <v>2585.9416601265234</v>
          </cell>
          <cell r="AH16">
            <v>2572.0276308471998</v>
          </cell>
        </row>
        <row r="18">
          <cell r="A18" t="str">
            <v xml:space="preserve">Cash Industrial NOI (annualized) </v>
          </cell>
          <cell r="T18">
            <v>35.200000000000003</v>
          </cell>
          <cell r="U18">
            <v>43.399999999999991</v>
          </cell>
          <cell r="V18">
            <v>39.299999999999997</v>
          </cell>
          <cell r="W18">
            <v>45.6</v>
          </cell>
          <cell r="X18">
            <v>49.800000000000004</v>
          </cell>
          <cell r="Y18">
            <v>47.7</v>
          </cell>
          <cell r="Z18">
            <v>47.6</v>
          </cell>
          <cell r="AA18">
            <v>53.999999999999993</v>
          </cell>
          <cell r="AB18">
            <v>50.8</v>
          </cell>
          <cell r="AC18">
            <v>49</v>
          </cell>
          <cell r="AD18">
            <v>50.8</v>
          </cell>
          <cell r="AE18">
            <v>49.9</v>
          </cell>
          <cell r="AF18">
            <v>52.506327495107371</v>
          </cell>
          <cell r="AG18">
            <v>52.738429406515415</v>
          </cell>
          <cell r="AH18">
            <v>52.622378450811397</v>
          </cell>
        </row>
        <row r="19">
          <cell r="A19" t="str">
            <v>Assumed Capitalization Rate</v>
          </cell>
          <cell r="T19">
            <v>7.3646210748792282E-2</v>
          </cell>
          <cell r="U19">
            <v>7.3646210748792282E-2</v>
          </cell>
          <cell r="V19">
            <v>7.3646210748792282E-2</v>
          </cell>
          <cell r="W19">
            <v>7.3646210748792282E-2</v>
          </cell>
          <cell r="X19">
            <v>7.3646210748792282E-2</v>
          </cell>
          <cell r="Y19">
            <v>7.3646210748792282E-2</v>
          </cell>
          <cell r="Z19">
            <v>7.7246210748792288E-2</v>
          </cell>
          <cell r="AA19">
            <v>7.7246210748792288E-2</v>
          </cell>
          <cell r="AB19">
            <v>7.7246210748792288E-2</v>
          </cell>
          <cell r="AC19">
            <v>8.7400000000000005E-2</v>
          </cell>
          <cell r="AD19">
            <v>8.7400000000000005E-2</v>
          </cell>
          <cell r="AE19">
            <v>8.7400000000000005E-2</v>
          </cell>
          <cell r="AF19">
            <v>8.7400000000000005E-2</v>
          </cell>
          <cell r="AG19">
            <v>8.7400000000000005E-2</v>
          </cell>
          <cell r="AH19">
            <v>8.7499999999999994E-2</v>
          </cell>
        </row>
        <row r="20">
          <cell r="A20" t="str">
            <v xml:space="preserve">   Implied Value </v>
          </cell>
          <cell r="T20">
            <v>477.96077547108894</v>
          </cell>
          <cell r="U20">
            <v>589.3039106660583</v>
          </cell>
          <cell r="V20">
            <v>533.63234306857362</v>
          </cell>
          <cell r="W20">
            <v>619.17645913300157</v>
          </cell>
          <cell r="X20">
            <v>676.20586984262013</v>
          </cell>
          <cell r="Y20">
            <v>647.69116448781085</v>
          </cell>
          <cell r="Z20">
            <v>616.21145605183244</v>
          </cell>
          <cell r="AA20">
            <v>699.06341652938954</v>
          </cell>
          <cell r="AB20">
            <v>657.63743629061094</v>
          </cell>
          <cell r="AC20">
            <v>560.64073226544622</v>
          </cell>
          <cell r="AD20">
            <v>581.23569794050331</v>
          </cell>
          <cell r="AE20">
            <v>570.93821510297482</v>
          </cell>
          <cell r="AF20">
            <v>600.75889582502714</v>
          </cell>
          <cell r="AG20">
            <v>603.41452410200702</v>
          </cell>
          <cell r="AH20">
            <v>601.39861086641599</v>
          </cell>
        </row>
        <row r="22">
          <cell r="A22" t="str">
            <v xml:space="preserve">Hotel NOI (annualized) </v>
          </cell>
          <cell r="T22">
            <v>53.8</v>
          </cell>
          <cell r="U22">
            <v>99.8</v>
          </cell>
          <cell r="V22">
            <v>76.8</v>
          </cell>
          <cell r="W22">
            <v>57.6</v>
          </cell>
          <cell r="X22">
            <v>87.4</v>
          </cell>
          <cell r="Y22">
            <v>72.5</v>
          </cell>
          <cell r="Z22">
            <v>45.2</v>
          </cell>
          <cell r="AA22">
            <v>79.399999999999991</v>
          </cell>
          <cell r="AB22">
            <v>62.3</v>
          </cell>
          <cell r="AC22">
            <v>43</v>
          </cell>
          <cell r="AD22">
            <v>63.599999999999994</v>
          </cell>
          <cell r="AE22">
            <v>53.3</v>
          </cell>
          <cell r="AF22">
            <v>28.979999999999997</v>
          </cell>
          <cell r="AG22">
            <v>28.979999999999997</v>
          </cell>
          <cell r="AH22">
            <v>28.979999999999997</v>
          </cell>
        </row>
        <row r="23">
          <cell r="A23" t="str">
            <v>Hotel NOI Multiple</v>
          </cell>
          <cell r="T23">
            <v>9</v>
          </cell>
          <cell r="U23">
            <v>9</v>
          </cell>
          <cell r="V23">
            <v>9</v>
          </cell>
          <cell r="W23">
            <v>9</v>
          </cell>
          <cell r="X23">
            <v>9</v>
          </cell>
          <cell r="Y23">
            <v>9</v>
          </cell>
          <cell r="Z23">
            <v>9</v>
          </cell>
          <cell r="AA23">
            <v>9</v>
          </cell>
          <cell r="AB23">
            <v>9</v>
          </cell>
          <cell r="AC23">
            <v>9</v>
          </cell>
          <cell r="AD23">
            <v>9</v>
          </cell>
          <cell r="AE23">
            <v>9</v>
          </cell>
          <cell r="AF23">
            <v>9</v>
          </cell>
          <cell r="AG23">
            <v>9</v>
          </cell>
          <cell r="AH23">
            <v>9</v>
          </cell>
        </row>
        <row r="24">
          <cell r="A24" t="str">
            <v xml:space="preserve">   Implied Value </v>
          </cell>
          <cell r="T24">
            <v>484.2</v>
          </cell>
          <cell r="U24">
            <v>898.19999999999993</v>
          </cell>
          <cell r="V24">
            <v>691.19999999999993</v>
          </cell>
          <cell r="W24">
            <v>518.4</v>
          </cell>
          <cell r="X24">
            <v>786.6</v>
          </cell>
          <cell r="Y24">
            <v>652.5</v>
          </cell>
          <cell r="Z24">
            <v>406.8</v>
          </cell>
          <cell r="AA24">
            <v>714.59999999999991</v>
          </cell>
          <cell r="AB24">
            <v>560.69999999999993</v>
          </cell>
          <cell r="AC24">
            <v>387</v>
          </cell>
          <cell r="AD24">
            <v>572.4</v>
          </cell>
          <cell r="AE24">
            <v>479.7</v>
          </cell>
          <cell r="AF24">
            <v>260.82</v>
          </cell>
          <cell r="AG24">
            <v>260.82</v>
          </cell>
          <cell r="AH24">
            <v>260.82</v>
          </cell>
        </row>
        <row r="26">
          <cell r="A26" t="str">
            <v xml:space="preserve">Senior Housing (annualized) </v>
          </cell>
          <cell r="T26">
            <v>0</v>
          </cell>
          <cell r="U26">
            <v>0</v>
          </cell>
          <cell r="V26">
            <v>0</v>
          </cell>
          <cell r="W26">
            <v>22</v>
          </cell>
          <cell r="X26">
            <v>17.799999999999997</v>
          </cell>
          <cell r="Y26">
            <v>19.899999999999999</v>
          </cell>
          <cell r="Z26">
            <v>16.8</v>
          </cell>
          <cell r="AA26">
            <v>8.3999999999999986</v>
          </cell>
          <cell r="AB26">
            <v>12.6</v>
          </cell>
          <cell r="AC26">
            <v>18.2</v>
          </cell>
          <cell r="AD26">
            <v>19.000000000000004</v>
          </cell>
          <cell r="AE26">
            <v>18.600000000000001</v>
          </cell>
          <cell r="AF26">
            <v>17.875297245369488</v>
          </cell>
          <cell r="AG26">
            <v>16.834766775575801</v>
          </cell>
          <cell r="AH26">
            <v>17.355032010472645</v>
          </cell>
        </row>
        <row r="27">
          <cell r="A27" t="str">
            <v>Assumed Capitalization Rate</v>
          </cell>
          <cell r="T27">
            <v>7.0000000000000007E-2</v>
          </cell>
          <cell r="U27">
            <v>7.0000000000000007E-2</v>
          </cell>
          <cell r="V27">
            <v>7.0000000000000007E-2</v>
          </cell>
          <cell r="W27">
            <v>7.0000000000000007E-2</v>
          </cell>
          <cell r="X27">
            <v>7.0000000000000007E-2</v>
          </cell>
          <cell r="Y27">
            <v>7.0000000000000007E-2</v>
          </cell>
          <cell r="Z27">
            <v>7.0500000000000007E-2</v>
          </cell>
          <cell r="AA27">
            <v>7.0750000000000007E-2</v>
          </cell>
          <cell r="AB27">
            <v>7.0750000000000007E-2</v>
          </cell>
          <cell r="AC27">
            <v>0.12</v>
          </cell>
          <cell r="AD27">
            <v>0.12</v>
          </cell>
          <cell r="AE27">
            <v>0.12</v>
          </cell>
          <cell r="AF27">
            <v>0.12</v>
          </cell>
          <cell r="AG27">
            <v>0.12</v>
          </cell>
          <cell r="AH27">
            <v>0.12</v>
          </cell>
        </row>
        <row r="28">
          <cell r="A28" t="str">
            <v xml:space="preserve">   Implied Value </v>
          </cell>
          <cell r="T28">
            <v>0</v>
          </cell>
          <cell r="U28">
            <v>0</v>
          </cell>
          <cell r="V28">
            <v>0</v>
          </cell>
          <cell r="W28">
            <v>314.28571428571428</v>
          </cell>
          <cell r="X28">
            <v>254.28571428571422</v>
          </cell>
          <cell r="Y28">
            <v>284.28571428571422</v>
          </cell>
          <cell r="Z28">
            <v>238.29787234042553</v>
          </cell>
          <cell r="AA28">
            <v>118.72791519434625</v>
          </cell>
          <cell r="AB28">
            <v>178.09187279151942</v>
          </cell>
          <cell r="AC28">
            <v>151.66666666666666</v>
          </cell>
          <cell r="AD28">
            <v>158.33333333333337</v>
          </cell>
          <cell r="AE28">
            <v>155.00000000000003</v>
          </cell>
          <cell r="AF28">
            <v>148.96081037807906</v>
          </cell>
          <cell r="AG28">
            <v>140.28972312979835</v>
          </cell>
          <cell r="AH28">
            <v>144.62526675393872</v>
          </cell>
        </row>
        <row r="30">
          <cell r="A30" t="str">
            <v>Fund Mgmt OZ (GPT JVs)</v>
          </cell>
          <cell r="T30">
            <v>0</v>
          </cell>
          <cell r="U30">
            <v>4.5999999999999996</v>
          </cell>
          <cell r="V30">
            <v>2.2999999999999998</v>
          </cell>
          <cell r="W30">
            <v>10.6</v>
          </cell>
          <cell r="X30">
            <v>201.20000000000002</v>
          </cell>
          <cell r="Y30">
            <v>105.9</v>
          </cell>
          <cell r="Z30">
            <v>19.879999999999995</v>
          </cell>
          <cell r="AA30">
            <v>7.4907703427553685</v>
          </cell>
          <cell r="AB30">
            <v>13.685385171377675</v>
          </cell>
          <cell r="AC30">
            <v>9.3999999999999915</v>
          </cell>
          <cell r="AD30">
            <v>3.2000000000000028</v>
          </cell>
          <cell r="AE30">
            <v>6.2999999999999972</v>
          </cell>
          <cell r="AF30">
            <v>8.8891330991021533</v>
          </cell>
          <cell r="AG30">
            <v>8.8690271955979227</v>
          </cell>
          <cell r="AH30">
            <v>8.879080147350038</v>
          </cell>
        </row>
        <row r="31">
          <cell r="A31" t="str">
            <v>Assumed Multiple</v>
          </cell>
          <cell r="T31">
            <v>12.5</v>
          </cell>
          <cell r="U31">
            <v>12.5</v>
          </cell>
          <cell r="V31">
            <v>12.5</v>
          </cell>
          <cell r="W31">
            <v>12.5</v>
          </cell>
          <cell r="X31">
            <v>12.5</v>
          </cell>
          <cell r="Y31">
            <v>12.5</v>
          </cell>
          <cell r="Z31">
            <v>12.5</v>
          </cell>
          <cell r="AA31">
            <v>12.5</v>
          </cell>
          <cell r="AB31">
            <v>12.5</v>
          </cell>
          <cell r="AC31">
            <v>12.5</v>
          </cell>
          <cell r="AD31">
            <v>12.5</v>
          </cell>
          <cell r="AE31">
            <v>12.5</v>
          </cell>
          <cell r="AF31">
            <v>12.5</v>
          </cell>
          <cell r="AG31">
            <v>12.5</v>
          </cell>
          <cell r="AH31">
            <v>12.5</v>
          </cell>
        </row>
        <row r="32">
          <cell r="A32" t="str">
            <v xml:space="preserve">   Implied Value </v>
          </cell>
          <cell r="T32">
            <v>0</v>
          </cell>
          <cell r="U32">
            <v>57.499999999999993</v>
          </cell>
          <cell r="V32">
            <v>28.749999999999996</v>
          </cell>
          <cell r="W32">
            <v>132.5</v>
          </cell>
          <cell r="X32">
            <v>2515</v>
          </cell>
          <cell r="Y32">
            <v>1323.75</v>
          </cell>
          <cell r="Z32">
            <v>248.49999999999994</v>
          </cell>
          <cell r="AA32">
            <v>93.634629284442099</v>
          </cell>
          <cell r="AB32">
            <v>171.06731464222094</v>
          </cell>
          <cell r="AC32">
            <v>117.49999999999989</v>
          </cell>
          <cell r="AD32">
            <v>40.000000000000036</v>
          </cell>
          <cell r="AE32">
            <v>78.749999999999972</v>
          </cell>
          <cell r="AF32">
            <v>111.11416373877691</v>
          </cell>
          <cell r="AG32">
            <v>110.86283994497404</v>
          </cell>
          <cell r="AH32">
            <v>110.98850184187548</v>
          </cell>
        </row>
        <row r="34">
          <cell r="A34" t="str">
            <v>Fund Mgmt Europe (GPT JVs)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-10.199999999999999</v>
          </cell>
          <cell r="Y34">
            <v>-5.0999999999999996</v>
          </cell>
          <cell r="Z34">
            <v>-23.8</v>
          </cell>
          <cell r="AA34">
            <v>-33.799999999999997</v>
          </cell>
          <cell r="AB34">
            <v>-28.8</v>
          </cell>
          <cell r="AC34">
            <v>-11.2</v>
          </cell>
          <cell r="AD34">
            <v>-30.8</v>
          </cell>
          <cell r="AE34">
            <v>-21</v>
          </cell>
          <cell r="AF34">
            <v>0</v>
          </cell>
          <cell r="AG34">
            <v>0</v>
          </cell>
          <cell r="AH34">
            <v>0</v>
          </cell>
        </row>
        <row r="35">
          <cell r="A35" t="str">
            <v>Assumed Multiple</v>
          </cell>
          <cell r="T35">
            <v>12.5</v>
          </cell>
          <cell r="U35">
            <v>12.5</v>
          </cell>
          <cell r="V35">
            <v>12.5</v>
          </cell>
          <cell r="W35">
            <v>12.5</v>
          </cell>
          <cell r="X35">
            <v>12.5</v>
          </cell>
          <cell r="Y35">
            <v>12.5</v>
          </cell>
          <cell r="Z35">
            <v>12.5</v>
          </cell>
          <cell r="AA35">
            <v>12.5</v>
          </cell>
          <cell r="AB35">
            <v>12.5</v>
          </cell>
          <cell r="AC35">
            <v>12.5</v>
          </cell>
          <cell r="AD35">
            <v>12.5</v>
          </cell>
          <cell r="AE35">
            <v>12.5</v>
          </cell>
          <cell r="AF35">
            <v>12.5</v>
          </cell>
          <cell r="AG35">
            <v>12.5</v>
          </cell>
          <cell r="AH35">
            <v>12.5</v>
          </cell>
        </row>
        <row r="36">
          <cell r="A36" t="str">
            <v xml:space="preserve">   Implied Value 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</row>
        <row r="38">
          <cell r="A38" t="str">
            <v>JV investments (B&amp;B)</v>
          </cell>
          <cell r="T38">
            <v>94.8</v>
          </cell>
          <cell r="U38">
            <v>105.60000000000001</v>
          </cell>
          <cell r="V38">
            <v>100.2</v>
          </cell>
          <cell r="W38">
            <v>166.8</v>
          </cell>
          <cell r="X38">
            <v>135.19999999999999</v>
          </cell>
          <cell r="Y38">
            <v>151</v>
          </cell>
          <cell r="Z38">
            <v>120.8</v>
          </cell>
          <cell r="AA38">
            <v>96.600000000000009</v>
          </cell>
          <cell r="AB38">
            <v>108.7</v>
          </cell>
          <cell r="AC38">
            <v>-2.8</v>
          </cell>
          <cell r="AD38">
            <v>0.79999999999999982</v>
          </cell>
          <cell r="AE38">
            <v>-1</v>
          </cell>
          <cell r="AF38">
            <v>0</v>
          </cell>
          <cell r="AG38">
            <v>0</v>
          </cell>
          <cell r="AH38">
            <v>0</v>
          </cell>
        </row>
        <row r="39">
          <cell r="A39" t="str">
            <v>Assumed Capitalization Rate</v>
          </cell>
          <cell r="T39" t="e">
            <v>#REF!</v>
          </cell>
          <cell r="U39" t="e">
            <v>#REF!</v>
          </cell>
          <cell r="V39" t="e">
            <v>#REF!</v>
          </cell>
          <cell r="W39" t="e">
            <v>#REF!</v>
          </cell>
          <cell r="X39" t="e">
            <v>#REF!</v>
          </cell>
          <cell r="Y39" t="e">
            <v>#REF!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</row>
        <row r="40">
          <cell r="A40" t="str">
            <v xml:space="preserve">   Value 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</row>
        <row r="42">
          <cell r="A42" t="str">
            <v>Book Value of BNB JV</v>
          </cell>
          <cell r="AE42">
            <v>1160</v>
          </cell>
          <cell r="AF42">
            <v>1160</v>
          </cell>
          <cell r="AG42">
            <v>1160</v>
          </cell>
          <cell r="AH42">
            <v>1160</v>
          </cell>
        </row>
        <row r="43">
          <cell r="A43" t="str">
            <v>Discount to Book</v>
          </cell>
          <cell r="AE43">
            <v>-1</v>
          </cell>
          <cell r="AF43">
            <v>-1</v>
          </cell>
          <cell r="AG43">
            <v>-1</v>
          </cell>
          <cell r="AH43">
            <v>-1</v>
          </cell>
        </row>
        <row r="45">
          <cell r="A45" t="str">
            <v>NOI/EBIT of "Other" Businesses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5.2</v>
          </cell>
          <cell r="AD45">
            <v>-0.20000000000000018</v>
          </cell>
          <cell r="AE45">
            <v>2.5</v>
          </cell>
          <cell r="AF45">
            <v>0</v>
          </cell>
          <cell r="AG45">
            <v>0</v>
          </cell>
          <cell r="AH45">
            <v>0</v>
          </cell>
        </row>
        <row r="46">
          <cell r="A46" t="str">
            <v>Multiple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</row>
        <row r="47">
          <cell r="A47" t="str">
            <v xml:space="preserve">   Implied Value 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</row>
        <row r="49">
          <cell r="A49" t="str">
            <v>Total EBIT</v>
          </cell>
          <cell r="T49">
            <v>778.8</v>
          </cell>
          <cell r="U49">
            <v>768.59999999999991</v>
          </cell>
          <cell r="V49">
            <v>773.7</v>
          </cell>
          <cell r="W49">
            <v>771.2</v>
          </cell>
          <cell r="X49">
            <v>793.8</v>
          </cell>
          <cell r="Y49">
            <v>782.5</v>
          </cell>
          <cell r="Z49">
            <v>674.21982427722583</v>
          </cell>
          <cell r="AA49">
            <v>732.99793153219252</v>
          </cell>
          <cell r="AB49">
            <v>703.60887790470929</v>
          </cell>
          <cell r="AC49">
            <v>616.40560000000005</v>
          </cell>
          <cell r="AD49">
            <v>593.00520000000006</v>
          </cell>
          <cell r="AE49">
            <v>604.70540000000005</v>
          </cell>
          <cell r="AF49">
            <v>607.38968911106167</v>
          </cell>
          <cell r="AG49">
            <v>628.1077795281434</v>
          </cell>
          <cell r="AH49">
            <v>617.74873431960259</v>
          </cell>
        </row>
        <row r="50">
          <cell r="A50" t="str">
            <v>Weighted Average Cap Rate</v>
          </cell>
          <cell r="T50">
            <v>6.8138313035585929E-2</v>
          </cell>
          <cell r="U50">
            <v>7.2559355692188923E-2</v>
          </cell>
          <cell r="V50">
            <v>7.0264821029304841E-2</v>
          </cell>
          <cell r="W50">
            <v>7.8571659947045153E-2</v>
          </cell>
          <cell r="X50">
            <v>8.1677696309840037E-2</v>
          </cell>
          <cell r="Y50">
            <v>8.0117001545520983E-2</v>
          </cell>
          <cell r="Z50">
            <v>7.4929565595445669E-2</v>
          </cell>
          <cell r="AA50">
            <v>7.157315081647081E-2</v>
          </cell>
          <cell r="AB50">
            <v>7.3264945056440517E-2</v>
          </cell>
          <cell r="AC50">
            <v>7.3108450883633186E-2</v>
          </cell>
          <cell r="AD50">
            <v>7.1682243641915791E-2</v>
          </cell>
          <cell r="AE50">
            <v>7.2402121943478545E-2</v>
          </cell>
          <cell r="AF50">
            <v>7.3848402738545316E-2</v>
          </cell>
          <cell r="AG50">
            <v>7.3646859608796897E-2</v>
          </cell>
          <cell r="AH50">
            <v>7.2926773164999001E-2</v>
          </cell>
        </row>
        <row r="51">
          <cell r="A51" t="str">
            <v>Check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</row>
        <row r="53">
          <cell r="A53" t="str">
            <v>Corporate G&amp;A</v>
          </cell>
          <cell r="T53">
            <v>34</v>
          </cell>
          <cell r="U53">
            <v>30.599999999999994</v>
          </cell>
          <cell r="V53">
            <v>32.299999999999997</v>
          </cell>
          <cell r="W53">
            <v>26.2</v>
          </cell>
          <cell r="X53">
            <v>54.399999999999991</v>
          </cell>
          <cell r="Y53">
            <v>40.299999999999997</v>
          </cell>
          <cell r="Z53">
            <v>32</v>
          </cell>
          <cell r="AA53">
            <v>56.400000000000006</v>
          </cell>
          <cell r="AB53">
            <v>44.2</v>
          </cell>
          <cell r="AC53">
            <v>12.2</v>
          </cell>
          <cell r="AD53">
            <v>57</v>
          </cell>
          <cell r="AE53">
            <v>34.6</v>
          </cell>
          <cell r="AF53">
            <v>29.4</v>
          </cell>
          <cell r="AG53">
            <v>30.411596472398482</v>
          </cell>
          <cell r="AH53">
            <v>29.905798236199239</v>
          </cell>
        </row>
        <row r="54">
          <cell r="A54" t="str">
            <v>Cap Rate</v>
          </cell>
          <cell r="T54">
            <v>5.8138313035585927E-2</v>
          </cell>
          <cell r="U54">
            <v>6.2638215559969443E-2</v>
          </cell>
          <cell r="V54">
            <v>6.0301532178736912E-2</v>
          </cell>
          <cell r="W54">
            <v>6.8784368444287772E-2</v>
          </cell>
          <cell r="X54">
            <v>7.6135733930995028E-2</v>
          </cell>
          <cell r="Y54">
            <v>7.2349215273171008E-2</v>
          </cell>
          <cell r="Z54">
            <v>6.5345731733588763E-2</v>
          </cell>
          <cell r="AA54">
            <v>6.1704267780137941E-2</v>
          </cell>
          <cell r="AB54">
            <v>6.3526888867270537E-2</v>
          </cell>
          <cell r="AC54">
            <v>6.331278863391343E-2</v>
          </cell>
          <cell r="AD54">
            <v>6.175163012057746E-2</v>
          </cell>
          <cell r="AE54">
            <v>6.2538913424541431E-2</v>
          </cell>
          <cell r="AF54">
            <v>6.3740728182386908E-2</v>
          </cell>
          <cell r="AG54">
            <v>6.4297756755885532E-2</v>
          </cell>
          <cell r="AH54">
            <v>15.084691431405728</v>
          </cell>
        </row>
        <row r="55">
          <cell r="A55" t="str">
            <v xml:space="preserve">   Implied Corporate Expense Deduct</v>
          </cell>
          <cell r="T55">
            <v>-584.81229029106692</v>
          </cell>
          <cell r="U55">
            <v>-488.51966369801426</v>
          </cell>
          <cell r="V55">
            <v>-535.64144778711591</v>
          </cell>
          <cell r="W55">
            <v>-380.90049516440371</v>
          </cell>
          <cell r="X55">
            <v>-714.51337225309953</v>
          </cell>
          <cell r="Y55">
            <v>-557.02055437419926</v>
          </cell>
          <cell r="Z55">
            <v>-489.70298673006494</v>
          </cell>
          <cell r="AA55">
            <v>-914.03726239750745</v>
          </cell>
          <cell r="AB55">
            <v>-695.76837128525165</v>
          </cell>
          <cell r="AC55">
            <v>-192.69408698047903</v>
          </cell>
          <cell r="AD55">
            <v>-923.05255567667882</v>
          </cell>
          <cell r="AE55">
            <v>-553.25553491983635</v>
          </cell>
          <cell r="AF55">
            <v>-470.65668773281635</v>
          </cell>
          <cell r="AG55">
            <v>-482.63334312242932</v>
          </cell>
          <cell r="AH55">
            <v>-460.32626367647271</v>
          </cell>
        </row>
        <row r="57">
          <cell r="A57" t="str">
            <v>Construction in Progress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215</v>
          </cell>
          <cell r="AD57">
            <v>334</v>
          </cell>
          <cell r="AE57">
            <v>334</v>
          </cell>
          <cell r="AF57">
            <v>464.5</v>
          </cell>
          <cell r="AG57">
            <v>602.5</v>
          </cell>
          <cell r="AH57">
            <v>602.5</v>
          </cell>
        </row>
        <row r="58">
          <cell r="A58" t="str">
            <v>Total Cash and Equivalents</v>
          </cell>
          <cell r="T58">
            <v>37.6</v>
          </cell>
          <cell r="U58">
            <v>58.8</v>
          </cell>
          <cell r="V58">
            <v>58.8</v>
          </cell>
          <cell r="W58">
            <v>153.30000000000001</v>
          </cell>
          <cell r="X58">
            <v>350.3</v>
          </cell>
          <cell r="Y58">
            <v>350.3</v>
          </cell>
          <cell r="Z58">
            <v>426.2</v>
          </cell>
          <cell r="AA58">
            <v>961.9</v>
          </cell>
          <cell r="AB58">
            <v>961.9</v>
          </cell>
          <cell r="AC58">
            <v>70.2</v>
          </cell>
          <cell r="AD58">
            <v>40.299999999999997</v>
          </cell>
          <cell r="AE58">
            <v>40.299999999999997</v>
          </cell>
          <cell r="AF58">
            <v>39.299999999999997</v>
          </cell>
          <cell r="AG58">
            <v>56.790586038749368</v>
          </cell>
          <cell r="AH58">
            <v>56.790586038749368</v>
          </cell>
        </row>
        <row r="59">
          <cell r="A59" t="str">
            <v>Other Assets</v>
          </cell>
          <cell r="T59">
            <v>2085.9</v>
          </cell>
          <cell r="U59">
            <v>2484.6</v>
          </cell>
          <cell r="V59">
            <v>2484.6</v>
          </cell>
          <cell r="W59">
            <v>1383</v>
          </cell>
          <cell r="X59">
            <v>2074.0999999999995</v>
          </cell>
          <cell r="Y59">
            <v>2074.0999999999995</v>
          </cell>
          <cell r="Z59">
            <v>1653.6539999999998</v>
          </cell>
          <cell r="AA59">
            <v>1475.3100000000002</v>
          </cell>
          <cell r="AB59">
            <v>1475.3100000000002</v>
          </cell>
          <cell r="AC59">
            <v>1035.0320000000002</v>
          </cell>
          <cell r="AD59">
            <v>754.30000000000007</v>
          </cell>
          <cell r="AE59">
            <v>754.30000000000007</v>
          </cell>
          <cell r="AF59">
            <v>679.06200000000001</v>
          </cell>
          <cell r="AG59">
            <v>679.06200000000001</v>
          </cell>
          <cell r="AH59">
            <v>781.2</v>
          </cell>
        </row>
        <row r="60">
          <cell r="A60" t="str">
            <v xml:space="preserve">   Private Market Value of Assets</v>
          </cell>
          <cell r="T60">
            <v>12968.380716538495</v>
          </cell>
          <cell r="U60">
            <v>12636.087405815564</v>
          </cell>
          <cell r="V60">
            <v>13013.208590384453</v>
          </cell>
          <cell r="W60">
            <v>10944.143328368975</v>
          </cell>
          <cell r="X60">
            <v>10925.57405238681</v>
          </cell>
          <cell r="Y60">
            <v>11369.595069712444</v>
          </cell>
          <cell r="Z60">
            <v>10538.498965628622</v>
          </cell>
          <cell r="AA60">
            <v>11745.687438955218</v>
          </cell>
          <cell r="AB60">
            <v>11310.850708090486</v>
          </cell>
          <cell r="AC60">
            <v>9535.4243334640414</v>
          </cell>
          <cell r="AD60">
            <v>8470.2405112747529</v>
          </cell>
          <cell r="AE60">
            <v>8911.6342087781395</v>
          </cell>
          <cell r="AF60">
            <v>8868.2038278472246</v>
          </cell>
          <cell r="AG60">
            <v>9175.2634621538164</v>
          </cell>
          <cell r="AH60">
            <v>9385.7434409244015</v>
          </cell>
        </row>
        <row r="62">
          <cell r="A62" t="str">
            <v>Debt (incl. pro-rata GWOF/GWSCF)</v>
          </cell>
          <cell r="T62">
            <v>4892.3999999999996</v>
          </cell>
          <cell r="U62">
            <v>4291.7</v>
          </cell>
          <cell r="V62">
            <v>4291.7</v>
          </cell>
          <cell r="W62">
            <v>3786.2</v>
          </cell>
          <cell r="X62">
            <v>4995</v>
          </cell>
          <cell r="Y62">
            <v>4995</v>
          </cell>
          <cell r="Z62">
            <v>5362.8953079178882</v>
          </cell>
          <cell r="AA62">
            <v>5295.1973197534171</v>
          </cell>
          <cell r="AB62">
            <v>5295.1973197534171</v>
          </cell>
          <cell r="AC62">
            <v>2293.4156725898793</v>
          </cell>
          <cell r="AD62">
            <v>2452.2200225606321</v>
          </cell>
          <cell r="AE62">
            <v>2452.2200225606321</v>
          </cell>
          <cell r="AF62">
            <v>2717.7756771991117</v>
          </cell>
          <cell r="AG62">
            <v>2768.9503862982115</v>
          </cell>
          <cell r="AH62">
            <v>2768.9503862982115</v>
          </cell>
        </row>
        <row r="63">
          <cell r="A63" t="str">
            <v>Other Liabilities</v>
          </cell>
          <cell r="T63">
            <v>277.3</v>
          </cell>
          <cell r="U63">
            <v>258.5</v>
          </cell>
          <cell r="V63">
            <v>258.5</v>
          </cell>
          <cell r="W63">
            <v>262.60000000000002</v>
          </cell>
          <cell r="X63">
            <v>656</v>
          </cell>
          <cell r="Y63">
            <v>656</v>
          </cell>
          <cell r="Z63">
            <v>550.79999999999995</v>
          </cell>
          <cell r="AA63">
            <v>1173.3000000000002</v>
          </cell>
          <cell r="AB63">
            <v>1173.3000000000002</v>
          </cell>
          <cell r="AC63">
            <v>604.59999999999991</v>
          </cell>
          <cell r="AD63">
            <v>286.20000000000005</v>
          </cell>
          <cell r="AE63">
            <v>286.20000000000005</v>
          </cell>
          <cell r="AF63">
            <v>363.4</v>
          </cell>
          <cell r="AG63">
            <v>363.4</v>
          </cell>
          <cell r="AH63">
            <v>385.29999999999995</v>
          </cell>
        </row>
        <row r="64">
          <cell r="A64" t="str">
            <v>Preferred Stock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250</v>
          </cell>
        </row>
        <row r="65">
          <cell r="A65" t="str">
            <v>Minority Interest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250</v>
          </cell>
          <cell r="AB65">
            <v>250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</row>
        <row r="66">
          <cell r="A66" t="str">
            <v xml:space="preserve">   Private Net Market Value of Assets</v>
          </cell>
          <cell r="T66">
            <v>7798.6807165384953</v>
          </cell>
          <cell r="U66">
            <v>8085.8874058155643</v>
          </cell>
          <cell r="V66">
            <v>8463.008590384452</v>
          </cell>
          <cell r="W66">
            <v>6895.3433283689756</v>
          </cell>
          <cell r="X66">
            <v>5274.5740523868099</v>
          </cell>
          <cell r="Y66">
            <v>5718.5950697124445</v>
          </cell>
          <cell r="Z66">
            <v>4624.8036577107332</v>
          </cell>
          <cell r="AA66">
            <v>5027.1901192018004</v>
          </cell>
          <cell r="AB66">
            <v>4592.3533883370683</v>
          </cell>
          <cell r="AC66">
            <v>6637.4086608741618</v>
          </cell>
          <cell r="AD66">
            <v>5731.820488714121</v>
          </cell>
          <cell r="AE66">
            <v>6173.2141862175076</v>
          </cell>
          <cell r="AF66">
            <v>5787.0281506481133</v>
          </cell>
          <cell r="AG66">
            <v>6042.9130758556048</v>
          </cell>
          <cell r="AH66">
            <v>5981.4930546261903</v>
          </cell>
        </row>
        <row r="68">
          <cell r="A68" t="str">
            <v>Diluted Shares &amp; Exchangeables</v>
          </cell>
          <cell r="T68">
            <v>403.34000000000003</v>
          </cell>
          <cell r="U68">
            <v>406.14</v>
          </cell>
          <cell r="V68">
            <v>406.14</v>
          </cell>
          <cell r="W68">
            <v>406.14</v>
          </cell>
          <cell r="X68">
            <v>411.15339999999998</v>
          </cell>
          <cell r="Y68">
            <v>411.15339999999998</v>
          </cell>
          <cell r="Z68">
            <v>429.97838820000004</v>
          </cell>
          <cell r="AA68">
            <v>666.75337400000012</v>
          </cell>
          <cell r="AB68">
            <v>428.18</v>
          </cell>
          <cell r="AC68">
            <v>1082.3399999999999</v>
          </cell>
          <cell r="AD68">
            <v>1855.6169485999999</v>
          </cell>
          <cell r="AE68">
            <v>1472.1</v>
          </cell>
          <cell r="AF68">
            <v>1855.5169486</v>
          </cell>
          <cell r="AG68">
            <v>1855.5294309999999</v>
          </cell>
          <cell r="AH68">
            <v>1855.5169486</v>
          </cell>
        </row>
        <row r="69">
          <cell r="A69" t="str">
            <v>Net Asset Value per Share</v>
          </cell>
          <cell r="T69">
            <v>19.335252433526293</v>
          </cell>
          <cell r="U69">
            <v>19.909113620464776</v>
          </cell>
          <cell r="V69">
            <v>20.837663343636311</v>
          </cell>
          <cell r="W69">
            <v>16.977749860562799</v>
          </cell>
          <cell r="X69">
            <v>12.828725367190957</v>
          </cell>
          <cell r="Y69">
            <v>13.908665402529676</v>
          </cell>
          <cell r="Z69">
            <v>10.755897934943542</v>
          </cell>
          <cell r="AA69">
            <v>7.5398045442838653</v>
          </cell>
          <cell r="AB69">
            <v>10.72528700158127</v>
          </cell>
          <cell r="AC69">
            <v>6.1324617595895585</v>
          </cell>
          <cell r="AD69">
            <v>3.0889028541362404</v>
          </cell>
          <cell r="AE69">
            <v>4.1934747545801967</v>
          </cell>
          <cell r="AF69">
            <v>3.1188225766487689</v>
          </cell>
          <cell r="AG69">
            <v>3.256705592968633</v>
          </cell>
          <cell r="AH69">
            <v>3.2236262024657156</v>
          </cell>
        </row>
        <row r="70">
          <cell r="A70" t="str">
            <v>ML warranted premium / discount %</v>
          </cell>
          <cell r="D70">
            <v>0</v>
          </cell>
        </row>
        <row r="71">
          <cell r="A71" t="str">
            <v>ML NAV Estimate</v>
          </cell>
          <cell r="T71">
            <v>19.335252433526293</v>
          </cell>
          <cell r="U71">
            <v>19.909113620464776</v>
          </cell>
          <cell r="V71">
            <v>20.837663343636311</v>
          </cell>
          <cell r="W71">
            <v>16.977749860562799</v>
          </cell>
          <cell r="X71">
            <v>12.828725367190957</v>
          </cell>
          <cell r="Y71">
            <v>13.908665402529676</v>
          </cell>
          <cell r="Z71">
            <v>10.755897934943542</v>
          </cell>
          <cell r="AA71">
            <v>7.5398045442838653</v>
          </cell>
          <cell r="AB71">
            <v>10.72528700158127</v>
          </cell>
          <cell r="AC71">
            <v>6.1324617595895585</v>
          </cell>
          <cell r="AD71">
            <v>3.0889028541362404</v>
          </cell>
          <cell r="AE71">
            <v>4.1934747545801967</v>
          </cell>
          <cell r="AF71">
            <v>3.1188225766487689</v>
          </cell>
          <cell r="AG71">
            <v>3.256705592968633</v>
          </cell>
          <cell r="AH71">
            <v>3.2236262024657156</v>
          </cell>
        </row>
        <row r="108">
          <cell r="B108">
            <v>0</v>
          </cell>
        </row>
        <row r="139">
          <cell r="AH139" t="str">
            <v>IMPLIED IRR CALCULATION</v>
          </cell>
        </row>
        <row r="141">
          <cell r="AI141" t="str">
            <v>Price</v>
          </cell>
          <cell r="AJ141" t="str">
            <v>Distribution</v>
          </cell>
          <cell r="AK141" t="str">
            <v>ML NAV</v>
          </cell>
          <cell r="AL141" t="str">
            <v>Total Cash Flow</v>
          </cell>
          <cell r="AO141" t="str">
            <v>Cap rate Inc.</v>
          </cell>
          <cell r="AP141" t="str">
            <v>Initial Price</v>
          </cell>
        </row>
        <row r="142">
          <cell r="AO142">
            <v>9.7715548677531544E-2</v>
          </cell>
          <cell r="AP142">
            <v>45</v>
          </cell>
          <cell r="AQ142">
            <v>50</v>
          </cell>
          <cell r="AR142">
            <v>55</v>
          </cell>
          <cell r="AS142">
            <v>60</v>
          </cell>
          <cell r="AT142">
            <v>65</v>
          </cell>
          <cell r="AU142">
            <v>70</v>
          </cell>
          <cell r="AV142">
            <v>75</v>
          </cell>
        </row>
        <row r="143">
          <cell r="AH143" t="str">
            <v>Initial price</v>
          </cell>
          <cell r="AI143">
            <v>-0.6</v>
          </cell>
          <cell r="AL143">
            <v>-0.6</v>
          </cell>
          <cell r="AO143">
            <v>-7.4999999999999997E-3</v>
          </cell>
          <cell r="AP143">
            <v>0.2016500899220601</v>
          </cell>
          <cell r="AQ143">
            <v>0.17337550478356983</v>
          </cell>
          <cell r="AR143">
            <v>0.14856236423398214</v>
          </cell>
          <cell r="AS143">
            <v>0.12651210535772936</v>
          </cell>
          <cell r="AT143">
            <v>0.10671315576592993</v>
          </cell>
          <cell r="AU143">
            <v>8.8780469520233385E-2</v>
          </cell>
          <cell r="AV143">
            <v>7.2417500389666281E-2</v>
          </cell>
        </row>
        <row r="144">
          <cell r="AH144">
            <v>2010</v>
          </cell>
          <cell r="AJ144">
            <v>4.4999999999999998E-2</v>
          </cell>
          <cell r="AL144">
            <v>4.4999999999999998E-2</v>
          </cell>
          <cell r="AO144">
            <v>-4.9999999999999992E-3</v>
          </cell>
          <cell r="AP144">
            <v>0.19115496702911614</v>
          </cell>
          <cell r="AQ144">
            <v>0.16307271763960393</v>
          </cell>
          <cell r="AR144">
            <v>0.13843194447255472</v>
          </cell>
          <cell r="AS144">
            <v>0.11653758578915932</v>
          </cell>
          <cell r="AT144">
            <v>9.688074643381013E-2</v>
          </cell>
          <cell r="AU144">
            <v>7.9078469505214688E-2</v>
          </cell>
          <cell r="AV144">
            <v>6.2835867764073988E-2</v>
          </cell>
        </row>
        <row r="145">
          <cell r="AH145">
            <v>2011</v>
          </cell>
          <cell r="AJ145">
            <v>3.1394806205219075E-2</v>
          </cell>
          <cell r="AL145">
            <v>3.1394806205219075E-2</v>
          </cell>
          <cell r="AO145">
            <v>-2.4999999999999992E-3</v>
          </cell>
          <cell r="AP145">
            <v>0.18106829439717875</v>
          </cell>
          <cell r="AQ145">
            <v>0.15317012338907618</v>
          </cell>
          <cell r="AR145">
            <v>0.1286943761276898</v>
          </cell>
          <cell r="AS145">
            <v>0.10694932136531163</v>
          </cell>
          <cell r="AT145">
            <v>8.7428613124420532E-2</v>
          </cell>
          <cell r="AU145">
            <v>6.975128524445888E-2</v>
          </cell>
          <cell r="AV145">
            <v>5.3624032362513473E-2</v>
          </cell>
        </row>
        <row r="146">
          <cell r="AH146">
            <v>2012</v>
          </cell>
          <cell r="AJ146">
            <v>3.1503851050747593E-2</v>
          </cell>
          <cell r="AL146">
            <v>3.1503851050747593E-2</v>
          </cell>
          <cell r="AO146">
            <v>0</v>
          </cell>
          <cell r="AP146">
            <v>0.17135650770999988</v>
          </cell>
          <cell r="AQ146">
            <v>0.14363482721494089</v>
          </cell>
          <cell r="AR146">
            <v>0.11931736011812147</v>
          </cell>
          <cell r="AS146">
            <v>9.7715548677531544E-2</v>
          </cell>
          <cell r="AT146">
            <v>7.8325478314688085E-2</v>
          </cell>
          <cell r="AU146">
            <v>6.0768083151369168E-2</v>
          </cell>
          <cell r="AV146">
            <v>4.4751568833548819E-2</v>
          </cell>
        </row>
        <row r="147">
          <cell r="AH147">
            <v>2013</v>
          </cell>
          <cell r="AJ147">
            <v>3.3241834373044468E-2</v>
          </cell>
          <cell r="AL147">
            <v>3.3241834373044468E-2</v>
          </cell>
          <cell r="AO147">
            <v>2.5000000000000001E-3</v>
          </cell>
          <cell r="AP147">
            <v>0.16198984488340243</v>
          </cell>
          <cell r="AQ147">
            <v>0.13443765981109679</v>
          </cell>
          <cell r="AR147">
            <v>0.11027225470865458</v>
          </cell>
          <cell r="AS147">
            <v>8.8808100342267937E-2</v>
          </cell>
          <cell r="AT147">
            <v>6.9543604920114799E-2</v>
          </cell>
          <cell r="AU147">
            <v>5.2101519363735645E-2</v>
          </cell>
          <cell r="AV147">
            <v>3.6191494922589725E-2</v>
          </cell>
        </row>
        <row r="148">
          <cell r="AH148">
            <v>2014</v>
          </cell>
          <cell r="AJ148">
            <v>3.6575784737142916E-2</v>
          </cell>
          <cell r="AK148">
            <v>0.73842066128070427</v>
          </cell>
          <cell r="AL148">
            <v>0.77499644601784723</v>
          </cell>
          <cell r="AO148">
            <v>5.0000000000000001E-3</v>
          </cell>
          <cell r="AP148">
            <v>0.15294179261160307</v>
          </cell>
          <cell r="AQ148">
            <v>0.12555263509005618</v>
          </cell>
          <cell r="AR148">
            <v>0.10153354304425551</v>
          </cell>
          <cell r="AS148">
            <v>8.0201881560887686E-2</v>
          </cell>
          <cell r="AT148">
            <v>6.1058280984933003E-2</v>
          </cell>
          <cell r="AU148">
            <v>4.3727231791023301E-2</v>
          </cell>
          <cell r="AV148">
            <v>2.7919770308764396E-2</v>
          </cell>
        </row>
        <row r="149">
          <cell r="AH149" t="str">
            <v>IRR</v>
          </cell>
          <cell r="AL149">
            <v>9.7715548677531544E-2</v>
          </cell>
          <cell r="AO149">
            <v>7.4999999999999997E-3</v>
          </cell>
          <cell r="AP149">
            <v>0.1441886296184384</v>
          </cell>
          <cell r="AQ149">
            <v>0.11695650270326945</v>
          </cell>
          <cell r="AR149">
            <v>9.3078393980147583E-2</v>
          </cell>
          <cell r="AS149">
            <v>7.1874438206126171E-2</v>
          </cell>
          <cell r="AT149">
            <v>5.2847394442101903E-2</v>
          </cell>
          <cell r="AU149">
            <v>3.5623420991381265E-2</v>
          </cell>
          <cell r="AV149">
            <v>1.9914883074904296E-2</v>
          </cell>
        </row>
      </sheetData>
      <sheetData sheetId="12" refreshError="1">
        <row r="34">
          <cell r="A34" t="str">
            <v>DCF CALCULATION</v>
          </cell>
          <cell r="J34" t="str">
            <v>CAPITAL ASSET PRICING MODEL (CAPM)</v>
          </cell>
        </row>
        <row r="35">
          <cell r="C35" t="str">
            <v>Total Equity Value</v>
          </cell>
          <cell r="E35" t="str">
            <v>Per Share</v>
          </cell>
        </row>
        <row r="36">
          <cell r="A36" t="str">
            <v>Sum of PV of FCFE</v>
          </cell>
          <cell r="C36">
            <v>2221.0296214526843</v>
          </cell>
          <cell r="E36">
            <v>0.23938407598247791</v>
          </cell>
          <cell r="J36" t="str">
            <v>Risk Free Rate (15-Yr)</v>
          </cell>
          <cell r="S36">
            <v>0.06</v>
          </cell>
        </row>
        <row r="37">
          <cell r="A37" t="str">
            <v>PV of Terminal Value</v>
          </cell>
          <cell r="C37">
            <v>2628.3986477677445</v>
          </cell>
          <cell r="E37">
            <v>0.28329108006377957</v>
          </cell>
          <cell r="J37" t="str">
            <v>Company Beta</v>
          </cell>
          <cell r="P37">
            <v>0.6</v>
          </cell>
        </row>
        <row r="38">
          <cell r="A38" t="str">
            <v>Cash</v>
          </cell>
          <cell r="C38">
            <v>70.2</v>
          </cell>
          <cell r="E38">
            <v>7.5662167294778728E-3</v>
          </cell>
          <cell r="J38" t="str">
            <v>Equity Risk Premium</v>
          </cell>
          <cell r="P38">
            <v>0.05</v>
          </cell>
        </row>
        <row r="39">
          <cell r="A39" t="str">
            <v>Total Equity Value</v>
          </cell>
          <cell r="C39">
            <v>4919.6282692204286</v>
          </cell>
          <cell r="E39">
            <v>0.53024137277573535</v>
          </cell>
          <cell r="P39">
            <v>0.03</v>
          </cell>
          <cell r="S39">
            <v>0.09</v>
          </cell>
        </row>
        <row r="40">
          <cell r="J40" t="str">
            <v>Size Premium</v>
          </cell>
          <cell r="S40">
            <v>5.0000000000000001E-3</v>
          </cell>
        </row>
        <row r="42">
          <cell r="E42" t="str">
            <v>Current Price</v>
          </cell>
          <cell r="J42" t="str">
            <v>ESTIMATED COMPANY COST OF EQUITY</v>
          </cell>
        </row>
        <row r="43">
          <cell r="E43" t="str">
            <v>Prem./Disc.</v>
          </cell>
          <cell r="J43" t="str">
            <v>Current</v>
          </cell>
          <cell r="S43">
            <v>9.5000000000000001E-2</v>
          </cell>
        </row>
        <row r="44">
          <cell r="A44" t="str">
            <v>Implied DCF Share Price</v>
          </cell>
          <cell r="C44">
            <v>0.53024137277573535</v>
          </cell>
          <cell r="E44">
            <v>0.13156013620568396</v>
          </cell>
          <cell r="J44" t="str">
            <v>Long-Term</v>
          </cell>
          <cell r="S44">
            <v>0.10166666666666667</v>
          </cell>
        </row>
        <row r="45">
          <cell r="J45" t="str">
            <v xml:space="preserve">          Long-Term Adjusted Beta</v>
          </cell>
          <cell r="P45">
            <v>0.73333333333333328</v>
          </cell>
        </row>
      </sheetData>
      <sheetData sheetId="13" refreshError="1">
        <row r="114">
          <cell r="M114" t="str">
            <v xml:space="preserve">Reported </v>
          </cell>
        </row>
        <row r="173">
          <cell r="F173" t="str">
            <v>YTD through 31 March, 2008</v>
          </cell>
        </row>
        <row r="174">
          <cell r="F174" t="str">
            <v>Rooms</v>
          </cell>
          <cell r="G174" t="str">
            <v>Rooms</v>
          </cell>
          <cell r="J174" t="str">
            <v>Room</v>
          </cell>
          <cell r="K174" t="str">
            <v>Total</v>
          </cell>
          <cell r="L174" t="str">
            <v>% Variance</v>
          </cell>
        </row>
        <row r="175">
          <cell r="B175" t="str">
            <v>Property</v>
          </cell>
          <cell r="C175" t="str">
            <v>Dec 07 Fair Value</v>
          </cell>
          <cell r="D175" t="str">
            <v>Cap rate</v>
          </cell>
          <cell r="F175" t="str">
            <v>Available</v>
          </cell>
          <cell r="G175" t="str">
            <v>Sold</v>
          </cell>
          <cell r="H175" t="str">
            <v>Occupancy</v>
          </cell>
          <cell r="J175" t="str">
            <v>Rate</v>
          </cell>
          <cell r="K175" t="str">
            <v>Revenue</v>
          </cell>
          <cell r="L175" t="str">
            <v>from 1Q08</v>
          </cell>
        </row>
        <row r="176">
          <cell r="B176" t="str">
            <v>Ayers Rock Resort, NT</v>
          </cell>
          <cell r="C176">
            <v>445.4</v>
          </cell>
          <cell r="D176">
            <v>7.8E-2</v>
          </cell>
          <cell r="F176">
            <v>84630</v>
          </cell>
          <cell r="G176">
            <v>51319</v>
          </cell>
          <cell r="H176">
            <v>0.61</v>
          </cell>
          <cell r="J176">
            <v>208</v>
          </cell>
          <cell r="K176">
            <v>27341</v>
          </cell>
          <cell r="L176">
            <v>-5.0000000000000001E-3</v>
          </cell>
        </row>
        <row r="177">
          <cell r="B177" t="str">
            <v>Four Points, NSW</v>
          </cell>
          <cell r="C177">
            <v>232.4</v>
          </cell>
          <cell r="D177">
            <v>8.5000000000000006E-2</v>
          </cell>
          <cell r="F177">
            <v>57330</v>
          </cell>
          <cell r="G177">
            <v>49819</v>
          </cell>
          <cell r="H177">
            <v>0.87</v>
          </cell>
          <cell r="J177">
            <v>204</v>
          </cell>
          <cell r="K177">
            <v>13562</v>
          </cell>
          <cell r="L177">
            <v>8.9999999999999993E-3</v>
          </cell>
        </row>
        <row r="178">
          <cell r="B178" t="str">
            <v>Voyages Hotel &amp; Resorts</v>
          </cell>
          <cell r="C178">
            <v>217.5</v>
          </cell>
          <cell r="D178" t="str">
            <v>5.7%-9.1%</v>
          </cell>
          <cell r="F178">
            <v>52137</v>
          </cell>
          <cell r="G178">
            <v>31239</v>
          </cell>
          <cell r="H178">
            <v>0.6</v>
          </cell>
          <cell r="J178">
            <v>256</v>
          </cell>
          <cell r="K178">
            <v>17832</v>
          </cell>
          <cell r="L178">
            <v>-0.127</v>
          </cell>
        </row>
        <row r="179">
          <cell r="C179">
            <v>895.3</v>
          </cell>
          <cell r="F179">
            <v>194097</v>
          </cell>
          <cell r="G179">
            <v>132377</v>
          </cell>
          <cell r="H179">
            <v>0.68</v>
          </cell>
          <cell r="J179">
            <v>218</v>
          </cell>
          <cell r="K179">
            <v>58735</v>
          </cell>
          <cell r="L179">
            <v>-4.2999999999999997E-2</v>
          </cell>
        </row>
      </sheetData>
      <sheetData sheetId="14" refreshError="1"/>
      <sheetData sheetId="15" refreshError="1"/>
      <sheetData sheetId="16" refreshError="1"/>
      <sheetData sheetId="17" refreshError="1">
        <row r="215">
          <cell r="AK215" t="str">
            <v>Acquisition Capacity</v>
          </cell>
        </row>
        <row r="216">
          <cell r="AL216" t="str">
            <v>FY09</v>
          </cell>
          <cell r="AP216" t="str">
            <v>Debt</v>
          </cell>
        </row>
        <row r="217">
          <cell r="AL217" t="str">
            <v>Assets</v>
          </cell>
          <cell r="AM217" t="str">
            <v>Gearing</v>
          </cell>
          <cell r="AN217" t="str">
            <v>GPT Stake</v>
          </cell>
          <cell r="AO217" t="str">
            <v>Target</v>
          </cell>
          <cell r="AP217" t="str">
            <v>Capacity</v>
          </cell>
          <cell r="AQ217" t="str">
            <v>Split</v>
          </cell>
        </row>
        <row r="218">
          <cell r="AK218" t="str">
            <v>GWOF</v>
          </cell>
          <cell r="AL218">
            <v>2803.414859252422</v>
          </cell>
          <cell r="AM218">
            <v>0.21199999999999999</v>
          </cell>
          <cell r="AN218">
            <v>0.34100000000000003</v>
          </cell>
          <cell r="AO218">
            <v>0.4</v>
          </cell>
          <cell r="AP218">
            <v>527.04199353945546</v>
          </cell>
          <cell r="AQ218">
            <v>0.57274131555284491</v>
          </cell>
        </row>
        <row r="219">
          <cell r="AK219" t="str">
            <v>GWSCF</v>
          </cell>
          <cell r="AL219">
            <v>1965.837479270315</v>
          </cell>
          <cell r="AM219">
            <v>0.1</v>
          </cell>
          <cell r="AN219">
            <v>0.33500000000000002</v>
          </cell>
          <cell r="AO219">
            <v>0.3</v>
          </cell>
          <cell r="AP219">
            <v>393.16749585406296</v>
          </cell>
          <cell r="AQ219">
            <v>0.42725868444715503</v>
          </cell>
        </row>
        <row r="220">
          <cell r="AK220" t="str">
            <v xml:space="preserve">   Total</v>
          </cell>
          <cell r="AL220">
            <v>4769.2523385227369</v>
          </cell>
          <cell r="AM220">
            <v>0.16583473507999086</v>
          </cell>
          <cell r="AP220">
            <v>920.20948939351842</v>
          </cell>
        </row>
      </sheetData>
      <sheetData sheetId="18" refreshError="1">
        <row r="57">
          <cell r="Y57">
            <v>795668</v>
          </cell>
        </row>
      </sheetData>
      <sheetData sheetId="19" refreshError="1">
        <row r="222">
          <cell r="B222" t="str">
            <v>Underway</v>
          </cell>
          <cell r="C222" t="str">
            <v>Owner</v>
          </cell>
          <cell r="D222" t="str">
            <v>$ m</v>
          </cell>
        </row>
        <row r="223">
          <cell r="B223" t="str">
            <v>Charlestown Square</v>
          </cell>
          <cell r="C223" t="str">
            <v>GPT</v>
          </cell>
          <cell r="D223">
            <v>470</v>
          </cell>
        </row>
        <row r="224">
          <cell r="B224" t="str">
            <v>111 Eagle St.</v>
          </cell>
          <cell r="C224" t="str">
            <v>GPT/GWOF</v>
          </cell>
          <cell r="D224">
            <v>395</v>
          </cell>
        </row>
        <row r="225">
          <cell r="B225" t="str">
            <v xml:space="preserve">   Total</v>
          </cell>
          <cell r="D225">
            <v>865</v>
          </cell>
        </row>
        <row r="227">
          <cell r="B227" t="str">
            <v>Future Pipeline</v>
          </cell>
        </row>
        <row r="228">
          <cell r="B228" t="str">
            <v>Newcastle CBD</v>
          </cell>
          <cell r="C228" t="str">
            <v>GPT</v>
          </cell>
          <cell r="D228">
            <v>600</v>
          </cell>
        </row>
        <row r="229">
          <cell r="B229" t="str">
            <v>Sydney Olympic Park</v>
          </cell>
          <cell r="C229" t="str">
            <v>GPT</v>
          </cell>
          <cell r="D229">
            <v>400</v>
          </cell>
        </row>
        <row r="230">
          <cell r="B230" t="str">
            <v>Q Centre</v>
          </cell>
          <cell r="C230" t="str">
            <v>GWOF</v>
          </cell>
          <cell r="D230">
            <v>290</v>
          </cell>
        </row>
        <row r="231">
          <cell r="B231" t="str">
            <v>Wollongong Central</v>
          </cell>
          <cell r="C231" t="str">
            <v>GWSCF</v>
          </cell>
          <cell r="D231">
            <v>250</v>
          </cell>
        </row>
        <row r="232">
          <cell r="B232" t="str">
            <v>Erskine Park (Stage 3-5)</v>
          </cell>
          <cell r="C232" t="str">
            <v>GPT</v>
          </cell>
          <cell r="D232">
            <v>220</v>
          </cell>
        </row>
        <row r="233">
          <cell r="B233" t="str">
            <v>Highpoint Shopping Cntr</v>
          </cell>
          <cell r="C233" t="str">
            <v>GPT/GWSCF</v>
          </cell>
          <cell r="D233">
            <v>200</v>
          </cell>
        </row>
        <row r="234">
          <cell r="B234" t="str">
            <v>300 Lonsdale Street</v>
          </cell>
          <cell r="C234" t="str">
            <v>GPT</v>
          </cell>
          <cell r="D234">
            <v>165</v>
          </cell>
        </row>
        <row r="235">
          <cell r="B235" t="str">
            <v>Melbourne Central</v>
          </cell>
          <cell r="C235" t="str">
            <v>GPT</v>
          </cell>
          <cell r="D235">
            <v>75</v>
          </cell>
        </row>
        <row r="236">
          <cell r="B236" t="str">
            <v xml:space="preserve">Austrak Business Park </v>
          </cell>
          <cell r="C236" t="str">
            <v>GPT</v>
          </cell>
          <cell r="D236">
            <v>80</v>
          </cell>
        </row>
        <row r="237">
          <cell r="B237" t="str">
            <v>Casuarina Square</v>
          </cell>
          <cell r="C237" t="str">
            <v>GPT</v>
          </cell>
          <cell r="D237">
            <v>80</v>
          </cell>
        </row>
        <row r="238">
          <cell r="B238" t="str">
            <v xml:space="preserve">   Total</v>
          </cell>
          <cell r="D238">
            <v>2360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StoredData"/>
      <sheetName val="CapRes2007"/>
      <sheetName val="GPT1CENT"/>
      <sheetName val="GPT2CENT"/>
      <sheetName val="APPFCENT"/>
      <sheetName val="REDBNK-MG"/>
      <sheetName val="APPFMGT"/>
      <sheetName val="Costs Allocations"/>
      <sheetName val="Profit Share"/>
      <sheetName val="Forecast trust exps 69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Sheet"/>
      <sheetName val="Input Sheet"/>
      <sheetName val="EPS Disclosure Note"/>
      <sheetName val="Summary Results"/>
      <sheetName val="Guidance"/>
      <sheetName val="Earnings for Basic EPS"/>
      <sheetName val="Basic WANOS"/>
      <sheetName val="Earnings for Diluted EPS"/>
      <sheetName val="Trigger Test"/>
      <sheetName val="Diluted WANOS"/>
      <sheetName val="EPS - more than one category"/>
      <sheetName val="Restatement of Prior Year"/>
      <sheetName val="Manager Review Checklist"/>
    </sheetNames>
    <sheetDataSet>
      <sheetData sheetId="0" refreshError="1"/>
      <sheetData sheetId="1" refreshError="1">
        <row r="53">
          <cell r="H53">
            <v>365</v>
          </cell>
        </row>
        <row r="54">
          <cell r="H54">
            <v>39083</v>
          </cell>
        </row>
        <row r="55">
          <cell r="H55">
            <v>39448</v>
          </cell>
        </row>
        <row r="58">
          <cell r="H58">
            <v>2041530506</v>
          </cell>
        </row>
        <row r="67">
          <cell r="C67">
            <v>39227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Cover Page"/>
      <sheetName val="Directors report"/>
      <sheetName val="Dir &amp; Exec Discl (DR1)"/>
      <sheetName val="Dir &amp; Exec Discl (DR2)"/>
      <sheetName val="Dir &amp; Exec Discl (DR3)"/>
      <sheetName val="P&amp;L "/>
      <sheetName val="Balance Sheet"/>
      <sheetName val="Cashflow"/>
      <sheetName val="cfws - Consol"/>
      <sheetName val="CFWS Parent"/>
      <sheetName val="Ag Pol"/>
      <sheetName val="Notes"/>
      <sheetName val="Prop note"/>
      <sheetName val="Prop text"/>
      <sheetName val="Assoc note"/>
      <sheetName val="Finance note"/>
      <sheetName val="Finance WP"/>
      <sheetName val="Segment"/>
      <sheetName val="Dir &amp; Exec Discl"/>
      <sheetName val="Dir &amp; Exec Discl 2"/>
      <sheetName val="Dir &amp; Exec Discl 3"/>
      <sheetName val="Directors"/>
      <sheetName val="Directors report half year"/>
      <sheetName val="op y lhn (3)"/>
      <sheetName val="receivables lhn"/>
      <sheetName val="prepayments lhn "/>
      <sheetName val="creditors lhn"/>
      <sheetName val="reserves lhn"/>
      <sheetName val="asset val lhn"/>
      <sheetName val="Borrowings LHN Dec"/>
      <sheetName val="Segment Note WP"/>
    </sheetNames>
    <sheetDataSet>
      <sheetData sheetId="0" refreshError="1">
        <row r="4">
          <cell r="B4">
            <v>37986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Cover Page"/>
      <sheetName val="Directors report"/>
      <sheetName val="Dir &amp; Exec Discl (DR1)"/>
      <sheetName val="Dir &amp; Exec Discl (DR2)"/>
      <sheetName val="Dir &amp; Exec Discl (DR3)"/>
      <sheetName val="Directors report half year"/>
      <sheetName val="P&amp;L "/>
      <sheetName val="Balance Sheet"/>
      <sheetName val="Changes in Equity"/>
      <sheetName val="Cashflow"/>
      <sheetName val="Ag Pol"/>
      <sheetName val="Notes"/>
      <sheetName val="asset val lhn"/>
      <sheetName val="Property Plant &amp; Equipment"/>
      <sheetName val="Prop text"/>
      <sheetName val="Prop note"/>
      <sheetName val="Finance note"/>
      <sheetName val="Segment"/>
      <sheetName val="Directors"/>
      <sheetName val="op y lhn "/>
      <sheetName val="Revaluation P&amp;L AC"/>
      <sheetName val="Distribution rec lhn  "/>
      <sheetName val="cfws - Consol"/>
      <sheetName val="CFWS Parent"/>
      <sheetName val="receivables lhn"/>
      <sheetName val="other current lhn "/>
      <sheetName val="lease inc lhn"/>
      <sheetName val="Assoc asset val lhn "/>
      <sheetName val="Prop Plant &amp; equip val lhn"/>
      <sheetName val="Costs incl Additions LHN"/>
      <sheetName val="creditors lhn"/>
      <sheetName val="Assoc note"/>
      <sheetName val="Finance WP"/>
      <sheetName val="Dir &amp; Exec Discl"/>
      <sheetName val="Dir &amp; Exec Discl 2"/>
      <sheetName val="Dir &amp; Exec Discl 3"/>
      <sheetName val="Assoc lease inc lhn"/>
      <sheetName val="Borrowings LHN Dec"/>
      <sheetName val="Segment Note WP"/>
      <sheetName val="Unrealised Earning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72">
          <cell r="M72">
            <v>67.099999999999994</v>
          </cell>
          <cell r="O72">
            <v>58.9</v>
          </cell>
        </row>
        <row r="262">
          <cell r="M262">
            <v>190.5</v>
          </cell>
          <cell r="O262">
            <v>192.1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Assumptions"/>
      <sheetName val="Bal"/>
      <sheetName val="Inc Stmt"/>
      <sheetName val="Lease Roll "/>
      <sheetName val="Variance"/>
      <sheetName val="NAV"/>
      <sheetName val="CapEx"/>
      <sheetName val="Ratios"/>
      <sheetName val="Debt"/>
      <sheetName val="Tenant"/>
      <sheetName val="Market"/>
      <sheetName val="Div-FFO"/>
      <sheetName val="SSNOI"/>
      <sheetName val="Price Perf"/>
      <sheetName val="Metrics"/>
      <sheetName val="Tot Ret"/>
      <sheetName val="Summary"/>
      <sheetName val="Disclosure"/>
      <sheetName val="No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6">
          <cell r="A36">
            <v>0.03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(2)"/>
      <sheetName val="Sandpit"/>
      <sheetName val="FY_Model"/>
      <sheetName val="Group_Seg"/>
      <sheetName val="DevDivision"/>
      <sheetName val="Resi Dev"/>
      <sheetName val="Resi Projects"/>
      <sheetName val="Retail"/>
      <sheetName val="Commercial"/>
      <sheetName val="Industrial"/>
      <sheetName val="Non-Res Dev"/>
      <sheetName val="Trust NOI"/>
      <sheetName val="Hotels"/>
      <sheetName val="Funds Mgmt"/>
      <sheetName val="Consensus"/>
      <sheetName val="Forc chg"/>
      <sheetName val="MGR_DDM"/>
      <sheetName val="Summary"/>
      <sheetName val="iQ_CoreIndustrials"/>
      <sheetName val="Data"/>
      <sheetName val="FY_Corp"/>
      <sheetName val="FY_Trust"/>
      <sheetName val="FundsMgt"/>
      <sheetName val="Import"/>
      <sheetName val="FullPres"/>
      <sheetName val="HalfPres"/>
      <sheetName val="1H06Result"/>
      <sheetName val="DevBk06&amp;07"/>
      <sheetName val="ML Data"/>
      <sheetName val="ML Segmental"/>
      <sheetName val="ML Porfolio-Mini BS"/>
      <sheetName val="Truststats"/>
      <sheetName val="Corp_DCF"/>
      <sheetName val="RetailAssets"/>
      <sheetName val="DevCharts"/>
      <sheetName val="Shares"/>
      <sheetName val="Centrepoint"/>
      <sheetName val="IndustrialAssets"/>
      <sheetName val="Non-ResDev"/>
      <sheetName val="CommercialAssets"/>
      <sheetName val="JFG"/>
      <sheetName val="DPUHist"/>
      <sheetName val="mgt ownership"/>
      <sheetName val="Recon"/>
      <sheetName val="Macro"/>
      <sheetName val="REDSTemplate - MGR"/>
      <sheetName val="FY05Result"/>
      <sheetName val="Result Analysis"/>
      <sheetName val="DDM"/>
      <sheetName val="FinSummary"/>
      <sheetName val="DCF_ROIC"/>
      <sheetName val="NOISum"/>
      <sheetName val="EarningsRevisions"/>
      <sheetName val="cmbs"/>
      <sheetName val="SumofpartsVal"/>
      <sheetName val="Yarra's Edge"/>
      <sheetName val="XXX"/>
      <sheetName val="Sheet3 (2)"/>
      <sheetName val="RestatedFins."/>
      <sheetName val="stats"/>
      <sheetName val="##_MGRdist_IQ"/>
    </sheetNames>
    <sheetDataSet>
      <sheetData sheetId="0" refreshError="1"/>
      <sheetData sheetId="1" refreshError="1"/>
      <sheetData sheetId="2" refreshError="1">
        <row r="294">
          <cell r="C294" t="str">
            <v>price</v>
          </cell>
          <cell r="O294">
            <v>3.5569999999999999</v>
          </cell>
          <cell r="P294">
            <v>0</v>
          </cell>
          <cell r="U294">
            <v>3.2</v>
          </cell>
          <cell r="V294">
            <v>3.3788</v>
          </cell>
          <cell r="W294">
            <v>3.3788</v>
          </cell>
          <cell r="X294">
            <v>3.5552000000000001</v>
          </cell>
          <cell r="Y294">
            <v>3.7149999999999999</v>
          </cell>
          <cell r="Z294">
            <v>3.7149999999999999</v>
          </cell>
          <cell r="AA294">
            <v>3.87</v>
          </cell>
          <cell r="AB294">
            <v>4.1900000000000004</v>
          </cell>
          <cell r="AC294">
            <v>4.1900000000000004</v>
          </cell>
          <cell r="AD294">
            <v>4.1399999999999997</v>
          </cell>
          <cell r="AE294">
            <v>4.4400000000000004</v>
          </cell>
          <cell r="AF294">
            <v>4.4400000000000004</v>
          </cell>
          <cell r="AG294">
            <v>4.32</v>
          </cell>
          <cell r="AH294">
            <v>4.401810464099924</v>
          </cell>
          <cell r="AI294">
            <v>4.3</v>
          </cell>
          <cell r="AJ294">
            <v>4.264056887348902</v>
          </cell>
          <cell r="AK294">
            <v>4.5999999999999996</v>
          </cell>
          <cell r="AL294">
            <v>3.69</v>
          </cell>
          <cell r="AM294">
            <v>3.7003492940300537</v>
          </cell>
          <cell r="AN294">
            <v>3.710698588060108</v>
          </cell>
          <cell r="AO294">
            <v>3.710698588060108</v>
          </cell>
          <cell r="AP294">
            <v>3.7360539192598092</v>
          </cell>
          <cell r="AQ294">
            <v>3.7614092504595105</v>
          </cell>
          <cell r="AR294">
            <v>3.7614092504595105</v>
          </cell>
          <cell r="AS294">
            <v>3.7814367504526705</v>
          </cell>
          <cell r="AT294">
            <v>3.8014642504458305</v>
          </cell>
          <cell r="AU294">
            <v>3.8014642504458305</v>
          </cell>
          <cell r="AV294">
            <v>3.8176142171406333</v>
          </cell>
          <cell r="AW294">
            <v>3.8337641838354362</v>
          </cell>
          <cell r="AX294">
            <v>3.8337641838354362</v>
          </cell>
          <cell r="AY294">
            <v>3.8426822755170167</v>
          </cell>
          <cell r="AZ294">
            <v>3.8516003671985972</v>
          </cell>
          <cell r="BA294">
            <v>3.8516003671985972</v>
          </cell>
          <cell r="BB294">
            <v>3.8572840613502954</v>
          </cell>
          <cell r="BC294">
            <v>3.8629677555019937</v>
          </cell>
          <cell r="BD294">
            <v>3.8629677555019937</v>
          </cell>
          <cell r="BE294">
            <v>3.8608229626612371</v>
          </cell>
          <cell r="BF294">
            <v>3.8586781698204806</v>
          </cell>
          <cell r="BG294">
            <v>3.8586781698204806</v>
          </cell>
          <cell r="BH294">
            <v>3.8505500336708076</v>
          </cell>
          <cell r="BI294">
            <v>3.8424218975211342</v>
          </cell>
          <cell r="BJ294">
            <v>3.8424218975211342</v>
          </cell>
          <cell r="BK294">
            <v>3.8274953424661815</v>
          </cell>
          <cell r="BL294">
            <v>3.8125687874112288</v>
          </cell>
          <cell r="BM294">
            <v>3.8125687874112288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12">
          <cell r="A12" t="str">
            <v>hotels_tax</v>
          </cell>
          <cell r="C12" t="str">
            <v>Tax</v>
          </cell>
          <cell r="D12">
            <v>1.6734400000000011</v>
          </cell>
          <cell r="E12">
            <v>3.1129999999999995</v>
          </cell>
          <cell r="F12">
            <v>2.918000000000001</v>
          </cell>
          <cell r="G12">
            <v>2.0619999999999994</v>
          </cell>
          <cell r="H12">
            <v>1.8870000000000005</v>
          </cell>
          <cell r="I12">
            <v>1.5210000000000008</v>
          </cell>
          <cell r="J12">
            <v>2.6280000000000001</v>
          </cell>
          <cell r="K12">
            <v>2.7762741168151899</v>
          </cell>
          <cell r="L12">
            <v>2.8530561469410007</v>
          </cell>
          <cell r="M12">
            <v>3.0361915077243751</v>
          </cell>
          <cell r="N12">
            <v>3.0556231333738118</v>
          </cell>
          <cell r="O12">
            <v>3.1167355960412881</v>
          </cell>
          <cell r="P12">
            <v>3.1790703079621139</v>
          </cell>
          <cell r="Q12">
            <v>3.2426517141213562</v>
          </cell>
          <cell r="R12">
            <v>3.3075047484037832</v>
          </cell>
          <cell r="S12">
            <v>1.0130000000000001</v>
          </cell>
          <cell r="T12">
            <v>11.862</v>
          </cell>
          <cell r="U12">
            <v>7.0359999999999996</v>
          </cell>
          <cell r="V12">
            <v>1.0919999999999999</v>
          </cell>
          <cell r="W12">
            <v>12.287000000000001</v>
          </cell>
          <cell r="X12">
            <v>7.1879999999999997</v>
          </cell>
          <cell r="Y12">
            <v>3.3760000000000003</v>
          </cell>
          <cell r="Z12">
            <v>10.564</v>
          </cell>
          <cell r="AA12">
            <v>8.0340000000000007</v>
          </cell>
          <cell r="AB12">
            <v>6.363999999999999</v>
          </cell>
          <cell r="AC12">
            <v>14.398</v>
          </cell>
          <cell r="AD12">
            <v>8.1440000000000001</v>
          </cell>
          <cell r="AE12">
            <v>1.1329999999999991</v>
          </cell>
          <cell r="AF12">
            <v>9.2769999999999992</v>
          </cell>
          <cell r="AG12">
            <v>0</v>
          </cell>
          <cell r="AH12">
            <v>0</v>
          </cell>
          <cell r="AI12">
            <v>16.13534884951212</v>
          </cell>
          <cell r="AJ12">
            <v>0</v>
          </cell>
          <cell r="AL12">
            <v>17.10346978048285</v>
          </cell>
          <cell r="AM12">
            <v>0</v>
          </cell>
          <cell r="AN12">
            <v>0</v>
          </cell>
          <cell r="AO12">
            <v>17.958643269506993</v>
          </cell>
          <cell r="AP12">
            <v>0</v>
          </cell>
          <cell r="AR12">
            <v>18.676989000287271</v>
          </cell>
          <cell r="AS12">
            <v>0</v>
          </cell>
          <cell r="AT12">
            <v>0</v>
          </cell>
          <cell r="AU12">
            <v>19.424068560298767</v>
          </cell>
          <cell r="AV12">
            <v>0</v>
          </cell>
          <cell r="AX12">
            <v>20.201031302710717</v>
          </cell>
          <cell r="AY12">
            <v>0</v>
          </cell>
          <cell r="BA12">
            <v>21.009072554819145</v>
          </cell>
          <cell r="BB12">
            <v>0</v>
          </cell>
          <cell r="BD12">
            <v>21.849435457011914</v>
          </cell>
        </row>
        <row r="14">
          <cell r="A14" t="str">
            <v>hotels_npat</v>
          </cell>
          <cell r="C14" t="str">
            <v>NPAT</v>
          </cell>
          <cell r="D14">
            <v>8.6085599999999989</v>
          </cell>
          <cell r="E14">
            <v>11.429</v>
          </cell>
          <cell r="F14">
            <v>12.1</v>
          </cell>
          <cell r="G14">
            <v>9.8000000000000007</v>
          </cell>
          <cell r="H14">
            <v>10.4</v>
          </cell>
          <cell r="I14">
            <v>9.0389999999999997</v>
          </cell>
          <cell r="J14">
            <v>11.767999999999999</v>
          </cell>
          <cell r="K14">
            <v>13.55475009974475</v>
          </cell>
          <cell r="L14">
            <v>13.929627070359004</v>
          </cell>
          <cell r="M14">
            <v>14.823758537713125</v>
          </cell>
          <cell r="N14">
            <v>14.918630592354491</v>
          </cell>
          <cell r="O14">
            <v>15.217003204201582</v>
          </cell>
          <cell r="P14">
            <v>15.521343268285612</v>
          </cell>
          <cell r="Q14">
            <v>15.831770133651327</v>
          </cell>
          <cell r="R14">
            <v>16.148405536324351</v>
          </cell>
          <cell r="T14">
            <v>-0.21014782261286458</v>
          </cell>
          <cell r="W14">
            <v>3.5828696678469107E-2</v>
          </cell>
          <cell r="X14">
            <v>2.1603183627060929E-2</v>
          </cell>
          <cell r="Y14">
            <v>2.0915750915750921</v>
          </cell>
          <cell r="Z14">
            <v>-0.14022951086514213</v>
          </cell>
          <cell r="AA14">
            <v>0.11769616026711205</v>
          </cell>
          <cell r="AB14">
            <v>0.88507109004739282</v>
          </cell>
          <cell r="AC14">
            <v>0.36293070806512673</v>
          </cell>
          <cell r="AD14">
            <v>1.3691809808314526E-2</v>
          </cell>
          <cell r="AE14">
            <v>-0.82196731615336271</v>
          </cell>
          <cell r="AF14">
            <v>-0.35567439922211419</v>
          </cell>
          <cell r="AG14">
            <v>-1</v>
          </cell>
          <cell r="AH14">
            <v>-1</v>
          </cell>
          <cell r="AI14">
            <v>0.7392852052939658</v>
          </cell>
          <cell r="AJ14" t="e">
            <v>#DIV/0!</v>
          </cell>
          <cell r="AK14" t="e">
            <v>#DIV/0!</v>
          </cell>
          <cell r="AL14">
            <v>6.0000000000000275E-2</v>
          </cell>
          <cell r="AM14" t="e">
            <v>#DIV/0!</v>
          </cell>
          <cell r="AN14" t="e">
            <v>#DIV/0!</v>
          </cell>
          <cell r="AO14">
            <v>5.0000000000000044E-2</v>
          </cell>
          <cell r="AP14" t="e">
            <v>#DIV/0!</v>
          </cell>
          <cell r="AQ14" t="e">
            <v>#DIV/0!</v>
          </cell>
          <cell r="AR14">
            <v>3.9999999999999813E-2</v>
          </cell>
          <cell r="AS14" t="e">
            <v>#DIV/0!</v>
          </cell>
          <cell r="AU14">
            <v>4.0000000000000258E-2</v>
          </cell>
          <cell r="AV14" t="e">
            <v>#DIV/0!</v>
          </cell>
          <cell r="AW14" t="e">
            <v>#DIV/0!</v>
          </cell>
          <cell r="AX14">
            <v>4.0000000000000036E-2</v>
          </cell>
          <cell r="AY14" t="e">
            <v>#DIV/0!</v>
          </cell>
          <cell r="AZ14" t="e">
            <v>#DIV/0!</v>
          </cell>
          <cell r="BA14">
            <v>4.0000000000000036E-2</v>
          </cell>
          <cell r="BB14" t="e">
            <v>#DIV/0!</v>
          </cell>
          <cell r="BC14" t="e">
            <v>#DIV/0!</v>
          </cell>
          <cell r="BD14">
            <v>4.0000000000000258E-2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>
        <row r="11">
          <cell r="Q11">
            <v>5.5149439459598146E-2</v>
          </cell>
          <cell r="U11">
            <v>38709</v>
          </cell>
        </row>
        <row r="13">
          <cell r="F13">
            <v>4.281227651744886</v>
          </cell>
        </row>
        <row r="24">
          <cell r="S24">
            <v>0.65</v>
          </cell>
        </row>
        <row r="25">
          <cell r="S25">
            <v>0.35</v>
          </cell>
        </row>
        <row r="30">
          <cell r="S30">
            <v>5.2926686434121441E-2</v>
          </cell>
        </row>
        <row r="37">
          <cell r="AT37">
            <v>9.0022500000000005E-2</v>
          </cell>
        </row>
        <row r="51">
          <cell r="A51" t="str">
            <v>QLD_AvgLPg_DevDiv</v>
          </cell>
          <cell r="C51" t="str">
            <v xml:space="preserve">  QLD</v>
          </cell>
          <cell r="D51" t="str">
            <v>n/a</v>
          </cell>
          <cell r="E51">
            <v>0.26066350710900466</v>
          </cell>
          <cell r="F51">
            <v>0</v>
          </cell>
          <cell r="G51">
            <v>-6.9084628670120773E-3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18.701075985667476</v>
          </cell>
          <cell r="Q51" t="str">
            <v>Net Profit</v>
          </cell>
          <cell r="R51">
            <v>20.707037268011167</v>
          </cell>
          <cell r="S51">
            <v>233.3</v>
          </cell>
          <cell r="T51">
            <v>268.4802211522931</v>
          </cell>
          <cell r="U51">
            <v>288.4047401025831</v>
          </cell>
          <cell r="V51">
            <v>291.42123555934023</v>
          </cell>
          <cell r="W51">
            <v>298.81244685457375</v>
          </cell>
          <cell r="X51">
            <v>3.6323776417467313E-2</v>
          </cell>
          <cell r="AY51" t="str">
            <v>Bear 2</v>
          </cell>
          <cell r="AZ51" t="str">
            <v xml:space="preserve">zero volume growth from 2004 and beyond, I.e. sales remain at 2,370 for 10 years </v>
          </cell>
          <cell r="BH51" t="str">
            <v>* Bull:</v>
          </cell>
          <cell r="BI51" t="str">
            <v>+2% to base case price &amp; volume growth rate assumptions</v>
          </cell>
        </row>
        <row r="52">
          <cell r="A52" t="str">
            <v>NSW_AvgLPg_DevDiv</v>
          </cell>
          <cell r="C52" t="str">
            <v xml:space="preserve">  NSW</v>
          </cell>
          <cell r="D52" t="str">
            <v>n/a</v>
          </cell>
          <cell r="E52">
            <v>-5.1948340829518602E-2</v>
          </cell>
          <cell r="F52">
            <v>8.7719298245614086E-2</v>
          </cell>
          <cell r="G52">
            <v>0.18897835933568197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0.37137306917474638</v>
          </cell>
          <cell r="Q52" t="str">
            <v xml:space="preserve"> growth</v>
          </cell>
          <cell r="R52">
            <v>4.5785292853883226E-2</v>
          </cell>
          <cell r="T52">
            <v>0.15079391835530687</v>
          </cell>
          <cell r="U52">
            <v>7.4212241277125557E-2</v>
          </cell>
          <cell r="V52">
            <v>1.0459243685399189E-2</v>
          </cell>
          <cell r="W52">
            <v>2.5362637973334934E-2</v>
          </cell>
          <cell r="AB52" t="str">
            <v>Corporation Splits</v>
          </cell>
          <cell r="AY52" t="str">
            <v>Bear 3</v>
          </cell>
          <cell r="AZ52" t="str">
            <v>= Bear 1 + Bear 2</v>
          </cell>
          <cell r="BN52" t="str">
            <v>Note: valuation using 100% payout = $4.83 including $0.18 of RE at June 30, 04</v>
          </cell>
        </row>
        <row r="64">
          <cell r="A64" t="str">
            <v>PtRGFE_DevDiv</v>
          </cell>
          <cell r="C64" t="str">
            <v>PtRGFE</v>
          </cell>
          <cell r="D64">
            <v>0.16288800584772453</v>
          </cell>
          <cell r="E64">
            <v>0.1398464907044131</v>
          </cell>
          <cell r="F64">
            <v>0.16143494565871852</v>
          </cell>
          <cell r="G64">
            <v>8.3468448761560968E-2</v>
          </cell>
          <cell r="H64">
            <v>0.10505780723807079</v>
          </cell>
          <cell r="I64">
            <v>9.5466471329094985E-2</v>
          </cell>
          <cell r="J64">
            <v>9.9110496698672987E-2</v>
          </cell>
          <cell r="K64">
            <v>9.8679472563563367E-2</v>
          </cell>
          <cell r="L64">
            <v>9.8546338219739432E-2</v>
          </cell>
          <cell r="M64">
            <v>9.9516978761779798E-2</v>
          </cell>
          <cell r="N64">
            <v>0.10064434006780987</v>
          </cell>
          <cell r="O64">
            <v>0.10192272667287926</v>
          </cell>
          <cell r="P64">
            <v>17.782782645230348</v>
          </cell>
          <cell r="Q64" t="str">
            <v>NPAT (as @ June 04)</v>
          </cell>
          <cell r="R64">
            <v>23.114002662025541</v>
          </cell>
          <cell r="AG64" t="str">
            <v>Centerpoint</v>
          </cell>
        </row>
        <row r="92">
          <cell r="G92">
            <v>1.1210090575326945</v>
          </cell>
          <cell r="H92">
            <v>1</v>
          </cell>
          <cell r="I92">
            <v>0.95</v>
          </cell>
          <cell r="K92">
            <v>0.95</v>
          </cell>
          <cell r="M92">
            <v>0.95</v>
          </cell>
          <cell r="O92">
            <v>0.95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ACC"/>
      <sheetName val="Sheet1"/>
      <sheetName val="Sheet2"/>
      <sheetName val="Sheet3"/>
    </sheetNames>
    <sheetDataSet>
      <sheetData sheetId="0" refreshError="1">
        <row r="1">
          <cell r="B1">
            <v>33054</v>
          </cell>
        </row>
        <row r="2">
          <cell r="B2">
            <v>13.8</v>
          </cell>
        </row>
        <row r="3">
          <cell r="B3">
            <v>14.600323968644856</v>
          </cell>
        </row>
        <row r="4">
          <cell r="G4">
            <v>0.04</v>
          </cell>
        </row>
        <row r="5">
          <cell r="G5">
            <v>0.3</v>
          </cell>
        </row>
        <row r="6">
          <cell r="B6">
            <v>1</v>
          </cell>
        </row>
        <row r="11">
          <cell r="B11">
            <v>0.34</v>
          </cell>
          <cell r="G11">
            <v>5.5E-2</v>
          </cell>
        </row>
        <row r="12">
          <cell r="B12">
            <v>2.5000000000000001E-2</v>
          </cell>
          <cell r="G12">
            <v>4.4999999999999998E-2</v>
          </cell>
        </row>
        <row r="13">
          <cell r="B13">
            <v>0.5</v>
          </cell>
        </row>
        <row r="15">
          <cell r="B15">
            <v>7.1124999999999883E-2</v>
          </cell>
        </row>
        <row r="16">
          <cell r="B16">
            <v>6.5999999999999837E-2</v>
          </cell>
          <cell r="G16">
            <v>-8.2576913274380335</v>
          </cell>
        </row>
        <row r="127">
          <cell r="D127">
            <v>548.14259799999991</v>
          </cell>
        </row>
        <row r="131">
          <cell r="D131">
            <v>13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D"/>
      <sheetName val="GRD Mirror"/>
      <sheetName val="Forc chg"/>
      <sheetName val="Sheet1"/>
      <sheetName val="Title"/>
      <sheetName val="Update log"/>
      <sheetName val="Model Flowchart"/>
      <sheetName val="Basic Assumptions"/>
      <sheetName val="Corporate Assumptions"/>
      <sheetName val="Board Presentation"/>
      <sheetName val="Reconciliation"/>
      <sheetName val="Trust Assumptions"/>
      <sheetName val="Valuation Group"/>
      <sheetName val="Valuation Trust"/>
      <sheetName val="Valuation Corporate"/>
      <sheetName val="Group Financials"/>
      <sheetName val="Trust Financials - basic"/>
      <sheetName val="Corporate Financials - basic"/>
      <sheetName val="Acquisitions"/>
      <sheetName val="Residential - development"/>
      <sheetName val="TC Tax Calculations"/>
      <sheetName val="Tax Calculations - AGAAP"/>
      <sheetName val="Tax Calculations - IFRS"/>
      <sheetName val="Capitalised Interest Schedule"/>
      <sheetName val="Development Inventory"/>
      <sheetName val="Property Asset Valuations"/>
      <sheetName val="MBC"/>
      <sheetName val="MBC IFRS"/>
      <sheetName val="Thiess Centre"/>
      <sheetName val="Thiess Centre IFRS"/>
      <sheetName val="The Public Trustee Building"/>
      <sheetName val="The Public Trustee Building IFR"/>
      <sheetName val="ATO"/>
      <sheetName val="ATO IFRS"/>
      <sheetName val="Epping Road"/>
      <sheetName val="Epping Road IFRS"/>
      <sheetName val="Fujitsu"/>
      <sheetName val="Fujitsu IFRS"/>
      <sheetName val="Qantas"/>
      <sheetName val="Qantas 6.813%"/>
      <sheetName val="Qantas IFRS"/>
      <sheetName val="Qantas 6.813% IFRS"/>
      <sheetName val="Wicks Road"/>
      <sheetName val="Wicks Road IFRS"/>
      <sheetName val="Granville"/>
      <sheetName val="Granville IFRS"/>
      <sheetName val="Frances Park(50%)"/>
      <sheetName val="Frances Park (100%)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TDIST"/>
      <sheetName val="Market"/>
      <sheetName val="Assumptions"/>
      <sheetName val="OLD Numbers"/>
      <sheetName val="Import"/>
      <sheetName val="Summary"/>
      <sheetName val="Result Analysis"/>
      <sheetName val="Old Result Analysis"/>
      <sheetName val="FY04 Results Summary"/>
      <sheetName val="REDSTemplate - DOT"/>
      <sheetName val="REDSTemplate - DOT (OLD)"/>
      <sheetName val="Bal Sheet"/>
      <sheetName val="Reconciliation"/>
      <sheetName val="Data"/>
      <sheetName val="ChartData"/>
      <sheetName val="Prospectus"/>
      <sheetName val="EPS chang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52">
          <cell r="C52">
            <v>3.9000515916728249</v>
          </cell>
          <cell r="D52">
            <v>7.2499999999999991</v>
          </cell>
          <cell r="E52">
            <v>9.957846862485388</v>
          </cell>
          <cell r="F52">
            <v>10.000939312720881</v>
          </cell>
          <cell r="G52">
            <v>9.9991153537847701</v>
          </cell>
          <cell r="H52">
            <v>8.9997741607436019</v>
          </cell>
        </row>
        <row r="71">
          <cell r="B71">
            <v>1.2136236791517128</v>
          </cell>
        </row>
        <row r="73">
          <cell r="B73">
            <v>8.2500000000000004E-2</v>
          </cell>
        </row>
        <row r="80"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</row>
        <row r="81">
          <cell r="B81">
            <v>35.276000000000003</v>
          </cell>
          <cell r="C81">
            <v>518.70800000000008</v>
          </cell>
          <cell r="D81">
            <v>1364.4639999999999</v>
          </cell>
          <cell r="E81">
            <v>24.481999999999999</v>
          </cell>
          <cell r="F81">
            <v>3.9000515916728249</v>
          </cell>
          <cell r="G81">
            <v>3.9000515916728249</v>
          </cell>
          <cell r="I81">
            <v>0.87929640113222796</v>
          </cell>
        </row>
        <row r="82">
          <cell r="B82">
            <v>67.214146249999999</v>
          </cell>
          <cell r="C82">
            <v>299.76800000000003</v>
          </cell>
          <cell r="D82">
            <v>1180.8530000000001</v>
          </cell>
          <cell r="E82">
            <v>47.585606183124817</v>
          </cell>
          <cell r="F82">
            <v>7.2499999999999991</v>
          </cell>
          <cell r="G82">
            <v>7.2499999999999991</v>
          </cell>
          <cell r="I82">
            <v>1.2285580824630145</v>
          </cell>
        </row>
        <row r="83">
          <cell r="B83">
            <v>137.22800000000001</v>
          </cell>
          <cell r="C83">
            <v>451</v>
          </cell>
          <cell r="D83">
            <v>1971.9589999999998</v>
          </cell>
          <cell r="E83">
            <v>100.05500000000001</v>
          </cell>
          <cell r="F83">
            <v>9.957846862485388</v>
          </cell>
          <cell r="G83">
            <v>9.957846862485388</v>
          </cell>
          <cell r="I83">
            <v>1.2662682481843539</v>
          </cell>
        </row>
        <row r="84">
          <cell r="B84">
            <v>153.49964618101396</v>
          </cell>
          <cell r="C84">
            <v>502.16199999999998</v>
          </cell>
          <cell r="D84">
            <v>2005.075</v>
          </cell>
          <cell r="E84">
            <v>112.81364618101397</v>
          </cell>
          <cell r="F84">
            <v>10.000939312720881</v>
          </cell>
          <cell r="G84">
            <v>10.000939312720881</v>
          </cell>
          <cell r="I84">
            <v>1.2485251519434011</v>
          </cell>
        </row>
        <row r="85">
          <cell r="B85">
            <v>143.70543843521634</v>
          </cell>
          <cell r="C85">
            <v>567.70000000000005</v>
          </cell>
          <cell r="D85">
            <v>2040.5</v>
          </cell>
          <cell r="E85">
            <v>101.50543843521633</v>
          </cell>
          <cell r="F85">
            <v>9.9991153537847701</v>
          </cell>
          <cell r="G85">
            <v>9.9991153537847701</v>
          </cell>
          <cell r="I85">
            <v>1.2226073400312973</v>
          </cell>
        </row>
        <row r="86">
          <cell r="B86">
            <v>149.56929973739085</v>
          </cell>
          <cell r="C86">
            <v>901.91761759188773</v>
          </cell>
          <cell r="D86">
            <v>2362.0476175918875</v>
          </cell>
          <cell r="E86">
            <v>99.223791288719056</v>
          </cell>
          <cell r="F86">
            <v>8.9997741607436019</v>
          </cell>
          <cell r="G86">
            <v>8.9997741607436019</v>
          </cell>
          <cell r="I86">
            <v>1.2174838056852231</v>
          </cell>
        </row>
        <row r="87">
          <cell r="B87">
            <v>166.0810753035023</v>
          </cell>
          <cell r="C87">
            <v>923.12269530895549</v>
          </cell>
          <cell r="D87">
            <v>2450.2737195819009</v>
          </cell>
          <cell r="E87">
            <v>100.15082829032757</v>
          </cell>
          <cell r="F87">
            <v>8.7172144854323417</v>
          </cell>
          <cell r="G87">
            <v>8.7172144854323417</v>
          </cell>
          <cell r="I87">
            <v>1.2716659722015131</v>
          </cell>
        </row>
        <row r="88">
          <cell r="B88">
            <v>178.09894881020227</v>
          </cell>
          <cell r="C88">
            <v>942.45546477632593</v>
          </cell>
          <cell r="D88">
            <v>2540.3703076918141</v>
          </cell>
          <cell r="E88">
            <v>109.14634964808918</v>
          </cell>
          <cell r="F88">
            <v>9.5563873072809731</v>
          </cell>
          <cell r="G88">
            <v>9.5563873072809731</v>
          </cell>
          <cell r="I88">
            <v>1.3299183316650596</v>
          </cell>
        </row>
        <row r="89">
          <cell r="B89">
            <v>188.54445230375478</v>
          </cell>
          <cell r="C89">
            <v>961.04459623289949</v>
          </cell>
          <cell r="D89">
            <v>2624.4546742682992</v>
          </cell>
          <cell r="E89">
            <v>116.86904568917873</v>
          </cell>
          <cell r="F89">
            <v>10.233546681650395</v>
          </cell>
          <cell r="G89">
            <v>10.233546681650395</v>
          </cell>
          <cell r="I89">
            <v>1.3829850812654727</v>
          </cell>
        </row>
        <row r="90">
          <cell r="B90">
            <v>197.73647449875597</v>
          </cell>
          <cell r="C90">
            <v>970.94948977970182</v>
          </cell>
          <cell r="D90">
            <v>2705.0703981141573</v>
          </cell>
          <cell r="E90">
            <v>124.71658289072555</v>
          </cell>
          <cell r="F90">
            <v>11.029998038508596</v>
          </cell>
          <cell r="G90">
            <v>11.029998038508596</v>
          </cell>
          <cell r="I90">
            <v>1.4429987413858343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commendation check"/>
      <sheetName val="sector_fv"/>
      <sheetName val="sector stats"/>
      <sheetName val="Liquidity"/>
      <sheetName val="Sheet3"/>
      <sheetName val="inputs"/>
      <sheetName val="Stats"/>
      <sheetName val="Sheet1"/>
      <sheetName val="next divs"/>
      <sheetName val="Table"/>
      <sheetName val="Val_summary"/>
      <sheetName val="wdc_DDM"/>
      <sheetName val="TGP_DDM"/>
      <sheetName val="SGP_DDM"/>
      <sheetName val="MGR_DDM"/>
      <sheetName val="MGQ_DDM"/>
      <sheetName val="TSO_DDM"/>
      <sheetName val="CPA_DCF"/>
      <sheetName val="MPR_DDM"/>
      <sheetName val="GAN_DDM"/>
      <sheetName val="MXG_DDM"/>
      <sheetName val="DRT_DDM"/>
      <sheetName val="CNP_DDM"/>
      <sheetName val="CPA_DDM"/>
      <sheetName val="CPA_EDM"/>
      <sheetName val="DOT_EDM"/>
      <sheetName val="IIF_DDM"/>
      <sheetName val="IOF_DDM"/>
      <sheetName val="IOF_EDM"/>
      <sheetName val="IPG_DDM"/>
      <sheetName val="IPG_EDM"/>
      <sheetName val="MOF_DDM"/>
      <sheetName val="MOF_EDM"/>
      <sheetName val="RPH_DDM"/>
      <sheetName val="RPH_EDM"/>
      <sheetName val="GPT_DDM"/>
      <sheetName val="GPT_DDM (2)"/>
      <sheetName val="MDT_DDM"/>
      <sheetName val="GSA_DDM"/>
      <sheetName val="total returns"/>
      <sheetName val="Foreign LPTs"/>
      <sheetName val="tot_return"/>
      <sheetName val="sector_valuations"/>
      <sheetName val="Sheet2"/>
      <sheetName val="DOT_DCF"/>
      <sheetName val="AOF_DCF"/>
      <sheetName val="CEP_DDM"/>
      <sheetName val="DIT_DDM"/>
      <sheetName val="DOT_DDM"/>
      <sheetName val="POF_DCF"/>
      <sheetName val="WFT_DDM"/>
      <sheetName val="WFA_DDM"/>
      <sheetName val="sector_yields"/>
      <sheetName val="WFG_DDM"/>
      <sheetName val="POF_DDM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>
        <row r="4">
          <cell r="K4">
            <v>8.5000000000000006E-2</v>
          </cell>
        </row>
        <row r="7">
          <cell r="K7">
            <v>9.0250000000000011E-2</v>
          </cell>
        </row>
        <row r="10">
          <cell r="I10">
            <v>0.67962860905206623</v>
          </cell>
          <cell r="K10">
            <v>0.08</v>
          </cell>
        </row>
      </sheetData>
      <sheetData sheetId="6"/>
      <sheetData sheetId="7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FY_Trust"/>
      <sheetName val="BunningsWarehouse"/>
      <sheetName val="NOISum"/>
      <sheetName val="PtyAssets"/>
      <sheetName val="Performance Summary"/>
      <sheetName val="HalfPres"/>
      <sheetName val="Consensus"/>
      <sheetName val="Unitholders"/>
      <sheetName val="Geographical Diversity"/>
      <sheetName val="Structure"/>
      <sheetName val="Distribution History"/>
      <sheetName val="Macro"/>
      <sheetName val="EarningsRevisions"/>
      <sheetName val="GRDLink"/>
      <sheetName val="GRD"/>
      <sheetName val="Comps"/>
      <sheetName val="Comps2"/>
      <sheetName val="IDCapex"/>
      <sheetName val="DDM"/>
      <sheetName val="DPUHist"/>
      <sheetName val="Shares"/>
      <sheetName val="PtyAssetTwo"/>
      <sheetName val="NOISumTwo"/>
    </sheetNames>
    <sheetDataSet>
      <sheetData sheetId="0" refreshError="1"/>
      <sheetData sheetId="1" refreshError="1">
        <row r="14">
          <cell r="A14" t="str">
            <v>trust_rev_npi</v>
          </cell>
        </row>
        <row r="146">
          <cell r="C146" t="str">
            <v>DO NOT DELETE THIS LINE</v>
          </cell>
          <cell r="AI146" t="str">
            <v>04</v>
          </cell>
          <cell r="AL146" t="str">
            <v>05</v>
          </cell>
          <cell r="AO146" t="str">
            <v>06</v>
          </cell>
          <cell r="AR146" t="str">
            <v>07</v>
          </cell>
          <cell r="AU146" t="str">
            <v>08</v>
          </cell>
          <cell r="AX146" t="str">
            <v>09</v>
          </cell>
          <cell r="BA146" t="str">
            <v>10</v>
          </cell>
          <cell r="BD146" t="str">
            <v>11</v>
          </cell>
          <cell r="BG146" t="str">
            <v>12</v>
          </cell>
          <cell r="BJ146" t="str">
            <v>13</v>
          </cell>
          <cell r="BM146" t="str">
            <v>14</v>
          </cell>
        </row>
        <row r="147">
          <cell r="C147" t="str">
            <v xml:space="preserve">Interim </v>
          </cell>
          <cell r="AG147">
            <v>0</v>
          </cell>
          <cell r="AM147" t="e">
            <v>#REF!</v>
          </cell>
          <cell r="AO147" t="e">
            <v>#REF!</v>
          </cell>
          <cell r="AP147" t="e">
            <v>#REF!</v>
          </cell>
          <cell r="AR147" t="e">
            <v>#REF!</v>
          </cell>
          <cell r="AS147" t="e">
            <v>#REF!</v>
          </cell>
          <cell r="AU147" t="e">
            <v>#REF!</v>
          </cell>
          <cell r="AV147" t="e">
            <v>#REF!</v>
          </cell>
          <cell r="AX147" t="e">
            <v>#REF!</v>
          </cell>
          <cell r="AY147" t="e">
            <v>#REF!</v>
          </cell>
          <cell r="BA147" t="e">
            <v>#REF!</v>
          </cell>
          <cell r="BB147" t="e">
            <v>#REF!</v>
          </cell>
          <cell r="BD147" t="e">
            <v>#REF!</v>
          </cell>
          <cell r="BE147" t="e">
            <v>#REF!</v>
          </cell>
          <cell r="BG147" t="e">
            <v>#REF!</v>
          </cell>
          <cell r="BH147" t="e">
            <v>#REF!</v>
          </cell>
          <cell r="BJ147" t="e">
            <v>#REF!</v>
          </cell>
          <cell r="BK147" t="e">
            <v>#REF!</v>
          </cell>
          <cell r="BM147" t="e">
            <v>#REF!</v>
          </cell>
        </row>
        <row r="148">
          <cell r="C148" t="str">
            <v>Interim distribution paid</v>
          </cell>
          <cell r="AM148">
            <v>4.1896245778128804</v>
          </cell>
          <cell r="AN148">
            <v>1.7921706580832568</v>
          </cell>
          <cell r="AO148">
            <v>6.2275005652750428</v>
          </cell>
          <cell r="AP148" t="e">
            <v>#REF!</v>
          </cell>
          <cell r="AQ148" t="e">
            <v>#REF!</v>
          </cell>
          <cell r="AR148">
            <v>6.3353602419018076</v>
          </cell>
          <cell r="AS148" t="e">
            <v>#REF!</v>
          </cell>
          <cell r="AT148" t="e">
            <v>#REF!</v>
          </cell>
          <cell r="AU148">
            <v>6.4803833959794206</v>
          </cell>
          <cell r="AV148" t="e">
            <v>#REF!</v>
          </cell>
          <cell r="AW148" t="e">
            <v>#REF!</v>
          </cell>
          <cell r="AX148">
            <v>6.6825273164269383</v>
          </cell>
          <cell r="AY148" t="e">
            <v>#REF!</v>
          </cell>
          <cell r="AZ148" t="e">
            <v>#REF!</v>
          </cell>
          <cell r="BA148">
            <v>6.8197747541789688</v>
          </cell>
          <cell r="BB148" t="e">
            <v>#REF!</v>
          </cell>
          <cell r="BC148" t="e">
            <v>#REF!</v>
          </cell>
          <cell r="BD148">
            <v>6.9593590502807796</v>
          </cell>
          <cell r="BE148" t="e">
            <v>#REF!</v>
          </cell>
          <cell r="BF148" t="e">
            <v>#REF!</v>
          </cell>
          <cell r="BG148">
            <v>7.1013200760567941</v>
          </cell>
          <cell r="BH148" t="e">
            <v>#REF!</v>
          </cell>
          <cell r="BI148" t="e">
            <v>#REF!</v>
          </cell>
          <cell r="BJ148">
            <v>7.2456984022695456</v>
          </cell>
          <cell r="BK148" t="e">
            <v>#REF!</v>
          </cell>
          <cell r="BL148" t="e">
            <v>#REF!</v>
          </cell>
          <cell r="BM148">
            <v>7.3925353124068574</v>
          </cell>
        </row>
        <row r="149">
          <cell r="C149" t="str">
            <v>Final distribution Paid</v>
          </cell>
          <cell r="AM149">
            <v>4.9182549391716419</v>
          </cell>
          <cell r="AN149">
            <v>2.1038525116629532</v>
          </cell>
          <cell r="AO149">
            <v>7.3105441418446144</v>
          </cell>
          <cell r="AP149" t="e">
            <v>#REF!</v>
          </cell>
          <cell r="AQ149" t="e">
            <v>#REF!</v>
          </cell>
          <cell r="AR149">
            <v>7.4371620231021227</v>
          </cell>
          <cell r="AS149" t="e">
            <v>#REF!</v>
          </cell>
          <cell r="AT149" t="e">
            <v>#REF!</v>
          </cell>
          <cell r="AU149">
            <v>7.6074065952801888</v>
          </cell>
          <cell r="AV149" t="e">
            <v>#REF!</v>
          </cell>
          <cell r="AW149" t="e">
            <v>#REF!</v>
          </cell>
          <cell r="AX149">
            <v>7.8447059801533614</v>
          </cell>
          <cell r="AY149" t="e">
            <v>#REF!</v>
          </cell>
          <cell r="AZ149" t="e">
            <v>#REF!</v>
          </cell>
          <cell r="BA149">
            <v>8.0058225375144421</v>
          </cell>
          <cell r="BB149" t="e">
            <v>#REF!</v>
          </cell>
          <cell r="BC149" t="e">
            <v>#REF!</v>
          </cell>
          <cell r="BD149">
            <v>8.169682363373088</v>
          </cell>
          <cell r="BE149" t="e">
            <v>#REF!</v>
          </cell>
          <cell r="BF149" t="e">
            <v>#REF!</v>
          </cell>
          <cell r="BG149">
            <v>8.3363322631971055</v>
          </cell>
          <cell r="BH149" t="e">
            <v>#REF!</v>
          </cell>
          <cell r="BI149" t="e">
            <v>#REF!</v>
          </cell>
          <cell r="BJ149">
            <v>8.505819863533814</v>
          </cell>
          <cell r="BK149" t="e">
            <v>#REF!</v>
          </cell>
          <cell r="BL149" t="e">
            <v>#REF!</v>
          </cell>
          <cell r="BM149">
            <v>8.6781936276080476</v>
          </cell>
        </row>
      </sheetData>
      <sheetData sheetId="2" refreshError="1"/>
      <sheetData sheetId="3" refreshError="1">
        <row r="8">
          <cell r="F8" t="str">
            <v>WA</v>
          </cell>
          <cell r="G8">
            <v>13843</v>
          </cell>
          <cell r="H8">
            <v>2.2660454944277837</v>
          </cell>
          <cell r="I8">
            <v>5.7060000000000004</v>
          </cell>
          <cell r="J8">
            <v>0.9196773231684221</v>
          </cell>
          <cell r="L8">
            <v>0.47599999999999998</v>
          </cell>
          <cell r="M8">
            <v>0.50172000000000005</v>
          </cell>
          <cell r="N8">
            <v>0.50789654824981967</v>
          </cell>
          <cell r="O8">
            <v>0.51497683960310403</v>
          </cell>
          <cell r="P8">
            <v>0.52439381648819283</v>
          </cell>
          <cell r="Q8">
            <v>0.53740135553645429</v>
          </cell>
          <cell r="R8">
            <v>0.54633314160500124</v>
          </cell>
          <cell r="S8">
            <v>0.55541337687553172</v>
          </cell>
          <cell r="T8">
            <v>0.56464452862227299</v>
          </cell>
          <cell r="U8">
            <v>0.57402910512635585</v>
          </cell>
          <cell r="V8">
            <v>0.58356965635736269</v>
          </cell>
        </row>
        <row r="9">
          <cell r="F9" t="str">
            <v>WA</v>
          </cell>
          <cell r="G9">
            <v>24932</v>
          </cell>
          <cell r="H9">
            <v>4.0812718534330346</v>
          </cell>
          <cell r="I9">
            <v>15.503</v>
          </cell>
          <cell r="J9">
            <v>2.4987307292464158</v>
          </cell>
          <cell r="L9">
            <v>1.3049999999999999</v>
          </cell>
          <cell r="M9">
            <v>1.337</v>
          </cell>
          <cell r="N9">
            <v>1.3534594694451263</v>
          </cell>
          <cell r="O9">
            <v>1.3723272633129036</v>
          </cell>
          <cell r="P9">
            <v>1.397421933837028</v>
          </cell>
          <cell r="Q9">
            <v>1.4320848528108092</v>
          </cell>
          <cell r="R9">
            <v>1.4558865708480555</v>
          </cell>
          <cell r="S9">
            <v>1.480083881213796</v>
          </cell>
          <cell r="T9">
            <v>1.5046833587817485</v>
          </cell>
          <cell r="U9">
            <v>1.5296916877021798</v>
          </cell>
          <cell r="V9">
            <v>1.5551156632181171</v>
          </cell>
        </row>
        <row r="10">
          <cell r="F10" t="str">
            <v>WA</v>
          </cell>
          <cell r="G10">
            <v>17124</v>
          </cell>
          <cell r="H10">
            <v>2.803132489097838</v>
          </cell>
          <cell r="I10">
            <v>12.702999999999999</v>
          </cell>
          <cell r="J10">
            <v>2.0474344613053743</v>
          </cell>
          <cell r="L10">
            <v>0.85799999999999998</v>
          </cell>
          <cell r="M10">
            <v>1.071</v>
          </cell>
          <cell r="N10">
            <v>1.0841848106026404</v>
          </cell>
          <cell r="O10">
            <v>1.0992988025490797</v>
          </cell>
          <cell r="P10">
            <v>1.1194008161102893</v>
          </cell>
          <cell r="Q10">
            <v>1.1471674475395486</v>
          </cell>
          <cell r="R10">
            <v>1.1662337452343061</v>
          </cell>
          <cell r="S10">
            <v>1.1856169310246636</v>
          </cell>
          <cell r="T10">
            <v>1.20532227169428</v>
          </cell>
          <cell r="U10">
            <v>1.2253551215624787</v>
          </cell>
          <cell r="V10">
            <v>1.2457209239391196</v>
          </cell>
        </row>
        <row r="11">
          <cell r="F11" t="str">
            <v>WA</v>
          </cell>
          <cell r="G11">
            <v>16337</v>
          </cell>
          <cell r="H11">
            <v>2.6743036366731707</v>
          </cell>
          <cell r="I11">
            <v>8.6519999999999992</v>
          </cell>
          <cell r="J11">
            <v>1.3945054679378175</v>
          </cell>
          <cell r="L11">
            <v>0.72</v>
          </cell>
          <cell r="M11">
            <v>0.73699999999999999</v>
          </cell>
          <cell r="N11">
            <v>0.7460730209282409</v>
          </cell>
          <cell r="O11">
            <v>0.75647359241706058</v>
          </cell>
          <cell r="P11">
            <v>0.77030663069400873</v>
          </cell>
          <cell r="Q11">
            <v>0.78941401385307886</v>
          </cell>
          <cell r="R11">
            <v>0.80253433262155349</v>
          </cell>
          <cell r="S11">
            <v>0.81587271537364825</v>
          </cell>
          <cell r="T11">
            <v>0.82943278640400053</v>
          </cell>
          <cell r="U11">
            <v>0.84321823024420828</v>
          </cell>
          <cell r="V11">
            <v>0.85723279266398822</v>
          </cell>
        </row>
        <row r="12">
          <cell r="F12" t="str">
            <v>WA</v>
          </cell>
          <cell r="G12">
            <v>13358</v>
          </cell>
          <cell r="H12">
            <v>2.1866528725396472</v>
          </cell>
          <cell r="I12">
            <v>10.993</v>
          </cell>
          <cell r="J12">
            <v>1.7718213833842384</v>
          </cell>
          <cell r="L12">
            <v>0.90600000000000003</v>
          </cell>
          <cell r="M12">
            <v>0.92800000000000005</v>
          </cell>
          <cell r="N12">
            <v>0.93942437370611609</v>
          </cell>
          <cell r="O12">
            <v>0.95252034431890387</v>
          </cell>
          <cell r="P12">
            <v>0.96993833552786979</v>
          </cell>
          <cell r="Q12">
            <v>0.99399756425462304</v>
          </cell>
          <cell r="R12">
            <v>1.01051812845699</v>
          </cell>
          <cell r="S12">
            <v>1.0273132698327621</v>
          </cell>
          <cell r="T12">
            <v>1.0443875519442505</v>
          </cell>
          <cell r="U12">
            <v>1.0617456142016628</v>
          </cell>
          <cell r="V12">
            <v>1.0793921731237195</v>
          </cell>
        </row>
        <row r="13">
          <cell r="F13" t="str">
            <v>WA</v>
          </cell>
          <cell r="G13">
            <v>12062</v>
          </cell>
          <cell r="H13">
            <v>1.9745026911643377</v>
          </cell>
          <cell r="I13">
            <v>9.1029999999999998</v>
          </cell>
          <cell r="J13">
            <v>1.4671964025240354</v>
          </cell>
          <cell r="L13">
            <v>0.76500000000000001</v>
          </cell>
          <cell r="M13">
            <v>0.78300000000000003</v>
          </cell>
          <cell r="N13">
            <v>0.79263931531453546</v>
          </cell>
          <cell r="O13">
            <v>0.80368904051907519</v>
          </cell>
          <cell r="P13">
            <v>0.81838547060164024</v>
          </cell>
          <cell r="Q13">
            <v>0.83868544483983831</v>
          </cell>
          <cell r="R13">
            <v>0.85262467088558547</v>
          </cell>
          <cell r="S13">
            <v>0.86679557142139307</v>
          </cell>
          <cell r="T13">
            <v>0.88120199695296131</v>
          </cell>
          <cell r="U13">
            <v>0.89584786198265287</v>
          </cell>
          <cell r="V13">
            <v>0.91073714607313827</v>
          </cell>
        </row>
        <row r="14">
          <cell r="F14" t="str">
            <v>WA</v>
          </cell>
          <cell r="G14">
            <v>14437</v>
          </cell>
          <cell r="H14">
            <v>2.3632809942248008</v>
          </cell>
          <cell r="I14">
            <v>11.901</v>
          </cell>
          <cell r="J14">
            <v>1.9181703159879759</v>
          </cell>
          <cell r="L14">
            <v>0.92100000000000004</v>
          </cell>
          <cell r="M14">
            <v>0.94399999999999995</v>
          </cell>
          <cell r="N14">
            <v>0.95562134566656631</v>
          </cell>
          <cell r="O14">
            <v>0.96894310887612634</v>
          </cell>
          <cell r="P14">
            <v>0.9866614102783503</v>
          </cell>
          <cell r="Q14">
            <v>1.0111354532934957</v>
          </cell>
          <cell r="R14">
            <v>1.0279408548096967</v>
          </cell>
          <cell r="S14">
            <v>1.0450255675884992</v>
          </cell>
          <cell r="T14">
            <v>1.0623942338743235</v>
          </cell>
          <cell r="U14">
            <v>1.0800515730672084</v>
          </cell>
          <cell r="V14">
            <v>1.0980023830051628</v>
          </cell>
        </row>
        <row r="15">
          <cell r="F15" t="str">
            <v>WA</v>
          </cell>
          <cell r="G15">
            <v>14612</v>
          </cell>
          <cell r="H15">
            <v>2.3919278165555715</v>
          </cell>
          <cell r="I15">
            <v>10.601000000000001</v>
          </cell>
          <cell r="J15">
            <v>1.7086399058724926</v>
          </cell>
          <cell r="L15">
            <v>0.95</v>
          </cell>
          <cell r="M15">
            <v>0.97399999999999998</v>
          </cell>
          <cell r="N15">
            <v>0.98599066809241065</v>
          </cell>
          <cell r="O15">
            <v>0.99973579242091859</v>
          </cell>
          <cell r="P15">
            <v>1.0180171754355014</v>
          </cell>
          <cell r="Q15">
            <v>1.0432689952413825</v>
          </cell>
          <cell r="R15">
            <v>1.060608466721022</v>
          </cell>
          <cell r="S15">
            <v>1.0782361258805069</v>
          </cell>
          <cell r="T15">
            <v>1.0961567624932111</v>
          </cell>
          <cell r="U15">
            <v>1.1143752459401071</v>
          </cell>
          <cell r="V15">
            <v>1.1328965265328692</v>
          </cell>
        </row>
        <row r="16">
          <cell r="F16" t="str">
            <v>WA</v>
          </cell>
          <cell r="G16">
            <v>17179</v>
          </cell>
          <cell r="H16">
            <v>2.8121357761160799</v>
          </cell>
          <cell r="I16">
            <v>10.401</v>
          </cell>
          <cell r="J16">
            <v>1.6764044581624182</v>
          </cell>
          <cell r="L16">
            <v>0.93700000000000006</v>
          </cell>
          <cell r="M16">
            <v>0.95599999999999996</v>
          </cell>
          <cell r="N16">
            <v>0.96776907463690398</v>
          </cell>
          <cell r="O16">
            <v>0.98126018229404322</v>
          </cell>
          <cell r="P16">
            <v>0.99920371634121075</v>
          </cell>
          <cell r="Q16">
            <v>1.0239888700726505</v>
          </cell>
          <cell r="R16">
            <v>1.0410078995742269</v>
          </cell>
          <cell r="S16">
            <v>1.0583097909053023</v>
          </cell>
          <cell r="T16">
            <v>1.0758992453218785</v>
          </cell>
          <cell r="U16">
            <v>1.0937810422163678</v>
          </cell>
          <cell r="V16">
            <v>1.1119600404162453</v>
          </cell>
        </row>
        <row r="17">
          <cell r="F17" t="str">
            <v>Vic</v>
          </cell>
          <cell r="G17">
            <v>9254</v>
          </cell>
          <cell r="H17">
            <v>1.5148439648511673</v>
          </cell>
          <cell r="I17">
            <v>10.259</v>
          </cell>
          <cell r="J17">
            <v>1.6535172902882656</v>
          </cell>
          <cell r="L17">
            <v>0.86599999999999999</v>
          </cell>
          <cell r="M17">
            <v>0.88700000000000001</v>
          </cell>
          <cell r="N17">
            <v>0.89791963305746225</v>
          </cell>
          <cell r="O17">
            <v>0.9104370101410213</v>
          </cell>
          <cell r="P17">
            <v>0.92708545647976348</v>
          </cell>
          <cell r="Q17">
            <v>0.95008172359251142</v>
          </cell>
          <cell r="R17">
            <v>0.965872392178179</v>
          </cell>
          <cell r="S17">
            <v>0.98192550683368518</v>
          </cell>
          <cell r="T17">
            <v>0.99824542949843753</v>
          </cell>
          <cell r="U17">
            <v>1.0148365946087012</v>
          </cell>
          <cell r="V17">
            <v>1.0317035103025205</v>
          </cell>
        </row>
        <row r="18">
          <cell r="F18" t="str">
            <v>Vic</v>
          </cell>
          <cell r="G18">
            <v>15193</v>
          </cell>
          <cell r="H18">
            <v>2.4870352666937308</v>
          </cell>
          <cell r="I18">
            <v>19.282</v>
          </cell>
          <cell r="J18">
            <v>3.1078195137282707</v>
          </cell>
          <cell r="L18">
            <v>1.3460000000000001</v>
          </cell>
          <cell r="M18">
            <v>1.3759999999999999</v>
          </cell>
          <cell r="N18">
            <v>1.3929395885987237</v>
          </cell>
          <cell r="O18">
            <v>1.4123577519211332</v>
          </cell>
          <cell r="P18">
            <v>1.4381844285413241</v>
          </cell>
          <cell r="Q18">
            <v>1.4738584573430615</v>
          </cell>
          <cell r="R18">
            <v>1.4983544663327781</v>
          </cell>
          <cell r="S18">
            <v>1.5232576069934056</v>
          </cell>
          <cell r="T18">
            <v>1.5485746459863021</v>
          </cell>
          <cell r="U18">
            <v>1.5743124624369478</v>
          </cell>
          <cell r="V18">
            <v>1.6004780498041353</v>
          </cell>
        </row>
        <row r="19">
          <cell r="F19" t="str">
            <v>Vic</v>
          </cell>
          <cell r="G19">
            <v>10435</v>
          </cell>
          <cell r="H19">
            <v>1.7081690915519703</v>
          </cell>
          <cell r="I19">
            <v>10.965999999999999</v>
          </cell>
          <cell r="J19">
            <v>1.7674695979433781</v>
          </cell>
          <cell r="L19">
            <v>0.85899999999999999</v>
          </cell>
          <cell r="M19">
            <v>0.88</v>
          </cell>
          <cell r="N19">
            <v>0.8908334578247652</v>
          </cell>
          <cell r="O19">
            <v>0.90325205064723646</v>
          </cell>
          <cell r="P19">
            <v>0.91976911127642824</v>
          </cell>
          <cell r="Q19">
            <v>0.94258389713800461</v>
          </cell>
          <cell r="R19">
            <v>0.95824994939886987</v>
          </cell>
          <cell r="S19">
            <v>0.97417637656555023</v>
          </cell>
          <cell r="T19">
            <v>0.99036750615403057</v>
          </cell>
          <cell r="U19">
            <v>1.006827737605025</v>
          </cell>
          <cell r="V19">
            <v>1.0235615434793892</v>
          </cell>
        </row>
        <row r="20">
          <cell r="F20" t="str">
            <v>Vic</v>
          </cell>
          <cell r="G20">
            <v>10146</v>
          </cell>
          <cell r="H20">
            <v>1.6608609106742973</v>
          </cell>
          <cell r="I20">
            <v>10.567</v>
          </cell>
          <cell r="J20">
            <v>1.70315987976178</v>
          </cell>
          <cell r="L20">
            <v>0.87</v>
          </cell>
          <cell r="M20">
            <v>0.86599999999999999</v>
          </cell>
          <cell r="N20">
            <v>0.87666110735937119</v>
          </cell>
          <cell r="O20">
            <v>0.88888213165966679</v>
          </cell>
          <cell r="P20">
            <v>0.90513642086975787</v>
          </cell>
          <cell r="Q20">
            <v>0.927588244228991</v>
          </cell>
          <cell r="R20">
            <v>0.94300506384025151</v>
          </cell>
          <cell r="S20">
            <v>0.9586781160292801</v>
          </cell>
          <cell r="T20">
            <v>0.97461165946521644</v>
          </cell>
          <cell r="U20">
            <v>0.99081002359767223</v>
          </cell>
          <cell r="V20">
            <v>1.007277609833126</v>
          </cell>
        </row>
        <row r="21">
          <cell r="F21" t="str">
            <v>Vic</v>
          </cell>
          <cell r="G21">
            <v>12390</v>
          </cell>
          <cell r="H21">
            <v>2.0281950210185826</v>
          </cell>
          <cell r="I21">
            <v>13</v>
          </cell>
          <cell r="J21">
            <v>2.0953041011548348</v>
          </cell>
          <cell r="L21">
            <v>0.98599999999999999</v>
          </cell>
          <cell r="M21">
            <v>1.01</v>
          </cell>
          <cell r="N21">
            <v>1.0224338550034238</v>
          </cell>
          <cell r="O21">
            <v>1.0366870126746692</v>
          </cell>
          <cell r="P21">
            <v>1.0556440936240825</v>
          </cell>
          <cell r="Q21">
            <v>1.0818292455788463</v>
          </cell>
          <cell r="R21">
            <v>1.0998096010146121</v>
          </cell>
          <cell r="S21">
            <v>1.1180887958309156</v>
          </cell>
          <cell r="T21">
            <v>1.1366717968358759</v>
          </cell>
          <cell r="U21">
            <v>1.1555636533875853</v>
          </cell>
          <cell r="V21">
            <v>1.1747694987661168</v>
          </cell>
        </row>
        <row r="22">
          <cell r="F22" t="str">
            <v>Vic</v>
          </cell>
          <cell r="G22">
            <v>12078</v>
          </cell>
          <cell r="H22">
            <v>1.9771218292060084</v>
          </cell>
          <cell r="I22">
            <v>11.407999999999999</v>
          </cell>
          <cell r="J22">
            <v>1.8387099373826425</v>
          </cell>
          <cell r="L22">
            <v>0.91600000000000004</v>
          </cell>
          <cell r="M22">
            <v>0.94</v>
          </cell>
          <cell r="N22">
            <v>0.95157210267645376</v>
          </cell>
          <cell r="O22">
            <v>0.96483741773682075</v>
          </cell>
          <cell r="P22">
            <v>0.98248064159073023</v>
          </cell>
          <cell r="Q22">
            <v>1.0068509810337776</v>
          </cell>
          <cell r="R22">
            <v>1.02358517322152</v>
          </cell>
          <cell r="S22">
            <v>1.040597493149565</v>
          </cell>
          <cell r="T22">
            <v>1.0578925633918053</v>
          </cell>
          <cell r="U22">
            <v>1.075475083350822</v>
          </cell>
          <cell r="V22">
            <v>1.0933498305348019</v>
          </cell>
        </row>
        <row r="23">
          <cell r="F23" t="str">
            <v>Vic</v>
          </cell>
          <cell r="G23">
            <v>12549</v>
          </cell>
          <cell r="H23">
            <v>2.0542227053076831</v>
          </cell>
          <cell r="I23">
            <v>13.68</v>
          </cell>
          <cell r="J23">
            <v>2.2049046233690874</v>
          </cell>
          <cell r="L23">
            <v>0.96499999999999997</v>
          </cell>
          <cell r="M23">
            <v>1.119</v>
          </cell>
          <cell r="N23">
            <v>1.1327757264839913</v>
          </cell>
          <cell r="O23">
            <v>1.1485670962207473</v>
          </cell>
          <cell r="P23">
            <v>1.1695700403617311</v>
          </cell>
          <cell r="Q23">
            <v>1.1985811146561673</v>
          </cell>
          <cell r="R23">
            <v>1.2185019242924267</v>
          </cell>
          <cell r="S23">
            <v>1.2387538242918759</v>
          </cell>
          <cell r="T23">
            <v>1.2593423174845002</v>
          </cell>
          <cell r="U23">
            <v>1.2802729981591168</v>
          </cell>
          <cell r="V23">
            <v>1.3015515535834503</v>
          </cell>
        </row>
        <row r="24">
          <cell r="F24" t="str">
            <v>Vic</v>
          </cell>
          <cell r="G24">
            <v>13795</v>
          </cell>
          <cell r="H24">
            <v>2.2581880803027721</v>
          </cell>
          <cell r="I24">
            <v>20.007999999999999</v>
          </cell>
          <cell r="J24">
            <v>3.2248341889158407</v>
          </cell>
          <cell r="L24">
            <v>1.609</v>
          </cell>
          <cell r="M24">
            <v>1.647</v>
          </cell>
          <cell r="N24">
            <v>1.6672758011788504</v>
          </cell>
          <cell r="O24">
            <v>1.6905183266090893</v>
          </cell>
          <cell r="P24">
            <v>1.7214315071275881</v>
          </cell>
          <cell r="Q24">
            <v>1.7641314529389702</v>
          </cell>
          <cell r="R24">
            <v>1.7934518939317488</v>
          </cell>
          <cell r="S24">
            <v>1.8232596502312062</v>
          </cell>
          <cell r="T24">
            <v>1.8535628211769188</v>
          </cell>
          <cell r="U24">
            <v>1.8843696407221322</v>
          </cell>
          <cell r="V24">
            <v>1.9156884796710842</v>
          </cell>
        </row>
        <row r="25">
          <cell r="F25" t="str">
            <v>Vic</v>
          </cell>
          <cell r="G25">
            <v>11170</v>
          </cell>
          <cell r="H25">
            <v>1.8284857453412084</v>
          </cell>
          <cell r="I25">
            <v>11.8</v>
          </cell>
          <cell r="J25">
            <v>1.9018914148943886</v>
          </cell>
          <cell r="L25">
            <v>0.81</v>
          </cell>
          <cell r="M25">
            <v>0.995</v>
          </cell>
          <cell r="N25">
            <v>1.0072491937905017</v>
          </cell>
          <cell r="O25">
            <v>1.0212906709022731</v>
          </cell>
          <cell r="P25">
            <v>1.039966211045507</v>
          </cell>
          <cell r="Q25">
            <v>1.065762474604903</v>
          </cell>
          <cell r="R25">
            <v>1.0834757950589495</v>
          </cell>
          <cell r="S25">
            <v>1.101483516684912</v>
          </cell>
          <cell r="T25">
            <v>1.1197905325264323</v>
          </cell>
          <cell r="U25">
            <v>1.1384018169511361</v>
          </cell>
          <cell r="V25">
            <v>1.1573224270022637</v>
          </cell>
        </row>
        <row r="26">
          <cell r="F26" t="str">
            <v>Vic</v>
          </cell>
          <cell r="G26">
            <v>0</v>
          </cell>
          <cell r="H26">
            <v>0</v>
          </cell>
          <cell r="I26">
            <v>8</v>
          </cell>
          <cell r="J26">
            <v>1.2894179084029753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</row>
        <row r="27">
          <cell r="F27" t="str">
            <v>Vic</v>
          </cell>
          <cell r="G27">
            <v>11814</v>
          </cell>
          <cell r="H27">
            <v>1.9339060515184452</v>
          </cell>
          <cell r="I27">
            <v>12.413</v>
          </cell>
          <cell r="J27">
            <v>2.0006930621257668</v>
          </cell>
          <cell r="L27">
            <v>0.99</v>
          </cell>
          <cell r="M27">
            <v>1.0149999999999999</v>
          </cell>
          <cell r="N27">
            <v>1.0274954087410644</v>
          </cell>
          <cell r="O27">
            <v>1.041819126598801</v>
          </cell>
          <cell r="P27">
            <v>1.0608700544836076</v>
          </cell>
          <cell r="Q27">
            <v>1.0871848359034939</v>
          </cell>
          <cell r="R27">
            <v>1.1052542029998327</v>
          </cell>
          <cell r="S27">
            <v>1.1236238888795833</v>
          </cell>
          <cell r="T27">
            <v>1.1422988849390237</v>
          </cell>
          <cell r="U27">
            <v>1.1612842655330682</v>
          </cell>
          <cell r="V27">
            <v>1.1805851893540678</v>
          </cell>
        </row>
        <row r="28">
          <cell r="F28" t="str">
            <v>Vic</v>
          </cell>
          <cell r="G28">
            <v>13183</v>
          </cell>
          <cell r="H28">
            <v>2.158006050208876</v>
          </cell>
          <cell r="I28">
            <v>15.5</v>
          </cell>
          <cell r="J28">
            <v>2.4982471975307647</v>
          </cell>
          <cell r="L28">
            <v>1.022</v>
          </cell>
          <cell r="M28">
            <v>1.2</v>
          </cell>
          <cell r="N28">
            <v>1.2147728970337708</v>
          </cell>
          <cell r="O28">
            <v>1.2317073417916862</v>
          </cell>
          <cell r="P28">
            <v>1.2542306062860387</v>
          </cell>
          <cell r="Q28">
            <v>1.2853416779154609</v>
          </cell>
          <cell r="R28">
            <v>1.3067044764530045</v>
          </cell>
          <cell r="S28">
            <v>1.3284223316802959</v>
          </cell>
          <cell r="T28">
            <v>1.3505011447554962</v>
          </cell>
          <cell r="U28">
            <v>1.372946914915943</v>
          </cell>
          <cell r="V28">
            <v>1.3957657411082578</v>
          </cell>
        </row>
        <row r="29">
          <cell r="F29" t="str">
            <v>Vic</v>
          </cell>
          <cell r="G29">
            <v>9558</v>
          </cell>
          <cell r="H29">
            <v>1.5646075876429066</v>
          </cell>
          <cell r="I29">
            <v>13.406000000000001</v>
          </cell>
          <cell r="J29">
            <v>2.1607420600062861</v>
          </cell>
          <cell r="L29">
            <v>1.03</v>
          </cell>
          <cell r="M29">
            <v>1.056</v>
          </cell>
          <cell r="N29">
            <v>1.0690001493897183</v>
          </cell>
          <cell r="O29">
            <v>1.0839024607766838</v>
          </cell>
          <cell r="P29">
            <v>1.103722933531714</v>
          </cell>
          <cell r="Q29">
            <v>1.1311006765656055</v>
          </cell>
          <cell r="R29">
            <v>1.1498999392786438</v>
          </cell>
          <cell r="S29">
            <v>1.1690116518786602</v>
          </cell>
          <cell r="T29">
            <v>1.1884410073848366</v>
          </cell>
          <cell r="U29">
            <v>1.2081932851260297</v>
          </cell>
          <cell r="V29">
            <v>1.2282738521752667</v>
          </cell>
        </row>
        <row r="30">
          <cell r="F30" t="str">
            <v>Vic</v>
          </cell>
          <cell r="G30">
            <v>13857</v>
          </cell>
          <cell r="H30">
            <v>2.2683372402142457</v>
          </cell>
          <cell r="I30">
            <v>21.210999999999999</v>
          </cell>
          <cell r="J30">
            <v>3.418730406891938</v>
          </cell>
          <cell r="L30">
            <v>1.4</v>
          </cell>
          <cell r="M30">
            <v>1.6830000000000001</v>
          </cell>
          <cell r="N30">
            <v>1.7037189880898636</v>
          </cell>
          <cell r="O30">
            <v>1.7274695468628398</v>
          </cell>
          <cell r="P30">
            <v>1.7590584253161692</v>
          </cell>
          <cell r="Q30">
            <v>1.802691703276434</v>
          </cell>
          <cell r="R30">
            <v>1.8326530282253388</v>
          </cell>
          <cell r="S30">
            <v>1.8631123201816149</v>
          </cell>
          <cell r="T30">
            <v>1.8940778555195834</v>
          </cell>
          <cell r="U30">
            <v>1.9255580481696102</v>
          </cell>
          <cell r="V30">
            <v>1.9575614519043316</v>
          </cell>
        </row>
        <row r="31">
          <cell r="F31" t="str">
            <v>Vic</v>
          </cell>
          <cell r="G31">
            <v>15157</v>
          </cell>
          <cell r="H31">
            <v>2.4811422060999724</v>
          </cell>
          <cell r="I31">
            <v>19.004000000000001</v>
          </cell>
          <cell r="J31">
            <v>3.0630122414112679</v>
          </cell>
          <cell r="L31">
            <v>1.524</v>
          </cell>
          <cell r="M31">
            <v>1.5629999999999999</v>
          </cell>
          <cell r="N31">
            <v>1.5822416983864864</v>
          </cell>
          <cell r="O31">
            <v>1.604298812683671</v>
          </cell>
          <cell r="P31">
            <v>1.6336353646875652</v>
          </cell>
          <cell r="Q31">
            <v>1.6741575354848877</v>
          </cell>
          <cell r="R31">
            <v>1.7019825805800379</v>
          </cell>
          <cell r="S31">
            <v>1.730270087013585</v>
          </cell>
          <cell r="T31">
            <v>1.7590277410440336</v>
          </cell>
          <cell r="U31">
            <v>1.7882633566780155</v>
          </cell>
          <cell r="V31">
            <v>1.8179848777935055</v>
          </cell>
        </row>
        <row r="32">
          <cell r="F32" t="str">
            <v>Vic</v>
          </cell>
          <cell r="G32">
            <v>12180</v>
          </cell>
          <cell r="H32">
            <v>1.9938188342216576</v>
          </cell>
          <cell r="I32">
            <v>9.9090000000000007</v>
          </cell>
          <cell r="J32">
            <v>1.5971052567956352</v>
          </cell>
          <cell r="L32">
            <v>0.81499999999999995</v>
          </cell>
          <cell r="M32">
            <v>0.83499999999999996</v>
          </cell>
          <cell r="N32">
            <v>0.8452794741859988</v>
          </cell>
          <cell r="O32">
            <v>0.85706302533004819</v>
          </cell>
          <cell r="P32">
            <v>0.87273546354070175</v>
          </cell>
          <cell r="Q32">
            <v>0.8943835842161747</v>
          </cell>
          <cell r="R32">
            <v>0.90924853153188201</v>
          </cell>
          <cell r="S32">
            <v>0.9243605391275389</v>
          </cell>
          <cell r="T32">
            <v>0.93972371322569914</v>
          </cell>
          <cell r="U32">
            <v>0.95534222829567672</v>
          </cell>
          <cell r="V32">
            <v>0.97122032818782911</v>
          </cell>
        </row>
        <row r="33">
          <cell r="F33" t="str">
            <v>Vic</v>
          </cell>
          <cell r="G33">
            <v>11938</v>
          </cell>
          <cell r="H33">
            <v>1.9542043713413917</v>
          </cell>
          <cell r="I33">
            <v>11.808</v>
          </cell>
          <cell r="J33">
            <v>1.9031808328027915</v>
          </cell>
          <cell r="L33">
            <v>1</v>
          </cell>
          <cell r="M33">
            <v>1.0249999999999999</v>
          </cell>
          <cell r="N33">
            <v>1.0376185162163458</v>
          </cell>
          <cell r="O33">
            <v>1.0520833544470651</v>
          </cell>
          <cell r="P33">
            <v>1.0713219762026578</v>
          </cell>
          <cell r="Q33">
            <v>1.0978960165527893</v>
          </cell>
          <cell r="R33">
            <v>1.1161434069702745</v>
          </cell>
          <cell r="S33">
            <v>1.1346940749769192</v>
          </cell>
          <cell r="T33">
            <v>1.1535530611453195</v>
          </cell>
          <cell r="U33">
            <v>1.1727254898240345</v>
          </cell>
          <cell r="V33">
            <v>1.1922165705299701</v>
          </cell>
        </row>
        <row r="34">
          <cell r="F34" t="str">
            <v>Vic</v>
          </cell>
          <cell r="G34">
            <v>10664</v>
          </cell>
          <cell r="H34">
            <v>1.7456555047733791</v>
          </cell>
          <cell r="I34">
            <v>8.9130000000000003</v>
          </cell>
          <cell r="J34">
            <v>1.4365727271994648</v>
          </cell>
          <cell r="L34">
            <v>0.73599999999999999</v>
          </cell>
          <cell r="M34">
            <v>0.754</v>
          </cell>
          <cell r="N34">
            <v>0.76328230363621929</v>
          </cell>
          <cell r="O34">
            <v>0.77392277975910939</v>
          </cell>
          <cell r="P34">
            <v>0.78807489761639415</v>
          </cell>
          <cell r="Q34">
            <v>0.8076230209568811</v>
          </cell>
          <cell r="R34">
            <v>0.8210459793713043</v>
          </cell>
          <cell r="S34">
            <v>0.8346920317391191</v>
          </cell>
          <cell r="T34">
            <v>0.84856488595470336</v>
          </cell>
          <cell r="U34">
            <v>0.86266831153885082</v>
          </cell>
          <cell r="V34">
            <v>0.87700614066302196</v>
          </cell>
        </row>
        <row r="35">
          <cell r="F35" t="str">
            <v>Vic</v>
          </cell>
          <cell r="G35">
            <v>16500</v>
          </cell>
          <cell r="H35">
            <v>2.7009861054726891</v>
          </cell>
          <cell r="I35">
            <v>10.631</v>
          </cell>
          <cell r="J35">
            <v>1.7134752230290036</v>
          </cell>
          <cell r="L35">
            <v>0</v>
          </cell>
          <cell r="M35">
            <v>1.75</v>
          </cell>
          <cell r="N35">
            <v>1.7715438081742492</v>
          </cell>
          <cell r="O35">
            <v>1.7962398734462091</v>
          </cell>
          <cell r="P35">
            <v>1.8290863008338065</v>
          </cell>
          <cell r="Q35">
            <v>1.874456613626714</v>
          </cell>
          <cell r="R35">
            <v>1.9056106948272982</v>
          </cell>
          <cell r="S35">
            <v>1.9372825670337648</v>
          </cell>
          <cell r="T35">
            <v>1.9694808361017655</v>
          </cell>
          <cell r="U35">
            <v>2.0022142509190837</v>
          </cell>
          <cell r="V35">
            <v>2.0354917057828761</v>
          </cell>
        </row>
        <row r="36">
          <cell r="F36" t="str">
            <v>Act</v>
          </cell>
          <cell r="G36">
            <v>6400</v>
          </cell>
          <cell r="H36">
            <v>1.0476552166681945</v>
          </cell>
          <cell r="I36">
            <v>10.702999999999999</v>
          </cell>
          <cell r="J36">
            <v>1.7250799842046305</v>
          </cell>
          <cell r="L36">
            <v>0.92300000000000004</v>
          </cell>
          <cell r="M36">
            <v>0.94699999999999995</v>
          </cell>
          <cell r="N36">
            <v>0.9586582779091507</v>
          </cell>
          <cell r="O36">
            <v>0.97202237723060547</v>
          </cell>
          <cell r="P36">
            <v>0.98979698679406536</v>
          </cell>
          <cell r="Q36">
            <v>1.0143488074882845</v>
          </cell>
          <cell r="R36">
            <v>1.0312076160008292</v>
          </cell>
          <cell r="S36">
            <v>1.0483466234176999</v>
          </cell>
          <cell r="T36">
            <v>1.0657704867362123</v>
          </cell>
          <cell r="U36">
            <v>1.0834839403544982</v>
          </cell>
          <cell r="V36">
            <v>1.1014917973579332</v>
          </cell>
        </row>
        <row r="37">
          <cell r="F37" t="str">
            <v>Act</v>
          </cell>
          <cell r="G37">
            <v>11941</v>
          </cell>
          <cell r="H37">
            <v>1.954695459724205</v>
          </cell>
          <cell r="I37">
            <v>12.864000000000001</v>
          </cell>
          <cell r="J37">
            <v>2.0733839967119843</v>
          </cell>
          <cell r="L37">
            <v>1.07</v>
          </cell>
          <cell r="M37">
            <v>1.117</v>
          </cell>
          <cell r="N37">
            <v>1.1307511049889349</v>
          </cell>
          <cell r="O37">
            <v>1.1465142506510944</v>
          </cell>
          <cell r="P37">
            <v>1.1674796560179208</v>
          </cell>
          <cell r="Q37">
            <v>1.196438878526308</v>
          </cell>
          <cell r="R37">
            <v>1.216324083498338</v>
          </cell>
          <cell r="S37">
            <v>1.2365397870724084</v>
          </cell>
          <cell r="T37">
            <v>1.2570914822432409</v>
          </cell>
          <cell r="U37">
            <v>1.2779847533009234</v>
          </cell>
          <cell r="V37">
            <v>1.2992252773482698</v>
          </cell>
        </row>
        <row r="38">
          <cell r="F38" t="str">
            <v>SA</v>
          </cell>
          <cell r="G38">
            <v>15121</v>
          </cell>
          <cell r="H38">
            <v>2.475249145506214</v>
          </cell>
          <cell r="I38">
            <v>18</v>
          </cell>
          <cell r="J38">
            <v>2.9011902939066943</v>
          </cell>
          <cell r="L38">
            <v>1.198</v>
          </cell>
          <cell r="M38">
            <v>1.278</v>
          </cell>
          <cell r="N38">
            <v>1.293733135340966</v>
          </cell>
          <cell r="O38">
            <v>1.3117683190081457</v>
          </cell>
          <cell r="P38">
            <v>1.3357555956946312</v>
          </cell>
          <cell r="Q38">
            <v>1.368888886979966</v>
          </cell>
          <cell r="R38">
            <v>1.3916402674224497</v>
          </cell>
          <cell r="S38">
            <v>1.414769783239515</v>
          </cell>
          <cell r="T38">
            <v>1.4382837191646034</v>
          </cell>
          <cell r="U38">
            <v>1.4621884643854792</v>
          </cell>
          <cell r="V38">
            <v>1.4864905142802944</v>
          </cell>
        </row>
        <row r="39">
          <cell r="F39" t="str">
            <v>SA</v>
          </cell>
          <cell r="G39">
            <v>11845</v>
          </cell>
          <cell r="H39">
            <v>1.9389806314741818</v>
          </cell>
          <cell r="I39">
            <v>10.199999999999999</v>
          </cell>
          <cell r="J39">
            <v>1.6440078332137933</v>
          </cell>
          <cell r="L39">
            <v>0.68</v>
          </cell>
          <cell r="M39">
            <v>0.82</v>
          </cell>
          <cell r="N39">
            <v>0.83009481297307663</v>
          </cell>
          <cell r="O39">
            <v>0.84166668355765206</v>
          </cell>
          <cell r="P39">
            <v>0.85705758096212625</v>
          </cell>
          <cell r="Q39">
            <v>0.87831681324223143</v>
          </cell>
          <cell r="R39">
            <v>0.89291472557621943</v>
          </cell>
          <cell r="S39">
            <v>0.90775525998153517</v>
          </cell>
          <cell r="T39">
            <v>0.92284244891625544</v>
          </cell>
          <cell r="U39">
            <v>0.93818039185922741</v>
          </cell>
          <cell r="V39">
            <v>0.95377325642397581</v>
          </cell>
        </row>
        <row r="40">
          <cell r="F40" t="str">
            <v>NSW</v>
          </cell>
          <cell r="G40">
            <v>5945</v>
          </cell>
          <cell r="H40">
            <v>0.97317347860819003</v>
          </cell>
          <cell r="I40">
            <v>14.897</v>
          </cell>
          <cell r="J40">
            <v>2.4010573226848901</v>
          </cell>
          <cell r="L40">
            <v>1.1990000000000001</v>
          </cell>
          <cell r="M40">
            <v>1.2310000000000001</v>
          </cell>
          <cell r="N40">
            <v>1.2461545302071433</v>
          </cell>
          <cell r="O40">
            <v>1.2635264481213047</v>
          </cell>
          <cell r="P40">
            <v>1.2866315636150947</v>
          </cell>
          <cell r="Q40">
            <v>1.3185463379282771</v>
          </cell>
          <cell r="R40">
            <v>1.3404610087613738</v>
          </cell>
          <cell r="S40">
            <v>1.3627399085820369</v>
          </cell>
          <cell r="T40">
            <v>1.3853890909950133</v>
          </cell>
          <cell r="U40">
            <v>1.4084147102179383</v>
          </cell>
          <cell r="V40">
            <v>1.4318230227535544</v>
          </cell>
        </row>
        <row r="41">
          <cell r="F41" t="str">
            <v>NSW</v>
          </cell>
          <cell r="G41">
            <v>10228</v>
          </cell>
          <cell r="H41">
            <v>1.6742839931378584</v>
          </cell>
          <cell r="I41">
            <v>18.204000000000001</v>
          </cell>
          <cell r="J41">
            <v>2.93407045057097</v>
          </cell>
          <cell r="L41">
            <v>1.476</v>
          </cell>
          <cell r="M41">
            <v>1.5149999999999999</v>
          </cell>
          <cell r="N41">
            <v>1.5336507825051355</v>
          </cell>
          <cell r="O41">
            <v>1.5550305190120035</v>
          </cell>
          <cell r="P41">
            <v>1.5834661404361234</v>
          </cell>
          <cell r="Q41">
            <v>1.6227438683682691</v>
          </cell>
          <cell r="R41">
            <v>1.6497144015219178</v>
          </cell>
          <cell r="S41">
            <v>1.6771331937463732</v>
          </cell>
          <cell r="T41">
            <v>1.7050076952538136</v>
          </cell>
          <cell r="U41">
            <v>1.7333454800813777</v>
          </cell>
          <cell r="V41">
            <v>1.762154248149175</v>
          </cell>
        </row>
        <row r="42">
          <cell r="F42" t="str">
            <v>NSW</v>
          </cell>
          <cell r="G42">
            <v>11905</v>
          </cell>
          <cell r="H42">
            <v>1.9488023991304462</v>
          </cell>
          <cell r="I42">
            <v>7.8029999999999999</v>
          </cell>
          <cell r="J42">
            <v>1.2576659924085518</v>
          </cell>
          <cell r="L42">
            <v>0.64700000000000002</v>
          </cell>
          <cell r="M42">
            <v>0.66300000000000003</v>
          </cell>
          <cell r="N42">
            <v>0.67116202561115834</v>
          </cell>
          <cell r="O42">
            <v>0.68051830633990651</v>
          </cell>
          <cell r="P42">
            <v>0.69296240997303626</v>
          </cell>
          <cell r="Q42">
            <v>0.71015127704829206</v>
          </cell>
          <cell r="R42">
            <v>0.7219542232402848</v>
          </cell>
          <cell r="S42">
            <v>0.73395333825336329</v>
          </cell>
          <cell r="T42">
            <v>0.74615188247741149</v>
          </cell>
          <cell r="U42">
            <v>0.7585531704910583</v>
          </cell>
          <cell r="V42">
            <v>0.77116057196231225</v>
          </cell>
        </row>
        <row r="43">
          <cell r="F43" t="str">
            <v>NSW</v>
          </cell>
          <cell r="G43">
            <v>9942</v>
          </cell>
          <cell r="H43">
            <v>1.6274669006429983</v>
          </cell>
          <cell r="I43">
            <v>8.1950000000000003</v>
          </cell>
          <cell r="J43">
            <v>1.3208474699202979</v>
          </cell>
          <cell r="L43">
            <v>0.66300000000000003</v>
          </cell>
          <cell r="M43">
            <v>0.68</v>
          </cell>
          <cell r="N43">
            <v>0.68837130831913684</v>
          </cell>
          <cell r="O43">
            <v>0.69796749368195554</v>
          </cell>
          <cell r="P43">
            <v>0.71073067689542191</v>
          </cell>
          <cell r="Q43">
            <v>0.72836028415209453</v>
          </cell>
          <cell r="R43">
            <v>0.74046586999003583</v>
          </cell>
          <cell r="S43">
            <v>0.75277265461883425</v>
          </cell>
          <cell r="T43">
            <v>0.76528398202811443</v>
          </cell>
          <cell r="U43">
            <v>0.77800325178570096</v>
          </cell>
          <cell r="V43">
            <v>0.79093391996134599</v>
          </cell>
        </row>
        <row r="44">
          <cell r="F44" t="str">
            <v>NSW</v>
          </cell>
          <cell r="G44">
            <v>13034</v>
          </cell>
          <cell r="H44">
            <v>2.13361532719582</v>
          </cell>
          <cell r="I44">
            <v>11.146000000000001</v>
          </cell>
          <cell r="J44">
            <v>1.7964815008824453</v>
          </cell>
          <cell r="L44">
            <v>0.96199999999999997</v>
          </cell>
          <cell r="M44">
            <v>0.96599999999999997</v>
          </cell>
          <cell r="N44">
            <v>0.97789218211218543</v>
          </cell>
          <cell r="O44">
            <v>0.99152441014230719</v>
          </cell>
          <cell r="P44">
            <v>1.009655638060261</v>
          </cell>
          <cell r="Q44">
            <v>1.0347000507219459</v>
          </cell>
          <cell r="R44">
            <v>1.0518971035446685</v>
          </cell>
          <cell r="S44">
            <v>1.069379977002638</v>
          </cell>
          <cell r="T44">
            <v>1.0871534215281744</v>
          </cell>
          <cell r="U44">
            <v>1.1052222665073341</v>
          </cell>
          <cell r="V44">
            <v>1.1235914215921474</v>
          </cell>
        </row>
        <row r="45">
          <cell r="F45" t="str">
            <v>NSW</v>
          </cell>
          <cell r="G45">
            <v>12048</v>
          </cell>
          <cell r="H45">
            <v>1.9722109453778762</v>
          </cell>
          <cell r="I45">
            <v>15.757999999999999</v>
          </cell>
          <cell r="J45">
            <v>2.5398309250767603</v>
          </cell>
          <cell r="L45">
            <v>1.256</v>
          </cell>
          <cell r="M45">
            <v>1.286</v>
          </cell>
          <cell r="N45">
            <v>1.3018316213211911</v>
          </cell>
          <cell r="O45">
            <v>1.3199797012867571</v>
          </cell>
          <cell r="P45">
            <v>1.3441171330698716</v>
          </cell>
          <cell r="Q45">
            <v>1.3774578314994024</v>
          </cell>
          <cell r="R45">
            <v>1.4003516305988031</v>
          </cell>
          <cell r="S45">
            <v>1.4236259321173836</v>
          </cell>
          <cell r="T45">
            <v>1.4472870601296401</v>
          </cell>
          <cell r="U45">
            <v>1.4713414438182524</v>
          </cell>
          <cell r="V45">
            <v>1.4957956192210164</v>
          </cell>
        </row>
        <row r="46">
          <cell r="F46" t="str">
            <v>NSW</v>
          </cell>
          <cell r="G46">
            <v>8801</v>
          </cell>
          <cell r="H46">
            <v>1.4406896190463718</v>
          </cell>
          <cell r="I46">
            <v>7.641</v>
          </cell>
          <cell r="J46">
            <v>1.2315552797633917</v>
          </cell>
          <cell r="L46">
            <v>0.68</v>
          </cell>
          <cell r="M46">
            <v>0.69699999999999995</v>
          </cell>
          <cell r="N46">
            <v>0.70558059102711512</v>
          </cell>
          <cell r="O46">
            <v>0.71541668102400424</v>
          </cell>
          <cell r="P46">
            <v>0.72849894381780733</v>
          </cell>
          <cell r="Q46">
            <v>0.74656929125589677</v>
          </cell>
          <cell r="R46">
            <v>0.75897751673978664</v>
          </cell>
          <cell r="S46">
            <v>0.7715919709843051</v>
          </cell>
          <cell r="T46">
            <v>0.78441608157881737</v>
          </cell>
          <cell r="U46">
            <v>0.79745333308034361</v>
          </cell>
          <cell r="V46">
            <v>0.81070726796037973</v>
          </cell>
        </row>
        <row r="47">
          <cell r="F47" t="str">
            <v>NSW</v>
          </cell>
          <cell r="G47">
            <v>5301</v>
          </cell>
          <cell r="H47">
            <v>0.86775317243095296</v>
          </cell>
          <cell r="I47">
            <v>14.112</v>
          </cell>
          <cell r="J47">
            <v>2.2745331904228485</v>
          </cell>
          <cell r="L47">
            <v>0</v>
          </cell>
          <cell r="M47">
            <v>1</v>
          </cell>
          <cell r="N47">
            <v>1.0123107475281423</v>
          </cell>
          <cell r="O47">
            <v>1.0264227848264051</v>
          </cell>
          <cell r="P47">
            <v>1.0451921719050321</v>
          </cell>
          <cell r="Q47">
            <v>1.0711180649295506</v>
          </cell>
          <cell r="R47">
            <v>1.0889203970441701</v>
          </cell>
          <cell r="S47">
            <v>1.1070186097335795</v>
          </cell>
          <cell r="T47">
            <v>1.1254176206295798</v>
          </cell>
          <cell r="U47">
            <v>1.1441224290966188</v>
          </cell>
          <cell r="V47">
            <v>1.1631381175902145</v>
          </cell>
        </row>
        <row r="48">
          <cell r="F48" t="str">
            <v>NSW</v>
          </cell>
          <cell r="G48">
            <v>12559</v>
          </cell>
          <cell r="H48">
            <v>2.0558596665837272</v>
          </cell>
          <cell r="I48">
            <v>12.715</v>
          </cell>
          <cell r="J48">
            <v>2.0493685881679786</v>
          </cell>
          <cell r="L48">
            <v>1.0469999999999999</v>
          </cell>
          <cell r="M48">
            <v>1.0740000000000001</v>
          </cell>
          <cell r="N48">
            <v>1.0872217428452249</v>
          </cell>
          <cell r="O48">
            <v>1.1023780709035591</v>
          </cell>
          <cell r="P48">
            <v>1.1225363926260046</v>
          </cell>
          <cell r="Q48">
            <v>1.1503808017343375</v>
          </cell>
          <cell r="R48">
            <v>1.1695005064254389</v>
          </cell>
          <cell r="S48">
            <v>1.1889379868538648</v>
          </cell>
          <cell r="T48">
            <v>1.2086985245561692</v>
          </cell>
          <cell r="U48">
            <v>1.2287874888497692</v>
          </cell>
          <cell r="V48">
            <v>1.2492103382918909</v>
          </cell>
        </row>
        <row r="49">
          <cell r="F49" t="str">
            <v>Qld</v>
          </cell>
          <cell r="G49">
            <v>12522</v>
          </cell>
          <cell r="H49">
            <v>2.0498029098623642</v>
          </cell>
          <cell r="I49">
            <v>12.359</v>
          </cell>
          <cell r="J49">
            <v>1.9919894912440463</v>
          </cell>
          <cell r="L49">
            <v>1.113</v>
          </cell>
          <cell r="M49">
            <v>1.141</v>
          </cell>
          <cell r="N49">
            <v>1.1550465629296105</v>
          </cell>
          <cell r="O49">
            <v>1.1711483974869283</v>
          </cell>
          <cell r="P49">
            <v>1.1925642681436419</v>
          </cell>
          <cell r="Q49">
            <v>1.2221457120846175</v>
          </cell>
          <cell r="R49">
            <v>1.2424581730273985</v>
          </cell>
          <cell r="S49">
            <v>1.2631082337060147</v>
          </cell>
          <cell r="T49">
            <v>1.2841015051383511</v>
          </cell>
          <cell r="U49">
            <v>1.3054436915992427</v>
          </cell>
          <cell r="V49">
            <v>1.3271405921704353</v>
          </cell>
        </row>
        <row r="50">
          <cell r="F50" t="str">
            <v>Qld</v>
          </cell>
          <cell r="G50">
            <v>10601</v>
          </cell>
          <cell r="H50">
            <v>1.7353426487343016</v>
          </cell>
          <cell r="I50">
            <v>10.448</v>
          </cell>
          <cell r="J50">
            <v>1.6839797883742857</v>
          </cell>
          <cell r="L50">
            <v>0.93899999999999995</v>
          </cell>
          <cell r="M50">
            <v>0.96199999999999997</v>
          </cell>
          <cell r="N50">
            <v>0.97384293912207287</v>
          </cell>
          <cell r="O50">
            <v>0.9874187190030016</v>
          </cell>
          <cell r="P50">
            <v>1.0054748693726407</v>
          </cell>
          <cell r="Q50">
            <v>1.0304155784622275</v>
          </cell>
          <cell r="R50">
            <v>1.0475414219564916</v>
          </cell>
          <cell r="S50">
            <v>1.0649519025637035</v>
          </cell>
          <cell r="T50">
            <v>1.0826517510456559</v>
          </cell>
          <cell r="U50">
            <v>1.1006457767909474</v>
          </cell>
          <cell r="V50">
            <v>1.1189388691217865</v>
          </cell>
        </row>
        <row r="51">
          <cell r="F51" t="str">
            <v>Qld</v>
          </cell>
          <cell r="G51">
            <v>12676</v>
          </cell>
          <cell r="H51">
            <v>2.0750121135134427</v>
          </cell>
          <cell r="I51">
            <v>12.6</v>
          </cell>
          <cell r="J51">
            <v>2.0308332057346856</v>
          </cell>
          <cell r="L51">
            <v>1.125</v>
          </cell>
          <cell r="M51">
            <v>1.1539999999999999</v>
          </cell>
          <cell r="N51">
            <v>1.1682066026474762</v>
          </cell>
          <cell r="O51">
            <v>1.1844918936896713</v>
          </cell>
          <cell r="P51">
            <v>1.2061517663784069</v>
          </cell>
          <cell r="Q51">
            <v>1.2360702469287013</v>
          </cell>
          <cell r="R51">
            <v>1.2566141381889722</v>
          </cell>
          <cell r="S51">
            <v>1.2774994756325506</v>
          </cell>
          <cell r="T51">
            <v>1.2987319342065351</v>
          </cell>
          <cell r="U51">
            <v>1.3203172831774981</v>
          </cell>
          <cell r="V51">
            <v>1.3422613876991074</v>
          </cell>
        </row>
        <row r="52">
          <cell r="F52" t="str">
            <v>Qld</v>
          </cell>
          <cell r="G52">
            <v>4181</v>
          </cell>
          <cell r="H52">
            <v>0.68441350951401891</v>
          </cell>
          <cell r="I52">
            <v>3.508</v>
          </cell>
          <cell r="J52">
            <v>0.56540975283470463</v>
          </cell>
          <cell r="L52">
            <v>0.32500000000000001</v>
          </cell>
          <cell r="M52">
            <v>0.32300000000000001</v>
          </cell>
          <cell r="N52">
            <v>0.32697637145158998</v>
          </cell>
          <cell r="O52">
            <v>0.33153455949892885</v>
          </cell>
          <cell r="P52">
            <v>0.33759707152532542</v>
          </cell>
          <cell r="Q52">
            <v>0.34597113497224491</v>
          </cell>
          <cell r="R52">
            <v>0.35172128824526705</v>
          </cell>
          <cell r="S52">
            <v>0.35756701094394633</v>
          </cell>
          <cell r="T52">
            <v>0.36350989146335444</v>
          </cell>
          <cell r="U52">
            <v>0.36955154459820805</v>
          </cell>
          <cell r="V52">
            <v>0.37569361198163942</v>
          </cell>
        </row>
        <row r="53">
          <cell r="F53" t="str">
            <v>Qld</v>
          </cell>
          <cell r="G53">
            <v>11250</v>
          </cell>
          <cell r="H53">
            <v>1.8415814355495608</v>
          </cell>
          <cell r="I53">
            <v>13.393000000000001</v>
          </cell>
          <cell r="J53">
            <v>2.158646755905131</v>
          </cell>
          <cell r="L53">
            <v>1.165</v>
          </cell>
          <cell r="M53">
            <v>1.2010000000000001</v>
          </cell>
          <cell r="N53">
            <v>1.2157852077812989</v>
          </cell>
          <cell r="O53">
            <v>1.2327337645765124</v>
          </cell>
          <cell r="P53">
            <v>1.2552757984579435</v>
          </cell>
          <cell r="Q53">
            <v>1.2864127959803902</v>
          </cell>
          <cell r="R53">
            <v>1.3077933968500481</v>
          </cell>
          <cell r="S53">
            <v>1.3295293502900289</v>
          </cell>
          <cell r="T53">
            <v>1.3516265623761254</v>
          </cell>
          <cell r="U53">
            <v>1.3740910373450392</v>
          </cell>
          <cell r="V53">
            <v>1.3969288792258476</v>
          </cell>
        </row>
        <row r="54">
          <cell r="F54" t="str">
            <v>Qld</v>
          </cell>
          <cell r="G54">
            <v>11070</v>
          </cell>
          <cell r="H54">
            <v>1.8121161325807675</v>
          </cell>
          <cell r="I54">
            <v>10</v>
          </cell>
          <cell r="J54">
            <v>1.6117723855037192</v>
          </cell>
          <cell r="L54">
            <v>0.82599999999999996</v>
          </cell>
          <cell r="M54">
            <v>0.84499999999999997</v>
          </cell>
          <cell r="N54">
            <v>0.85540258166128025</v>
          </cell>
          <cell r="O54">
            <v>0.86732725317831227</v>
          </cell>
          <cell r="P54">
            <v>0.88318738525975216</v>
          </cell>
          <cell r="Q54">
            <v>0.90509476486547036</v>
          </cell>
          <cell r="R54">
            <v>0.92013773550232392</v>
          </cell>
          <cell r="S54">
            <v>0.93543072522487491</v>
          </cell>
          <cell r="T54">
            <v>0.95097788943199524</v>
          </cell>
          <cell r="U54">
            <v>0.96678345258664322</v>
          </cell>
          <cell r="V54">
            <v>0.98285170936373156</v>
          </cell>
        </row>
        <row r="55">
          <cell r="F55" t="str">
            <v>Qld</v>
          </cell>
          <cell r="G55">
            <v>10581</v>
          </cell>
          <cell r="H55">
            <v>1.7320687261822134</v>
          </cell>
          <cell r="I55">
            <v>10.9</v>
          </cell>
          <cell r="J55">
            <v>1.7568319001990538</v>
          </cell>
          <cell r="L55">
            <v>0.873</v>
          </cell>
          <cell r="M55">
            <v>0.95</v>
          </cell>
          <cell r="N55">
            <v>0.9616952101517352</v>
          </cell>
          <cell r="O55">
            <v>0.97510164558508483</v>
          </cell>
          <cell r="P55">
            <v>0.99293256330978052</v>
          </cell>
          <cell r="Q55">
            <v>1.0175621616830732</v>
          </cell>
          <cell r="R55">
            <v>1.0344743771919618</v>
          </cell>
          <cell r="S55">
            <v>1.0516676792469009</v>
          </cell>
          <cell r="T55">
            <v>1.0691467395981011</v>
          </cell>
          <cell r="U55">
            <v>1.0869163076417883</v>
          </cell>
          <cell r="V55">
            <v>1.1049812117107041</v>
          </cell>
        </row>
        <row r="56">
          <cell r="F56" t="str">
            <v>Qld</v>
          </cell>
          <cell r="G56">
            <v>12516</v>
          </cell>
          <cell r="H56">
            <v>2.0488207330967381</v>
          </cell>
          <cell r="I56">
            <v>13.994999999999999</v>
          </cell>
          <cell r="J56">
            <v>2.2556754535124548</v>
          </cell>
          <cell r="L56">
            <v>1.2669999999999999</v>
          </cell>
          <cell r="M56">
            <v>1.298</v>
          </cell>
          <cell r="N56">
            <v>1.3139793502915287</v>
          </cell>
          <cell r="O56">
            <v>1.3322967747046737</v>
          </cell>
          <cell r="P56">
            <v>1.3566594391327316</v>
          </cell>
          <cell r="Q56">
            <v>1.3903112482785567</v>
          </cell>
          <cell r="R56">
            <v>1.4134186753633329</v>
          </cell>
          <cell r="S56">
            <v>1.4369101554341863</v>
          </cell>
          <cell r="T56">
            <v>1.4607920715771947</v>
          </cell>
          <cell r="U56">
            <v>1.4850709129674113</v>
          </cell>
          <cell r="V56">
            <v>1.5097532766320985</v>
          </cell>
        </row>
        <row r="57">
          <cell r="F57" t="str">
            <v>Qld</v>
          </cell>
          <cell r="G57">
            <v>12431</v>
          </cell>
          <cell r="H57">
            <v>2.0349065622503635</v>
          </cell>
          <cell r="I57">
            <v>12.358000000000001</v>
          </cell>
          <cell r="J57">
            <v>1.991828314005496</v>
          </cell>
          <cell r="L57">
            <v>1.103</v>
          </cell>
          <cell r="M57">
            <v>1.1299999999999999</v>
          </cell>
          <cell r="N57">
            <v>1.1439111447068007</v>
          </cell>
          <cell r="O57">
            <v>1.1598577468538376</v>
          </cell>
          <cell r="P57">
            <v>1.1810671542526863</v>
          </cell>
          <cell r="Q57">
            <v>1.2103634133703922</v>
          </cell>
          <cell r="R57">
            <v>1.2304800486599123</v>
          </cell>
          <cell r="S57">
            <v>1.250931028998945</v>
          </cell>
          <cell r="T57">
            <v>1.2717219113114255</v>
          </cell>
          <cell r="U57">
            <v>1.2928583448791797</v>
          </cell>
          <cell r="V57">
            <v>1.3143460728769427</v>
          </cell>
        </row>
        <row r="58">
          <cell r="F58" t="str">
            <v>Qld</v>
          </cell>
          <cell r="G58">
            <v>12245</v>
          </cell>
          <cell r="H58">
            <v>2.0044590825159436</v>
          </cell>
          <cell r="I58">
            <v>11.308</v>
          </cell>
          <cell r="J58">
            <v>1.8225922135276054</v>
          </cell>
          <cell r="L58">
            <v>1.0229999999999999</v>
          </cell>
          <cell r="M58">
            <v>1.048</v>
          </cell>
          <cell r="N58">
            <v>1.0609016634094932</v>
          </cell>
          <cell r="O58">
            <v>1.0756910784980727</v>
          </cell>
          <cell r="P58">
            <v>1.0953613961564739</v>
          </cell>
          <cell r="Q58">
            <v>1.1225317320461694</v>
          </cell>
          <cell r="R58">
            <v>1.1411885761022906</v>
          </cell>
          <cell r="S58">
            <v>1.1601555030007917</v>
          </cell>
          <cell r="T58">
            <v>1.1794376664198001</v>
          </cell>
          <cell r="U58">
            <v>1.199040305693257</v>
          </cell>
          <cell r="V58">
            <v>1.2189687472345452</v>
          </cell>
        </row>
        <row r="59">
          <cell r="F59" t="str">
            <v/>
          </cell>
          <cell r="G59" t="str">
            <v/>
          </cell>
          <cell r="H59" t="str">
            <v xml:space="preserve"> </v>
          </cell>
          <cell r="I59" t="str">
            <v/>
          </cell>
          <cell r="J59" t="str">
            <v xml:space="preserve"> </v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</row>
        <row r="60">
          <cell r="F60" t="str">
            <v/>
          </cell>
          <cell r="G60" t="str">
            <v/>
          </cell>
          <cell r="H60" t="str">
            <v xml:space="preserve"> </v>
          </cell>
          <cell r="I60" t="str">
            <v/>
          </cell>
          <cell r="J60" t="str">
            <v xml:space="preserve"> </v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</row>
        <row r="61">
          <cell r="F61" t="str">
            <v/>
          </cell>
          <cell r="G61" t="str">
            <v/>
          </cell>
          <cell r="H61" t="str">
            <v xml:space="preserve"> </v>
          </cell>
          <cell r="I61" t="str">
            <v/>
          </cell>
          <cell r="J61" t="str">
            <v xml:space="preserve"> </v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</row>
        <row r="62">
          <cell r="F62" t="str">
            <v/>
          </cell>
          <cell r="G62" t="str">
            <v/>
          </cell>
          <cell r="H62" t="str">
            <v xml:space="preserve"> </v>
          </cell>
          <cell r="I62" t="str">
            <v/>
          </cell>
          <cell r="J62" t="str">
            <v xml:space="preserve"> </v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</row>
        <row r="63">
          <cell r="F63" t="str">
            <v/>
          </cell>
          <cell r="G63" t="str">
            <v/>
          </cell>
          <cell r="H63" t="str">
            <v xml:space="preserve"> </v>
          </cell>
          <cell r="I63" t="str">
            <v/>
          </cell>
          <cell r="J63" t="str">
            <v xml:space="preserve"> </v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  <cell r="S63" t="str">
            <v/>
          </cell>
          <cell r="T63" t="str">
            <v/>
          </cell>
          <cell r="U63" t="str">
            <v/>
          </cell>
          <cell r="V63" t="str">
            <v/>
          </cell>
        </row>
        <row r="64">
          <cell r="G64" t="str">
            <v/>
          </cell>
          <cell r="I64" t="str">
            <v/>
          </cell>
        </row>
        <row r="66">
          <cell r="G66">
            <v>610888</v>
          </cell>
          <cell r="H66">
            <v>100.00000000000001</v>
          </cell>
          <cell r="I66">
            <v>620.43500000000006</v>
          </cell>
          <cell r="J66">
            <v>99.999999999999972</v>
          </cell>
          <cell r="L66">
            <v>47.14200000000001</v>
          </cell>
          <cell r="M66">
            <v>52.15872000000001</v>
          </cell>
          <cell r="N66">
            <v>52.800832833311077</v>
          </cell>
          <cell r="O66">
            <v>53.536898635380723</v>
          </cell>
          <cell r="P66">
            <v>54.515885840586428</v>
          </cell>
          <cell r="Q66">
            <v>55.868147235602244</v>
          </cell>
          <cell r="R66">
            <v>56.796694091715693</v>
          </cell>
          <cell r="S66">
            <v>57.740673699883075</v>
          </cell>
          <cell r="T66">
            <v>58.70034255748449</v>
          </cell>
          <cell r="U66">
            <v>59.675961424970389</v>
          </cell>
          <cell r="V66">
            <v>60.667795396715071</v>
          </cell>
        </row>
        <row r="67">
          <cell r="M67">
            <v>0.10641720758559248</v>
          </cell>
          <cell r="N67">
            <v>1.2310747528142318E-2</v>
          </cell>
          <cell r="O67">
            <v>1.3940420303470535E-2</v>
          </cell>
          <cell r="P67">
            <v>1.8286214371011855E-2</v>
          </cell>
          <cell r="Q67">
            <v>2.4804905472325167E-2</v>
          </cell>
          <cell r="R67">
            <v>1.6620326645121475E-2</v>
          </cell>
          <cell r="S67">
            <v>1.6620326645121919E-2</v>
          </cell>
          <cell r="T67">
            <v>1.6620326645121253E-2</v>
          </cell>
          <cell r="U67">
            <v>1.6620326645121253E-2</v>
          </cell>
          <cell r="V67">
            <v>1.6620326645121475E-2</v>
          </cell>
        </row>
        <row r="69">
          <cell r="L69">
            <v>47.14200000000001</v>
          </cell>
          <cell r="M69">
            <v>47.849130000000002</v>
          </cell>
          <cell r="N69">
            <v>48.566866949999998</v>
          </cell>
          <cell r="O69">
            <v>49.295369954249992</v>
          </cell>
          <cell r="P69">
            <v>50.034800503563737</v>
          </cell>
          <cell r="Q69">
            <v>50.785322511117187</v>
          </cell>
          <cell r="R69">
            <v>51.547102348783937</v>
          </cell>
          <cell r="S69">
            <v>52.320308884015688</v>
          </cell>
          <cell r="T69">
            <v>53.105113517275917</v>
          </cell>
          <cell r="U69">
            <v>53.90169022003505</v>
          </cell>
          <cell r="V69">
            <v>54.710215573335567</v>
          </cell>
        </row>
        <row r="70">
          <cell r="M70">
            <v>1.4999999999999902E-2</v>
          </cell>
          <cell r="N70">
            <v>1.4999999999999902E-2</v>
          </cell>
          <cell r="O70">
            <v>1.4999999999999902E-2</v>
          </cell>
          <cell r="P70">
            <v>1.4999999999999902E-2</v>
          </cell>
          <cell r="Q70">
            <v>1.4999999999999902E-2</v>
          </cell>
          <cell r="R70">
            <v>1.4999999999999902E-2</v>
          </cell>
          <cell r="S70">
            <v>1.4999999999999902E-2</v>
          </cell>
          <cell r="T70">
            <v>1.4999999999999902E-2</v>
          </cell>
          <cell r="U70">
            <v>1.4999999999999902E-2</v>
          </cell>
          <cell r="V70">
            <v>1.4999999999999902E-2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">
          <cell r="A7" t="str">
            <v>geo_wa</v>
          </cell>
          <cell r="C7" t="str">
            <v>Western Australia</v>
          </cell>
          <cell r="D7">
            <v>9</v>
          </cell>
          <cell r="E7">
            <v>143884</v>
          </cell>
          <cell r="F7">
            <v>95.563000000000002</v>
          </cell>
          <cell r="G7">
            <v>7.8380000000000001</v>
          </cell>
          <cell r="H7">
            <v>8.231720000000001</v>
          </cell>
          <cell r="I7">
            <v>8.3330586266423605</v>
          </cell>
          <cell r="J7">
            <v>8.4492249663112151</v>
          </cell>
          <cell r="K7">
            <v>8.6037293053140917</v>
          </cell>
          <cell r="L7">
            <v>8.8171439974418817</v>
          </cell>
          <cell r="M7">
            <v>8.9636878107564382</v>
          </cell>
          <cell r="N7">
            <v>9.1126672301161022</v>
          </cell>
          <cell r="O7">
            <v>9.2641227360889271</v>
          </cell>
          <cell r="P7">
            <v>9.4180954820432206</v>
          </cell>
          <cell r="Q7">
            <v>9.5746273053297237</v>
          </cell>
        </row>
        <row r="8">
          <cell r="A8" t="str">
            <v>geo_vic</v>
          </cell>
          <cell r="C8" t="str">
            <v>Victoria</v>
          </cell>
          <cell r="D8">
            <v>19</v>
          </cell>
          <cell r="E8">
            <v>221861</v>
          </cell>
          <cell r="F8">
            <v>251.76499999999999</v>
          </cell>
          <cell r="G8">
            <v>17.744000000000003</v>
          </cell>
          <cell r="H8">
            <v>17.744000000000003</v>
          </cell>
          <cell r="I8">
            <v>17.744000000000003</v>
          </cell>
          <cell r="J8">
            <v>17.744000000000003</v>
          </cell>
          <cell r="K8">
            <v>17.744000000000003</v>
          </cell>
          <cell r="L8">
            <v>17.744000000000003</v>
          </cell>
          <cell r="M8">
            <v>17.744000000000003</v>
          </cell>
          <cell r="N8">
            <v>17.744000000000003</v>
          </cell>
          <cell r="O8">
            <v>17.744000000000003</v>
          </cell>
          <cell r="P8">
            <v>17.744000000000003</v>
          </cell>
          <cell r="Q8">
            <v>17.744000000000003</v>
          </cell>
        </row>
        <row r="9">
          <cell r="A9" t="str">
            <v>geo_act</v>
          </cell>
          <cell r="C9" t="str">
            <v>ACT</v>
          </cell>
          <cell r="D9">
            <v>2</v>
          </cell>
          <cell r="E9">
            <v>18341</v>
          </cell>
          <cell r="F9">
            <v>23.567</v>
          </cell>
          <cell r="G9">
            <v>1.9930000000000001</v>
          </cell>
          <cell r="H9">
            <v>1.9930000000000001</v>
          </cell>
          <cell r="I9">
            <v>1.9930000000000001</v>
          </cell>
          <cell r="J9">
            <v>1.9930000000000001</v>
          </cell>
          <cell r="K9">
            <v>1.9930000000000001</v>
          </cell>
          <cell r="L9">
            <v>1.9930000000000001</v>
          </cell>
          <cell r="M9">
            <v>1.9930000000000001</v>
          </cell>
          <cell r="N9">
            <v>1.9930000000000001</v>
          </cell>
          <cell r="O9">
            <v>1.9930000000000001</v>
          </cell>
          <cell r="P9">
            <v>1.9930000000000001</v>
          </cell>
          <cell r="Q9">
            <v>1.9930000000000001</v>
          </cell>
        </row>
        <row r="10">
          <cell r="A10" t="str">
            <v>geo_sa</v>
          </cell>
          <cell r="C10" t="str">
            <v>South Australia</v>
          </cell>
          <cell r="D10">
            <v>2</v>
          </cell>
          <cell r="E10">
            <v>26966</v>
          </cell>
          <cell r="F10">
            <v>28.2</v>
          </cell>
          <cell r="G10">
            <v>1.8780000000000001</v>
          </cell>
          <cell r="H10">
            <v>1.8780000000000001</v>
          </cell>
          <cell r="I10">
            <v>1.8780000000000001</v>
          </cell>
          <cell r="J10">
            <v>1.8780000000000001</v>
          </cell>
          <cell r="K10">
            <v>1.8780000000000001</v>
          </cell>
          <cell r="L10">
            <v>1.8780000000000001</v>
          </cell>
          <cell r="M10">
            <v>1.8780000000000001</v>
          </cell>
          <cell r="N10">
            <v>1.8780000000000001</v>
          </cell>
          <cell r="O10">
            <v>1.8780000000000001</v>
          </cell>
          <cell r="P10">
            <v>1.8780000000000001</v>
          </cell>
          <cell r="Q10">
            <v>1.8780000000000001</v>
          </cell>
        </row>
        <row r="11">
          <cell r="A11" t="str">
            <v>geo_nsw</v>
          </cell>
          <cell r="C11" t="str">
            <v>NSW</v>
          </cell>
          <cell r="D11">
            <v>9</v>
          </cell>
          <cell r="E11">
            <v>89763</v>
          </cell>
          <cell r="F11">
            <v>110.471</v>
          </cell>
          <cell r="G11">
            <v>7.93</v>
          </cell>
          <cell r="H11">
            <v>7.93</v>
          </cell>
          <cell r="I11">
            <v>7.93</v>
          </cell>
          <cell r="J11">
            <v>7.93</v>
          </cell>
          <cell r="K11">
            <v>7.93</v>
          </cell>
          <cell r="L11">
            <v>7.93</v>
          </cell>
          <cell r="M11">
            <v>7.93</v>
          </cell>
          <cell r="N11">
            <v>7.93</v>
          </cell>
          <cell r="O11">
            <v>7.93</v>
          </cell>
          <cell r="P11">
            <v>7.93</v>
          </cell>
          <cell r="Q11">
            <v>7.93</v>
          </cell>
        </row>
        <row r="12">
          <cell r="A12" t="str">
            <v>geo_qld</v>
          </cell>
          <cell r="C12" t="str">
            <v>Qld</v>
          </cell>
          <cell r="D12">
            <v>10</v>
          </cell>
          <cell r="E12">
            <v>110073</v>
          </cell>
          <cell r="F12">
            <v>110.86900000000003</v>
          </cell>
          <cell r="G12">
            <v>9.7589999999999986</v>
          </cell>
          <cell r="H12">
            <v>9.7589999999999986</v>
          </cell>
          <cell r="I12">
            <v>9.7589999999999986</v>
          </cell>
          <cell r="J12">
            <v>9.7589999999999986</v>
          </cell>
          <cell r="K12">
            <v>9.7589999999999986</v>
          </cell>
          <cell r="L12">
            <v>9.7589999999999986</v>
          </cell>
          <cell r="M12">
            <v>9.7589999999999986</v>
          </cell>
          <cell r="N12">
            <v>9.7589999999999986</v>
          </cell>
          <cell r="O12">
            <v>9.7589999999999986</v>
          </cell>
          <cell r="P12">
            <v>9.7589999999999986</v>
          </cell>
          <cell r="Q12">
            <v>9.7589999999999986</v>
          </cell>
        </row>
        <row r="13">
          <cell r="A13" t="str">
            <v>geo_total</v>
          </cell>
          <cell r="D13">
            <v>51</v>
          </cell>
          <cell r="E13">
            <v>610888</v>
          </cell>
          <cell r="F13">
            <v>620.43499999999995</v>
          </cell>
          <cell r="G13">
            <v>47.142000000000003</v>
          </cell>
          <cell r="H13">
            <v>47.535719999999998</v>
          </cell>
          <cell r="I13">
            <v>47.637058626642357</v>
          </cell>
          <cell r="J13">
            <v>47.753224966311222</v>
          </cell>
          <cell r="K13">
            <v>47.907729305314092</v>
          </cell>
          <cell r="L13">
            <v>48.121143997441884</v>
          </cell>
          <cell r="M13">
            <v>48.267687810756442</v>
          </cell>
          <cell r="N13">
            <v>48.416667230116104</v>
          </cell>
          <cell r="O13">
            <v>48.568122736088924</v>
          </cell>
          <cell r="P13">
            <v>48.722095482043223</v>
          </cell>
          <cell r="Q13">
            <v>48.878627305329729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>
        <row r="29">
          <cell r="D29">
            <v>9.3312942431008128E-2</v>
          </cell>
          <cell r="H29">
            <v>8.3312942431008147E-2</v>
          </cell>
        </row>
      </sheetData>
      <sheetData sheetId="20" refreshError="1"/>
      <sheetData sheetId="21" refreshError="1"/>
      <sheetData sheetId="22" refreshError="1">
        <row r="43">
          <cell r="A43" t="str">
            <v>mkt_cpi</v>
          </cell>
          <cell r="C43" t="str">
            <v>CPI %</v>
          </cell>
          <cell r="F43">
            <v>2.7E-2</v>
          </cell>
          <cell r="G43">
            <v>0</v>
          </cell>
          <cell r="H43">
            <v>0</v>
          </cell>
          <cell r="I43">
            <v>1.2468827930174599E-2</v>
          </cell>
          <cell r="J43">
            <v>0</v>
          </cell>
          <cell r="K43">
            <v>0</v>
          </cell>
          <cell r="L43">
            <v>2.7914614121510799E-2</v>
          </cell>
          <cell r="M43">
            <v>0</v>
          </cell>
          <cell r="N43">
            <v>0</v>
          </cell>
          <cell r="O43">
            <v>5.9904153354632499E-2</v>
          </cell>
          <cell r="P43">
            <v>0</v>
          </cell>
          <cell r="Q43">
            <v>0</v>
          </cell>
          <cell r="R43">
            <v>2.9389600602863601E-2</v>
          </cell>
          <cell r="S43">
            <v>0</v>
          </cell>
          <cell r="T43">
            <v>0</v>
          </cell>
          <cell r="U43">
            <v>0.03</v>
          </cell>
          <cell r="V43">
            <v>0</v>
          </cell>
          <cell r="W43">
            <v>0</v>
          </cell>
          <cell r="X43">
            <v>2.5999999999999999E-2</v>
          </cell>
          <cell r="Y43">
            <v>0</v>
          </cell>
          <cell r="Z43">
            <v>0</v>
          </cell>
          <cell r="AA43">
            <v>0.03</v>
          </cell>
          <cell r="AB43">
            <v>0</v>
          </cell>
          <cell r="AC43">
            <v>0</v>
          </cell>
          <cell r="AD43">
            <v>0.03</v>
          </cell>
          <cell r="AE43">
            <v>0</v>
          </cell>
          <cell r="AF43">
            <v>0</v>
          </cell>
          <cell r="AG43">
            <v>0.03</v>
          </cell>
          <cell r="AH43">
            <v>0</v>
          </cell>
          <cell r="AI43">
            <v>0</v>
          </cell>
          <cell r="AJ43">
            <v>0.03</v>
          </cell>
          <cell r="AK43">
            <v>0.03</v>
          </cell>
          <cell r="AL43">
            <v>0.03</v>
          </cell>
          <cell r="AM43">
            <v>0.03</v>
          </cell>
          <cell r="AN43">
            <v>0.03</v>
          </cell>
          <cell r="AO43">
            <v>0.03</v>
          </cell>
          <cell r="AP43">
            <v>0.03</v>
          </cell>
          <cell r="AQ43">
            <v>0.03</v>
          </cell>
          <cell r="AR43">
            <v>0.03</v>
          </cell>
          <cell r="AS43">
            <v>0.03</v>
          </cell>
          <cell r="AT43">
            <v>0.03</v>
          </cell>
          <cell r="AU43">
            <v>0.03</v>
          </cell>
          <cell r="AV43">
            <v>0.03</v>
          </cell>
          <cell r="AW43">
            <v>0.03</v>
          </cell>
          <cell r="AX43">
            <v>0.03</v>
          </cell>
          <cell r="AY43">
            <v>0.03</v>
          </cell>
          <cell r="AZ43">
            <v>0.03</v>
          </cell>
          <cell r="BA43">
            <v>0.03</v>
          </cell>
          <cell r="BB43">
            <v>0.03</v>
          </cell>
        </row>
      </sheetData>
      <sheetData sheetId="23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L Data"/>
      <sheetName val="ML Segmental"/>
      <sheetName val="ML Porfolio-Mini BS"/>
      <sheetName val="Summary"/>
      <sheetName val="Corp_DCF"/>
      <sheetName val="ValadDist"/>
      <sheetName val="MgtFees"/>
      <sheetName val="TrustInc"/>
      <sheetName val="Debt"/>
      <sheetName val="REDS"/>
      <sheetName val="1H06Result"/>
      <sheetName val="Sheet2"/>
      <sheetName val="2005PtyPortfolio"/>
      <sheetName val="Results"/>
      <sheetName val="Consensus"/>
      <sheetName val="Sheet1"/>
      <sheetName val="Data"/>
      <sheetName val="Balance Sheet"/>
      <sheetName val="REDSTemplate - VPG"/>
      <sheetName val="iQ_CoreIndustria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A6" t="str">
            <v>NOI</v>
          </cell>
          <cell r="C6" t="str">
            <v>Net property income</v>
          </cell>
          <cell r="D6">
            <v>12.64</v>
          </cell>
          <cell r="E6">
            <v>23.068999999999999</v>
          </cell>
          <cell r="F6">
            <v>32.567999999999998</v>
          </cell>
          <cell r="G6">
            <v>41.485999999999997</v>
          </cell>
          <cell r="H6">
            <v>58.414121332311808</v>
          </cell>
          <cell r="I6">
            <v>59.683081813158459</v>
          </cell>
          <cell r="J6">
            <v>61.277347345864982</v>
          </cell>
          <cell r="K6">
            <v>61.930375370870919</v>
          </cell>
          <cell r="L6">
            <v>63.353196148168166</v>
          </cell>
          <cell r="O6">
            <v>16.899999999999999</v>
          </cell>
          <cell r="P6">
            <v>29.190285182430912</v>
          </cell>
          <cell r="Q6">
            <v>46.090285182430911</v>
          </cell>
          <cell r="S6">
            <v>41.485999999999997</v>
          </cell>
          <cell r="T6">
            <v>-9.989708599559755</v>
          </cell>
          <cell r="AA6" t="str">
            <v>Group a/c, note 2</v>
          </cell>
          <cell r="AB6" t="str">
            <v>Net property income</v>
          </cell>
          <cell r="AC6">
            <v>23.068999999999999</v>
          </cell>
          <cell r="AF6">
            <v>33.974690675994296</v>
          </cell>
        </row>
        <row r="8">
          <cell r="A8" t="str">
            <v>Int_Inc</v>
          </cell>
          <cell r="C8" t="str">
            <v>Interest income</v>
          </cell>
          <cell r="D8">
            <v>0.33700000000000002</v>
          </cell>
          <cell r="E8">
            <v>4.2859999999999996</v>
          </cell>
          <cell r="F8">
            <v>2.6040000000000001</v>
          </cell>
          <cell r="G8">
            <v>11.989000000000001</v>
          </cell>
          <cell r="H8">
            <v>2.52</v>
          </cell>
          <cell r="I8">
            <v>2.52</v>
          </cell>
          <cell r="J8">
            <v>2.52</v>
          </cell>
          <cell r="K8">
            <v>2.52</v>
          </cell>
          <cell r="L8">
            <v>2.52</v>
          </cell>
          <cell r="O8">
            <v>0.5</v>
          </cell>
          <cell r="P8">
            <v>0.5</v>
          </cell>
          <cell r="Q8">
            <v>1</v>
          </cell>
          <cell r="S8">
            <v>11.989000000000001</v>
          </cell>
          <cell r="T8">
            <v>1098.9000000000001</v>
          </cell>
          <cell r="AA8" t="str">
            <v>Group a/c, note 2</v>
          </cell>
          <cell r="AB8" t="str">
            <v>Interest income</v>
          </cell>
          <cell r="AC8">
            <v>4.2859999999999996</v>
          </cell>
          <cell r="AF8">
            <v>0.8</v>
          </cell>
        </row>
        <row r="12">
          <cell r="A12" t="str">
            <v>Management Fee Inc</v>
          </cell>
          <cell r="C12" t="str">
            <v>Management fee income  - Corp EBIT (asset sale profits, management fees, performance fees etc)</v>
          </cell>
          <cell r="D12">
            <v>3.4929999999999999</v>
          </cell>
          <cell r="E12">
            <v>9.077</v>
          </cell>
          <cell r="F12">
            <v>28.618000000000002</v>
          </cell>
          <cell r="G12">
            <v>30.717999999999996</v>
          </cell>
          <cell r="H12">
            <v>38.922187499999993</v>
          </cell>
          <cell r="I12">
            <v>42.814406249999998</v>
          </cell>
          <cell r="J12">
            <v>47.095846875000007</v>
          </cell>
          <cell r="K12">
            <v>51.334473093750006</v>
          </cell>
          <cell r="L12">
            <v>55.954575672187509</v>
          </cell>
          <cell r="O12">
            <v>17</v>
          </cell>
          <cell r="P12">
            <v>15.122500000000002</v>
          </cell>
          <cell r="Q12">
            <v>32.122500000000002</v>
          </cell>
          <cell r="S12">
            <v>30.717999999999996</v>
          </cell>
          <cell r="T12">
            <v>-4.372324694528773</v>
          </cell>
          <cell r="W12">
            <v>0.15309005071357995</v>
          </cell>
          <cell r="Z12">
            <v>0.13262419007660009</v>
          </cell>
          <cell r="AA12" t="str">
            <v>Group a/c, note 2</v>
          </cell>
          <cell r="AB12" t="str">
            <v>Management fee income  - Corp EBIT (asset sale profits, management fees, performance fees etc)</v>
          </cell>
          <cell r="AC12">
            <v>9.077</v>
          </cell>
          <cell r="AF12">
            <v>27.65</v>
          </cell>
        </row>
        <row r="16">
          <cell r="A16" t="str">
            <v>Gross EBITDA</v>
          </cell>
          <cell r="C16" t="str">
            <v>Gross Trust Income</v>
          </cell>
          <cell r="D16">
            <v>16.846999999999998</v>
          </cell>
          <cell r="E16">
            <v>36.740999999999993</v>
          </cell>
          <cell r="F16">
            <v>66.876000000000005</v>
          </cell>
          <cell r="G16">
            <v>101.07299999999998</v>
          </cell>
          <cell r="H16">
            <v>114.26630883231181</v>
          </cell>
          <cell r="I16">
            <v>119.42748806315845</v>
          </cell>
          <cell r="J16">
            <v>125.30319422086498</v>
          </cell>
          <cell r="K16">
            <v>130.19484846462092</v>
          </cell>
          <cell r="L16">
            <v>136.23777182035568</v>
          </cell>
          <cell r="O16">
            <v>43.4</v>
          </cell>
          <cell r="P16">
            <v>49.232785182430916</v>
          </cell>
          <cell r="Q16">
            <v>92.632785182430908</v>
          </cell>
          <cell r="S16">
            <v>101.07299999999998</v>
          </cell>
          <cell r="T16">
            <v>9.1114768933557642</v>
          </cell>
          <cell r="AF16">
            <v>65.454690675994286</v>
          </cell>
        </row>
        <row r="20">
          <cell r="A20" t="str">
            <v>Opex</v>
          </cell>
          <cell r="C20" t="str">
            <v>Operating expenses</v>
          </cell>
          <cell r="D20">
            <v>2.7290000000000001</v>
          </cell>
          <cell r="E20">
            <v>6.6530000000000005</v>
          </cell>
          <cell r="F20">
            <v>17.270000000000003</v>
          </cell>
          <cell r="G20">
            <v>25.15</v>
          </cell>
          <cell r="H20">
            <v>19.399999999999999</v>
          </cell>
          <cell r="I20">
            <v>19.981999999999999</v>
          </cell>
          <cell r="J20">
            <v>20.981100000000001</v>
          </cell>
          <cell r="K20">
            <v>22.030155000000004</v>
          </cell>
          <cell r="L20">
            <v>23.131662750000004</v>
          </cell>
          <cell r="O20">
            <v>12.1</v>
          </cell>
          <cell r="P20">
            <v>6.3789000000000033</v>
          </cell>
          <cell r="Q20">
            <v>18.478900000000003</v>
          </cell>
          <cell r="S20">
            <v>25.15</v>
          </cell>
          <cell r="T20">
            <v>36.101174853481496</v>
          </cell>
          <cell r="AF20">
            <v>16.553999999999998</v>
          </cell>
        </row>
        <row r="21">
          <cell r="A21" t="str">
            <v>Interest Expense</v>
          </cell>
          <cell r="C21" t="str">
            <v>Borrowing Costs</v>
          </cell>
          <cell r="D21">
            <v>3.01</v>
          </cell>
          <cell r="E21">
            <v>6.9580000000000002</v>
          </cell>
          <cell r="F21">
            <v>13.262</v>
          </cell>
          <cell r="G21">
            <v>19.600000000000001</v>
          </cell>
          <cell r="H21">
            <v>27.16472888876288</v>
          </cell>
          <cell r="I21">
            <v>28.286124692865084</v>
          </cell>
          <cell r="J21">
            <v>28.542993170570437</v>
          </cell>
          <cell r="K21">
            <v>28.542993170570437</v>
          </cell>
          <cell r="L21">
            <v>28.542993170570437</v>
          </cell>
          <cell r="O21">
            <v>6.2</v>
          </cell>
          <cell r="P21">
            <v>10.419159796691758</v>
          </cell>
          <cell r="Q21">
            <v>16.619159796691758</v>
          </cell>
          <cell r="S21">
            <v>19.600000000000001</v>
          </cell>
          <cell r="T21">
            <v>17.93616668817166</v>
          </cell>
          <cell r="AA21" t="str">
            <v>Group a/c, borrowing costs p&amp;l</v>
          </cell>
          <cell r="AF21">
            <v>9.8000000000000007</v>
          </cell>
        </row>
        <row r="24">
          <cell r="A24" t="str">
            <v>PBT</v>
          </cell>
          <cell r="C24" t="str">
            <v>Net operating Income</v>
          </cell>
          <cell r="D24">
            <v>11.107999999999997</v>
          </cell>
          <cell r="E24">
            <v>23.129999999999992</v>
          </cell>
          <cell r="F24">
            <v>36.344000000000001</v>
          </cell>
          <cell r="G24">
            <v>55.984999999999978</v>
          </cell>
          <cell r="H24">
            <v>67.701579943548921</v>
          </cell>
          <cell r="I24">
            <v>71.159363370293363</v>
          </cell>
          <cell r="J24">
            <v>75.779101050294543</v>
          </cell>
          <cell r="K24">
            <v>79.62170029405047</v>
          </cell>
          <cell r="L24">
            <v>84.563115899785231</v>
          </cell>
          <cell r="O24">
            <v>25.099999999999998</v>
          </cell>
          <cell r="P24">
            <v>32.434725385739156</v>
          </cell>
          <cell r="Q24">
            <v>57.534725385739151</v>
          </cell>
          <cell r="S24">
            <v>55.984999999999978</v>
          </cell>
          <cell r="T24">
            <v>-2.6935478971162219</v>
          </cell>
          <cell r="AF24">
            <v>39.100690675994286</v>
          </cell>
        </row>
        <row r="29">
          <cell r="A29" t="str">
            <v>tax</v>
          </cell>
          <cell r="C29" t="str">
            <v>Tax on company profit</v>
          </cell>
          <cell r="D29">
            <v>0.106</v>
          </cell>
          <cell r="E29">
            <v>0.35399999999999998</v>
          </cell>
          <cell r="F29">
            <v>0</v>
          </cell>
          <cell r="G29">
            <v>0</v>
          </cell>
          <cell r="H29">
            <v>2.0310473983064679</v>
          </cell>
          <cell r="I29">
            <v>2.134780901108801</v>
          </cell>
          <cell r="J29">
            <v>2.2733730315088363</v>
          </cell>
          <cell r="K29">
            <v>2.388651008821514</v>
          </cell>
          <cell r="L29">
            <v>2.5368934769935572</v>
          </cell>
          <cell r="O29">
            <v>0</v>
          </cell>
          <cell r="P29">
            <v>1.7260417615721746</v>
          </cell>
          <cell r="Q29">
            <v>1.7260417615721746</v>
          </cell>
          <cell r="S29">
            <v>0</v>
          </cell>
          <cell r="T29">
            <v>-100</v>
          </cell>
          <cell r="AF29">
            <v>1.1147350302713608</v>
          </cell>
        </row>
        <row r="33">
          <cell r="A33" t="str">
            <v>NPAT_PreAmort</v>
          </cell>
          <cell r="B33" t="str">
            <v>npat_preamort</v>
          </cell>
          <cell r="C33" t="str">
            <v>NPAT - before amortisation</v>
          </cell>
          <cell r="D33">
            <v>11.001999999999997</v>
          </cell>
          <cell r="E33">
            <v>22.775999999999993</v>
          </cell>
          <cell r="F33">
            <v>36.344000000000001</v>
          </cell>
          <cell r="G33">
            <v>55.984999999999978</v>
          </cell>
          <cell r="H33">
            <v>65.670532545242452</v>
          </cell>
          <cell r="I33">
            <v>69.024582469184566</v>
          </cell>
          <cell r="J33">
            <v>73.505728018785703</v>
          </cell>
          <cell r="K33">
            <v>77.233049285228958</v>
          </cell>
          <cell r="L33">
            <v>82.026222422791676</v>
          </cell>
          <cell r="O33">
            <v>25.099999999999998</v>
          </cell>
          <cell r="P33">
            <v>30.70868362416698</v>
          </cell>
          <cell r="Q33">
            <v>55.808683624166974</v>
          </cell>
          <cell r="S33">
            <v>55.984999999999978</v>
          </cell>
          <cell r="T33">
            <v>0.31593000297296392</v>
          </cell>
          <cell r="AF33">
            <v>37.985955645722925</v>
          </cell>
        </row>
        <row r="34">
          <cell r="A34" t="str">
            <v>NPAT</v>
          </cell>
          <cell r="B34" t="str">
            <v>npat_reported</v>
          </cell>
          <cell r="C34" t="str">
            <v>NPAT - after amortisation</v>
          </cell>
          <cell r="D34">
            <v>9.1989999999999981</v>
          </cell>
          <cell r="E34">
            <v>19.356999999999992</v>
          </cell>
          <cell r="F34">
            <v>30.298999999999999</v>
          </cell>
          <cell r="G34">
            <v>51.927999999999976</v>
          </cell>
          <cell r="H34">
            <v>61.61353254524245</v>
          </cell>
          <cell r="I34">
            <v>64.967582469184563</v>
          </cell>
          <cell r="J34">
            <v>69.448728018785701</v>
          </cell>
          <cell r="K34">
            <v>73.176049285228956</v>
          </cell>
          <cell r="L34">
            <v>77.969222422791674</v>
          </cell>
          <cell r="O34">
            <v>23.099999999999998</v>
          </cell>
          <cell r="P34">
            <v>26.663683624166978</v>
          </cell>
          <cell r="Q34">
            <v>49.763683624166973</v>
          </cell>
          <cell r="S34">
            <v>51.927999999999976</v>
          </cell>
          <cell r="T34">
            <v>4.3491884406682724</v>
          </cell>
          <cell r="AF34">
            <v>32.585955645722926</v>
          </cell>
        </row>
      </sheetData>
      <sheetData sheetId="6" refreshError="1">
        <row r="25">
          <cell r="A25" t="str">
            <v>Performance fees</v>
          </cell>
          <cell r="C25" t="str">
            <v>Performance fees</v>
          </cell>
          <cell r="H25">
            <v>1.2000000000000002</v>
          </cell>
          <cell r="I25">
            <v>1.2000000000000002</v>
          </cell>
          <cell r="J25">
            <v>1.2000000000000002</v>
          </cell>
          <cell r="K25">
            <v>4.22</v>
          </cell>
          <cell r="L25">
            <v>4.968</v>
          </cell>
          <cell r="M25">
            <v>5.5889999999999995</v>
          </cell>
          <cell r="N25">
            <v>6.1478999999999999</v>
          </cell>
          <cell r="O25">
            <v>6.7626899999999992</v>
          </cell>
          <cell r="P25">
            <v>7.3713321000000009</v>
          </cell>
          <cell r="Q25">
            <v>8.0347519890000001</v>
          </cell>
          <cell r="T25" t="str">
            <v xml:space="preserve">  = 20% * development profit </v>
          </cell>
          <cell r="U25" t="str">
            <v xml:space="preserve">  = 20% * development profit </v>
          </cell>
        </row>
        <row r="26">
          <cell r="A26" t="str">
            <v>Other_MFInc</v>
          </cell>
          <cell r="C26" t="str">
            <v>Historic Balancing item</v>
          </cell>
          <cell r="K26">
            <v>-5.5090000000000003</v>
          </cell>
        </row>
        <row r="27">
          <cell r="A27" t="str">
            <v>Tot_Management_Fees</v>
          </cell>
          <cell r="C27" t="str">
            <v>Total Management Fees</v>
          </cell>
          <cell r="H27">
            <v>5.5750000000000002</v>
          </cell>
          <cell r="I27">
            <v>6.3250000000000002</v>
          </cell>
          <cell r="J27">
            <v>6.3250000000000002</v>
          </cell>
          <cell r="K27">
            <v>15.811</v>
          </cell>
          <cell r="L27">
            <v>27.145499999999998</v>
          </cell>
          <cell r="M27">
            <v>30.538687499999998</v>
          </cell>
          <cell r="N27">
            <v>33.592556250000001</v>
          </cell>
          <cell r="O27">
            <v>36.951811875000004</v>
          </cell>
          <cell r="P27">
            <v>40.277474943750008</v>
          </cell>
          <cell r="Q27">
            <v>43.902447688687509</v>
          </cell>
        </row>
        <row r="49">
          <cell r="A49" t="str">
            <v>Mgtfee_EBIT</v>
          </cell>
          <cell r="C49" t="str">
            <v>Total fees derived</v>
          </cell>
          <cell r="H49">
            <v>5.5750000000000002</v>
          </cell>
          <cell r="I49">
            <v>6.3250000000000002</v>
          </cell>
          <cell r="J49">
            <v>9.625</v>
          </cell>
          <cell r="K49">
            <v>26.067</v>
          </cell>
          <cell r="L49">
            <v>34.597499999999997</v>
          </cell>
          <cell r="M49">
            <v>38.922187499999993</v>
          </cell>
          <cell r="N49">
            <v>42.814406249999998</v>
          </cell>
          <cell r="O49">
            <v>47.095846875000007</v>
          </cell>
          <cell r="P49">
            <v>51.334473093750006</v>
          </cell>
          <cell r="Q49">
            <v>55.954575672187509</v>
          </cell>
        </row>
      </sheetData>
      <sheetData sheetId="7" refreshError="1">
        <row r="12">
          <cell r="A12" t="str">
            <v>Home Central McGraths Hill, 264 Windsor Rd</v>
          </cell>
          <cell r="C12" t="str">
            <v>Home Central McGraths Hill, 264 Windsor Rd</v>
          </cell>
          <cell r="O12">
            <v>1.2974791666666667</v>
          </cell>
          <cell r="P12">
            <v>2.2242500000000001</v>
          </cell>
          <cell r="Q12">
            <v>2.2909775000000003</v>
          </cell>
          <cell r="R12">
            <v>2.3597068250000004</v>
          </cell>
          <cell r="S12">
            <v>2.4304980297500003</v>
          </cell>
          <cell r="T12">
            <v>2.5034129706425006</v>
          </cell>
          <cell r="U12">
            <v>2.5785153597617758</v>
          </cell>
          <cell r="V12">
            <v>1.3595999999999999</v>
          </cell>
          <cell r="W12">
            <v>6.2120833333333181E-2</v>
          </cell>
          <cell r="X12">
            <v>6.2120833333333181E-2</v>
          </cell>
          <cell r="Z12">
            <v>4.8258542796950597E-2</v>
          </cell>
          <cell r="AA12">
            <v>4.8258542796950597E-2</v>
          </cell>
        </row>
        <row r="13">
          <cell r="A13" t="str">
            <v>Millers Portfolio</v>
          </cell>
          <cell r="C13" t="str">
            <v>Millers Portfolio</v>
          </cell>
          <cell r="O13">
            <v>3.0574500000000002</v>
          </cell>
          <cell r="P13">
            <v>4.9170990000000003</v>
          </cell>
          <cell r="Q13">
            <v>5.2579507200000002</v>
          </cell>
          <cell r="R13">
            <v>5.6090279915999997</v>
          </cell>
          <cell r="S13">
            <v>5.9706375813480008</v>
          </cell>
          <cell r="T13">
            <v>6.3430954587884418</v>
          </cell>
          <cell r="U13">
            <v>6.7267270725520962</v>
          </cell>
          <cell r="V13">
            <v>0.47099999999999997</v>
          </cell>
          <cell r="W13">
            <v>-2.5864500000000001</v>
          </cell>
          <cell r="X13">
            <v>-2.5864500000000001</v>
          </cell>
          <cell r="Z13">
            <v>0.10668406542805126</v>
          </cell>
          <cell r="AA13">
            <v>0.10668406542805126</v>
          </cell>
        </row>
        <row r="15">
          <cell r="A15" t="str">
            <v>Home Central - Manns Rd, Gosford, Bulky goods</v>
          </cell>
          <cell r="B15" t="str">
            <v>x</v>
          </cell>
          <cell r="C15" t="str">
            <v>Home Central - Manns Rd, Gosford, Bulky goods</v>
          </cell>
          <cell r="O15">
            <v>2.6895999999999995</v>
          </cell>
          <cell r="P15">
            <v>2.7568399999999995</v>
          </cell>
          <cell r="Q15" t="str">
            <v>Sold</v>
          </cell>
          <cell r="R15">
            <v>2.8964050249999986</v>
          </cell>
          <cell r="S15">
            <v>2.9688151506249985</v>
          </cell>
          <cell r="T15">
            <v>3.0430355293906231</v>
          </cell>
          <cell r="V15">
            <v>2.4632999999999998</v>
          </cell>
          <cell r="W15">
            <v>2.4632999999999998</v>
          </cell>
          <cell r="X15">
            <v>-0.22629999999999972</v>
          </cell>
          <cell r="Z15">
            <v>5.9813906316441609E-2</v>
          </cell>
          <cell r="AA15">
            <v>5.9813906316441609E-2</v>
          </cell>
        </row>
        <row r="16">
          <cell r="A16" t="str">
            <v>Home Central - Bankstown</v>
          </cell>
          <cell r="B16" t="str">
            <v>x</v>
          </cell>
          <cell r="C16" t="str">
            <v>Home Central - Bankstown</v>
          </cell>
          <cell r="O16">
            <v>0.72850000000000004</v>
          </cell>
          <cell r="P16">
            <v>2.9140000000000001</v>
          </cell>
          <cell r="Q16">
            <v>2.98685</v>
          </cell>
          <cell r="R16">
            <v>3.0615212499999997</v>
          </cell>
          <cell r="S16">
            <v>3.1380592812499994</v>
          </cell>
          <cell r="T16">
            <v>3.2165107632812493</v>
          </cell>
          <cell r="U16">
            <v>3.2969235323632802</v>
          </cell>
          <cell r="V16">
            <v>0.6653</v>
          </cell>
          <cell r="W16">
            <v>-6.3200000000000034E-2</v>
          </cell>
          <cell r="X16">
            <v>-6.3200000000000034E-2</v>
          </cell>
          <cell r="Z16">
            <v>6.3223735510987547E-2</v>
          </cell>
          <cell r="AA16">
            <v>6.3223735510987547E-2</v>
          </cell>
          <cell r="AC16" t="str">
            <v>=37.6*7.75%</v>
          </cell>
          <cell r="AD16" t="str">
            <v>=37.6*7.75%</v>
          </cell>
        </row>
        <row r="17">
          <cell r="A17" t="str">
            <v>Home Central - Kawana</v>
          </cell>
          <cell r="C17" t="str">
            <v>Home Central - Kawana</v>
          </cell>
          <cell r="Q17">
            <v>6.3971599999999995</v>
          </cell>
          <cell r="R17">
            <v>6.5570889999999986</v>
          </cell>
          <cell r="S17">
            <v>6.7210162249999978</v>
          </cell>
          <cell r="T17">
            <v>6.8890416306249973</v>
          </cell>
          <cell r="U17">
            <v>7.0612676713906213</v>
          </cell>
          <cell r="V17">
            <v>0.42709999999999998</v>
          </cell>
          <cell r="W17">
            <v>0.42709999999999998</v>
          </cell>
          <cell r="X17">
            <v>0.42709999999999998</v>
          </cell>
          <cell r="Z17">
            <v>0</v>
          </cell>
          <cell r="AA17">
            <v>0</v>
          </cell>
          <cell r="AD17" t="str">
            <v>=86.8*7.37%</v>
          </cell>
          <cell r="AE17" t="str">
            <v>=86.8*7.37%</v>
          </cell>
        </row>
        <row r="25">
          <cell r="A25" t="str">
            <v>Net Property Income</v>
          </cell>
          <cell r="C25" t="str">
            <v>Total net property Income</v>
          </cell>
          <cell r="M25">
            <v>22.25576018468108</v>
          </cell>
          <cell r="N25">
            <v>22.497191011659751</v>
          </cell>
          <cell r="O25">
            <v>34.624690675994295</v>
          </cell>
          <cell r="P25">
            <v>46.090285182430911</v>
          </cell>
          <cell r="Q25">
            <v>53.459288348049235</v>
          </cell>
          <cell r="R25">
            <v>54.671066254210643</v>
          </cell>
          <cell r="S25">
            <v>56.208192339263206</v>
          </cell>
          <cell r="T25">
            <v>55.182615657447464</v>
          </cell>
          <cell r="V25">
            <v>32.79310000000001</v>
          </cell>
          <cell r="W25">
            <v>-1.6555906759943033</v>
          </cell>
          <cell r="Z25">
            <v>6.8390639593082447E-2</v>
          </cell>
          <cell r="AH25">
            <v>38</v>
          </cell>
        </row>
      </sheetData>
      <sheetData sheetId="8" refreshError="1">
        <row r="90">
          <cell r="A90" t="str">
            <v>P&amp;LIntExp</v>
          </cell>
          <cell r="C90" t="str">
            <v>Item</v>
          </cell>
          <cell r="L90">
            <v>5.8782772810301953</v>
          </cell>
          <cell r="O90">
            <v>5.8767945193409616</v>
          </cell>
          <cell r="R90">
            <v>10.557165657621299</v>
          </cell>
          <cell r="U90">
            <v>39082</v>
          </cell>
          <cell r="W90">
            <v>411.12876360944966</v>
          </cell>
          <cell r="X90">
            <v>0</v>
          </cell>
          <cell r="AA90">
            <v>25.997935577897181</v>
          </cell>
          <cell r="AD90">
            <v>26.254793576572606</v>
          </cell>
          <cell r="AG90">
            <v>26.254793576572606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>
        <row r="10">
          <cell r="A10" t="str">
            <v>Re-valuation Reserve</v>
          </cell>
          <cell r="C10" t="str">
            <v>Re-valuation Reserve</v>
          </cell>
          <cell r="N10">
            <v>8.4584600000000005</v>
          </cell>
          <cell r="O10">
            <v>14.208</v>
          </cell>
          <cell r="P10">
            <v>29.411999999999999</v>
          </cell>
          <cell r="Q10">
            <v>44.873129194767216</v>
          </cell>
          <cell r="R10">
            <v>60.595818711612417</v>
          </cell>
          <cell r="S10">
            <v>76.586607558587545</v>
          </cell>
          <cell r="T10">
            <v>15</v>
          </cell>
        </row>
        <row r="20">
          <cell r="A20" t="str">
            <v>Goodwill</v>
          </cell>
          <cell r="C20" t="str">
            <v>Goodwill</v>
          </cell>
          <cell r="J20">
            <v>35.6</v>
          </cell>
          <cell r="K20">
            <v>35.6</v>
          </cell>
          <cell r="L20">
            <v>30.587</v>
          </cell>
          <cell r="M20">
            <v>58.7</v>
          </cell>
          <cell r="N20">
            <v>54</v>
          </cell>
          <cell r="O20">
            <v>54</v>
          </cell>
          <cell r="P20">
            <v>54</v>
          </cell>
          <cell r="Q20">
            <v>54</v>
          </cell>
          <cell r="R20">
            <v>54</v>
          </cell>
          <cell r="S20">
            <v>54</v>
          </cell>
          <cell r="T20">
            <v>3</v>
          </cell>
        </row>
        <row r="23">
          <cell r="A23" t="str">
            <v>Investments in managed funds</v>
          </cell>
          <cell r="C23" t="str">
            <v>Investments in managed funds</v>
          </cell>
          <cell r="J23">
            <v>4</v>
          </cell>
          <cell r="K23">
            <v>30</v>
          </cell>
          <cell r="L23">
            <v>16.696999999999999</v>
          </cell>
          <cell r="M23">
            <v>32.027000000000001</v>
          </cell>
          <cell r="N23">
            <v>26.071999999999999</v>
          </cell>
          <cell r="O23">
            <v>137</v>
          </cell>
          <cell r="P23">
            <v>137</v>
          </cell>
          <cell r="Q23">
            <v>137</v>
          </cell>
          <cell r="R23">
            <v>137</v>
          </cell>
          <cell r="S23">
            <v>137</v>
          </cell>
          <cell r="T23">
            <v>3</v>
          </cell>
        </row>
        <row r="34">
          <cell r="A34" t="str">
            <v>Liabilities</v>
          </cell>
          <cell r="C34" t="str">
            <v>Total Liabilities</v>
          </cell>
          <cell r="J34">
            <v>84.712000000000003</v>
          </cell>
          <cell r="K34">
            <v>116.173</v>
          </cell>
          <cell r="L34">
            <v>137.60499999999999</v>
          </cell>
          <cell r="M34">
            <v>158.60400000000001</v>
          </cell>
          <cell r="N34">
            <v>458.80600000000004</v>
          </cell>
          <cell r="O34">
            <v>626.75602698024511</v>
          </cell>
          <cell r="P34">
            <v>625.62707507716777</v>
          </cell>
          <cell r="Q34">
            <v>624.63125485133287</v>
          </cell>
          <cell r="R34">
            <v>623.46848357758029</v>
          </cell>
          <cell r="S34">
            <v>622.64455934494504</v>
          </cell>
        </row>
        <row r="42">
          <cell r="A42" t="str">
            <v>soi</v>
          </cell>
          <cell r="C42" t="str">
            <v>Year End Units On Issue</v>
          </cell>
          <cell r="K42">
            <v>245.6</v>
          </cell>
          <cell r="L42">
            <v>255.755</v>
          </cell>
          <cell r="M42">
            <v>483.69200000000001</v>
          </cell>
          <cell r="N42">
            <v>551.49262699999997</v>
          </cell>
          <cell r="O42">
            <v>619.19262700000002</v>
          </cell>
          <cell r="P42">
            <v>619.19262700000002</v>
          </cell>
          <cell r="Q42">
            <v>619.19262700000002</v>
          </cell>
          <cell r="R42">
            <v>619.19262700000002</v>
          </cell>
          <cell r="S42">
            <v>619.19262700000002</v>
          </cell>
        </row>
      </sheetData>
      <sheetData sheetId="18" refreshError="1"/>
      <sheetData sheetId="19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umptions"/>
      <sheetName val="DDS"/>
      <sheetName val="Specs"/>
      <sheetName val="Type"/>
      <sheetName val="State"/>
      <sheetName val="Supermarkets"/>
      <sheetName val="DS"/>
      <sheetName val="Overview"/>
      <sheetName val="Summary"/>
      <sheetName val="Database"/>
      <sheetName val="InfoTemplate"/>
      <sheetName val="Centres"/>
      <sheetName val="ADP"/>
      <sheetName val="APF"/>
      <sheetName val="BTP"/>
      <sheetName val="GPT"/>
      <sheetName val="MGR"/>
      <sheetName val="NMP"/>
      <sheetName val="SGP"/>
      <sheetName val="WFT"/>
      <sheetName val="PRX"/>
      <sheetName val="SNP"/>
      <sheetName val="GAN"/>
      <sheetName val="MCW"/>
      <sheetName val="CEP"/>
      <sheetName val="AJR"/>
      <sheetName val="ARTCA"/>
      <sheetName val="CMF"/>
      <sheetName val="retail"/>
      <sheetName val="GANCF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 refreshError="1">
        <row r="43">
          <cell r="B43" t="str">
            <v>Mornington_cep</v>
          </cell>
          <cell r="C43">
            <v>0</v>
          </cell>
          <cell r="D43">
            <v>1</v>
          </cell>
          <cell r="E43" t="str">
            <v>Sub Regional</v>
          </cell>
          <cell r="F43" t="str">
            <v>NSW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5.5</v>
          </cell>
          <cell r="M43">
            <v>0</v>
          </cell>
          <cell r="N43">
            <v>5.5</v>
          </cell>
          <cell r="O43">
            <v>0</v>
          </cell>
          <cell r="P43">
            <v>0</v>
          </cell>
          <cell r="Q43">
            <v>0</v>
          </cell>
          <cell r="R43">
            <v>3</v>
          </cell>
          <cell r="S43">
            <v>3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1.5</v>
          </cell>
          <cell r="AD43">
            <v>0</v>
          </cell>
          <cell r="AE43">
            <v>0</v>
          </cell>
          <cell r="AF43">
            <v>0.15</v>
          </cell>
          <cell r="AG43">
            <v>0</v>
          </cell>
          <cell r="AH43">
            <v>0.55000000000000004</v>
          </cell>
          <cell r="AI43">
            <v>0.3</v>
          </cell>
          <cell r="AJ43">
            <v>0</v>
          </cell>
          <cell r="AK43">
            <v>0</v>
          </cell>
          <cell r="AN43">
            <v>8.5</v>
          </cell>
          <cell r="AO43">
            <v>10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5.5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3</v>
          </cell>
          <cell r="BP43">
            <v>0</v>
          </cell>
          <cell r="BQ43">
            <v>0</v>
          </cell>
          <cell r="BR43">
            <v>0</v>
          </cell>
          <cell r="BS43">
            <v>0</v>
          </cell>
          <cell r="BT43">
            <v>0</v>
          </cell>
          <cell r="BU43">
            <v>0</v>
          </cell>
          <cell r="BV43">
            <v>0</v>
          </cell>
          <cell r="BW43">
            <v>1.5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  <cell r="CH43">
            <v>0</v>
          </cell>
          <cell r="CI43">
            <v>0</v>
          </cell>
          <cell r="CJ43">
            <v>0</v>
          </cell>
          <cell r="CK43">
            <v>0</v>
          </cell>
          <cell r="CL43">
            <v>0</v>
          </cell>
          <cell r="CM43">
            <v>10</v>
          </cell>
          <cell r="CN43">
            <v>0</v>
          </cell>
          <cell r="CO43">
            <v>0</v>
          </cell>
          <cell r="CP43">
            <v>0</v>
          </cell>
          <cell r="CQ43">
            <v>0</v>
          </cell>
          <cell r="CR43">
            <v>0</v>
          </cell>
          <cell r="CS43">
            <v>0</v>
          </cell>
          <cell r="CV43">
            <v>0</v>
          </cell>
          <cell r="CW43">
            <v>0</v>
          </cell>
          <cell r="CX43">
            <v>0</v>
          </cell>
          <cell r="CY43">
            <v>10</v>
          </cell>
          <cell r="CZ43">
            <v>0</v>
          </cell>
          <cell r="DA43">
            <v>0</v>
          </cell>
          <cell r="DD43">
            <v>3.2500000000000001E-2</v>
          </cell>
          <cell r="DE43">
            <v>4.3480818425022362E-2</v>
          </cell>
          <cell r="DF43">
            <v>5.1403596897279767E-2</v>
          </cell>
          <cell r="DG43">
            <v>3.7359447002183042E-2</v>
          </cell>
          <cell r="DH43">
            <v>3.1271739930554508E-2</v>
          </cell>
          <cell r="DI43">
            <v>2.7488046269090145E-2</v>
          </cell>
          <cell r="DJ43">
            <v>2.6109836658996539E-2</v>
          </cell>
          <cell r="DK43">
            <v>2.5909759691511065E-2</v>
          </cell>
          <cell r="DL43">
            <v>2.7890043747624566E-2</v>
          </cell>
          <cell r="DM43">
            <v>3.29689556677197E-2</v>
          </cell>
          <cell r="DN43">
            <v>3.3977733484579185E-2</v>
          </cell>
          <cell r="DQ43">
            <v>0</v>
          </cell>
          <cell r="DR43">
            <v>0</v>
          </cell>
          <cell r="DS43">
            <v>0</v>
          </cell>
          <cell r="DT43">
            <v>0</v>
          </cell>
          <cell r="DU43">
            <v>0</v>
          </cell>
          <cell r="DV43">
            <v>0</v>
          </cell>
          <cell r="DW43">
            <v>0</v>
          </cell>
          <cell r="DX43">
            <v>0</v>
          </cell>
          <cell r="DY43">
            <v>0</v>
          </cell>
          <cell r="DZ43">
            <v>0</v>
          </cell>
          <cell r="EA43">
            <v>0</v>
          </cell>
          <cell r="ED43">
            <v>8.2500000000000004E-3</v>
          </cell>
          <cell r="EE43">
            <v>-2.7500000000000003E-3</v>
          </cell>
          <cell r="EF43">
            <v>5.5000000000000005E-3</v>
          </cell>
          <cell r="EG43">
            <v>1.925E-2</v>
          </cell>
          <cell r="EH43">
            <v>1.925E-2</v>
          </cell>
          <cell r="EI43">
            <v>1.925E-2</v>
          </cell>
          <cell r="EJ43">
            <v>1.3750000000000002E-2</v>
          </cell>
          <cell r="EK43">
            <v>1.3750000000000002E-2</v>
          </cell>
          <cell r="EL43">
            <v>1.3750000000000002E-2</v>
          </cell>
          <cell r="EM43">
            <v>1.3750000000000002E-2</v>
          </cell>
          <cell r="EN43">
            <v>1.3750000000000002E-2</v>
          </cell>
          <cell r="EQ43">
            <v>1.2858207601391159E-2</v>
          </cell>
          <cell r="ER43">
            <v>1.2E-2</v>
          </cell>
          <cell r="ES43">
            <v>1.3500000000000002E-2</v>
          </cell>
          <cell r="ET43">
            <v>1.35E-2</v>
          </cell>
          <cell r="EU43">
            <v>1.35E-2</v>
          </cell>
          <cell r="EV43">
            <v>1.35E-2</v>
          </cell>
          <cell r="EW43">
            <v>1.35E-2</v>
          </cell>
          <cell r="EX43">
            <v>1.35E-2</v>
          </cell>
          <cell r="EY43">
            <v>1.35E-2</v>
          </cell>
          <cell r="EZ43">
            <v>1.35E-2</v>
          </cell>
          <cell r="FA43">
            <v>1.35E-2</v>
          </cell>
          <cell r="FD43">
            <v>0</v>
          </cell>
          <cell r="FE43">
            <v>0</v>
          </cell>
          <cell r="FF43">
            <v>0</v>
          </cell>
          <cell r="FG43">
            <v>0</v>
          </cell>
          <cell r="FH43">
            <v>0</v>
          </cell>
          <cell r="FI43">
            <v>0</v>
          </cell>
          <cell r="FJ43">
            <v>0</v>
          </cell>
          <cell r="FK43">
            <v>0</v>
          </cell>
          <cell r="FL43">
            <v>0</v>
          </cell>
          <cell r="FM43">
            <v>0</v>
          </cell>
          <cell r="FN43">
            <v>0</v>
          </cell>
          <cell r="FQ43">
            <v>2.1108207601391159E-2</v>
          </cell>
          <cell r="FR43">
            <v>9.2499999999999995E-3</v>
          </cell>
          <cell r="FS43">
            <v>1.9000000000000003E-2</v>
          </cell>
          <cell r="FT43">
            <v>3.2750000000000001E-2</v>
          </cell>
          <cell r="FU43">
            <v>3.2750000000000001E-2</v>
          </cell>
          <cell r="FV43">
            <v>3.2750000000000001E-2</v>
          </cell>
          <cell r="FW43">
            <v>2.7250000000000003E-2</v>
          </cell>
          <cell r="FX43">
            <v>2.7250000000000003E-2</v>
          </cell>
          <cell r="FY43">
            <v>2.7250000000000003E-2</v>
          </cell>
          <cell r="FZ43">
            <v>2.7250000000000003E-2</v>
          </cell>
          <cell r="GA43">
            <v>2.7250000000000003E-2</v>
          </cell>
          <cell r="GD43">
            <v>2.7943283040556464E-2</v>
          </cell>
          <cell r="GE43">
            <v>2.9788491055013418E-2</v>
          </cell>
          <cell r="GF43">
            <v>3.8442158138367863E-2</v>
          </cell>
          <cell r="GG43">
            <v>3.551566820130983E-2</v>
          </cell>
          <cell r="GH43">
            <v>3.1863043958332705E-2</v>
          </cell>
          <cell r="GI43">
            <v>2.9592827761454086E-2</v>
          </cell>
          <cell r="GJ43">
            <v>2.6565901995397927E-2</v>
          </cell>
          <cell r="GK43">
            <v>2.6445855814906639E-2</v>
          </cell>
          <cell r="GL43">
            <v>2.7634026248574743E-2</v>
          </cell>
          <cell r="GM43">
            <v>3.0681373400631824E-2</v>
          </cell>
          <cell r="GN43">
            <v>3.1286640090747511E-2</v>
          </cell>
        </row>
        <row r="44">
          <cell r="B44" t="str">
            <v>BoxHill</v>
          </cell>
          <cell r="C44">
            <v>0</v>
          </cell>
          <cell r="D44">
            <v>1</v>
          </cell>
          <cell r="E44" t="str">
            <v>Sub Regional</v>
          </cell>
          <cell r="F44" t="str">
            <v>NSW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6</v>
          </cell>
          <cell r="M44">
            <v>0</v>
          </cell>
          <cell r="N44">
            <v>6</v>
          </cell>
          <cell r="O44">
            <v>0</v>
          </cell>
          <cell r="P44">
            <v>0</v>
          </cell>
          <cell r="Q44">
            <v>0</v>
          </cell>
          <cell r="R44">
            <v>3.9</v>
          </cell>
          <cell r="S44">
            <v>0</v>
          </cell>
          <cell r="T44">
            <v>3.9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14.49</v>
          </cell>
          <cell r="AD44">
            <v>0</v>
          </cell>
          <cell r="AE44">
            <v>0</v>
          </cell>
          <cell r="AF44">
            <v>0.59409594095940954</v>
          </cell>
          <cell r="AG44">
            <v>0</v>
          </cell>
          <cell r="AH44">
            <v>0.24600246002460024</v>
          </cell>
          <cell r="AI44">
            <v>0.15990159901599016</v>
          </cell>
          <cell r="AJ44">
            <v>0</v>
          </cell>
          <cell r="AK44">
            <v>0</v>
          </cell>
          <cell r="AN44">
            <v>9.9</v>
          </cell>
          <cell r="AO44">
            <v>24.39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6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3.9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14.49</v>
          </cell>
          <cell r="BX44">
            <v>0</v>
          </cell>
          <cell r="BY44">
            <v>0</v>
          </cell>
          <cell r="BZ44">
            <v>0</v>
          </cell>
          <cell r="CA44">
            <v>0</v>
          </cell>
          <cell r="CB44">
            <v>0</v>
          </cell>
          <cell r="CC44">
            <v>0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H44">
            <v>0</v>
          </cell>
          <cell r="CI44">
            <v>0</v>
          </cell>
          <cell r="CJ44">
            <v>0</v>
          </cell>
          <cell r="CK44">
            <v>0</v>
          </cell>
          <cell r="CL44">
            <v>0</v>
          </cell>
          <cell r="CM44">
            <v>24.39</v>
          </cell>
          <cell r="CN44">
            <v>0</v>
          </cell>
          <cell r="CO44">
            <v>0</v>
          </cell>
          <cell r="CP44">
            <v>0</v>
          </cell>
          <cell r="CQ44">
            <v>0</v>
          </cell>
          <cell r="CR44">
            <v>0</v>
          </cell>
          <cell r="CS44">
            <v>0</v>
          </cell>
          <cell r="CV44">
            <v>0</v>
          </cell>
          <cell r="CW44">
            <v>0</v>
          </cell>
          <cell r="CX44">
            <v>0</v>
          </cell>
          <cell r="CY44">
            <v>24.39</v>
          </cell>
          <cell r="CZ44">
            <v>0</v>
          </cell>
          <cell r="DA44">
            <v>0</v>
          </cell>
          <cell r="DD44">
            <v>3.2500000000000001E-2</v>
          </cell>
          <cell r="DE44">
            <v>4.3480818425022362E-2</v>
          </cell>
          <cell r="DF44">
            <v>5.1403596897279767E-2</v>
          </cell>
          <cell r="DG44">
            <v>3.7359447002183042E-2</v>
          </cell>
          <cell r="DH44">
            <v>3.1271739930554508E-2</v>
          </cell>
          <cell r="DI44">
            <v>2.7488046269090145E-2</v>
          </cell>
          <cell r="DJ44">
            <v>2.6109836658996539E-2</v>
          </cell>
          <cell r="DK44">
            <v>2.5909759691511065E-2</v>
          </cell>
          <cell r="DL44">
            <v>2.7890043747624566E-2</v>
          </cell>
          <cell r="DM44">
            <v>3.29689556677197E-2</v>
          </cell>
          <cell r="DN44">
            <v>3.3977733484579185E-2</v>
          </cell>
          <cell r="DQ44">
            <v>0</v>
          </cell>
          <cell r="DR44">
            <v>0</v>
          </cell>
          <cell r="DS44">
            <v>0</v>
          </cell>
          <cell r="DT44">
            <v>0</v>
          </cell>
          <cell r="DU44">
            <v>0</v>
          </cell>
          <cell r="DV44">
            <v>0</v>
          </cell>
          <cell r="DW44">
            <v>0</v>
          </cell>
          <cell r="DX44">
            <v>0</v>
          </cell>
          <cell r="DY44">
            <v>0</v>
          </cell>
          <cell r="DZ44">
            <v>0</v>
          </cell>
          <cell r="EA44">
            <v>0</v>
          </cell>
          <cell r="ED44">
            <v>3.6900369003690036E-3</v>
          </cell>
          <cell r="EE44">
            <v>-1.2300123001230013E-3</v>
          </cell>
          <cell r="EF44">
            <v>2.4600246002460025E-3</v>
          </cell>
          <cell r="EG44">
            <v>8.6100861008610082E-3</v>
          </cell>
          <cell r="EH44">
            <v>8.6100861008610082E-3</v>
          </cell>
          <cell r="EI44">
            <v>8.6100861008610082E-3</v>
          </cell>
          <cell r="EJ44">
            <v>6.1500615006150061E-3</v>
          </cell>
          <cell r="EK44">
            <v>6.1500615006150061E-3</v>
          </cell>
          <cell r="EL44">
            <v>6.1500615006150061E-3</v>
          </cell>
          <cell r="EM44">
            <v>6.1500615006150061E-3</v>
          </cell>
          <cell r="EN44">
            <v>6.1500615006150061E-3</v>
          </cell>
          <cell r="EQ44">
            <v>6.8534931864733528E-3</v>
          </cell>
          <cell r="ER44">
            <v>6.3960639606396065E-3</v>
          </cell>
          <cell r="ES44">
            <v>7.1955719557195577E-3</v>
          </cell>
          <cell r="ET44">
            <v>7.1955719557195569E-3</v>
          </cell>
          <cell r="EU44">
            <v>7.1955719557195569E-3</v>
          </cell>
          <cell r="EV44">
            <v>7.1955719557195569E-3</v>
          </cell>
          <cell r="EW44">
            <v>7.1955719557195569E-3</v>
          </cell>
          <cell r="EX44">
            <v>7.1955719557195569E-3</v>
          </cell>
          <cell r="EY44">
            <v>7.1955719557195569E-3</v>
          </cell>
          <cell r="EZ44">
            <v>7.1955719557195569E-3</v>
          </cell>
          <cell r="FA44">
            <v>7.1955719557195569E-3</v>
          </cell>
          <cell r="FD44">
            <v>0</v>
          </cell>
          <cell r="FE44">
            <v>0</v>
          </cell>
          <cell r="FF44">
            <v>0</v>
          </cell>
          <cell r="FG44">
            <v>0</v>
          </cell>
          <cell r="FH44">
            <v>0</v>
          </cell>
          <cell r="FI44">
            <v>0</v>
          </cell>
          <cell r="FJ44">
            <v>0</v>
          </cell>
          <cell r="FK44">
            <v>0</v>
          </cell>
          <cell r="FL44">
            <v>0</v>
          </cell>
          <cell r="FM44">
            <v>0</v>
          </cell>
          <cell r="FN44">
            <v>0</v>
          </cell>
          <cell r="FQ44">
            <v>1.0543530086842357E-2</v>
          </cell>
          <cell r="FR44">
            <v>5.1660516605166054E-3</v>
          </cell>
          <cell r="FS44">
            <v>9.6555965559655607E-3</v>
          </cell>
          <cell r="FT44">
            <v>1.5805658056580567E-2</v>
          </cell>
          <cell r="FU44">
            <v>1.5805658056580567E-2</v>
          </cell>
          <cell r="FV44">
            <v>1.5805658056580567E-2</v>
          </cell>
          <cell r="FW44">
            <v>1.3345633456334563E-2</v>
          </cell>
          <cell r="FX44">
            <v>1.3345633456334563E-2</v>
          </cell>
          <cell r="FY44">
            <v>1.3345633456334563E-2</v>
          </cell>
          <cell r="FZ44">
            <v>1.3345633456334563E-2</v>
          </cell>
          <cell r="GA44">
            <v>1.3345633456334563E-2</v>
          </cell>
          <cell r="GD44">
            <v>2.3717412034736943E-2</v>
          </cell>
          <cell r="GE44">
            <v>2.8154911719220056E-2</v>
          </cell>
          <cell r="GF44">
            <v>3.4704396760754083E-2</v>
          </cell>
          <cell r="GG44">
            <v>2.8737931423942053E-2</v>
          </cell>
          <cell r="GH44">
            <v>2.5085307180964932E-2</v>
          </cell>
          <cell r="GI44">
            <v>2.2815090984086312E-2</v>
          </cell>
          <cell r="GJ44">
            <v>2.1004155377931748E-2</v>
          </cell>
          <cell r="GK44">
            <v>2.0884109197440465E-2</v>
          </cell>
          <cell r="GL44">
            <v>2.2072279631108565E-2</v>
          </cell>
          <cell r="GM44">
            <v>2.5119626783165646E-2</v>
          </cell>
          <cell r="GN44">
            <v>2.5724893473281336E-2</v>
          </cell>
        </row>
        <row r="45">
          <cell r="B45" t="str">
            <v>Taigum</v>
          </cell>
          <cell r="C45">
            <v>0</v>
          </cell>
          <cell r="D45">
            <v>1</v>
          </cell>
          <cell r="E45" t="str">
            <v>Sub Regional</v>
          </cell>
          <cell r="F45" t="str">
            <v>QLD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8</v>
          </cell>
          <cell r="M45">
            <v>0</v>
          </cell>
          <cell r="N45">
            <v>0</v>
          </cell>
          <cell r="O45">
            <v>8</v>
          </cell>
          <cell r="P45">
            <v>0</v>
          </cell>
          <cell r="Q45">
            <v>0</v>
          </cell>
          <cell r="R45">
            <v>4.165</v>
          </cell>
          <cell r="S45">
            <v>0</v>
          </cell>
          <cell r="T45">
            <v>4.165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9.8350000000000009</v>
          </cell>
          <cell r="AD45">
            <v>0</v>
          </cell>
          <cell r="AE45">
            <v>0</v>
          </cell>
          <cell r="AF45">
            <v>0.44704545454545458</v>
          </cell>
          <cell r="AG45">
            <v>0</v>
          </cell>
          <cell r="AH45">
            <v>0.36363636363636365</v>
          </cell>
          <cell r="AI45">
            <v>0.18931818181818183</v>
          </cell>
          <cell r="AJ45">
            <v>0</v>
          </cell>
          <cell r="AK45">
            <v>0</v>
          </cell>
          <cell r="AN45">
            <v>12.164999999999999</v>
          </cell>
          <cell r="AO45">
            <v>22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8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BR45">
            <v>0</v>
          </cell>
          <cell r="BS45">
            <v>4.165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9.8350000000000009</v>
          </cell>
          <cell r="CB45">
            <v>0</v>
          </cell>
          <cell r="CC45">
            <v>0</v>
          </cell>
          <cell r="CD45">
            <v>0</v>
          </cell>
          <cell r="CE45">
            <v>0</v>
          </cell>
          <cell r="CF45">
            <v>0</v>
          </cell>
          <cell r="CG45">
            <v>0</v>
          </cell>
          <cell r="CH45">
            <v>0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  <cell r="CM45">
            <v>0</v>
          </cell>
          <cell r="CN45">
            <v>0</v>
          </cell>
          <cell r="CO45">
            <v>0</v>
          </cell>
          <cell r="CP45">
            <v>0</v>
          </cell>
          <cell r="CQ45">
            <v>22</v>
          </cell>
          <cell r="CR45">
            <v>0</v>
          </cell>
          <cell r="CS45">
            <v>0</v>
          </cell>
          <cell r="CV45">
            <v>0</v>
          </cell>
          <cell r="CW45">
            <v>0</v>
          </cell>
          <cell r="CX45">
            <v>0</v>
          </cell>
          <cell r="CY45">
            <v>22</v>
          </cell>
          <cell r="CZ45">
            <v>0</v>
          </cell>
          <cell r="DA45">
            <v>0</v>
          </cell>
          <cell r="DD45">
            <v>3.5000000000000003E-2</v>
          </cell>
          <cell r="DE45">
            <v>3.8480818425022364E-2</v>
          </cell>
          <cell r="DF45">
            <v>4.3903596897279767E-2</v>
          </cell>
          <cell r="DG45">
            <v>3.4859447002183047E-2</v>
          </cell>
          <cell r="DH45">
            <v>2.8771739930554506E-2</v>
          </cell>
          <cell r="DI45">
            <v>2.4988046269090142E-2</v>
          </cell>
          <cell r="DJ45">
            <v>2.3609836658996537E-2</v>
          </cell>
          <cell r="DK45">
            <v>2.3409759691511062E-2</v>
          </cell>
          <cell r="DL45">
            <v>2.5390043747624564E-2</v>
          </cell>
          <cell r="DM45">
            <v>3.0468955667719698E-2</v>
          </cell>
          <cell r="DN45">
            <v>3.1477733484579183E-2</v>
          </cell>
          <cell r="DQ45">
            <v>0</v>
          </cell>
          <cell r="DR45">
            <v>0</v>
          </cell>
          <cell r="DS45">
            <v>0</v>
          </cell>
          <cell r="DT45">
            <v>0</v>
          </cell>
          <cell r="DU45">
            <v>0</v>
          </cell>
          <cell r="DV45">
            <v>0</v>
          </cell>
          <cell r="DW45">
            <v>0</v>
          </cell>
          <cell r="DX45">
            <v>0</v>
          </cell>
          <cell r="DY45">
            <v>0</v>
          </cell>
          <cell r="DZ45">
            <v>0</v>
          </cell>
          <cell r="EA45">
            <v>0</v>
          </cell>
          <cell r="ED45">
            <v>6.3636363636363647E-3</v>
          </cell>
          <cell r="EE45">
            <v>-3.6363636363636364E-3</v>
          </cell>
          <cell r="EF45">
            <v>9.0909090909090909E-4</v>
          </cell>
          <cell r="EG45">
            <v>1.181818181818182E-2</v>
          </cell>
          <cell r="EH45">
            <v>1.181818181818182E-2</v>
          </cell>
          <cell r="EI45">
            <v>1.181818181818182E-2</v>
          </cell>
          <cell r="EJ45">
            <v>8.1818181818181825E-3</v>
          </cell>
          <cell r="EK45">
            <v>8.1818181818181825E-3</v>
          </cell>
          <cell r="EL45">
            <v>8.1818181818181825E-3</v>
          </cell>
          <cell r="EM45">
            <v>8.1818181818181825E-3</v>
          </cell>
          <cell r="EN45">
            <v>8.1818181818181825E-3</v>
          </cell>
          <cell r="EQ45">
            <v>8.5876037363324526E-3</v>
          </cell>
          <cell r="ER45">
            <v>6.6261363636363644E-3</v>
          </cell>
          <cell r="ES45">
            <v>7.0994318181818198E-3</v>
          </cell>
          <cell r="ET45">
            <v>8.046022727272728E-3</v>
          </cell>
          <cell r="EU45">
            <v>8.046022727272728E-3</v>
          </cell>
          <cell r="EV45">
            <v>8.046022727272728E-3</v>
          </cell>
          <cell r="EW45">
            <v>8.046022727272728E-3</v>
          </cell>
          <cell r="EX45">
            <v>8.046022727272728E-3</v>
          </cell>
          <cell r="EY45">
            <v>8.046022727272728E-3</v>
          </cell>
          <cell r="EZ45">
            <v>8.046022727272728E-3</v>
          </cell>
          <cell r="FA45">
            <v>8.046022727272728E-3</v>
          </cell>
          <cell r="FD45">
            <v>0</v>
          </cell>
          <cell r="FE45">
            <v>0</v>
          </cell>
          <cell r="FF45">
            <v>0</v>
          </cell>
          <cell r="FG45">
            <v>0</v>
          </cell>
          <cell r="FH45">
            <v>0</v>
          </cell>
          <cell r="FI45">
            <v>0</v>
          </cell>
          <cell r="FJ45">
            <v>0</v>
          </cell>
          <cell r="FK45">
            <v>0</v>
          </cell>
          <cell r="FL45">
            <v>0</v>
          </cell>
          <cell r="FM45">
            <v>0</v>
          </cell>
          <cell r="FN45">
            <v>0</v>
          </cell>
          <cell r="FQ45">
            <v>1.4951240099968817E-2</v>
          </cell>
          <cell r="FR45">
            <v>2.9897727272727281E-3</v>
          </cell>
          <cell r="FS45">
            <v>8.0085227272727287E-3</v>
          </cell>
          <cell r="FT45">
            <v>1.9864204545454546E-2</v>
          </cell>
          <cell r="FU45">
            <v>1.9864204545454546E-2</v>
          </cell>
          <cell r="FV45">
            <v>1.9864204545454546E-2</v>
          </cell>
          <cell r="FW45">
            <v>1.6227840909090911E-2</v>
          </cell>
          <cell r="FX45">
            <v>1.6227840909090911E-2</v>
          </cell>
          <cell r="FY45">
            <v>1.6227840909090911E-2</v>
          </cell>
          <cell r="FZ45">
            <v>1.6227840909090911E-2</v>
          </cell>
          <cell r="GA45">
            <v>1.6227840909090911E-2</v>
          </cell>
          <cell r="GD45">
            <v>2.6980496039987527E-2</v>
          </cell>
          <cell r="GE45">
            <v>2.4284400145922508E-2</v>
          </cell>
          <cell r="GF45">
            <v>2.9545567229276953E-2</v>
          </cell>
          <cell r="GG45">
            <v>2.8861350019491645E-2</v>
          </cell>
          <cell r="GH45">
            <v>2.5208725776514521E-2</v>
          </cell>
          <cell r="GI45">
            <v>2.2938509579635905E-2</v>
          </cell>
          <cell r="GJ45">
            <v>2.0657038359034288E-2</v>
          </cell>
          <cell r="GK45">
            <v>2.0536992178543E-2</v>
          </cell>
          <cell r="GL45">
            <v>2.1725162612211104E-2</v>
          </cell>
          <cell r="GM45">
            <v>2.4772509764268185E-2</v>
          </cell>
          <cell r="GN45">
            <v>2.5377776454383875E-2</v>
          </cell>
        </row>
        <row r="46">
          <cell r="B46" t="str">
            <v>Lutwyche</v>
          </cell>
          <cell r="C46">
            <v>0</v>
          </cell>
          <cell r="D46">
            <v>1</v>
          </cell>
          <cell r="E46" t="str">
            <v>Sub Regional</v>
          </cell>
          <cell r="F46" t="str">
            <v>QLD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6</v>
          </cell>
          <cell r="S46">
            <v>4</v>
          </cell>
          <cell r="T46">
            <v>0</v>
          </cell>
          <cell r="U46">
            <v>0</v>
          </cell>
          <cell r="V46">
            <v>2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11.535</v>
          </cell>
          <cell r="AD46">
            <v>0</v>
          </cell>
          <cell r="AE46">
            <v>0</v>
          </cell>
          <cell r="AF46">
            <v>0.65782720273738238</v>
          </cell>
          <cell r="AG46">
            <v>0</v>
          </cell>
          <cell r="AH46">
            <v>0</v>
          </cell>
          <cell r="AI46">
            <v>0.34217279726261762</v>
          </cell>
          <cell r="AJ46">
            <v>0</v>
          </cell>
          <cell r="AK46">
            <v>0</v>
          </cell>
          <cell r="AN46">
            <v>6</v>
          </cell>
          <cell r="AO46">
            <v>17.535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0</v>
          </cell>
          <cell r="BQ46">
            <v>0</v>
          </cell>
          <cell r="BR46">
            <v>0</v>
          </cell>
          <cell r="BS46">
            <v>6</v>
          </cell>
          <cell r="BT46">
            <v>0</v>
          </cell>
          <cell r="BU46">
            <v>0</v>
          </cell>
          <cell r="BV46">
            <v>0</v>
          </cell>
          <cell r="BW46">
            <v>0</v>
          </cell>
          <cell r="BX46">
            <v>0</v>
          </cell>
          <cell r="BY46">
            <v>0</v>
          </cell>
          <cell r="BZ46">
            <v>0</v>
          </cell>
          <cell r="CA46">
            <v>11.535</v>
          </cell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H46">
            <v>0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N46">
            <v>0</v>
          </cell>
          <cell r="CO46">
            <v>0</v>
          </cell>
          <cell r="CP46">
            <v>0</v>
          </cell>
          <cell r="CQ46">
            <v>17.535</v>
          </cell>
          <cell r="CR46">
            <v>0</v>
          </cell>
          <cell r="CS46">
            <v>0</v>
          </cell>
          <cell r="CV46">
            <v>0</v>
          </cell>
          <cell r="CW46">
            <v>0</v>
          </cell>
          <cell r="CX46">
            <v>0</v>
          </cell>
          <cell r="CY46">
            <v>17.535</v>
          </cell>
          <cell r="CZ46">
            <v>0</v>
          </cell>
          <cell r="DA46">
            <v>0</v>
          </cell>
          <cell r="DD46">
            <v>3.5000000000000003E-2</v>
          </cell>
          <cell r="DE46">
            <v>3.8480818425022364E-2</v>
          </cell>
          <cell r="DF46">
            <v>4.3903596897279767E-2</v>
          </cell>
          <cell r="DG46">
            <v>3.4859447002183047E-2</v>
          </cell>
          <cell r="DH46">
            <v>2.8771739930554506E-2</v>
          </cell>
          <cell r="DI46">
            <v>2.4988046269090142E-2</v>
          </cell>
          <cell r="DJ46">
            <v>2.3609836658996537E-2</v>
          </cell>
          <cell r="DK46">
            <v>2.3409759691511062E-2</v>
          </cell>
          <cell r="DL46">
            <v>2.5390043747624564E-2</v>
          </cell>
          <cell r="DM46">
            <v>3.0468955667719698E-2</v>
          </cell>
          <cell r="DN46">
            <v>3.1477733484579183E-2</v>
          </cell>
          <cell r="DQ46">
            <v>0</v>
          </cell>
          <cell r="DR46">
            <v>0</v>
          </cell>
          <cell r="DS46">
            <v>0</v>
          </cell>
          <cell r="DT46">
            <v>0</v>
          </cell>
          <cell r="DU46">
            <v>0</v>
          </cell>
          <cell r="DV46">
            <v>0</v>
          </cell>
          <cell r="DW46">
            <v>0</v>
          </cell>
          <cell r="DX46">
            <v>0</v>
          </cell>
          <cell r="DY46">
            <v>0</v>
          </cell>
          <cell r="DZ46">
            <v>0</v>
          </cell>
          <cell r="EA46">
            <v>0</v>
          </cell>
          <cell r="ED46">
            <v>0</v>
          </cell>
          <cell r="EE46">
            <v>0</v>
          </cell>
          <cell r="EF46">
            <v>0</v>
          </cell>
          <cell r="EG46">
            <v>0</v>
          </cell>
          <cell r="EH46">
            <v>0</v>
          </cell>
          <cell r="EI46">
            <v>0</v>
          </cell>
          <cell r="EJ46">
            <v>0</v>
          </cell>
          <cell r="EK46">
            <v>0</v>
          </cell>
          <cell r="EL46">
            <v>0</v>
          </cell>
          <cell r="EM46">
            <v>0</v>
          </cell>
          <cell r="EN46">
            <v>0</v>
          </cell>
          <cell r="EQ46">
            <v>1.5521194868994765E-2</v>
          </cell>
          <cell r="ER46">
            <v>1.1976047904191617E-2</v>
          </cell>
          <cell r="ES46">
            <v>1.2831479897348163E-2</v>
          </cell>
          <cell r="ET46">
            <v>1.4542343883661249E-2</v>
          </cell>
          <cell r="EU46">
            <v>1.4542343883661249E-2</v>
          </cell>
          <cell r="EV46">
            <v>1.4542343883661249E-2</v>
          </cell>
          <cell r="EW46">
            <v>1.4542343883661249E-2</v>
          </cell>
          <cell r="EX46">
            <v>1.4542343883661249E-2</v>
          </cell>
          <cell r="EY46">
            <v>1.4542343883661249E-2</v>
          </cell>
          <cell r="EZ46">
            <v>1.4542343883661249E-2</v>
          </cell>
          <cell r="FA46">
            <v>1.4542343883661249E-2</v>
          </cell>
          <cell r="FD46">
            <v>0</v>
          </cell>
          <cell r="FE46">
            <v>0</v>
          </cell>
          <cell r="FF46">
            <v>0</v>
          </cell>
          <cell r="FG46">
            <v>0</v>
          </cell>
          <cell r="FH46">
            <v>0</v>
          </cell>
          <cell r="FI46">
            <v>0</v>
          </cell>
          <cell r="FJ46">
            <v>0</v>
          </cell>
          <cell r="FK46">
            <v>0</v>
          </cell>
          <cell r="FL46">
            <v>0</v>
          </cell>
          <cell r="FM46">
            <v>0</v>
          </cell>
          <cell r="FN46">
            <v>0</v>
          </cell>
          <cell r="FQ46">
            <v>1.5521194868994765E-2</v>
          </cell>
          <cell r="FR46">
            <v>1.1976047904191617E-2</v>
          </cell>
          <cell r="FS46">
            <v>1.2831479897348163E-2</v>
          </cell>
          <cell r="FT46">
            <v>1.4542343883661249E-2</v>
          </cell>
          <cell r="FU46">
            <v>1.4542343883661249E-2</v>
          </cell>
          <cell r="FV46">
            <v>1.4542343883661249E-2</v>
          </cell>
          <cell r="FW46">
            <v>1.4542343883661249E-2</v>
          </cell>
          <cell r="FX46">
            <v>1.4542343883661249E-2</v>
          </cell>
          <cell r="FY46">
            <v>1.4542343883661249E-2</v>
          </cell>
          <cell r="FZ46">
            <v>1.4542343883661249E-2</v>
          </cell>
          <cell r="GA46">
            <v>1.4542343883661249E-2</v>
          </cell>
          <cell r="GD46">
            <v>2.7208477947597908E-2</v>
          </cell>
          <cell r="GE46">
            <v>2.7878910216690065E-2</v>
          </cell>
          <cell r="GF46">
            <v>3.1474750097307123E-2</v>
          </cell>
          <cell r="GG46">
            <v>2.6732605754774329E-2</v>
          </cell>
          <cell r="GH46">
            <v>2.3079981511797205E-2</v>
          </cell>
          <cell r="GI46">
            <v>2.0809765314918585E-2</v>
          </cell>
          <cell r="GJ46">
            <v>1.9982839548862423E-2</v>
          </cell>
          <cell r="GK46">
            <v>1.9862793368371136E-2</v>
          </cell>
          <cell r="GL46">
            <v>2.105096380203924E-2</v>
          </cell>
          <cell r="GM46">
            <v>2.4098310954096321E-2</v>
          </cell>
          <cell r="GN46">
            <v>2.4703577644212011E-2</v>
          </cell>
        </row>
        <row r="47">
          <cell r="B47" t="str">
            <v>TheGlen</v>
          </cell>
          <cell r="C47">
            <v>37200</v>
          </cell>
          <cell r="D47">
            <v>1</v>
          </cell>
          <cell r="E47" t="str">
            <v>Regional</v>
          </cell>
          <cell r="F47" t="str">
            <v>VIC</v>
          </cell>
          <cell r="G47">
            <v>0</v>
          </cell>
          <cell r="H47">
            <v>15.188000000000001</v>
          </cell>
          <cell r="I47">
            <v>0</v>
          </cell>
          <cell r="J47">
            <v>15.188000000000001</v>
          </cell>
          <cell r="K47">
            <v>0</v>
          </cell>
          <cell r="L47">
            <v>6.6239999999999997</v>
          </cell>
          <cell r="M47">
            <v>0</v>
          </cell>
          <cell r="N47">
            <v>6.6239999999999997</v>
          </cell>
          <cell r="O47">
            <v>0</v>
          </cell>
          <cell r="P47">
            <v>0</v>
          </cell>
          <cell r="Q47">
            <v>0</v>
          </cell>
          <cell r="R47">
            <v>7.3650000000000002</v>
          </cell>
          <cell r="S47">
            <v>3.2</v>
          </cell>
          <cell r="T47">
            <v>4.165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22.771999999999998</v>
          </cell>
          <cell r="AD47">
            <v>170</v>
          </cell>
          <cell r="AE47">
            <v>0</v>
          </cell>
          <cell r="AF47">
            <v>0.43835300005774891</v>
          </cell>
          <cell r="AG47">
            <v>0.29236366436312539</v>
          </cell>
          <cell r="AH47">
            <v>0.12750967294846868</v>
          </cell>
          <cell r="AI47">
            <v>0.14177366263065699</v>
          </cell>
          <cell r="AJ47">
            <v>0</v>
          </cell>
          <cell r="AK47">
            <v>0</v>
          </cell>
          <cell r="AN47">
            <v>29.177</v>
          </cell>
          <cell r="AO47">
            <v>51.948999999999998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X47">
            <v>0</v>
          </cell>
          <cell r="AY47">
            <v>0</v>
          </cell>
          <cell r="AZ47">
            <v>15.188000000000001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6.6239999999999997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7.3650000000000002</v>
          </cell>
          <cell r="BQ47">
            <v>0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V47">
            <v>0</v>
          </cell>
          <cell r="BW47">
            <v>0</v>
          </cell>
          <cell r="BX47">
            <v>22.771999999999998</v>
          </cell>
          <cell r="BY47">
            <v>0</v>
          </cell>
          <cell r="BZ47">
            <v>0</v>
          </cell>
          <cell r="CA47">
            <v>0</v>
          </cell>
          <cell r="CB47">
            <v>0</v>
          </cell>
          <cell r="CC47">
            <v>0</v>
          </cell>
          <cell r="CD47">
            <v>0</v>
          </cell>
          <cell r="CE47">
            <v>0</v>
          </cell>
          <cell r="CF47">
            <v>0</v>
          </cell>
          <cell r="CG47">
            <v>0</v>
          </cell>
          <cell r="CH47">
            <v>0</v>
          </cell>
          <cell r="CI47">
            <v>0</v>
          </cell>
          <cell r="CJ47">
            <v>0</v>
          </cell>
          <cell r="CK47">
            <v>0</v>
          </cell>
          <cell r="CL47">
            <v>0</v>
          </cell>
          <cell r="CM47">
            <v>0</v>
          </cell>
          <cell r="CN47">
            <v>51.948999999999998</v>
          </cell>
          <cell r="CO47">
            <v>0</v>
          </cell>
          <cell r="CP47">
            <v>0</v>
          </cell>
          <cell r="CQ47">
            <v>0</v>
          </cell>
          <cell r="CR47">
            <v>0</v>
          </cell>
          <cell r="CS47">
            <v>0</v>
          </cell>
          <cell r="CV47">
            <v>0</v>
          </cell>
          <cell r="CW47">
            <v>0</v>
          </cell>
          <cell r="CX47">
            <v>51.948999999999998</v>
          </cell>
          <cell r="CY47">
            <v>0</v>
          </cell>
          <cell r="CZ47">
            <v>0</v>
          </cell>
          <cell r="DA47">
            <v>0</v>
          </cell>
          <cell r="DD47">
            <v>3.5000000000000003E-2</v>
          </cell>
          <cell r="DE47">
            <v>3.8480818425022364E-2</v>
          </cell>
          <cell r="DF47">
            <v>4.1403596897279765E-2</v>
          </cell>
          <cell r="DG47">
            <v>3.2359447002183045E-2</v>
          </cell>
          <cell r="DH47">
            <v>2.6271739930554507E-2</v>
          </cell>
          <cell r="DI47">
            <v>2.2488046269090144E-2</v>
          </cell>
          <cell r="DJ47">
            <v>2.1109836658996538E-2</v>
          </cell>
          <cell r="DK47">
            <v>2.0909759691511064E-2</v>
          </cell>
          <cell r="DL47">
            <v>2.2890043747624565E-2</v>
          </cell>
          <cell r="DM47">
            <v>2.7968955667719699E-2</v>
          </cell>
          <cell r="DN47">
            <v>2.8977733484579184E-2</v>
          </cell>
          <cell r="DQ47">
            <v>2.6312729792681284E-3</v>
          </cell>
          <cell r="DR47">
            <v>1.1694546574525016E-2</v>
          </cell>
          <cell r="DS47">
            <v>8.7709099308937617E-3</v>
          </cell>
          <cell r="DT47">
            <v>0</v>
          </cell>
          <cell r="DU47">
            <v>2.9236366436312541E-3</v>
          </cell>
          <cell r="DV47">
            <v>2.9236366436312541E-3</v>
          </cell>
          <cell r="DW47">
            <v>2.9236366436312541E-3</v>
          </cell>
          <cell r="DX47">
            <v>2.9236366436312541E-3</v>
          </cell>
          <cell r="DY47">
            <v>2.9236366436312541E-3</v>
          </cell>
          <cell r="DZ47">
            <v>2.9236366436312541E-3</v>
          </cell>
          <cell r="EA47">
            <v>2.9236366436312541E-3</v>
          </cell>
          <cell r="ED47">
            <v>2.2314192765982024E-3</v>
          </cell>
          <cell r="EE47">
            <v>-1.2750967294846869E-3</v>
          </cell>
          <cell r="EF47">
            <v>0</v>
          </cell>
          <cell r="EG47">
            <v>3.8252901884540604E-3</v>
          </cell>
          <cell r="EH47">
            <v>3.8252901884540604E-3</v>
          </cell>
          <cell r="EI47">
            <v>3.8252901884540604E-3</v>
          </cell>
          <cell r="EJ47">
            <v>2.5501934589693739E-3</v>
          </cell>
          <cell r="EK47">
            <v>2.5501934589693739E-3</v>
          </cell>
          <cell r="EL47">
            <v>2.5501934589693739E-3</v>
          </cell>
          <cell r="EM47">
            <v>2.5501934589693739E-3</v>
          </cell>
          <cell r="EN47">
            <v>2.5501934589693739E-3</v>
          </cell>
          <cell r="EQ47">
            <v>6.430951444958575E-3</v>
          </cell>
          <cell r="ER47">
            <v>4.9620781920729955E-3</v>
          </cell>
          <cell r="ES47">
            <v>4.9620781920729955E-3</v>
          </cell>
          <cell r="ET47">
            <v>5.6709465052262797E-3</v>
          </cell>
          <cell r="EU47">
            <v>5.6709465052262797E-3</v>
          </cell>
          <cell r="EV47">
            <v>5.6709465052262797E-3</v>
          </cell>
          <cell r="EW47">
            <v>5.6709465052262797E-3</v>
          </cell>
          <cell r="EX47">
            <v>5.6709465052262797E-3</v>
          </cell>
          <cell r="EY47">
            <v>5.6709465052262797E-3</v>
          </cell>
          <cell r="EZ47">
            <v>5.6709465052262797E-3</v>
          </cell>
          <cell r="FA47">
            <v>5.6709465052262797E-3</v>
          </cell>
          <cell r="FD47">
            <v>0</v>
          </cell>
          <cell r="FE47">
            <v>0</v>
          </cell>
          <cell r="FF47">
            <v>0</v>
          </cell>
          <cell r="FG47">
            <v>0</v>
          </cell>
          <cell r="FH47">
            <v>0</v>
          </cell>
          <cell r="FI47">
            <v>0</v>
          </cell>
          <cell r="FJ47">
            <v>0</v>
          </cell>
          <cell r="FK47">
            <v>0</v>
          </cell>
          <cell r="FL47">
            <v>0</v>
          </cell>
          <cell r="FM47">
            <v>0</v>
          </cell>
          <cell r="FN47">
            <v>0</v>
          </cell>
          <cell r="FQ47">
            <v>1.1293643700824906E-2</v>
          </cell>
          <cell r="FR47">
            <v>1.5381528037113325E-2</v>
          </cell>
          <cell r="FS47">
            <v>1.3732988122966756E-2</v>
          </cell>
          <cell r="FT47">
            <v>9.4962366936803405E-3</v>
          </cell>
          <cell r="FU47">
            <v>1.2419873337311593E-2</v>
          </cell>
          <cell r="FV47">
            <v>1.2419873337311593E-2</v>
          </cell>
          <cell r="FW47">
            <v>1.1144776607826909E-2</v>
          </cell>
          <cell r="FX47">
            <v>1.1144776607826909E-2</v>
          </cell>
          <cell r="FY47">
            <v>1.1144776607826909E-2</v>
          </cell>
          <cell r="FZ47">
            <v>1.1144776607826909E-2</v>
          </cell>
          <cell r="GA47">
            <v>1.1144776607826909E-2</v>
          </cell>
          <cell r="GD47">
            <v>2.7888093110247474E-2</v>
          </cell>
          <cell r="GE47">
            <v>3.1551031308649655E-2</v>
          </cell>
          <cell r="GF47">
            <v>3.3102414264985863E-2</v>
          </cell>
          <cell r="GG47">
            <v>2.5500483909632235E-2</v>
          </cell>
          <cell r="GH47">
            <v>2.2116179952581631E-2</v>
          </cell>
          <cell r="GI47">
            <v>1.9467594389556579E-2</v>
          </cell>
          <cell r="GJ47">
            <v>1.8120318643645647E-2</v>
          </cell>
          <cell r="GK47">
            <v>1.7980264766405817E-2</v>
          </cell>
          <cell r="GL47">
            <v>1.9366463605685266E-2</v>
          </cell>
          <cell r="GM47">
            <v>2.2921701949751863E-2</v>
          </cell>
          <cell r="GN47">
            <v>2.3627846421553501E-2</v>
          </cell>
        </row>
        <row r="48">
          <cell r="B48" t="str">
            <v>Warwick_Grove</v>
          </cell>
          <cell r="C48">
            <v>37202</v>
          </cell>
          <cell r="D48">
            <v>1</v>
          </cell>
          <cell r="E48" t="str">
            <v>Sub Regional</v>
          </cell>
          <cell r="F48" t="str">
            <v>WA</v>
          </cell>
          <cell r="G48">
            <v>26.427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8.1999999999999993</v>
          </cell>
          <cell r="M48">
            <v>8.1999999999999993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7.5</v>
          </cell>
          <cell r="S48">
            <v>4.0999999999999996</v>
          </cell>
          <cell r="T48">
            <v>3.4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10.7</v>
          </cell>
          <cell r="AD48">
            <v>95</v>
          </cell>
          <cell r="AE48">
            <v>2145</v>
          </cell>
          <cell r="AF48">
            <v>0.40530303030303028</v>
          </cell>
          <cell r="AG48">
            <v>0</v>
          </cell>
          <cell r="AH48">
            <v>0.31060606060606061</v>
          </cell>
          <cell r="AI48">
            <v>0.28409090909090912</v>
          </cell>
          <cell r="AJ48">
            <v>0</v>
          </cell>
          <cell r="AK48">
            <v>0</v>
          </cell>
          <cell r="AN48">
            <v>15.7</v>
          </cell>
          <cell r="AO48">
            <v>26.4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0</v>
          </cell>
          <cell r="CB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N48">
            <v>0</v>
          </cell>
          <cell r="CO48">
            <v>0</v>
          </cell>
          <cell r="CP48">
            <v>0</v>
          </cell>
          <cell r="CQ48">
            <v>0</v>
          </cell>
          <cell r="CR48">
            <v>0</v>
          </cell>
          <cell r="CS48">
            <v>0</v>
          </cell>
          <cell r="CV48">
            <v>0</v>
          </cell>
          <cell r="CW48">
            <v>0</v>
          </cell>
          <cell r="CX48">
            <v>0</v>
          </cell>
          <cell r="CY48">
            <v>26.4</v>
          </cell>
          <cell r="CZ48">
            <v>0</v>
          </cell>
          <cell r="DA48">
            <v>0</v>
          </cell>
          <cell r="DD48">
            <v>3.2500000000000001E-2</v>
          </cell>
          <cell r="DE48">
            <v>3.3480818425022367E-2</v>
          </cell>
          <cell r="DF48">
            <v>3.6403596897279768E-2</v>
          </cell>
          <cell r="DG48">
            <v>3.2359447002183045E-2</v>
          </cell>
          <cell r="DH48">
            <v>3.1271739930554508E-2</v>
          </cell>
          <cell r="DI48">
            <v>2.7488046269090145E-2</v>
          </cell>
          <cell r="DJ48">
            <v>2.6109836658996539E-2</v>
          </cell>
          <cell r="DK48">
            <v>2.5909759691511065E-2</v>
          </cell>
          <cell r="DL48">
            <v>2.7890043747624566E-2</v>
          </cell>
          <cell r="DM48">
            <v>3.29689556677197E-2</v>
          </cell>
          <cell r="DN48">
            <v>3.3977733484579185E-2</v>
          </cell>
          <cell r="DQ48">
            <v>0</v>
          </cell>
          <cell r="DR48">
            <v>0</v>
          </cell>
          <cell r="DS48">
            <v>0</v>
          </cell>
          <cell r="DT48">
            <v>0</v>
          </cell>
          <cell r="DU48">
            <v>0</v>
          </cell>
          <cell r="DV48">
            <v>0</v>
          </cell>
          <cell r="DW48">
            <v>0</v>
          </cell>
          <cell r="DX48">
            <v>0</v>
          </cell>
          <cell r="DY48">
            <v>0</v>
          </cell>
          <cell r="DZ48">
            <v>0</v>
          </cell>
          <cell r="EA48">
            <v>0</v>
          </cell>
          <cell r="ED48">
            <v>4.6590909090909087E-3</v>
          </cell>
          <cell r="EE48">
            <v>-4.6590909090909087E-3</v>
          </cell>
          <cell r="EF48">
            <v>-1.5530303030303031E-3</v>
          </cell>
          <cell r="EG48">
            <v>9.3181818181818175E-3</v>
          </cell>
          <cell r="EH48">
            <v>1.087121212121212E-2</v>
          </cell>
          <cell r="EI48">
            <v>1.087121212121212E-2</v>
          </cell>
          <cell r="EJ48">
            <v>7.7651515151515157E-3</v>
          </cell>
          <cell r="EK48">
            <v>7.7651515151515157E-3</v>
          </cell>
          <cell r="EL48">
            <v>7.7651515151515157E-3</v>
          </cell>
          <cell r="EM48">
            <v>7.7651515151515157E-3</v>
          </cell>
          <cell r="EN48">
            <v>7.7651515151515157E-3</v>
          </cell>
          <cell r="EQ48">
            <v>1.2176332955862842E-2</v>
          </cell>
          <cell r="ER48">
            <v>8.5227272727272738E-3</v>
          </cell>
          <cell r="ES48">
            <v>8.5227272727272738E-3</v>
          </cell>
          <cell r="ET48">
            <v>1.1363636363636366E-2</v>
          </cell>
          <cell r="EU48">
            <v>1.278409090909091E-2</v>
          </cell>
          <cell r="EV48">
            <v>1.278409090909091E-2</v>
          </cell>
          <cell r="EW48">
            <v>1.278409090909091E-2</v>
          </cell>
          <cell r="EX48">
            <v>1.278409090909091E-2</v>
          </cell>
          <cell r="EY48">
            <v>1.278409090909091E-2</v>
          </cell>
          <cell r="EZ48">
            <v>1.278409090909091E-2</v>
          </cell>
          <cell r="FA48">
            <v>1.278409090909091E-2</v>
          </cell>
          <cell r="FD48">
            <v>0</v>
          </cell>
          <cell r="FE48">
            <v>0</v>
          </cell>
          <cell r="FF48">
            <v>0</v>
          </cell>
          <cell r="FG48">
            <v>0</v>
          </cell>
          <cell r="FH48">
            <v>0</v>
          </cell>
          <cell r="FI48">
            <v>0</v>
          </cell>
          <cell r="FJ48">
            <v>0</v>
          </cell>
          <cell r="FK48">
            <v>0</v>
          </cell>
          <cell r="FL48">
            <v>0</v>
          </cell>
          <cell r="FM48">
            <v>0</v>
          </cell>
          <cell r="FN48">
            <v>0</v>
          </cell>
          <cell r="FQ48">
            <v>1.683542386495375E-2</v>
          </cell>
          <cell r="FR48">
            <v>3.8636363636363651E-3</v>
          </cell>
          <cell r="FS48">
            <v>6.9696969696969712E-3</v>
          </cell>
          <cell r="FT48">
            <v>2.0681818181818183E-2</v>
          </cell>
          <cell r="FU48">
            <v>2.365530303030303E-2</v>
          </cell>
          <cell r="FV48">
            <v>2.365530303030303E-2</v>
          </cell>
          <cell r="FW48">
            <v>2.0549242424242425E-2</v>
          </cell>
          <cell r="FX48">
            <v>2.0549242424242425E-2</v>
          </cell>
          <cell r="FY48">
            <v>2.0549242424242425E-2</v>
          </cell>
          <cell r="FZ48">
            <v>2.0549242424242425E-2</v>
          </cell>
          <cell r="GA48">
            <v>2.0549242424242425E-2</v>
          </cell>
          <cell r="GD48">
            <v>2.6234169545981501E-2</v>
          </cell>
          <cell r="GE48">
            <v>2.1633945600467969E-2</v>
          </cell>
          <cell r="GF48">
            <v>2.463003692624665E-2</v>
          </cell>
          <cell r="GG48">
            <v>2.7688395474037099E-2</v>
          </cell>
          <cell r="GH48">
            <v>2.8225165170453918E-2</v>
          </cell>
          <cell r="GI48">
            <v>2.5954948973575299E-2</v>
          </cell>
          <cell r="GJ48">
            <v>2.3885598965094894E-2</v>
          </cell>
          <cell r="GK48">
            <v>2.3765552784603607E-2</v>
          </cell>
          <cell r="GL48">
            <v>2.495372321827171E-2</v>
          </cell>
          <cell r="GM48">
            <v>2.8001070370328791E-2</v>
          </cell>
          <cell r="GN48">
            <v>2.8606337060444482E-2</v>
          </cell>
        </row>
        <row r="49">
          <cell r="B49" t="str">
            <v>Halls_Head</v>
          </cell>
          <cell r="C49">
            <v>37202</v>
          </cell>
          <cell r="D49">
            <v>1</v>
          </cell>
          <cell r="E49" t="str">
            <v>Neighbourhood</v>
          </cell>
          <cell r="F49" t="str">
            <v>WA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3.7050000000000001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3.7050000000000001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2</v>
          </cell>
          <cell r="AD49">
            <v>20</v>
          </cell>
          <cell r="AE49">
            <v>400</v>
          </cell>
          <cell r="AF49">
            <v>0.35056967572304998</v>
          </cell>
          <cell r="AG49">
            <v>0</v>
          </cell>
          <cell r="AH49">
            <v>0</v>
          </cell>
          <cell r="AI49">
            <v>0.64943032427695002</v>
          </cell>
          <cell r="AJ49">
            <v>0</v>
          </cell>
          <cell r="AK49">
            <v>0</v>
          </cell>
          <cell r="AN49">
            <v>3.7050000000000001</v>
          </cell>
          <cell r="AO49">
            <v>5.7050000000000001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0</v>
          </cell>
          <cell r="BQ49">
            <v>0</v>
          </cell>
          <cell r="BR49">
            <v>0</v>
          </cell>
          <cell r="BS49">
            <v>0</v>
          </cell>
          <cell r="BT49">
            <v>0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0</v>
          </cell>
          <cell r="CB49">
            <v>0</v>
          </cell>
          <cell r="CC49">
            <v>0</v>
          </cell>
          <cell r="CD49">
            <v>0</v>
          </cell>
          <cell r="CE49">
            <v>0</v>
          </cell>
          <cell r="CF49">
            <v>0</v>
          </cell>
          <cell r="CG49">
            <v>0</v>
          </cell>
          <cell r="CH49">
            <v>0</v>
          </cell>
          <cell r="CI49">
            <v>0</v>
          </cell>
          <cell r="CJ49">
            <v>0</v>
          </cell>
          <cell r="CK49">
            <v>0</v>
          </cell>
          <cell r="CL49">
            <v>0</v>
          </cell>
          <cell r="CM49">
            <v>0</v>
          </cell>
          <cell r="CN49">
            <v>0</v>
          </cell>
          <cell r="CO49">
            <v>0</v>
          </cell>
          <cell r="CP49">
            <v>0</v>
          </cell>
          <cell r="CQ49">
            <v>0</v>
          </cell>
          <cell r="CR49">
            <v>0</v>
          </cell>
          <cell r="CS49">
            <v>0</v>
          </cell>
          <cell r="CV49">
            <v>0</v>
          </cell>
          <cell r="CW49">
            <v>0</v>
          </cell>
          <cell r="CX49">
            <v>0</v>
          </cell>
          <cell r="CY49">
            <v>0</v>
          </cell>
          <cell r="CZ49">
            <v>5.7050000000000001</v>
          </cell>
          <cell r="DA49">
            <v>0</v>
          </cell>
          <cell r="DD49">
            <v>3.2500000000000001E-2</v>
          </cell>
          <cell r="DE49">
            <v>3.3480818425022367E-2</v>
          </cell>
          <cell r="DF49">
            <v>3.6403596897279768E-2</v>
          </cell>
          <cell r="DG49">
            <v>3.2359447002183045E-2</v>
          </cell>
          <cell r="DH49">
            <v>3.1271739930554508E-2</v>
          </cell>
          <cell r="DI49">
            <v>2.7488046269090145E-2</v>
          </cell>
          <cell r="DJ49">
            <v>2.6109836658996539E-2</v>
          </cell>
          <cell r="DK49">
            <v>2.5909759691511065E-2</v>
          </cell>
          <cell r="DL49">
            <v>2.7890043747624566E-2</v>
          </cell>
          <cell r="DM49">
            <v>3.29689556677197E-2</v>
          </cell>
          <cell r="DN49">
            <v>3.3977733484579185E-2</v>
          </cell>
          <cell r="DQ49">
            <v>0</v>
          </cell>
          <cell r="DR49">
            <v>0</v>
          </cell>
          <cell r="DS49">
            <v>0</v>
          </cell>
          <cell r="DT49">
            <v>0</v>
          </cell>
          <cell r="DU49">
            <v>0</v>
          </cell>
          <cell r="DV49">
            <v>0</v>
          </cell>
          <cell r="DW49">
            <v>0</v>
          </cell>
          <cell r="DX49">
            <v>0</v>
          </cell>
          <cell r="DY49">
            <v>0</v>
          </cell>
          <cell r="DZ49">
            <v>0</v>
          </cell>
          <cell r="EA49">
            <v>0</v>
          </cell>
          <cell r="ED49">
            <v>0</v>
          </cell>
          <cell r="EE49">
            <v>0</v>
          </cell>
          <cell r="EF49">
            <v>0</v>
          </cell>
          <cell r="EG49">
            <v>0</v>
          </cell>
          <cell r="EH49">
            <v>0</v>
          </cell>
          <cell r="EI49">
            <v>0</v>
          </cell>
          <cell r="EJ49">
            <v>0</v>
          </cell>
          <cell r="EK49">
            <v>0</v>
          </cell>
          <cell r="EL49">
            <v>0</v>
          </cell>
          <cell r="EM49">
            <v>0</v>
          </cell>
          <cell r="EN49">
            <v>0</v>
          </cell>
          <cell r="EQ49">
            <v>2.7835033107306017E-2</v>
          </cell>
          <cell r="ER49">
            <v>1.9482909728308503E-2</v>
          </cell>
          <cell r="ES49">
            <v>1.9482909728308503E-2</v>
          </cell>
          <cell r="ET49">
            <v>2.5977212971078002E-2</v>
          </cell>
          <cell r="EU49">
            <v>2.9224364592462748E-2</v>
          </cell>
          <cell r="EV49">
            <v>2.9224364592462748E-2</v>
          </cell>
          <cell r="EW49">
            <v>2.9224364592462748E-2</v>
          </cell>
          <cell r="EX49">
            <v>2.9224364592462748E-2</v>
          </cell>
          <cell r="EY49">
            <v>2.9224364592462748E-2</v>
          </cell>
          <cell r="EZ49">
            <v>2.9224364592462748E-2</v>
          </cell>
          <cell r="FA49">
            <v>2.9224364592462748E-2</v>
          </cell>
          <cell r="FD49">
            <v>0</v>
          </cell>
          <cell r="FE49">
            <v>0</v>
          </cell>
          <cell r="FF49">
            <v>0</v>
          </cell>
          <cell r="FG49">
            <v>0</v>
          </cell>
          <cell r="FH49">
            <v>0</v>
          </cell>
          <cell r="FI49">
            <v>0</v>
          </cell>
          <cell r="FJ49">
            <v>0</v>
          </cell>
          <cell r="FK49">
            <v>0</v>
          </cell>
          <cell r="FL49">
            <v>0</v>
          </cell>
          <cell r="FM49">
            <v>0</v>
          </cell>
          <cell r="FN49">
            <v>0</v>
          </cell>
          <cell r="FQ49">
            <v>2.7835033107306017E-2</v>
          </cell>
          <cell r="FR49">
            <v>1.9482909728308503E-2</v>
          </cell>
          <cell r="FS49">
            <v>1.9482909728308503E-2</v>
          </cell>
          <cell r="FT49">
            <v>2.5977212971078002E-2</v>
          </cell>
          <cell r="FU49">
            <v>2.9224364592462748E-2</v>
          </cell>
          <cell r="FV49">
            <v>2.9224364592462748E-2</v>
          </cell>
          <cell r="FW49">
            <v>2.9224364592462748E-2</v>
          </cell>
          <cell r="FX49">
            <v>2.9224364592462748E-2</v>
          </cell>
          <cell r="FY49">
            <v>2.9224364592462748E-2</v>
          </cell>
          <cell r="FZ49">
            <v>2.9224364592462748E-2</v>
          </cell>
          <cell r="GA49">
            <v>2.9224364592462748E-2</v>
          </cell>
          <cell r="GD49">
            <v>2.8768026485844818E-2</v>
          </cell>
          <cell r="GE49">
            <v>2.2282491467651277E-2</v>
          </cell>
          <cell r="GF49">
            <v>2.2867047162102756E-2</v>
          </cell>
          <cell r="GG49">
            <v>2.7253659777299013E-2</v>
          </cell>
          <cell r="GH49">
            <v>2.9633839660081103E-2</v>
          </cell>
          <cell r="GI49">
            <v>2.8877100927788231E-2</v>
          </cell>
          <cell r="GJ49">
            <v>2.8601459005769509E-2</v>
          </cell>
          <cell r="GK49">
            <v>2.8561443612272416E-2</v>
          </cell>
          <cell r="GL49">
            <v>2.8957500423495115E-2</v>
          </cell>
          <cell r="GM49">
            <v>2.9973282807514143E-2</v>
          </cell>
          <cell r="GN49">
            <v>3.0175038370886038E-2</v>
          </cell>
        </row>
        <row r="50">
          <cell r="B50" t="str">
            <v>VictoriaGardens</v>
          </cell>
          <cell r="C50">
            <v>37202</v>
          </cell>
          <cell r="D50">
            <v>0.5</v>
          </cell>
          <cell r="E50" t="str">
            <v>Sub Regional</v>
          </cell>
          <cell r="F50" t="str">
            <v>VIC</v>
          </cell>
          <cell r="G50">
            <v>25.84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6.66</v>
          </cell>
          <cell r="M50">
            <v>6.66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4.24</v>
          </cell>
          <cell r="S50">
            <v>4.24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5.5</v>
          </cell>
          <cell r="AA50">
            <v>0</v>
          </cell>
          <cell r="AB50">
            <v>0</v>
          </cell>
          <cell r="AC50">
            <v>8.0399999999999991</v>
          </cell>
          <cell r="AD50">
            <v>53</v>
          </cell>
          <cell r="AE50">
            <v>0</v>
          </cell>
          <cell r="AF50">
            <v>0.42449841605068639</v>
          </cell>
          <cell r="AG50">
            <v>0</v>
          </cell>
          <cell r="AH50">
            <v>0.3516367476240761</v>
          </cell>
          <cell r="AI50">
            <v>0.22386483632523763</v>
          </cell>
          <cell r="AJ50">
            <v>0</v>
          </cell>
          <cell r="AK50">
            <v>0</v>
          </cell>
          <cell r="AN50">
            <v>10.9</v>
          </cell>
          <cell r="AO50">
            <v>18.939999999999998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>
            <v>0</v>
          </cell>
          <cell r="BQ50">
            <v>0</v>
          </cell>
          <cell r="BR50">
            <v>0</v>
          </cell>
          <cell r="BS50">
            <v>0</v>
          </cell>
          <cell r="BT50">
            <v>0</v>
          </cell>
          <cell r="BU50">
            <v>0</v>
          </cell>
          <cell r="BV50">
            <v>0</v>
          </cell>
          <cell r="BW50">
            <v>0</v>
          </cell>
          <cell r="BX50">
            <v>0</v>
          </cell>
          <cell r="BY50">
            <v>0</v>
          </cell>
          <cell r="BZ50">
            <v>0</v>
          </cell>
          <cell r="CA50">
            <v>0</v>
          </cell>
          <cell r="CB50">
            <v>0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L50">
            <v>0</v>
          </cell>
          <cell r="CM50">
            <v>0</v>
          </cell>
          <cell r="CN50">
            <v>0</v>
          </cell>
          <cell r="CO50">
            <v>0</v>
          </cell>
          <cell r="CP50">
            <v>0</v>
          </cell>
          <cell r="CQ50">
            <v>0</v>
          </cell>
          <cell r="CR50">
            <v>0</v>
          </cell>
          <cell r="CS50">
            <v>0</v>
          </cell>
          <cell r="CV50">
            <v>0</v>
          </cell>
          <cell r="CW50">
            <v>0</v>
          </cell>
          <cell r="CX50">
            <v>0</v>
          </cell>
          <cell r="CY50">
            <v>9.4699999999999989</v>
          </cell>
          <cell r="CZ50">
            <v>0</v>
          </cell>
          <cell r="DA50">
            <v>0</v>
          </cell>
          <cell r="DD50">
            <v>3.5000000000000003E-2</v>
          </cell>
          <cell r="DE50">
            <v>3.8480818425022364E-2</v>
          </cell>
          <cell r="DF50">
            <v>4.1403596897279765E-2</v>
          </cell>
          <cell r="DG50">
            <v>3.2359447002183045E-2</v>
          </cell>
          <cell r="DH50">
            <v>2.6271739930554507E-2</v>
          </cell>
          <cell r="DI50">
            <v>2.2488046269090144E-2</v>
          </cell>
          <cell r="DJ50">
            <v>2.1109836658996538E-2</v>
          </cell>
          <cell r="DK50">
            <v>2.0909759691511064E-2</v>
          </cell>
          <cell r="DL50">
            <v>2.2890043747624565E-2</v>
          </cell>
          <cell r="DM50">
            <v>2.7968955667719699E-2</v>
          </cell>
          <cell r="DN50">
            <v>2.8977733484579184E-2</v>
          </cell>
          <cell r="DQ50">
            <v>0</v>
          </cell>
          <cell r="DR50">
            <v>0</v>
          </cell>
          <cell r="DS50">
            <v>0</v>
          </cell>
          <cell r="DT50">
            <v>0</v>
          </cell>
          <cell r="DU50">
            <v>0</v>
          </cell>
          <cell r="DV50">
            <v>0</v>
          </cell>
          <cell r="DW50">
            <v>0</v>
          </cell>
          <cell r="DX50">
            <v>0</v>
          </cell>
          <cell r="DY50">
            <v>0</v>
          </cell>
          <cell r="DZ50">
            <v>0</v>
          </cell>
          <cell r="EA50">
            <v>0</v>
          </cell>
          <cell r="ED50">
            <v>6.1536430834213326E-3</v>
          </cell>
          <cell r="EE50">
            <v>-3.5163674762407611E-3</v>
          </cell>
          <cell r="EF50">
            <v>0</v>
          </cell>
          <cell r="EG50">
            <v>1.0549102428722283E-2</v>
          </cell>
          <cell r="EH50">
            <v>1.0549102428722283E-2</v>
          </cell>
          <cell r="EI50">
            <v>1.0549102428722283E-2</v>
          </cell>
          <cell r="EJ50">
            <v>7.0327349524815222E-3</v>
          </cell>
          <cell r="EK50">
            <v>7.0327349524815222E-3</v>
          </cell>
          <cell r="EL50">
            <v>7.0327349524815222E-3</v>
          </cell>
          <cell r="EM50">
            <v>7.0327349524815222E-3</v>
          </cell>
          <cell r="EN50">
            <v>7.0327349524815222E-3</v>
          </cell>
          <cell r="EQ50">
            <v>1.0154663891217622E-2</v>
          </cell>
          <cell r="ER50">
            <v>7.8352692713833175E-3</v>
          </cell>
          <cell r="ES50">
            <v>7.8352692713833175E-3</v>
          </cell>
          <cell r="ET50">
            <v>8.9545934530095052E-3</v>
          </cell>
          <cell r="EU50">
            <v>8.9545934530095052E-3</v>
          </cell>
          <cell r="EV50">
            <v>8.9545934530095052E-3</v>
          </cell>
          <cell r="EW50">
            <v>8.9545934530095052E-3</v>
          </cell>
          <cell r="EX50">
            <v>8.9545934530095052E-3</v>
          </cell>
          <cell r="EY50">
            <v>8.9545934530095052E-3</v>
          </cell>
          <cell r="EZ50">
            <v>8.9545934530095052E-3</v>
          </cell>
          <cell r="FA50">
            <v>8.9545934530095052E-3</v>
          </cell>
          <cell r="FD50">
            <v>0</v>
          </cell>
          <cell r="FE50">
            <v>0</v>
          </cell>
          <cell r="FF50">
            <v>0</v>
          </cell>
          <cell r="FG50">
            <v>0</v>
          </cell>
          <cell r="FH50">
            <v>0</v>
          </cell>
          <cell r="FI50">
            <v>0</v>
          </cell>
          <cell r="FJ50">
            <v>0</v>
          </cell>
          <cell r="FK50">
            <v>0</v>
          </cell>
          <cell r="FL50">
            <v>0</v>
          </cell>
          <cell r="FM50">
            <v>0</v>
          </cell>
          <cell r="FN50">
            <v>0</v>
          </cell>
          <cell r="FQ50">
            <v>1.6308306974638954E-2</v>
          </cell>
          <cell r="FR50">
            <v>4.318901795142556E-3</v>
          </cell>
          <cell r="FS50">
            <v>7.8352692713833175E-3</v>
          </cell>
          <cell r="FT50">
            <v>1.9503695881731786E-2</v>
          </cell>
          <cell r="FU50">
            <v>1.9503695881731786E-2</v>
          </cell>
          <cell r="FV50">
            <v>1.9503695881731786E-2</v>
          </cell>
          <cell r="FW50">
            <v>1.5987328405491028E-2</v>
          </cell>
          <cell r="FX50">
            <v>1.5987328405491028E-2</v>
          </cell>
          <cell r="FY50">
            <v>1.5987328405491028E-2</v>
          </cell>
          <cell r="FZ50">
            <v>1.5987328405491028E-2</v>
          </cell>
          <cell r="GA50">
            <v>1.5987328405491028E-2</v>
          </cell>
          <cell r="GD50">
            <v>2.7523322789855583E-2</v>
          </cell>
          <cell r="GE50">
            <v>2.481605177307044E-2</v>
          </cell>
          <cell r="GF50">
            <v>2.7976265846921186E-2</v>
          </cell>
          <cell r="GG50">
            <v>2.7217146554002543E-2</v>
          </cell>
          <cell r="GH50">
            <v>2.3564522311025418E-2</v>
          </cell>
          <cell r="GI50">
            <v>2.1294306114146802E-2</v>
          </cell>
          <cell r="GJ50">
            <v>1.9060833357594335E-2</v>
          </cell>
          <cell r="GK50">
            <v>1.8940787177103048E-2</v>
          </cell>
          <cell r="GL50">
            <v>2.0128957610771152E-2</v>
          </cell>
          <cell r="GM50">
            <v>2.3176304762828229E-2</v>
          </cell>
          <cell r="GN50">
            <v>2.378157145294392E-2</v>
          </cell>
        </row>
        <row r="52">
          <cell r="B52" t="str">
            <v>Dickson</v>
          </cell>
          <cell r="C52">
            <v>0</v>
          </cell>
          <cell r="D52">
            <v>1</v>
          </cell>
          <cell r="E52" t="str">
            <v>Supermarket Only</v>
          </cell>
          <cell r="F52" t="str">
            <v>WA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3.7</v>
          </cell>
          <cell r="S52">
            <v>0</v>
          </cell>
          <cell r="T52">
            <v>3.7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1</v>
          </cell>
          <cell r="AJ52">
            <v>0</v>
          </cell>
          <cell r="AK52">
            <v>0</v>
          </cell>
          <cell r="AN52">
            <v>3.7</v>
          </cell>
          <cell r="AO52">
            <v>3.7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BR52">
            <v>0</v>
          </cell>
          <cell r="BS52">
            <v>0</v>
          </cell>
          <cell r="BT52">
            <v>0</v>
          </cell>
          <cell r="BU52">
            <v>3.7</v>
          </cell>
          <cell r="BV52">
            <v>0</v>
          </cell>
          <cell r="BW52">
            <v>0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B52">
            <v>0</v>
          </cell>
          <cell r="CC52">
            <v>0</v>
          </cell>
          <cell r="CD52">
            <v>0</v>
          </cell>
          <cell r="CE52">
            <v>0</v>
          </cell>
          <cell r="CF52">
            <v>0</v>
          </cell>
          <cell r="CG52">
            <v>0</v>
          </cell>
          <cell r="CH52">
            <v>0</v>
          </cell>
          <cell r="CI52">
            <v>0</v>
          </cell>
          <cell r="CJ52">
            <v>0</v>
          </cell>
          <cell r="CK52">
            <v>0</v>
          </cell>
          <cell r="CL52">
            <v>0</v>
          </cell>
          <cell r="CM52">
            <v>0</v>
          </cell>
          <cell r="CN52">
            <v>0</v>
          </cell>
          <cell r="CO52">
            <v>0</v>
          </cell>
          <cell r="CP52">
            <v>0</v>
          </cell>
          <cell r="CQ52">
            <v>0</v>
          </cell>
          <cell r="CR52">
            <v>0</v>
          </cell>
          <cell r="CS52">
            <v>3.7</v>
          </cell>
          <cell r="CV52">
            <v>0</v>
          </cell>
          <cell r="CW52">
            <v>0</v>
          </cell>
          <cell r="CX52">
            <v>0</v>
          </cell>
          <cell r="CY52">
            <v>0</v>
          </cell>
          <cell r="CZ52">
            <v>0</v>
          </cell>
          <cell r="DA52">
            <v>3.7</v>
          </cell>
          <cell r="DD52">
            <v>3.2500000000000001E-2</v>
          </cell>
          <cell r="DE52">
            <v>3.3480818425022367E-2</v>
          </cell>
          <cell r="DF52">
            <v>3.6403596897279768E-2</v>
          </cell>
          <cell r="DG52">
            <v>3.2359447002183045E-2</v>
          </cell>
          <cell r="DH52">
            <v>3.1271739930554508E-2</v>
          </cell>
          <cell r="DI52">
            <v>2.7488046269090145E-2</v>
          </cell>
          <cell r="DJ52">
            <v>2.6109836658996539E-2</v>
          </cell>
          <cell r="DK52">
            <v>2.5909759691511065E-2</v>
          </cell>
          <cell r="DL52">
            <v>2.7890043747624566E-2</v>
          </cell>
          <cell r="DM52">
            <v>3.29689556677197E-2</v>
          </cell>
          <cell r="DN52">
            <v>3.3977733484579185E-2</v>
          </cell>
          <cell r="DQ52">
            <v>0</v>
          </cell>
          <cell r="DR52">
            <v>0</v>
          </cell>
          <cell r="DS52">
            <v>0</v>
          </cell>
          <cell r="DT52">
            <v>0</v>
          </cell>
          <cell r="DU52">
            <v>0</v>
          </cell>
          <cell r="DV52">
            <v>0</v>
          </cell>
          <cell r="DW52">
            <v>0</v>
          </cell>
          <cell r="DX52">
            <v>0</v>
          </cell>
          <cell r="DY52">
            <v>0</v>
          </cell>
          <cell r="DZ52">
            <v>0</v>
          </cell>
          <cell r="EA52">
            <v>0</v>
          </cell>
          <cell r="ED52">
            <v>0</v>
          </cell>
          <cell r="EE52">
            <v>0</v>
          </cell>
          <cell r="EF52">
            <v>0</v>
          </cell>
          <cell r="EG52">
            <v>0</v>
          </cell>
          <cell r="EH52">
            <v>0</v>
          </cell>
          <cell r="EI52">
            <v>0</v>
          </cell>
          <cell r="EJ52">
            <v>0</v>
          </cell>
          <cell r="EK52">
            <v>0</v>
          </cell>
          <cell r="EL52">
            <v>0</v>
          </cell>
          <cell r="EM52">
            <v>0</v>
          </cell>
          <cell r="EN52">
            <v>0</v>
          </cell>
          <cell r="EQ52">
            <v>4.2860692004637199E-2</v>
          </cell>
          <cell r="ER52">
            <v>3.0000000000000002E-2</v>
          </cell>
          <cell r="ES52">
            <v>3.0000000000000002E-2</v>
          </cell>
          <cell r="ET52">
            <v>0.04</v>
          </cell>
          <cell r="EU52">
            <v>4.4999999999999998E-2</v>
          </cell>
          <cell r="EV52">
            <v>4.4999999999999998E-2</v>
          </cell>
          <cell r="EW52">
            <v>4.4999999999999998E-2</v>
          </cell>
          <cell r="EX52">
            <v>4.4999999999999998E-2</v>
          </cell>
          <cell r="EY52">
            <v>4.4999999999999998E-2</v>
          </cell>
          <cell r="EZ52">
            <v>4.4999999999999998E-2</v>
          </cell>
          <cell r="FA52">
            <v>4.4999999999999998E-2</v>
          </cell>
          <cell r="FD52">
            <v>0</v>
          </cell>
          <cell r="FE52">
            <v>0</v>
          </cell>
          <cell r="FF52">
            <v>0</v>
          </cell>
          <cell r="FG52">
            <v>0</v>
          </cell>
          <cell r="FH52">
            <v>0</v>
          </cell>
          <cell r="FI52">
            <v>0</v>
          </cell>
          <cell r="FJ52">
            <v>0</v>
          </cell>
          <cell r="FK52">
            <v>0</v>
          </cell>
          <cell r="FL52">
            <v>0</v>
          </cell>
          <cell r="FM52">
            <v>0</v>
          </cell>
          <cell r="FN52">
            <v>0</v>
          </cell>
          <cell r="FQ52">
            <v>4.2860692004637199E-2</v>
          </cell>
          <cell r="FR52">
            <v>3.0000000000000002E-2</v>
          </cell>
          <cell r="FS52">
            <v>3.0000000000000002E-2</v>
          </cell>
          <cell r="FT52">
            <v>0.04</v>
          </cell>
          <cell r="FU52">
            <v>4.4999999999999998E-2</v>
          </cell>
          <cell r="FV52">
            <v>4.4999999999999998E-2</v>
          </cell>
          <cell r="FW52">
            <v>4.4999999999999998E-2</v>
          </cell>
          <cell r="FX52">
            <v>4.4999999999999998E-2</v>
          </cell>
          <cell r="FY52">
            <v>4.4999999999999998E-2</v>
          </cell>
          <cell r="FZ52">
            <v>4.4999999999999998E-2</v>
          </cell>
          <cell r="GA52">
            <v>4.4999999999999998E-2</v>
          </cell>
          <cell r="GD52">
            <v>4.0788553603709761E-2</v>
          </cell>
          <cell r="GE52">
            <v>3.0696163685004479E-2</v>
          </cell>
          <cell r="GF52">
            <v>3.1280719379455958E-2</v>
          </cell>
          <cell r="GG52">
            <v>3.847188940043661E-2</v>
          </cell>
          <cell r="GH52">
            <v>4.2254347986110899E-2</v>
          </cell>
          <cell r="GI52">
            <v>4.1497609253818027E-2</v>
          </cell>
          <cell r="GJ52">
            <v>4.1221967331799308E-2</v>
          </cell>
          <cell r="GK52">
            <v>4.1181951938302208E-2</v>
          </cell>
          <cell r="GL52">
            <v>4.1578008749524914E-2</v>
          </cell>
          <cell r="GM52">
            <v>4.2593791133543939E-2</v>
          </cell>
          <cell r="GN52">
            <v>4.2795546696915834E-2</v>
          </cell>
        </row>
        <row r="53">
          <cell r="B53" t="str">
            <v>Jamison</v>
          </cell>
          <cell r="C53">
            <v>0</v>
          </cell>
          <cell r="D53">
            <v>1</v>
          </cell>
          <cell r="E53" t="str">
            <v>Supermarket Only</v>
          </cell>
          <cell r="F53" t="str">
            <v>ACT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2.1</v>
          </cell>
          <cell r="S53">
            <v>2.1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1</v>
          </cell>
          <cell r="AJ53">
            <v>0</v>
          </cell>
          <cell r="AK53">
            <v>0</v>
          </cell>
          <cell r="AN53">
            <v>2.1</v>
          </cell>
          <cell r="AO53">
            <v>2.1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2.1</v>
          </cell>
          <cell r="BO53">
            <v>0</v>
          </cell>
          <cell r="BP53">
            <v>0</v>
          </cell>
          <cell r="BQ53">
            <v>0</v>
          </cell>
          <cell r="BR53">
            <v>0</v>
          </cell>
          <cell r="BS53">
            <v>0</v>
          </cell>
          <cell r="BT53">
            <v>0</v>
          </cell>
          <cell r="BU53">
            <v>0</v>
          </cell>
          <cell r="BV53">
            <v>0</v>
          </cell>
          <cell r="BW53">
            <v>0</v>
          </cell>
          <cell r="BX53">
            <v>0</v>
          </cell>
          <cell r="BY53">
            <v>0</v>
          </cell>
          <cell r="BZ53">
            <v>0</v>
          </cell>
          <cell r="CA53">
            <v>0</v>
          </cell>
          <cell r="CB53">
            <v>0</v>
          </cell>
          <cell r="CC53">
            <v>0</v>
          </cell>
          <cell r="CD53">
            <v>0</v>
          </cell>
          <cell r="CE53">
            <v>0</v>
          </cell>
          <cell r="CF53">
            <v>0</v>
          </cell>
          <cell r="CG53">
            <v>0</v>
          </cell>
          <cell r="CH53">
            <v>0</v>
          </cell>
          <cell r="CI53">
            <v>0</v>
          </cell>
          <cell r="CJ53">
            <v>0</v>
          </cell>
          <cell r="CK53">
            <v>0</v>
          </cell>
          <cell r="CL53">
            <v>2.1</v>
          </cell>
          <cell r="CM53">
            <v>0</v>
          </cell>
          <cell r="CN53">
            <v>0</v>
          </cell>
          <cell r="CO53">
            <v>0</v>
          </cell>
          <cell r="CP53">
            <v>0</v>
          </cell>
          <cell r="CQ53">
            <v>0</v>
          </cell>
          <cell r="CR53">
            <v>0</v>
          </cell>
          <cell r="CS53">
            <v>0</v>
          </cell>
          <cell r="CV53">
            <v>0</v>
          </cell>
          <cell r="CW53">
            <v>0</v>
          </cell>
          <cell r="CX53">
            <v>0</v>
          </cell>
          <cell r="CY53">
            <v>0</v>
          </cell>
          <cell r="CZ53">
            <v>0</v>
          </cell>
          <cell r="DA53">
            <v>2.1</v>
          </cell>
          <cell r="DD53">
            <v>1.7500000000000002E-2</v>
          </cell>
          <cell r="DE53">
            <v>3.3480818425022367E-2</v>
          </cell>
          <cell r="DF53">
            <v>3.6403596897279768E-2</v>
          </cell>
          <cell r="DG53">
            <v>2.7359447002183044E-2</v>
          </cell>
          <cell r="DH53">
            <v>2.1271739930554506E-2</v>
          </cell>
          <cell r="DI53">
            <v>1.7488046269090143E-2</v>
          </cell>
          <cell r="DJ53">
            <v>1.6109836658996537E-2</v>
          </cell>
          <cell r="DK53">
            <v>1.5909759691511063E-2</v>
          </cell>
          <cell r="DL53">
            <v>1.7890043747624564E-2</v>
          </cell>
          <cell r="DM53">
            <v>2.2968955667719698E-2</v>
          </cell>
          <cell r="DN53">
            <v>2.3977733484579183E-2</v>
          </cell>
          <cell r="DQ53">
            <v>0</v>
          </cell>
          <cell r="DR53">
            <v>0</v>
          </cell>
          <cell r="DS53">
            <v>0</v>
          </cell>
          <cell r="DT53">
            <v>0</v>
          </cell>
          <cell r="DU53">
            <v>0</v>
          </cell>
          <cell r="DV53">
            <v>0</v>
          </cell>
          <cell r="DW53">
            <v>0</v>
          </cell>
          <cell r="DX53">
            <v>0</v>
          </cell>
          <cell r="DY53">
            <v>0</v>
          </cell>
          <cell r="DZ53">
            <v>0</v>
          </cell>
          <cell r="EA53">
            <v>0</v>
          </cell>
          <cell r="ED53">
            <v>0</v>
          </cell>
          <cell r="EE53">
            <v>0</v>
          </cell>
          <cell r="EF53">
            <v>0</v>
          </cell>
          <cell r="EG53">
            <v>0</v>
          </cell>
          <cell r="EH53">
            <v>0</v>
          </cell>
          <cell r="EI53">
            <v>0</v>
          </cell>
          <cell r="EJ53">
            <v>0</v>
          </cell>
          <cell r="EK53">
            <v>0</v>
          </cell>
          <cell r="EL53">
            <v>0</v>
          </cell>
          <cell r="EM53">
            <v>0</v>
          </cell>
          <cell r="EN53">
            <v>0</v>
          </cell>
          <cell r="EQ53">
            <v>2.78606920046372E-2</v>
          </cell>
          <cell r="ER53">
            <v>3.0000000000000002E-2</v>
          </cell>
          <cell r="ES53">
            <v>3.0000000000000002E-2</v>
          </cell>
          <cell r="ET53">
            <v>3.5000000000000003E-2</v>
          </cell>
          <cell r="EU53">
            <v>3.5000000000000003E-2</v>
          </cell>
          <cell r="EV53">
            <v>3.5000000000000003E-2</v>
          </cell>
          <cell r="EW53">
            <v>3.5000000000000003E-2</v>
          </cell>
          <cell r="EX53">
            <v>3.5000000000000003E-2</v>
          </cell>
          <cell r="EY53">
            <v>3.5000000000000003E-2</v>
          </cell>
          <cell r="EZ53">
            <v>3.5000000000000003E-2</v>
          </cell>
          <cell r="FA53">
            <v>3.5000000000000003E-2</v>
          </cell>
          <cell r="FD53">
            <v>0</v>
          </cell>
          <cell r="FE53">
            <v>0</v>
          </cell>
          <cell r="FF53">
            <v>0</v>
          </cell>
          <cell r="FG53">
            <v>0</v>
          </cell>
          <cell r="FH53">
            <v>0</v>
          </cell>
          <cell r="FI53">
            <v>0</v>
          </cell>
          <cell r="FJ53">
            <v>0</v>
          </cell>
          <cell r="FK53">
            <v>0</v>
          </cell>
          <cell r="FL53">
            <v>0</v>
          </cell>
          <cell r="FM53">
            <v>0</v>
          </cell>
          <cell r="FN53">
            <v>0</v>
          </cell>
          <cell r="FQ53">
            <v>2.78606920046372E-2</v>
          </cell>
          <cell r="FR53">
            <v>3.0000000000000002E-2</v>
          </cell>
          <cell r="FS53">
            <v>3.0000000000000002E-2</v>
          </cell>
          <cell r="FT53">
            <v>3.5000000000000003E-2</v>
          </cell>
          <cell r="FU53">
            <v>3.5000000000000003E-2</v>
          </cell>
          <cell r="FV53">
            <v>3.5000000000000003E-2</v>
          </cell>
          <cell r="FW53">
            <v>3.5000000000000003E-2</v>
          </cell>
          <cell r="FX53">
            <v>3.5000000000000003E-2</v>
          </cell>
          <cell r="FY53">
            <v>3.5000000000000003E-2</v>
          </cell>
          <cell r="FZ53">
            <v>3.5000000000000003E-2</v>
          </cell>
          <cell r="GA53">
            <v>3.5000000000000003E-2</v>
          </cell>
          <cell r="GD53">
            <v>2.5788553603709762E-2</v>
          </cell>
          <cell r="GE53">
            <v>3.0696163685004479E-2</v>
          </cell>
          <cell r="GF53">
            <v>3.1280719379455958E-2</v>
          </cell>
          <cell r="GG53">
            <v>3.3471889400436612E-2</v>
          </cell>
          <cell r="GH53">
            <v>3.2254347986110904E-2</v>
          </cell>
          <cell r="GI53">
            <v>3.1497609253818032E-2</v>
          </cell>
          <cell r="GJ53">
            <v>3.1221967331799313E-2</v>
          </cell>
          <cell r="GK53">
            <v>3.1181951938302217E-2</v>
          </cell>
          <cell r="GL53">
            <v>3.1578008749524919E-2</v>
          </cell>
          <cell r="GM53">
            <v>3.2593791133543944E-2</v>
          </cell>
          <cell r="GN53">
            <v>3.2795546696915839E-2</v>
          </cell>
        </row>
        <row r="54">
          <cell r="B54" t="str">
            <v>Bathurst</v>
          </cell>
          <cell r="C54">
            <v>0</v>
          </cell>
          <cell r="D54">
            <v>1</v>
          </cell>
          <cell r="E54" t="str">
            <v>Neighbourhood</v>
          </cell>
          <cell r="F54" t="str">
            <v>NSW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3.9</v>
          </cell>
          <cell r="S54">
            <v>3.9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3.4</v>
          </cell>
          <cell r="AD54">
            <v>0</v>
          </cell>
          <cell r="AE54">
            <v>0</v>
          </cell>
          <cell r="AF54">
            <v>0.46575342465753422</v>
          </cell>
          <cell r="AG54">
            <v>0</v>
          </cell>
          <cell r="AH54">
            <v>0</v>
          </cell>
          <cell r="AI54">
            <v>0.53424657534246578</v>
          </cell>
          <cell r="AJ54">
            <v>0</v>
          </cell>
          <cell r="AK54">
            <v>0</v>
          </cell>
          <cell r="AN54">
            <v>3.9</v>
          </cell>
          <cell r="AO54">
            <v>7.3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3.9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3.4</v>
          </cell>
          <cell r="BX54">
            <v>0</v>
          </cell>
          <cell r="BY54">
            <v>0</v>
          </cell>
          <cell r="BZ54">
            <v>0</v>
          </cell>
          <cell r="CA54">
            <v>0</v>
          </cell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H54">
            <v>0</v>
          </cell>
          <cell r="CI54">
            <v>0</v>
          </cell>
          <cell r="CJ54">
            <v>0</v>
          </cell>
          <cell r="CK54">
            <v>0</v>
          </cell>
          <cell r="CL54">
            <v>0</v>
          </cell>
          <cell r="CM54">
            <v>7.3</v>
          </cell>
          <cell r="CN54">
            <v>0</v>
          </cell>
          <cell r="CO54">
            <v>0</v>
          </cell>
          <cell r="CP54">
            <v>0</v>
          </cell>
          <cell r="CQ54">
            <v>0</v>
          </cell>
          <cell r="CR54">
            <v>0</v>
          </cell>
          <cell r="CS54">
            <v>0</v>
          </cell>
          <cell r="CV54">
            <v>0</v>
          </cell>
          <cell r="CW54">
            <v>0</v>
          </cell>
          <cell r="CX54">
            <v>0</v>
          </cell>
          <cell r="CY54">
            <v>0</v>
          </cell>
          <cell r="CZ54">
            <v>7.3</v>
          </cell>
          <cell r="DA54">
            <v>0</v>
          </cell>
          <cell r="DD54">
            <v>3.2500000000000001E-2</v>
          </cell>
          <cell r="DE54">
            <v>4.3480818425022362E-2</v>
          </cell>
          <cell r="DF54">
            <v>5.1403596897279767E-2</v>
          </cell>
          <cell r="DG54">
            <v>3.7359447002183042E-2</v>
          </cell>
          <cell r="DH54">
            <v>3.1271739930554508E-2</v>
          </cell>
          <cell r="DI54">
            <v>2.7488046269090145E-2</v>
          </cell>
          <cell r="DJ54">
            <v>2.6109836658996539E-2</v>
          </cell>
          <cell r="DK54">
            <v>2.5909759691511065E-2</v>
          </cell>
          <cell r="DL54">
            <v>2.7890043747624566E-2</v>
          </cell>
          <cell r="DM54">
            <v>3.29689556677197E-2</v>
          </cell>
          <cell r="DN54">
            <v>3.3977733484579185E-2</v>
          </cell>
          <cell r="DQ54">
            <v>0</v>
          </cell>
          <cell r="DR54">
            <v>0</v>
          </cell>
          <cell r="DS54">
            <v>0</v>
          </cell>
          <cell r="DT54">
            <v>0</v>
          </cell>
          <cell r="DU54">
            <v>0</v>
          </cell>
          <cell r="DV54">
            <v>0</v>
          </cell>
          <cell r="DW54">
            <v>0</v>
          </cell>
          <cell r="DX54">
            <v>0</v>
          </cell>
          <cell r="DY54">
            <v>0</v>
          </cell>
          <cell r="DZ54">
            <v>0</v>
          </cell>
          <cell r="EA54">
            <v>0</v>
          </cell>
          <cell r="ED54">
            <v>0</v>
          </cell>
          <cell r="EE54">
            <v>0</v>
          </cell>
          <cell r="EF54">
            <v>0</v>
          </cell>
          <cell r="EG54">
            <v>0</v>
          </cell>
          <cell r="EH54">
            <v>0</v>
          </cell>
          <cell r="EI54">
            <v>0</v>
          </cell>
          <cell r="EJ54">
            <v>0</v>
          </cell>
          <cell r="EK54">
            <v>0</v>
          </cell>
          <cell r="EL54">
            <v>0</v>
          </cell>
          <cell r="EM54">
            <v>0</v>
          </cell>
          <cell r="EN54">
            <v>0</v>
          </cell>
          <cell r="EQ54">
            <v>2.2898177920285628E-2</v>
          </cell>
          <cell r="ER54">
            <v>2.1369863013698632E-2</v>
          </cell>
          <cell r="ES54">
            <v>2.4041095890410962E-2</v>
          </cell>
          <cell r="ET54">
            <v>2.4041095890410959E-2</v>
          </cell>
          <cell r="EU54">
            <v>2.4041095890410959E-2</v>
          </cell>
          <cell r="EV54">
            <v>2.4041095890410959E-2</v>
          </cell>
          <cell r="EW54">
            <v>2.4041095890410959E-2</v>
          </cell>
          <cell r="EX54">
            <v>2.4041095890410959E-2</v>
          </cell>
          <cell r="EY54">
            <v>2.4041095890410959E-2</v>
          </cell>
          <cell r="EZ54">
            <v>2.4041095890410959E-2</v>
          </cell>
          <cell r="FA54">
            <v>2.4041095890410959E-2</v>
          </cell>
          <cell r="FD54">
            <v>0</v>
          </cell>
          <cell r="FE54">
            <v>0</v>
          </cell>
          <cell r="FF54">
            <v>0</v>
          </cell>
          <cell r="FG54">
            <v>0</v>
          </cell>
          <cell r="FH54">
            <v>0</v>
          </cell>
          <cell r="FI54">
            <v>0</v>
          </cell>
          <cell r="FJ54">
            <v>0</v>
          </cell>
          <cell r="FK54">
            <v>0</v>
          </cell>
          <cell r="FL54">
            <v>0</v>
          </cell>
          <cell r="FM54">
            <v>0</v>
          </cell>
          <cell r="FN54">
            <v>0</v>
          </cell>
          <cell r="FQ54">
            <v>2.2898177920285628E-2</v>
          </cell>
          <cell r="FR54">
            <v>2.1369863013698632E-2</v>
          </cell>
          <cell r="FS54">
            <v>2.4041095890410962E-2</v>
          </cell>
          <cell r="FT54">
            <v>2.4041095890410959E-2</v>
          </cell>
          <cell r="FU54">
            <v>2.4041095890410959E-2</v>
          </cell>
          <cell r="FV54">
            <v>2.4041095890410959E-2</v>
          </cell>
          <cell r="FW54">
            <v>2.4041095890410959E-2</v>
          </cell>
          <cell r="FX54">
            <v>2.4041095890410959E-2</v>
          </cell>
          <cell r="FY54">
            <v>2.4041095890410959E-2</v>
          </cell>
          <cell r="FZ54">
            <v>2.4041095890410959E-2</v>
          </cell>
          <cell r="GA54">
            <v>2.4041095890410959E-2</v>
          </cell>
          <cell r="GD54">
            <v>2.4818542336228502E-2</v>
          </cell>
          <cell r="GE54">
            <v>2.5792054095963378E-2</v>
          </cell>
          <cell r="GF54">
            <v>2.9513596091784725E-2</v>
          </cell>
          <cell r="GG54">
            <v>2.6704766112765378E-2</v>
          </cell>
          <cell r="GH54">
            <v>2.548722469843967E-2</v>
          </cell>
          <cell r="GI54">
            <v>2.4730485966146798E-2</v>
          </cell>
          <cell r="GJ54">
            <v>2.4454844044128076E-2</v>
          </cell>
          <cell r="GK54">
            <v>2.4414828650630983E-2</v>
          </cell>
          <cell r="GL54">
            <v>2.4810885461853682E-2</v>
          </cell>
          <cell r="GM54">
            <v>2.582666784587271E-2</v>
          </cell>
          <cell r="GN54">
            <v>2.6028423409244605E-2</v>
          </cell>
        </row>
        <row r="55">
          <cell r="B55" t="str">
            <v>Cardiff</v>
          </cell>
          <cell r="C55">
            <v>0</v>
          </cell>
          <cell r="D55">
            <v>1</v>
          </cell>
          <cell r="E55" t="str">
            <v>Supermarket Only</v>
          </cell>
          <cell r="F55" t="str">
            <v>NSW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2</v>
          </cell>
          <cell r="S55">
            <v>2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1</v>
          </cell>
          <cell r="AJ55">
            <v>0</v>
          </cell>
          <cell r="AK55">
            <v>0</v>
          </cell>
          <cell r="AN55">
            <v>2</v>
          </cell>
          <cell r="AO55">
            <v>2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2</v>
          </cell>
          <cell r="BP55">
            <v>0</v>
          </cell>
          <cell r="BQ55">
            <v>0</v>
          </cell>
          <cell r="BR55">
            <v>0</v>
          </cell>
          <cell r="BS55">
            <v>0</v>
          </cell>
          <cell r="BT55">
            <v>0</v>
          </cell>
          <cell r="BU55">
            <v>0</v>
          </cell>
          <cell r="BV55">
            <v>0</v>
          </cell>
          <cell r="BW55">
            <v>0</v>
          </cell>
          <cell r="BX55">
            <v>0</v>
          </cell>
          <cell r="BY55">
            <v>0</v>
          </cell>
          <cell r="BZ55">
            <v>0</v>
          </cell>
          <cell r="CA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  <cell r="CM55">
            <v>2</v>
          </cell>
          <cell r="CN55">
            <v>0</v>
          </cell>
          <cell r="CO55">
            <v>0</v>
          </cell>
          <cell r="CP55">
            <v>0</v>
          </cell>
          <cell r="CQ55">
            <v>0</v>
          </cell>
          <cell r="CR55">
            <v>0</v>
          </cell>
          <cell r="CS55">
            <v>0</v>
          </cell>
          <cell r="CV55">
            <v>0</v>
          </cell>
          <cell r="CW55">
            <v>0</v>
          </cell>
          <cell r="CX55">
            <v>0</v>
          </cell>
          <cell r="CY55">
            <v>0</v>
          </cell>
          <cell r="CZ55">
            <v>0</v>
          </cell>
          <cell r="DA55">
            <v>2</v>
          </cell>
          <cell r="DD55">
            <v>3.2500000000000001E-2</v>
          </cell>
          <cell r="DE55">
            <v>4.3480818425022362E-2</v>
          </cell>
          <cell r="DF55">
            <v>5.1403596897279767E-2</v>
          </cell>
          <cell r="DG55">
            <v>3.7359447002183042E-2</v>
          </cell>
          <cell r="DH55">
            <v>3.1271739930554508E-2</v>
          </cell>
          <cell r="DI55">
            <v>2.7488046269090145E-2</v>
          </cell>
          <cell r="DJ55">
            <v>2.6109836658996539E-2</v>
          </cell>
          <cell r="DK55">
            <v>2.5909759691511065E-2</v>
          </cell>
          <cell r="DL55">
            <v>2.7890043747624566E-2</v>
          </cell>
          <cell r="DM55">
            <v>3.29689556677197E-2</v>
          </cell>
          <cell r="DN55">
            <v>3.3977733484579185E-2</v>
          </cell>
          <cell r="DQ55">
            <v>0</v>
          </cell>
          <cell r="DR55">
            <v>0</v>
          </cell>
          <cell r="DS55">
            <v>0</v>
          </cell>
          <cell r="DT55">
            <v>0</v>
          </cell>
          <cell r="DU55">
            <v>0</v>
          </cell>
          <cell r="DV55">
            <v>0</v>
          </cell>
          <cell r="DW55">
            <v>0</v>
          </cell>
          <cell r="DX55">
            <v>0</v>
          </cell>
          <cell r="DY55">
            <v>0</v>
          </cell>
          <cell r="DZ55">
            <v>0</v>
          </cell>
          <cell r="EA55">
            <v>0</v>
          </cell>
          <cell r="ED55">
            <v>0</v>
          </cell>
          <cell r="EE55">
            <v>0</v>
          </cell>
          <cell r="EF55">
            <v>0</v>
          </cell>
          <cell r="EG55">
            <v>0</v>
          </cell>
          <cell r="EH55">
            <v>0</v>
          </cell>
          <cell r="EI55">
            <v>0</v>
          </cell>
          <cell r="EJ55">
            <v>0</v>
          </cell>
          <cell r="EK55">
            <v>0</v>
          </cell>
          <cell r="EL55">
            <v>0</v>
          </cell>
          <cell r="EM55">
            <v>0</v>
          </cell>
          <cell r="EN55">
            <v>0</v>
          </cell>
          <cell r="EQ55">
            <v>4.2860692004637199E-2</v>
          </cell>
          <cell r="ER55">
            <v>0.04</v>
          </cell>
          <cell r="ES55">
            <v>4.5000000000000005E-2</v>
          </cell>
          <cell r="ET55">
            <v>4.4999999999999998E-2</v>
          </cell>
          <cell r="EU55">
            <v>4.4999999999999998E-2</v>
          </cell>
          <cell r="EV55">
            <v>4.4999999999999998E-2</v>
          </cell>
          <cell r="EW55">
            <v>4.4999999999999998E-2</v>
          </cell>
          <cell r="EX55">
            <v>4.4999999999999998E-2</v>
          </cell>
          <cell r="EY55">
            <v>4.4999999999999998E-2</v>
          </cell>
          <cell r="EZ55">
            <v>4.4999999999999998E-2</v>
          </cell>
          <cell r="FA55">
            <v>4.4999999999999998E-2</v>
          </cell>
          <cell r="FD55">
            <v>0</v>
          </cell>
          <cell r="FE55">
            <v>0</v>
          </cell>
          <cell r="FF55">
            <v>0</v>
          </cell>
          <cell r="FG55">
            <v>0</v>
          </cell>
          <cell r="FH55">
            <v>0</v>
          </cell>
          <cell r="FI55">
            <v>0</v>
          </cell>
          <cell r="FJ55">
            <v>0</v>
          </cell>
          <cell r="FK55">
            <v>0</v>
          </cell>
          <cell r="FL55">
            <v>0</v>
          </cell>
          <cell r="FM55">
            <v>0</v>
          </cell>
          <cell r="FN55">
            <v>0</v>
          </cell>
          <cell r="FQ55">
            <v>4.2860692004637199E-2</v>
          </cell>
          <cell r="FR55">
            <v>0.04</v>
          </cell>
          <cell r="FS55">
            <v>4.5000000000000005E-2</v>
          </cell>
          <cell r="FT55">
            <v>4.4999999999999998E-2</v>
          </cell>
          <cell r="FU55">
            <v>4.4999999999999998E-2</v>
          </cell>
          <cell r="FV55">
            <v>4.4999999999999998E-2</v>
          </cell>
          <cell r="FW55">
            <v>4.4999999999999998E-2</v>
          </cell>
          <cell r="FX55">
            <v>4.4999999999999998E-2</v>
          </cell>
          <cell r="FY55">
            <v>4.4999999999999998E-2</v>
          </cell>
          <cell r="FZ55">
            <v>4.4999999999999998E-2</v>
          </cell>
          <cell r="GA55">
            <v>4.4999999999999998E-2</v>
          </cell>
          <cell r="GD55">
            <v>4.0788553603709761E-2</v>
          </cell>
          <cell r="GE55">
            <v>4.0696163685004477E-2</v>
          </cell>
          <cell r="GF55">
            <v>4.6280719379455958E-2</v>
          </cell>
          <cell r="GG55">
            <v>4.3471889400436607E-2</v>
          </cell>
          <cell r="GH55">
            <v>4.2254347986110899E-2</v>
          </cell>
          <cell r="GI55">
            <v>4.1497609253818027E-2</v>
          </cell>
          <cell r="GJ55">
            <v>4.1221967331799308E-2</v>
          </cell>
          <cell r="GK55">
            <v>4.1181951938302208E-2</v>
          </cell>
          <cell r="GL55">
            <v>4.1578008749524914E-2</v>
          </cell>
          <cell r="GM55">
            <v>4.2593791133543939E-2</v>
          </cell>
          <cell r="GN55">
            <v>4.2795546696915834E-2</v>
          </cell>
        </row>
        <row r="56">
          <cell r="B56" t="str">
            <v>Caringbah</v>
          </cell>
          <cell r="C56">
            <v>0</v>
          </cell>
          <cell r="D56">
            <v>1</v>
          </cell>
          <cell r="E56" t="str">
            <v>Supermarket Only</v>
          </cell>
          <cell r="F56" t="str">
            <v>NSW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3</v>
          </cell>
          <cell r="S56">
            <v>3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1</v>
          </cell>
          <cell r="AJ56">
            <v>0</v>
          </cell>
          <cell r="AK56">
            <v>0</v>
          </cell>
          <cell r="AN56">
            <v>3</v>
          </cell>
          <cell r="AO56">
            <v>3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3</v>
          </cell>
          <cell r="BP56">
            <v>0</v>
          </cell>
          <cell r="BQ56">
            <v>0</v>
          </cell>
          <cell r="BR56">
            <v>0</v>
          </cell>
          <cell r="BS56">
            <v>0</v>
          </cell>
          <cell r="BT56">
            <v>0</v>
          </cell>
          <cell r="BU56">
            <v>0</v>
          </cell>
          <cell r="BV56">
            <v>0</v>
          </cell>
          <cell r="BW56">
            <v>0</v>
          </cell>
          <cell r="BX56">
            <v>0</v>
          </cell>
          <cell r="BY56">
            <v>0</v>
          </cell>
          <cell r="BZ56">
            <v>0</v>
          </cell>
          <cell r="CA56">
            <v>0</v>
          </cell>
          <cell r="CB56">
            <v>0</v>
          </cell>
          <cell r="CC56">
            <v>0</v>
          </cell>
          <cell r="CD56">
            <v>0</v>
          </cell>
          <cell r="CE56">
            <v>0</v>
          </cell>
          <cell r="CF56">
            <v>0</v>
          </cell>
          <cell r="CG56">
            <v>0</v>
          </cell>
          <cell r="CH56">
            <v>0</v>
          </cell>
          <cell r="CI56">
            <v>0</v>
          </cell>
          <cell r="CJ56">
            <v>0</v>
          </cell>
          <cell r="CK56">
            <v>0</v>
          </cell>
          <cell r="CL56">
            <v>0</v>
          </cell>
          <cell r="CM56">
            <v>3</v>
          </cell>
          <cell r="CN56">
            <v>0</v>
          </cell>
          <cell r="CO56">
            <v>0</v>
          </cell>
          <cell r="CP56">
            <v>0</v>
          </cell>
          <cell r="CQ56">
            <v>0</v>
          </cell>
          <cell r="CR56">
            <v>0</v>
          </cell>
          <cell r="CS56">
            <v>0</v>
          </cell>
          <cell r="CV56">
            <v>0</v>
          </cell>
          <cell r="CW56">
            <v>0</v>
          </cell>
          <cell r="CX56">
            <v>0</v>
          </cell>
          <cell r="CY56">
            <v>0</v>
          </cell>
          <cell r="CZ56">
            <v>0</v>
          </cell>
          <cell r="DA56">
            <v>3</v>
          </cell>
          <cell r="DD56">
            <v>3.2500000000000001E-2</v>
          </cell>
          <cell r="DE56">
            <v>4.3480818425022362E-2</v>
          </cell>
          <cell r="DF56">
            <v>5.1403596897279767E-2</v>
          </cell>
          <cell r="DG56">
            <v>3.7359447002183042E-2</v>
          </cell>
          <cell r="DH56">
            <v>3.1271739930554508E-2</v>
          </cell>
          <cell r="DI56">
            <v>2.7488046269090145E-2</v>
          </cell>
          <cell r="DJ56">
            <v>2.6109836658996539E-2</v>
          </cell>
          <cell r="DK56">
            <v>2.5909759691511065E-2</v>
          </cell>
          <cell r="DL56">
            <v>2.7890043747624566E-2</v>
          </cell>
          <cell r="DM56">
            <v>3.29689556677197E-2</v>
          </cell>
          <cell r="DN56">
            <v>3.3977733484579185E-2</v>
          </cell>
          <cell r="DQ56">
            <v>0</v>
          </cell>
          <cell r="DR56">
            <v>0</v>
          </cell>
          <cell r="DS56">
            <v>0</v>
          </cell>
          <cell r="DT56">
            <v>0</v>
          </cell>
          <cell r="DU56">
            <v>0</v>
          </cell>
          <cell r="DV56">
            <v>0</v>
          </cell>
          <cell r="DW56">
            <v>0</v>
          </cell>
          <cell r="DX56">
            <v>0</v>
          </cell>
          <cell r="DY56">
            <v>0</v>
          </cell>
          <cell r="DZ56">
            <v>0</v>
          </cell>
          <cell r="EA56">
            <v>0</v>
          </cell>
          <cell r="ED56">
            <v>0</v>
          </cell>
          <cell r="EE56">
            <v>0</v>
          </cell>
          <cell r="EF56">
            <v>0</v>
          </cell>
          <cell r="EG56">
            <v>0</v>
          </cell>
          <cell r="EH56">
            <v>0</v>
          </cell>
          <cell r="EI56">
            <v>0</v>
          </cell>
          <cell r="EJ56">
            <v>0</v>
          </cell>
          <cell r="EK56">
            <v>0</v>
          </cell>
          <cell r="EL56">
            <v>0</v>
          </cell>
          <cell r="EM56">
            <v>0</v>
          </cell>
          <cell r="EN56">
            <v>0</v>
          </cell>
          <cell r="EQ56">
            <v>4.2860692004637199E-2</v>
          </cell>
          <cell r="ER56">
            <v>0.04</v>
          </cell>
          <cell r="ES56">
            <v>4.5000000000000005E-2</v>
          </cell>
          <cell r="ET56">
            <v>4.4999999999999998E-2</v>
          </cell>
          <cell r="EU56">
            <v>4.4999999999999998E-2</v>
          </cell>
          <cell r="EV56">
            <v>4.4999999999999998E-2</v>
          </cell>
          <cell r="EW56">
            <v>4.4999999999999998E-2</v>
          </cell>
          <cell r="EX56">
            <v>4.4999999999999998E-2</v>
          </cell>
          <cell r="EY56">
            <v>4.4999999999999998E-2</v>
          </cell>
          <cell r="EZ56">
            <v>4.4999999999999998E-2</v>
          </cell>
          <cell r="FA56">
            <v>4.4999999999999998E-2</v>
          </cell>
          <cell r="FD56">
            <v>0</v>
          </cell>
          <cell r="FE56">
            <v>0</v>
          </cell>
          <cell r="FF56">
            <v>0</v>
          </cell>
          <cell r="FG56">
            <v>0</v>
          </cell>
          <cell r="FH56">
            <v>0</v>
          </cell>
          <cell r="FI56">
            <v>0</v>
          </cell>
          <cell r="FJ56">
            <v>0</v>
          </cell>
          <cell r="FK56">
            <v>0</v>
          </cell>
          <cell r="FL56">
            <v>0</v>
          </cell>
          <cell r="FM56">
            <v>0</v>
          </cell>
          <cell r="FN56">
            <v>0</v>
          </cell>
          <cell r="FQ56">
            <v>4.2860692004637199E-2</v>
          </cell>
          <cell r="FR56">
            <v>0.04</v>
          </cell>
          <cell r="FS56">
            <v>4.5000000000000005E-2</v>
          </cell>
          <cell r="FT56">
            <v>4.4999999999999998E-2</v>
          </cell>
          <cell r="FU56">
            <v>4.4999999999999998E-2</v>
          </cell>
          <cell r="FV56">
            <v>4.4999999999999998E-2</v>
          </cell>
          <cell r="FW56">
            <v>4.4999999999999998E-2</v>
          </cell>
          <cell r="FX56">
            <v>4.4999999999999998E-2</v>
          </cell>
          <cell r="FY56">
            <v>4.4999999999999998E-2</v>
          </cell>
          <cell r="FZ56">
            <v>4.4999999999999998E-2</v>
          </cell>
          <cell r="GA56">
            <v>4.4999999999999998E-2</v>
          </cell>
          <cell r="GD56">
            <v>4.0788553603709761E-2</v>
          </cell>
          <cell r="GE56">
            <v>4.0696163685004477E-2</v>
          </cell>
          <cell r="GF56">
            <v>4.6280719379455958E-2</v>
          </cell>
          <cell r="GG56">
            <v>4.3471889400436607E-2</v>
          </cell>
          <cell r="GH56">
            <v>4.2254347986110899E-2</v>
          </cell>
          <cell r="GI56">
            <v>4.1497609253818027E-2</v>
          </cell>
          <cell r="GJ56">
            <v>4.1221967331799308E-2</v>
          </cell>
          <cell r="GK56">
            <v>4.1181951938302208E-2</v>
          </cell>
          <cell r="GL56">
            <v>4.1578008749524914E-2</v>
          </cell>
          <cell r="GM56">
            <v>4.2593791133543939E-2</v>
          </cell>
          <cell r="GN56">
            <v>4.2795546696915834E-2</v>
          </cell>
        </row>
        <row r="57">
          <cell r="B57" t="str">
            <v>Cooma</v>
          </cell>
          <cell r="C57">
            <v>0</v>
          </cell>
          <cell r="D57">
            <v>1</v>
          </cell>
          <cell r="E57" t="str">
            <v>Supermarket Only</v>
          </cell>
          <cell r="F57" t="str">
            <v>NSW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3.1</v>
          </cell>
          <cell r="S57">
            <v>0</v>
          </cell>
          <cell r="T57">
            <v>3.1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1</v>
          </cell>
          <cell r="AJ57">
            <v>0</v>
          </cell>
          <cell r="AK57">
            <v>0</v>
          </cell>
          <cell r="AN57">
            <v>3.1</v>
          </cell>
          <cell r="AO57">
            <v>3.1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3.1</v>
          </cell>
          <cell r="BP57">
            <v>0</v>
          </cell>
          <cell r="BQ57">
            <v>0</v>
          </cell>
          <cell r="BR57">
            <v>0</v>
          </cell>
          <cell r="BS57">
            <v>0</v>
          </cell>
          <cell r="BT57">
            <v>0</v>
          </cell>
          <cell r="BU57">
            <v>0</v>
          </cell>
          <cell r="BV57">
            <v>0</v>
          </cell>
          <cell r="BW57">
            <v>0</v>
          </cell>
          <cell r="BX57">
            <v>0</v>
          </cell>
          <cell r="BY57">
            <v>0</v>
          </cell>
          <cell r="BZ57">
            <v>0</v>
          </cell>
          <cell r="CA57">
            <v>0</v>
          </cell>
          <cell r="CB57">
            <v>0</v>
          </cell>
          <cell r="CC57">
            <v>0</v>
          </cell>
          <cell r="CD57">
            <v>0</v>
          </cell>
          <cell r="CE57">
            <v>0</v>
          </cell>
          <cell r="CF57">
            <v>0</v>
          </cell>
          <cell r="CG57">
            <v>0</v>
          </cell>
          <cell r="CH57">
            <v>0</v>
          </cell>
          <cell r="CI57">
            <v>0</v>
          </cell>
          <cell r="CJ57">
            <v>0</v>
          </cell>
          <cell r="CK57">
            <v>0</v>
          </cell>
          <cell r="CL57">
            <v>0</v>
          </cell>
          <cell r="CM57">
            <v>3.1</v>
          </cell>
          <cell r="CN57">
            <v>0</v>
          </cell>
          <cell r="CO57">
            <v>0</v>
          </cell>
          <cell r="CP57">
            <v>0</v>
          </cell>
          <cell r="CQ57">
            <v>0</v>
          </cell>
          <cell r="CR57">
            <v>0</v>
          </cell>
          <cell r="CS57">
            <v>0</v>
          </cell>
          <cell r="CV57">
            <v>0</v>
          </cell>
          <cell r="CW57">
            <v>0</v>
          </cell>
          <cell r="CX57">
            <v>0</v>
          </cell>
          <cell r="CY57">
            <v>0</v>
          </cell>
          <cell r="CZ57">
            <v>0</v>
          </cell>
          <cell r="DA57">
            <v>3.1</v>
          </cell>
          <cell r="DD57">
            <v>3.2500000000000001E-2</v>
          </cell>
          <cell r="DE57">
            <v>4.3480818425022362E-2</v>
          </cell>
          <cell r="DF57">
            <v>5.1403596897279767E-2</v>
          </cell>
          <cell r="DG57">
            <v>3.7359447002183042E-2</v>
          </cell>
          <cell r="DH57">
            <v>3.1271739930554508E-2</v>
          </cell>
          <cell r="DI57">
            <v>2.7488046269090145E-2</v>
          </cell>
          <cell r="DJ57">
            <v>2.6109836658996539E-2</v>
          </cell>
          <cell r="DK57">
            <v>2.5909759691511065E-2</v>
          </cell>
          <cell r="DL57">
            <v>2.7890043747624566E-2</v>
          </cell>
          <cell r="DM57">
            <v>3.29689556677197E-2</v>
          </cell>
          <cell r="DN57">
            <v>3.3977733484579185E-2</v>
          </cell>
          <cell r="DQ57">
            <v>0</v>
          </cell>
          <cell r="DR57">
            <v>0</v>
          </cell>
          <cell r="DS57">
            <v>0</v>
          </cell>
          <cell r="DT57">
            <v>0</v>
          </cell>
          <cell r="DU57">
            <v>0</v>
          </cell>
          <cell r="DV57">
            <v>0</v>
          </cell>
          <cell r="DW57">
            <v>0</v>
          </cell>
          <cell r="DX57">
            <v>0</v>
          </cell>
          <cell r="DY57">
            <v>0</v>
          </cell>
          <cell r="DZ57">
            <v>0</v>
          </cell>
          <cell r="EA57">
            <v>0</v>
          </cell>
          <cell r="ED57">
            <v>0</v>
          </cell>
          <cell r="EE57">
            <v>0</v>
          </cell>
          <cell r="EF57">
            <v>0</v>
          </cell>
          <cell r="EG57">
            <v>0</v>
          </cell>
          <cell r="EH57">
            <v>0</v>
          </cell>
          <cell r="EI57">
            <v>0</v>
          </cell>
          <cell r="EJ57">
            <v>0</v>
          </cell>
          <cell r="EK57">
            <v>0</v>
          </cell>
          <cell r="EL57">
            <v>0</v>
          </cell>
          <cell r="EM57">
            <v>0</v>
          </cell>
          <cell r="EN57">
            <v>0</v>
          </cell>
          <cell r="EQ57">
            <v>4.2860692004637199E-2</v>
          </cell>
          <cell r="ER57">
            <v>0.04</v>
          </cell>
          <cell r="ES57">
            <v>4.5000000000000005E-2</v>
          </cell>
          <cell r="ET57">
            <v>4.4999999999999998E-2</v>
          </cell>
          <cell r="EU57">
            <v>4.4999999999999998E-2</v>
          </cell>
          <cell r="EV57">
            <v>4.4999999999999998E-2</v>
          </cell>
          <cell r="EW57">
            <v>4.4999999999999998E-2</v>
          </cell>
          <cell r="EX57">
            <v>4.4999999999999998E-2</v>
          </cell>
          <cell r="EY57">
            <v>4.4999999999999998E-2</v>
          </cell>
          <cell r="EZ57">
            <v>4.4999999999999998E-2</v>
          </cell>
          <cell r="FA57">
            <v>4.4999999999999998E-2</v>
          </cell>
          <cell r="FD57">
            <v>0</v>
          </cell>
          <cell r="FE57">
            <v>0</v>
          </cell>
          <cell r="FF57">
            <v>0</v>
          </cell>
          <cell r="FG57">
            <v>0</v>
          </cell>
          <cell r="FH57">
            <v>0</v>
          </cell>
          <cell r="FI57">
            <v>0</v>
          </cell>
          <cell r="FJ57">
            <v>0</v>
          </cell>
          <cell r="FK57">
            <v>0</v>
          </cell>
          <cell r="FL57">
            <v>0</v>
          </cell>
          <cell r="FM57">
            <v>0</v>
          </cell>
          <cell r="FN57">
            <v>0</v>
          </cell>
          <cell r="FQ57">
            <v>4.2860692004637199E-2</v>
          </cell>
          <cell r="FR57">
            <v>0.04</v>
          </cell>
          <cell r="FS57">
            <v>4.5000000000000005E-2</v>
          </cell>
          <cell r="FT57">
            <v>4.4999999999999998E-2</v>
          </cell>
          <cell r="FU57">
            <v>4.4999999999999998E-2</v>
          </cell>
          <cell r="FV57">
            <v>4.4999999999999998E-2</v>
          </cell>
          <cell r="FW57">
            <v>4.4999999999999998E-2</v>
          </cell>
          <cell r="FX57">
            <v>4.4999999999999998E-2</v>
          </cell>
          <cell r="FY57">
            <v>4.4999999999999998E-2</v>
          </cell>
          <cell r="FZ57">
            <v>4.4999999999999998E-2</v>
          </cell>
          <cell r="GA57">
            <v>4.4999999999999998E-2</v>
          </cell>
          <cell r="GD57">
            <v>4.0788553603709761E-2</v>
          </cell>
          <cell r="GE57">
            <v>4.0696163685004477E-2</v>
          </cell>
          <cell r="GF57">
            <v>4.6280719379455958E-2</v>
          </cell>
          <cell r="GG57">
            <v>4.3471889400436607E-2</v>
          </cell>
          <cell r="GH57">
            <v>4.2254347986110899E-2</v>
          </cell>
          <cell r="GI57">
            <v>4.1497609253818027E-2</v>
          </cell>
          <cell r="GJ57">
            <v>4.1221967331799308E-2</v>
          </cell>
          <cell r="GK57">
            <v>4.1181951938302208E-2</v>
          </cell>
          <cell r="GL57">
            <v>4.1578008749524914E-2</v>
          </cell>
          <cell r="GM57">
            <v>4.2593791133543939E-2</v>
          </cell>
          <cell r="GN57">
            <v>4.2795546696915834E-2</v>
          </cell>
        </row>
        <row r="58">
          <cell r="B58" t="str">
            <v>Earlwood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 t="e">
            <v>#DIV/0!</v>
          </cell>
          <cell r="AG58" t="e">
            <v>#DIV/0!</v>
          </cell>
          <cell r="AH58" t="e">
            <v>#DIV/0!</v>
          </cell>
          <cell r="AI58" t="e">
            <v>#DIV/0!</v>
          </cell>
          <cell r="AJ58" t="e">
            <v>#DIV/0!</v>
          </cell>
          <cell r="AK58" t="e">
            <v>#DIV/0!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0</v>
          </cell>
          <cell r="BQ58">
            <v>0</v>
          </cell>
          <cell r="BR58">
            <v>0</v>
          </cell>
          <cell r="BS58">
            <v>0</v>
          </cell>
          <cell r="BT58">
            <v>0</v>
          </cell>
          <cell r="BU58">
            <v>0</v>
          </cell>
          <cell r="BV58">
            <v>0</v>
          </cell>
          <cell r="BW58">
            <v>0</v>
          </cell>
          <cell r="BX58">
            <v>0</v>
          </cell>
          <cell r="BY58">
            <v>0</v>
          </cell>
          <cell r="BZ58">
            <v>0</v>
          </cell>
          <cell r="CA58">
            <v>0</v>
          </cell>
          <cell r="CB58">
            <v>0</v>
          </cell>
          <cell r="CC58">
            <v>0</v>
          </cell>
          <cell r="CD58">
            <v>0</v>
          </cell>
          <cell r="CE58">
            <v>0</v>
          </cell>
          <cell r="CF58">
            <v>0</v>
          </cell>
          <cell r="CG58">
            <v>0</v>
          </cell>
          <cell r="CH58">
            <v>0</v>
          </cell>
          <cell r="CI58">
            <v>0</v>
          </cell>
          <cell r="CJ58">
            <v>0</v>
          </cell>
          <cell r="CK58">
            <v>0</v>
          </cell>
          <cell r="CL58">
            <v>0</v>
          </cell>
          <cell r="CM58">
            <v>0</v>
          </cell>
          <cell r="CN58">
            <v>0</v>
          </cell>
          <cell r="CO58">
            <v>0</v>
          </cell>
          <cell r="CP58">
            <v>0</v>
          </cell>
          <cell r="CQ58">
            <v>0</v>
          </cell>
          <cell r="CR58">
            <v>0</v>
          </cell>
          <cell r="CS58">
            <v>0</v>
          </cell>
          <cell r="CV58">
            <v>0</v>
          </cell>
          <cell r="CW58">
            <v>0</v>
          </cell>
          <cell r="CX58">
            <v>0</v>
          </cell>
          <cell r="CY58">
            <v>0</v>
          </cell>
          <cell r="CZ58">
            <v>0</v>
          </cell>
          <cell r="DA58">
            <v>0</v>
          </cell>
          <cell r="DD58">
            <v>0</v>
          </cell>
          <cell r="DE58">
            <v>0</v>
          </cell>
          <cell r="DF58">
            <v>0</v>
          </cell>
          <cell r="DG58">
            <v>0</v>
          </cell>
          <cell r="DH58">
            <v>0</v>
          </cell>
          <cell r="DI58">
            <v>0</v>
          </cell>
          <cell r="DJ58">
            <v>0</v>
          </cell>
          <cell r="DK58">
            <v>0</v>
          </cell>
          <cell r="DL58">
            <v>0</v>
          </cell>
          <cell r="DM58">
            <v>0</v>
          </cell>
          <cell r="DN58">
            <v>0</v>
          </cell>
          <cell r="DQ58">
            <v>0</v>
          </cell>
          <cell r="DR58">
            <v>0</v>
          </cell>
          <cell r="DS58">
            <v>0</v>
          </cell>
          <cell r="DT58">
            <v>0</v>
          </cell>
          <cell r="DU58">
            <v>0</v>
          </cell>
          <cell r="DV58">
            <v>0</v>
          </cell>
          <cell r="DW58">
            <v>0</v>
          </cell>
          <cell r="DX58">
            <v>0</v>
          </cell>
          <cell r="DY58">
            <v>0</v>
          </cell>
          <cell r="DZ58">
            <v>0</v>
          </cell>
          <cell r="EA58">
            <v>0</v>
          </cell>
          <cell r="ED58">
            <v>0</v>
          </cell>
          <cell r="EE58">
            <v>0</v>
          </cell>
          <cell r="EF58">
            <v>0</v>
          </cell>
          <cell r="EG58">
            <v>0</v>
          </cell>
          <cell r="EH58">
            <v>0</v>
          </cell>
          <cell r="EI58">
            <v>0</v>
          </cell>
          <cell r="EJ58">
            <v>0</v>
          </cell>
          <cell r="EK58">
            <v>0</v>
          </cell>
          <cell r="EL58">
            <v>0</v>
          </cell>
          <cell r="EM58">
            <v>0</v>
          </cell>
          <cell r="EN58">
            <v>0</v>
          </cell>
          <cell r="EQ58">
            <v>0</v>
          </cell>
          <cell r="ER58">
            <v>0</v>
          </cell>
          <cell r="ES58">
            <v>0</v>
          </cell>
          <cell r="ET58">
            <v>0</v>
          </cell>
          <cell r="EU58">
            <v>0</v>
          </cell>
          <cell r="EV58">
            <v>0</v>
          </cell>
          <cell r="EW58">
            <v>0</v>
          </cell>
          <cell r="EX58">
            <v>0</v>
          </cell>
          <cell r="EY58">
            <v>0</v>
          </cell>
          <cell r="EZ58">
            <v>0</v>
          </cell>
          <cell r="FA58">
            <v>0</v>
          </cell>
          <cell r="FD58">
            <v>0</v>
          </cell>
          <cell r="FE58">
            <v>0</v>
          </cell>
          <cell r="FF58">
            <v>0</v>
          </cell>
          <cell r="FG58">
            <v>0</v>
          </cell>
          <cell r="FH58">
            <v>0</v>
          </cell>
          <cell r="FI58">
            <v>0</v>
          </cell>
          <cell r="FJ58">
            <v>0</v>
          </cell>
          <cell r="FK58">
            <v>0</v>
          </cell>
          <cell r="FL58">
            <v>0</v>
          </cell>
          <cell r="FM58">
            <v>0</v>
          </cell>
          <cell r="FN58">
            <v>0</v>
          </cell>
          <cell r="FQ58">
            <v>0</v>
          </cell>
          <cell r="FR58">
            <v>0</v>
          </cell>
          <cell r="FS58">
            <v>0</v>
          </cell>
          <cell r="FT58">
            <v>0</v>
          </cell>
          <cell r="FU58">
            <v>0</v>
          </cell>
          <cell r="FV58">
            <v>0</v>
          </cell>
          <cell r="FW58">
            <v>0</v>
          </cell>
          <cell r="FX58">
            <v>0</v>
          </cell>
          <cell r="FY58">
            <v>0</v>
          </cell>
          <cell r="FZ58">
            <v>0</v>
          </cell>
          <cell r="GA58">
            <v>0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</row>
        <row r="59">
          <cell r="B59" t="str">
            <v>Guilford</v>
          </cell>
          <cell r="C59">
            <v>0</v>
          </cell>
          <cell r="D59">
            <v>1</v>
          </cell>
          <cell r="E59" t="str">
            <v>Supermarket Only</v>
          </cell>
          <cell r="F59" t="str">
            <v>NSW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3.1</v>
          </cell>
          <cell r="S59">
            <v>0</v>
          </cell>
          <cell r="T59">
            <v>3.1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1</v>
          </cell>
          <cell r="AJ59">
            <v>0</v>
          </cell>
          <cell r="AK59">
            <v>0</v>
          </cell>
          <cell r="AN59">
            <v>3.1</v>
          </cell>
          <cell r="AO59">
            <v>3.1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3.1</v>
          </cell>
          <cell r="BP59">
            <v>0</v>
          </cell>
          <cell r="BQ59">
            <v>0</v>
          </cell>
          <cell r="BR59">
            <v>0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BZ59">
            <v>0</v>
          </cell>
          <cell r="CA59">
            <v>0</v>
          </cell>
          <cell r="CB59">
            <v>0</v>
          </cell>
          <cell r="CC59">
            <v>0</v>
          </cell>
          <cell r="CD59">
            <v>0</v>
          </cell>
          <cell r="CE59">
            <v>0</v>
          </cell>
          <cell r="CF59">
            <v>0</v>
          </cell>
          <cell r="CG59">
            <v>0</v>
          </cell>
          <cell r="CH59">
            <v>0</v>
          </cell>
          <cell r="CI59">
            <v>0</v>
          </cell>
          <cell r="CJ59">
            <v>0</v>
          </cell>
          <cell r="CK59">
            <v>0</v>
          </cell>
          <cell r="CL59">
            <v>0</v>
          </cell>
          <cell r="CM59">
            <v>3.1</v>
          </cell>
          <cell r="CN59">
            <v>0</v>
          </cell>
          <cell r="CO59">
            <v>0</v>
          </cell>
          <cell r="CP59">
            <v>0</v>
          </cell>
          <cell r="CQ59">
            <v>0</v>
          </cell>
          <cell r="CR59">
            <v>0</v>
          </cell>
          <cell r="CS59">
            <v>0</v>
          </cell>
          <cell r="CV59">
            <v>0</v>
          </cell>
          <cell r="CW59">
            <v>0</v>
          </cell>
          <cell r="CX59">
            <v>0</v>
          </cell>
          <cell r="CY59">
            <v>0</v>
          </cell>
          <cell r="CZ59">
            <v>0</v>
          </cell>
          <cell r="DA59">
            <v>3.1</v>
          </cell>
          <cell r="DD59">
            <v>3.2500000000000001E-2</v>
          </cell>
          <cell r="DE59">
            <v>4.3480818425022362E-2</v>
          </cell>
          <cell r="DF59">
            <v>5.1403596897279767E-2</v>
          </cell>
          <cell r="DG59">
            <v>3.7359447002183042E-2</v>
          </cell>
          <cell r="DH59">
            <v>3.1271739930554508E-2</v>
          </cell>
          <cell r="DI59">
            <v>2.7488046269090145E-2</v>
          </cell>
          <cell r="DJ59">
            <v>2.6109836658996539E-2</v>
          </cell>
          <cell r="DK59">
            <v>2.5909759691511065E-2</v>
          </cell>
          <cell r="DL59">
            <v>2.7890043747624566E-2</v>
          </cell>
          <cell r="DM59">
            <v>3.29689556677197E-2</v>
          </cell>
          <cell r="DN59">
            <v>3.3977733484579185E-2</v>
          </cell>
          <cell r="DQ59">
            <v>0</v>
          </cell>
          <cell r="DR59">
            <v>0</v>
          </cell>
          <cell r="DS59">
            <v>0</v>
          </cell>
          <cell r="DT59">
            <v>0</v>
          </cell>
          <cell r="DU59">
            <v>0</v>
          </cell>
          <cell r="DV59">
            <v>0</v>
          </cell>
          <cell r="DW59">
            <v>0</v>
          </cell>
          <cell r="DX59">
            <v>0</v>
          </cell>
          <cell r="DY59">
            <v>0</v>
          </cell>
          <cell r="DZ59">
            <v>0</v>
          </cell>
          <cell r="EA59">
            <v>0</v>
          </cell>
          <cell r="ED59">
            <v>0</v>
          </cell>
          <cell r="EE59">
            <v>0</v>
          </cell>
          <cell r="EF59">
            <v>0</v>
          </cell>
          <cell r="EG59">
            <v>0</v>
          </cell>
          <cell r="EH59">
            <v>0</v>
          </cell>
          <cell r="EI59">
            <v>0</v>
          </cell>
          <cell r="EJ59">
            <v>0</v>
          </cell>
          <cell r="EK59">
            <v>0</v>
          </cell>
          <cell r="EL59">
            <v>0</v>
          </cell>
          <cell r="EM59">
            <v>0</v>
          </cell>
          <cell r="EN59">
            <v>0</v>
          </cell>
          <cell r="EQ59">
            <v>4.2860692004637199E-2</v>
          </cell>
          <cell r="ER59">
            <v>0.04</v>
          </cell>
          <cell r="ES59">
            <v>4.5000000000000005E-2</v>
          </cell>
          <cell r="ET59">
            <v>4.4999999999999998E-2</v>
          </cell>
          <cell r="EU59">
            <v>4.4999999999999998E-2</v>
          </cell>
          <cell r="EV59">
            <v>4.4999999999999998E-2</v>
          </cell>
          <cell r="EW59">
            <v>4.4999999999999998E-2</v>
          </cell>
          <cell r="EX59">
            <v>4.4999999999999998E-2</v>
          </cell>
          <cell r="EY59">
            <v>4.4999999999999998E-2</v>
          </cell>
          <cell r="EZ59">
            <v>4.4999999999999998E-2</v>
          </cell>
          <cell r="FA59">
            <v>4.4999999999999998E-2</v>
          </cell>
          <cell r="FD59">
            <v>0</v>
          </cell>
          <cell r="FE59">
            <v>0</v>
          </cell>
          <cell r="FF59">
            <v>0</v>
          </cell>
          <cell r="FG59">
            <v>0</v>
          </cell>
          <cell r="FH59">
            <v>0</v>
          </cell>
          <cell r="FI59">
            <v>0</v>
          </cell>
          <cell r="FJ59">
            <v>0</v>
          </cell>
          <cell r="FK59">
            <v>0</v>
          </cell>
          <cell r="FL59">
            <v>0</v>
          </cell>
          <cell r="FM59">
            <v>0</v>
          </cell>
          <cell r="FN59">
            <v>0</v>
          </cell>
          <cell r="FQ59">
            <v>4.2860692004637199E-2</v>
          </cell>
          <cell r="FR59">
            <v>0.04</v>
          </cell>
          <cell r="FS59">
            <v>4.5000000000000005E-2</v>
          </cell>
          <cell r="FT59">
            <v>4.4999999999999998E-2</v>
          </cell>
          <cell r="FU59">
            <v>4.4999999999999998E-2</v>
          </cell>
          <cell r="FV59">
            <v>4.4999999999999998E-2</v>
          </cell>
          <cell r="FW59">
            <v>4.4999999999999998E-2</v>
          </cell>
          <cell r="FX59">
            <v>4.4999999999999998E-2</v>
          </cell>
          <cell r="FY59">
            <v>4.4999999999999998E-2</v>
          </cell>
          <cell r="FZ59">
            <v>4.4999999999999998E-2</v>
          </cell>
          <cell r="GA59">
            <v>4.4999999999999998E-2</v>
          </cell>
          <cell r="GD59">
            <v>4.0788553603709761E-2</v>
          </cell>
          <cell r="GE59">
            <v>4.0696163685004477E-2</v>
          </cell>
          <cell r="GF59">
            <v>4.6280719379455958E-2</v>
          </cell>
          <cell r="GG59">
            <v>4.3471889400436607E-2</v>
          </cell>
          <cell r="GH59">
            <v>4.2254347986110899E-2</v>
          </cell>
          <cell r="GI59">
            <v>4.1497609253818027E-2</v>
          </cell>
          <cell r="GJ59">
            <v>4.1221967331799308E-2</v>
          </cell>
          <cell r="GK59">
            <v>4.1181951938302208E-2</v>
          </cell>
          <cell r="GL59">
            <v>4.1578008749524914E-2</v>
          </cell>
          <cell r="GM59">
            <v>4.2593791133543939E-2</v>
          </cell>
          <cell r="GN59">
            <v>4.2795546696915834E-2</v>
          </cell>
        </row>
        <row r="60">
          <cell r="B60" t="str">
            <v>Kings Langley</v>
          </cell>
          <cell r="C60">
            <v>0</v>
          </cell>
          <cell r="D60">
            <v>1</v>
          </cell>
          <cell r="E60" t="str">
            <v>Neighbourhood</v>
          </cell>
          <cell r="F60" t="str">
            <v>NSW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3.1</v>
          </cell>
          <cell r="S60">
            <v>3.1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1.8</v>
          </cell>
          <cell r="AD60">
            <v>0</v>
          </cell>
          <cell r="AE60">
            <v>0</v>
          </cell>
          <cell r="AF60">
            <v>0.36734693877551017</v>
          </cell>
          <cell r="AG60">
            <v>0</v>
          </cell>
          <cell r="AH60">
            <v>0</v>
          </cell>
          <cell r="AI60">
            <v>0.63265306122448972</v>
          </cell>
          <cell r="AJ60">
            <v>0</v>
          </cell>
          <cell r="AK60">
            <v>0</v>
          </cell>
          <cell r="AN60">
            <v>3.1</v>
          </cell>
          <cell r="AO60">
            <v>4.9000000000000004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3.1</v>
          </cell>
          <cell r="BP60">
            <v>0</v>
          </cell>
          <cell r="BQ60">
            <v>0</v>
          </cell>
          <cell r="BR60">
            <v>0</v>
          </cell>
          <cell r="BS60">
            <v>0</v>
          </cell>
          <cell r="BT60">
            <v>0</v>
          </cell>
          <cell r="BU60">
            <v>0</v>
          </cell>
          <cell r="BV60">
            <v>0</v>
          </cell>
          <cell r="BW60">
            <v>1.8</v>
          </cell>
          <cell r="BX60">
            <v>0</v>
          </cell>
          <cell r="BY60">
            <v>0</v>
          </cell>
          <cell r="BZ60">
            <v>0</v>
          </cell>
          <cell r="CA60">
            <v>0</v>
          </cell>
          <cell r="CB60">
            <v>0</v>
          </cell>
          <cell r="CC60">
            <v>0</v>
          </cell>
          <cell r="CD60">
            <v>0</v>
          </cell>
          <cell r="CE60">
            <v>0</v>
          </cell>
          <cell r="CF60">
            <v>0</v>
          </cell>
          <cell r="CG60">
            <v>0</v>
          </cell>
          <cell r="CH60">
            <v>0</v>
          </cell>
          <cell r="CI60">
            <v>0</v>
          </cell>
          <cell r="CJ60">
            <v>0</v>
          </cell>
          <cell r="CK60">
            <v>0</v>
          </cell>
          <cell r="CL60">
            <v>0</v>
          </cell>
          <cell r="CM60">
            <v>4.9000000000000004</v>
          </cell>
          <cell r="CN60">
            <v>0</v>
          </cell>
          <cell r="CO60">
            <v>0</v>
          </cell>
          <cell r="CP60">
            <v>0</v>
          </cell>
          <cell r="CQ60">
            <v>0</v>
          </cell>
          <cell r="CR60">
            <v>0</v>
          </cell>
          <cell r="CS60">
            <v>0</v>
          </cell>
          <cell r="CV60">
            <v>0</v>
          </cell>
          <cell r="CW60">
            <v>0</v>
          </cell>
          <cell r="CX60">
            <v>0</v>
          </cell>
          <cell r="CY60">
            <v>0</v>
          </cell>
          <cell r="CZ60">
            <v>4.9000000000000004</v>
          </cell>
          <cell r="DA60">
            <v>0</v>
          </cell>
          <cell r="DD60">
            <v>3.2500000000000001E-2</v>
          </cell>
          <cell r="DE60">
            <v>4.3480818425022362E-2</v>
          </cell>
          <cell r="DF60">
            <v>5.1403596897279767E-2</v>
          </cell>
          <cell r="DG60">
            <v>3.7359447002183042E-2</v>
          </cell>
          <cell r="DH60">
            <v>3.1271739930554508E-2</v>
          </cell>
          <cell r="DI60">
            <v>2.7488046269090145E-2</v>
          </cell>
          <cell r="DJ60">
            <v>2.6109836658996539E-2</v>
          </cell>
          <cell r="DK60">
            <v>2.5909759691511065E-2</v>
          </cell>
          <cell r="DL60">
            <v>2.7890043747624566E-2</v>
          </cell>
          <cell r="DM60">
            <v>3.29689556677197E-2</v>
          </cell>
          <cell r="DN60">
            <v>3.3977733484579185E-2</v>
          </cell>
          <cell r="DQ60">
            <v>0</v>
          </cell>
          <cell r="DR60">
            <v>0</v>
          </cell>
          <cell r="DS60">
            <v>0</v>
          </cell>
          <cell r="DT60">
            <v>0</v>
          </cell>
          <cell r="DU60">
            <v>0</v>
          </cell>
          <cell r="DV60">
            <v>0</v>
          </cell>
          <cell r="DW60">
            <v>0</v>
          </cell>
          <cell r="DX60">
            <v>0</v>
          </cell>
          <cell r="DY60">
            <v>0</v>
          </cell>
          <cell r="DZ60">
            <v>0</v>
          </cell>
          <cell r="EA60">
            <v>0</v>
          </cell>
          <cell r="ED60">
            <v>0</v>
          </cell>
          <cell r="EE60">
            <v>0</v>
          </cell>
          <cell r="EF60">
            <v>0</v>
          </cell>
          <cell r="EG60">
            <v>0</v>
          </cell>
          <cell r="EH60">
            <v>0</v>
          </cell>
          <cell r="EI60">
            <v>0</v>
          </cell>
          <cell r="EJ60">
            <v>0</v>
          </cell>
          <cell r="EK60">
            <v>0</v>
          </cell>
          <cell r="EL60">
            <v>0</v>
          </cell>
          <cell r="EM60">
            <v>0</v>
          </cell>
          <cell r="EN60">
            <v>0</v>
          </cell>
          <cell r="EQ60">
            <v>2.7115948002933734E-2</v>
          </cell>
          <cell r="ER60">
            <v>2.530612244897959E-2</v>
          </cell>
          <cell r="ES60">
            <v>2.8469387755102042E-2</v>
          </cell>
          <cell r="ET60">
            <v>2.8469387755102035E-2</v>
          </cell>
          <cell r="EU60">
            <v>2.8469387755102035E-2</v>
          </cell>
          <cell r="EV60">
            <v>2.8469387755102035E-2</v>
          </cell>
          <cell r="EW60">
            <v>2.8469387755102035E-2</v>
          </cell>
          <cell r="EX60">
            <v>2.8469387755102035E-2</v>
          </cell>
          <cell r="EY60">
            <v>2.8469387755102035E-2</v>
          </cell>
          <cell r="EZ60">
            <v>2.8469387755102035E-2</v>
          </cell>
          <cell r="FA60">
            <v>2.8469387755102035E-2</v>
          </cell>
          <cell r="FD60">
            <v>0</v>
          </cell>
          <cell r="FE60">
            <v>0</v>
          </cell>
          <cell r="FF60">
            <v>0</v>
          </cell>
          <cell r="FG60">
            <v>0</v>
          </cell>
          <cell r="FH60">
            <v>0</v>
          </cell>
          <cell r="FI60">
            <v>0</v>
          </cell>
          <cell r="FJ60">
            <v>0</v>
          </cell>
          <cell r="FK60">
            <v>0</v>
          </cell>
          <cell r="FL60">
            <v>0</v>
          </cell>
          <cell r="FM60">
            <v>0</v>
          </cell>
          <cell r="FN60">
            <v>0</v>
          </cell>
          <cell r="FQ60">
            <v>2.7115948002933734E-2</v>
          </cell>
          <cell r="FR60">
            <v>2.530612244897959E-2</v>
          </cell>
          <cell r="FS60">
            <v>2.8469387755102042E-2</v>
          </cell>
          <cell r="FT60">
            <v>2.8469387755102035E-2</v>
          </cell>
          <cell r="FU60">
            <v>2.8469387755102035E-2</v>
          </cell>
          <cell r="FV60">
            <v>2.8469387755102035E-2</v>
          </cell>
          <cell r="FW60">
            <v>2.8469387755102035E-2</v>
          </cell>
          <cell r="FX60">
            <v>2.8469387755102035E-2</v>
          </cell>
          <cell r="FY60">
            <v>2.8469387755102035E-2</v>
          </cell>
          <cell r="FZ60">
            <v>2.8469387755102035E-2</v>
          </cell>
          <cell r="GA60">
            <v>2.8469387755102035E-2</v>
          </cell>
          <cell r="GD60">
            <v>2.8192758402346987E-2</v>
          </cell>
          <cell r="GE60">
            <v>2.8941061644188148E-2</v>
          </cell>
          <cell r="GF60">
            <v>3.3056229583537586E-2</v>
          </cell>
          <cell r="GG60">
            <v>3.0247399604518239E-2</v>
          </cell>
          <cell r="GH60">
            <v>2.9029858190192531E-2</v>
          </cell>
          <cell r="GI60">
            <v>2.8273119457899658E-2</v>
          </cell>
          <cell r="GJ60">
            <v>2.7997477535880937E-2</v>
          </cell>
          <cell r="GK60">
            <v>2.7957462142383843E-2</v>
          </cell>
          <cell r="GL60">
            <v>2.8353518953606542E-2</v>
          </cell>
          <cell r="GM60">
            <v>2.936930133762557E-2</v>
          </cell>
          <cell r="GN60">
            <v>2.9571056900997466E-2</v>
          </cell>
        </row>
        <row r="61">
          <cell r="B61" t="str">
            <v>Moree</v>
          </cell>
          <cell r="C61">
            <v>0</v>
          </cell>
          <cell r="D61">
            <v>1</v>
          </cell>
          <cell r="E61" t="str">
            <v>Neighbourhood</v>
          </cell>
          <cell r="F61" t="str">
            <v>NSW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3.1</v>
          </cell>
          <cell r="S61">
            <v>3.1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1.3</v>
          </cell>
          <cell r="AD61">
            <v>0</v>
          </cell>
          <cell r="AE61">
            <v>0</v>
          </cell>
          <cell r="AF61">
            <v>0.29545454545454541</v>
          </cell>
          <cell r="AG61">
            <v>0</v>
          </cell>
          <cell r="AH61">
            <v>0</v>
          </cell>
          <cell r="AI61">
            <v>0.70454545454545447</v>
          </cell>
          <cell r="AJ61">
            <v>0</v>
          </cell>
          <cell r="AK61">
            <v>0</v>
          </cell>
          <cell r="AN61">
            <v>3.1</v>
          </cell>
          <cell r="AO61">
            <v>4.4000000000000004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3.1</v>
          </cell>
          <cell r="BP61">
            <v>0</v>
          </cell>
          <cell r="BQ61">
            <v>0</v>
          </cell>
          <cell r="BR61">
            <v>0</v>
          </cell>
          <cell r="BS61">
            <v>0</v>
          </cell>
          <cell r="BT61">
            <v>0</v>
          </cell>
          <cell r="BU61">
            <v>0</v>
          </cell>
          <cell r="BV61">
            <v>0</v>
          </cell>
          <cell r="BW61">
            <v>1.3</v>
          </cell>
          <cell r="BX61">
            <v>0</v>
          </cell>
          <cell r="BY61">
            <v>0</v>
          </cell>
          <cell r="BZ61">
            <v>0</v>
          </cell>
          <cell r="CA61">
            <v>0</v>
          </cell>
          <cell r="CB61">
            <v>0</v>
          </cell>
          <cell r="CC61">
            <v>0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H61">
            <v>0</v>
          </cell>
          <cell r="CI61">
            <v>0</v>
          </cell>
          <cell r="CJ61">
            <v>0</v>
          </cell>
          <cell r="CK61">
            <v>0</v>
          </cell>
          <cell r="CL61">
            <v>0</v>
          </cell>
          <cell r="CM61">
            <v>4.4000000000000004</v>
          </cell>
          <cell r="CN61">
            <v>0</v>
          </cell>
          <cell r="CO61">
            <v>0</v>
          </cell>
          <cell r="CP61">
            <v>0</v>
          </cell>
          <cell r="CQ61">
            <v>0</v>
          </cell>
          <cell r="CR61">
            <v>0</v>
          </cell>
          <cell r="CS61">
            <v>0</v>
          </cell>
          <cell r="CV61">
            <v>0</v>
          </cell>
          <cell r="CW61">
            <v>0</v>
          </cell>
          <cell r="CX61">
            <v>0</v>
          </cell>
          <cell r="CY61">
            <v>0</v>
          </cell>
          <cell r="CZ61">
            <v>4.4000000000000004</v>
          </cell>
          <cell r="DA61">
            <v>0</v>
          </cell>
          <cell r="DD61">
            <v>3.2500000000000001E-2</v>
          </cell>
          <cell r="DE61">
            <v>4.3480818425022362E-2</v>
          </cell>
          <cell r="DF61">
            <v>5.1403596897279767E-2</v>
          </cell>
          <cell r="DG61">
            <v>3.7359447002183042E-2</v>
          </cell>
          <cell r="DH61">
            <v>3.1271739930554508E-2</v>
          </cell>
          <cell r="DI61">
            <v>2.7488046269090145E-2</v>
          </cell>
          <cell r="DJ61">
            <v>2.6109836658996539E-2</v>
          </cell>
          <cell r="DK61">
            <v>2.5909759691511065E-2</v>
          </cell>
          <cell r="DL61">
            <v>2.7890043747624566E-2</v>
          </cell>
          <cell r="DM61">
            <v>3.29689556677197E-2</v>
          </cell>
          <cell r="DN61">
            <v>3.3977733484579185E-2</v>
          </cell>
          <cell r="DQ61">
            <v>0</v>
          </cell>
          <cell r="DR61">
            <v>0</v>
          </cell>
          <cell r="DS61">
            <v>0</v>
          </cell>
          <cell r="DT61">
            <v>0</v>
          </cell>
          <cell r="DU61">
            <v>0</v>
          </cell>
          <cell r="DV61">
            <v>0</v>
          </cell>
          <cell r="DW61">
            <v>0</v>
          </cell>
          <cell r="DX61">
            <v>0</v>
          </cell>
          <cell r="DY61">
            <v>0</v>
          </cell>
          <cell r="DZ61">
            <v>0</v>
          </cell>
          <cell r="EA61">
            <v>0</v>
          </cell>
          <cell r="ED61">
            <v>0</v>
          </cell>
          <cell r="EE61">
            <v>0</v>
          </cell>
          <cell r="EF61">
            <v>0</v>
          </cell>
          <cell r="EG61">
            <v>0</v>
          </cell>
          <cell r="EH61">
            <v>0</v>
          </cell>
          <cell r="EI61">
            <v>0</v>
          </cell>
          <cell r="EJ61">
            <v>0</v>
          </cell>
          <cell r="EK61">
            <v>0</v>
          </cell>
          <cell r="EL61">
            <v>0</v>
          </cell>
          <cell r="EM61">
            <v>0</v>
          </cell>
          <cell r="EN61">
            <v>0</v>
          </cell>
          <cell r="EQ61">
            <v>3.0197305730539841E-2</v>
          </cell>
          <cell r="ER61">
            <v>2.8181818181818179E-2</v>
          </cell>
          <cell r="ES61">
            <v>3.1704545454545457E-2</v>
          </cell>
          <cell r="ET61">
            <v>3.1704545454545451E-2</v>
          </cell>
          <cell r="EU61">
            <v>3.1704545454545451E-2</v>
          </cell>
          <cell r="EV61">
            <v>3.1704545454545451E-2</v>
          </cell>
          <cell r="EW61">
            <v>3.1704545454545451E-2</v>
          </cell>
          <cell r="EX61">
            <v>3.1704545454545451E-2</v>
          </cell>
          <cell r="EY61">
            <v>3.1704545454545451E-2</v>
          </cell>
          <cell r="EZ61">
            <v>3.1704545454545451E-2</v>
          </cell>
          <cell r="FA61">
            <v>3.1704545454545451E-2</v>
          </cell>
          <cell r="FD61">
            <v>0</v>
          </cell>
          <cell r="FE61">
            <v>0</v>
          </cell>
          <cell r="FF61">
            <v>0</v>
          </cell>
          <cell r="FG61">
            <v>0</v>
          </cell>
          <cell r="FH61">
            <v>0</v>
          </cell>
          <cell r="FI61">
            <v>0</v>
          </cell>
          <cell r="FJ61">
            <v>0</v>
          </cell>
          <cell r="FK61">
            <v>0</v>
          </cell>
          <cell r="FL61">
            <v>0</v>
          </cell>
          <cell r="FM61">
            <v>0</v>
          </cell>
          <cell r="FN61">
            <v>0</v>
          </cell>
          <cell r="FQ61">
            <v>3.0197305730539841E-2</v>
          </cell>
          <cell r="FR61">
            <v>2.8181818181818179E-2</v>
          </cell>
          <cell r="FS61">
            <v>3.1704545454545457E-2</v>
          </cell>
          <cell r="FT61">
            <v>3.1704545454545451E-2</v>
          </cell>
          <cell r="FU61">
            <v>3.1704545454545451E-2</v>
          </cell>
          <cell r="FV61">
            <v>3.1704545454545451E-2</v>
          </cell>
          <cell r="FW61">
            <v>3.1704545454545451E-2</v>
          </cell>
          <cell r="FX61">
            <v>3.1704545454545451E-2</v>
          </cell>
          <cell r="FY61">
            <v>3.1704545454545451E-2</v>
          </cell>
          <cell r="FZ61">
            <v>3.1704545454545451E-2</v>
          </cell>
          <cell r="GA61">
            <v>3.1704545454545451E-2</v>
          </cell>
          <cell r="GD61">
            <v>3.0657844584431874E-2</v>
          </cell>
          <cell r="GE61">
            <v>3.1241618230459019E-2</v>
          </cell>
          <cell r="GF61">
            <v>3.5644355743092319E-2</v>
          </cell>
          <cell r="GG61">
            <v>3.2835525764072969E-2</v>
          </cell>
          <cell r="GH61">
            <v>3.1617984349747261E-2</v>
          </cell>
          <cell r="GI61">
            <v>3.0861245617454392E-2</v>
          </cell>
          <cell r="GJ61">
            <v>3.058560369543567E-2</v>
          </cell>
          <cell r="GK61">
            <v>3.0545588301938577E-2</v>
          </cell>
          <cell r="GL61">
            <v>3.0941645113161276E-2</v>
          </cell>
          <cell r="GM61">
            <v>3.19574274971803E-2</v>
          </cell>
          <cell r="GN61">
            <v>3.2159183060552196E-2</v>
          </cell>
        </row>
        <row r="62">
          <cell r="B62" t="str">
            <v>Mudgee</v>
          </cell>
          <cell r="C62">
            <v>0</v>
          </cell>
          <cell r="D62">
            <v>1</v>
          </cell>
          <cell r="E62" t="str">
            <v>Supermarket Only</v>
          </cell>
          <cell r="F62" t="str">
            <v>NSW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3.5</v>
          </cell>
          <cell r="S62">
            <v>0</v>
          </cell>
          <cell r="T62">
            <v>3.5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1</v>
          </cell>
          <cell r="AJ62">
            <v>0</v>
          </cell>
          <cell r="AK62">
            <v>0</v>
          </cell>
          <cell r="AN62">
            <v>3.5</v>
          </cell>
          <cell r="AO62">
            <v>3.5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3.5</v>
          </cell>
          <cell r="BP62">
            <v>0</v>
          </cell>
          <cell r="BQ62">
            <v>0</v>
          </cell>
          <cell r="BR62">
            <v>0</v>
          </cell>
          <cell r="BS62">
            <v>0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BZ62">
            <v>0</v>
          </cell>
          <cell r="CA62">
            <v>0</v>
          </cell>
          <cell r="CB62">
            <v>0</v>
          </cell>
          <cell r="CC62">
            <v>0</v>
          </cell>
          <cell r="CD62">
            <v>0</v>
          </cell>
          <cell r="CE62">
            <v>0</v>
          </cell>
          <cell r="CF62">
            <v>0</v>
          </cell>
          <cell r="CG62">
            <v>0</v>
          </cell>
          <cell r="CH62">
            <v>0</v>
          </cell>
          <cell r="CI62">
            <v>0</v>
          </cell>
          <cell r="CJ62">
            <v>0</v>
          </cell>
          <cell r="CK62">
            <v>0</v>
          </cell>
          <cell r="CL62">
            <v>0</v>
          </cell>
          <cell r="CM62">
            <v>3.5</v>
          </cell>
          <cell r="CN62">
            <v>0</v>
          </cell>
          <cell r="CO62">
            <v>0</v>
          </cell>
          <cell r="CP62">
            <v>0</v>
          </cell>
          <cell r="CQ62">
            <v>0</v>
          </cell>
          <cell r="CR62">
            <v>0</v>
          </cell>
          <cell r="CS62">
            <v>0</v>
          </cell>
          <cell r="CV62">
            <v>0</v>
          </cell>
          <cell r="CW62">
            <v>0</v>
          </cell>
          <cell r="CX62">
            <v>0</v>
          </cell>
          <cell r="CY62">
            <v>0</v>
          </cell>
          <cell r="CZ62">
            <v>0</v>
          </cell>
          <cell r="DA62">
            <v>3.5</v>
          </cell>
          <cell r="DD62">
            <v>3.2500000000000001E-2</v>
          </cell>
          <cell r="DE62">
            <v>4.3480818425022362E-2</v>
          </cell>
          <cell r="DF62">
            <v>5.1403596897279767E-2</v>
          </cell>
          <cell r="DG62">
            <v>3.7359447002183042E-2</v>
          </cell>
          <cell r="DH62">
            <v>3.1271739930554508E-2</v>
          </cell>
          <cell r="DI62">
            <v>2.7488046269090145E-2</v>
          </cell>
          <cell r="DJ62">
            <v>2.6109836658996539E-2</v>
          </cell>
          <cell r="DK62">
            <v>2.5909759691511065E-2</v>
          </cell>
          <cell r="DL62">
            <v>2.7890043747624566E-2</v>
          </cell>
          <cell r="DM62">
            <v>3.29689556677197E-2</v>
          </cell>
          <cell r="DN62">
            <v>3.3977733484579185E-2</v>
          </cell>
          <cell r="DQ62">
            <v>0</v>
          </cell>
          <cell r="DR62">
            <v>0</v>
          </cell>
          <cell r="DS62">
            <v>0</v>
          </cell>
          <cell r="DT62">
            <v>0</v>
          </cell>
          <cell r="DU62">
            <v>0</v>
          </cell>
          <cell r="DV62">
            <v>0</v>
          </cell>
          <cell r="DW62">
            <v>0</v>
          </cell>
          <cell r="DX62">
            <v>0</v>
          </cell>
          <cell r="DY62">
            <v>0</v>
          </cell>
          <cell r="DZ62">
            <v>0</v>
          </cell>
          <cell r="EA62">
            <v>0</v>
          </cell>
          <cell r="ED62">
            <v>0</v>
          </cell>
          <cell r="EE62">
            <v>0</v>
          </cell>
          <cell r="EF62">
            <v>0</v>
          </cell>
          <cell r="EG62">
            <v>0</v>
          </cell>
          <cell r="EH62">
            <v>0</v>
          </cell>
          <cell r="EI62">
            <v>0</v>
          </cell>
          <cell r="EJ62">
            <v>0</v>
          </cell>
          <cell r="EK62">
            <v>0</v>
          </cell>
          <cell r="EL62">
            <v>0</v>
          </cell>
          <cell r="EM62">
            <v>0</v>
          </cell>
          <cell r="EN62">
            <v>0</v>
          </cell>
          <cell r="EQ62">
            <v>4.2860692004637199E-2</v>
          </cell>
          <cell r="ER62">
            <v>0.04</v>
          </cell>
          <cell r="ES62">
            <v>4.5000000000000005E-2</v>
          </cell>
          <cell r="ET62">
            <v>4.4999999999999998E-2</v>
          </cell>
          <cell r="EU62">
            <v>4.4999999999999998E-2</v>
          </cell>
          <cell r="EV62">
            <v>4.4999999999999998E-2</v>
          </cell>
          <cell r="EW62">
            <v>4.4999999999999998E-2</v>
          </cell>
          <cell r="EX62">
            <v>4.4999999999999998E-2</v>
          </cell>
          <cell r="EY62">
            <v>4.4999999999999998E-2</v>
          </cell>
          <cell r="EZ62">
            <v>4.4999999999999998E-2</v>
          </cell>
          <cell r="FA62">
            <v>4.4999999999999998E-2</v>
          </cell>
          <cell r="FD62">
            <v>0</v>
          </cell>
          <cell r="FE62">
            <v>0</v>
          </cell>
          <cell r="FF62">
            <v>0</v>
          </cell>
          <cell r="FG62">
            <v>0</v>
          </cell>
          <cell r="FH62">
            <v>0</v>
          </cell>
          <cell r="FI62">
            <v>0</v>
          </cell>
          <cell r="FJ62">
            <v>0</v>
          </cell>
          <cell r="FK62">
            <v>0</v>
          </cell>
          <cell r="FL62">
            <v>0</v>
          </cell>
          <cell r="FM62">
            <v>0</v>
          </cell>
          <cell r="FN62">
            <v>0</v>
          </cell>
          <cell r="FQ62">
            <v>4.2860692004637199E-2</v>
          </cell>
          <cell r="FR62">
            <v>0.04</v>
          </cell>
          <cell r="FS62">
            <v>4.5000000000000005E-2</v>
          </cell>
          <cell r="FT62">
            <v>4.4999999999999998E-2</v>
          </cell>
          <cell r="FU62">
            <v>4.4999999999999998E-2</v>
          </cell>
          <cell r="FV62">
            <v>4.4999999999999998E-2</v>
          </cell>
          <cell r="FW62">
            <v>4.4999999999999998E-2</v>
          </cell>
          <cell r="FX62">
            <v>4.4999999999999998E-2</v>
          </cell>
          <cell r="FY62">
            <v>4.4999999999999998E-2</v>
          </cell>
          <cell r="FZ62">
            <v>4.4999999999999998E-2</v>
          </cell>
          <cell r="GA62">
            <v>4.4999999999999998E-2</v>
          </cell>
          <cell r="GD62">
            <v>4.0788553603709761E-2</v>
          </cell>
          <cell r="GE62">
            <v>4.0696163685004477E-2</v>
          </cell>
          <cell r="GF62">
            <v>4.6280719379455958E-2</v>
          </cell>
          <cell r="GG62">
            <v>4.3471889400436607E-2</v>
          </cell>
          <cell r="GH62">
            <v>4.2254347986110899E-2</v>
          </cell>
          <cell r="GI62">
            <v>4.1497609253818027E-2</v>
          </cell>
          <cell r="GJ62">
            <v>4.1221967331799308E-2</v>
          </cell>
          <cell r="GK62">
            <v>4.1181951938302208E-2</v>
          </cell>
          <cell r="GL62">
            <v>4.1578008749524914E-2</v>
          </cell>
          <cell r="GM62">
            <v>4.2593791133543939E-2</v>
          </cell>
          <cell r="GN62">
            <v>4.2795546696915834E-2</v>
          </cell>
        </row>
        <row r="63">
          <cell r="B63" t="str">
            <v>Murwillumbah</v>
          </cell>
          <cell r="C63">
            <v>0</v>
          </cell>
          <cell r="D63">
            <v>1</v>
          </cell>
          <cell r="E63" t="str">
            <v>Neighbourhood</v>
          </cell>
          <cell r="F63" t="str">
            <v>NSW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4.3</v>
          </cell>
          <cell r="S63">
            <v>4.3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3</v>
          </cell>
          <cell r="AD63">
            <v>0</v>
          </cell>
          <cell r="AE63">
            <v>0</v>
          </cell>
          <cell r="AF63">
            <v>0.41095890410958907</v>
          </cell>
          <cell r="AG63">
            <v>0</v>
          </cell>
          <cell r="AH63">
            <v>0</v>
          </cell>
          <cell r="AI63">
            <v>0.58904109589041098</v>
          </cell>
          <cell r="AJ63">
            <v>0</v>
          </cell>
          <cell r="AK63">
            <v>0</v>
          </cell>
          <cell r="AN63">
            <v>4.3</v>
          </cell>
          <cell r="AO63">
            <v>7.3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4.3</v>
          </cell>
          <cell r="BP63">
            <v>0</v>
          </cell>
          <cell r="BQ63">
            <v>0</v>
          </cell>
          <cell r="BR63">
            <v>0</v>
          </cell>
          <cell r="BS63">
            <v>0</v>
          </cell>
          <cell r="BT63">
            <v>0</v>
          </cell>
          <cell r="BU63">
            <v>0</v>
          </cell>
          <cell r="BV63">
            <v>0</v>
          </cell>
          <cell r="BW63">
            <v>3</v>
          </cell>
          <cell r="BX63">
            <v>0</v>
          </cell>
          <cell r="BY63">
            <v>0</v>
          </cell>
          <cell r="BZ63">
            <v>0</v>
          </cell>
          <cell r="CA63">
            <v>0</v>
          </cell>
          <cell r="CB63">
            <v>0</v>
          </cell>
          <cell r="CC63">
            <v>0</v>
          </cell>
          <cell r="CD63">
            <v>0</v>
          </cell>
          <cell r="CE63">
            <v>0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J63">
            <v>0</v>
          </cell>
          <cell r="CK63">
            <v>0</v>
          </cell>
          <cell r="CL63">
            <v>0</v>
          </cell>
          <cell r="CM63">
            <v>7.3</v>
          </cell>
          <cell r="CN63">
            <v>0</v>
          </cell>
          <cell r="CO63">
            <v>0</v>
          </cell>
          <cell r="CP63">
            <v>0</v>
          </cell>
          <cell r="CQ63">
            <v>0</v>
          </cell>
          <cell r="CR63">
            <v>0</v>
          </cell>
          <cell r="CS63">
            <v>0</v>
          </cell>
          <cell r="CV63">
            <v>0</v>
          </cell>
          <cell r="CW63">
            <v>0</v>
          </cell>
          <cell r="CX63">
            <v>0</v>
          </cell>
          <cell r="CY63">
            <v>0</v>
          </cell>
          <cell r="CZ63">
            <v>7.3</v>
          </cell>
          <cell r="DA63">
            <v>0</v>
          </cell>
          <cell r="DD63">
            <v>3.2500000000000001E-2</v>
          </cell>
          <cell r="DE63">
            <v>4.3480818425022362E-2</v>
          </cell>
          <cell r="DF63">
            <v>5.1403596897279767E-2</v>
          </cell>
          <cell r="DG63">
            <v>3.7359447002183042E-2</v>
          </cell>
          <cell r="DH63">
            <v>3.1271739930554508E-2</v>
          </cell>
          <cell r="DI63">
            <v>2.7488046269090145E-2</v>
          </cell>
          <cell r="DJ63">
            <v>2.6109836658996539E-2</v>
          </cell>
          <cell r="DK63">
            <v>2.5909759691511065E-2</v>
          </cell>
          <cell r="DL63">
            <v>2.7890043747624566E-2</v>
          </cell>
          <cell r="DM63">
            <v>3.29689556677197E-2</v>
          </cell>
          <cell r="DN63">
            <v>3.3977733484579185E-2</v>
          </cell>
          <cell r="DQ63">
            <v>0</v>
          </cell>
          <cell r="DR63">
            <v>0</v>
          </cell>
          <cell r="DS63">
            <v>0</v>
          </cell>
          <cell r="DT63">
            <v>0</v>
          </cell>
          <cell r="DU63">
            <v>0</v>
          </cell>
          <cell r="DV63">
            <v>0</v>
          </cell>
          <cell r="DW63">
            <v>0</v>
          </cell>
          <cell r="DX63">
            <v>0</v>
          </cell>
          <cell r="DY63">
            <v>0</v>
          </cell>
          <cell r="DZ63">
            <v>0</v>
          </cell>
          <cell r="EA63">
            <v>0</v>
          </cell>
          <cell r="ED63">
            <v>0</v>
          </cell>
          <cell r="EE63">
            <v>0</v>
          </cell>
          <cell r="EF63">
            <v>0</v>
          </cell>
          <cell r="EG63">
            <v>0</v>
          </cell>
          <cell r="EH63">
            <v>0</v>
          </cell>
          <cell r="EI63">
            <v>0</v>
          </cell>
          <cell r="EJ63">
            <v>0</v>
          </cell>
          <cell r="EK63">
            <v>0</v>
          </cell>
          <cell r="EL63">
            <v>0</v>
          </cell>
          <cell r="EM63">
            <v>0</v>
          </cell>
          <cell r="EN63">
            <v>0</v>
          </cell>
          <cell r="EQ63">
            <v>2.5246708989032873E-2</v>
          </cell>
          <cell r="ER63">
            <v>2.3561643835616441E-2</v>
          </cell>
          <cell r="ES63">
            <v>2.6506849315068498E-2</v>
          </cell>
          <cell r="ET63">
            <v>2.6506849315068495E-2</v>
          </cell>
          <cell r="EU63">
            <v>2.6506849315068495E-2</v>
          </cell>
          <cell r="EV63">
            <v>2.6506849315068495E-2</v>
          </cell>
          <cell r="EW63">
            <v>2.6506849315068495E-2</v>
          </cell>
          <cell r="EX63">
            <v>2.6506849315068495E-2</v>
          </cell>
          <cell r="EY63">
            <v>2.6506849315068495E-2</v>
          </cell>
          <cell r="EZ63">
            <v>2.6506849315068495E-2</v>
          </cell>
          <cell r="FA63">
            <v>2.6506849315068495E-2</v>
          </cell>
          <cell r="FD63">
            <v>0</v>
          </cell>
          <cell r="FE63">
            <v>0</v>
          </cell>
          <cell r="FF63">
            <v>0</v>
          </cell>
          <cell r="FG63">
            <v>0</v>
          </cell>
          <cell r="FH63">
            <v>0</v>
          </cell>
          <cell r="FI63">
            <v>0</v>
          </cell>
          <cell r="FJ63">
            <v>0</v>
          </cell>
          <cell r="FK63">
            <v>0</v>
          </cell>
          <cell r="FL63">
            <v>0</v>
          </cell>
          <cell r="FM63">
            <v>0</v>
          </cell>
          <cell r="FN63">
            <v>0</v>
          </cell>
          <cell r="FQ63">
            <v>2.5246708989032873E-2</v>
          </cell>
          <cell r="FR63">
            <v>2.3561643835616441E-2</v>
          </cell>
          <cell r="FS63">
            <v>2.6506849315068498E-2</v>
          </cell>
          <cell r="FT63">
            <v>2.6506849315068495E-2</v>
          </cell>
          <cell r="FU63">
            <v>2.6506849315068495E-2</v>
          </cell>
          <cell r="FV63">
            <v>2.6506849315068495E-2</v>
          </cell>
          <cell r="FW63">
            <v>2.6506849315068495E-2</v>
          </cell>
          <cell r="FX63">
            <v>2.6506849315068495E-2</v>
          </cell>
          <cell r="FY63">
            <v>2.6506849315068495E-2</v>
          </cell>
          <cell r="FZ63">
            <v>2.6506849315068495E-2</v>
          </cell>
          <cell r="GA63">
            <v>2.6506849315068495E-2</v>
          </cell>
          <cell r="GD63">
            <v>2.6697367191226298E-2</v>
          </cell>
          <cell r="GE63">
            <v>2.7545478753497627E-2</v>
          </cell>
          <cell r="GF63">
            <v>3.1486198831510756E-2</v>
          </cell>
          <cell r="GG63">
            <v>2.8677368852491406E-2</v>
          </cell>
          <cell r="GH63">
            <v>2.7459827438165697E-2</v>
          </cell>
          <cell r="GI63">
            <v>2.6703088705872825E-2</v>
          </cell>
          <cell r="GJ63">
            <v>2.6427446783854103E-2</v>
          </cell>
          <cell r="GK63">
            <v>2.638743139035701E-2</v>
          </cell>
          <cell r="GL63">
            <v>2.6783488201579709E-2</v>
          </cell>
          <cell r="GM63">
            <v>2.7799270585598737E-2</v>
          </cell>
          <cell r="GN63">
            <v>2.8001026148970633E-2</v>
          </cell>
        </row>
        <row r="64">
          <cell r="B64" t="str">
            <v>Orange</v>
          </cell>
          <cell r="C64">
            <v>0</v>
          </cell>
          <cell r="D64">
            <v>1</v>
          </cell>
          <cell r="E64" t="str">
            <v>Supermarket Only</v>
          </cell>
          <cell r="F64" t="str">
            <v>NSW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2.5</v>
          </cell>
          <cell r="S64">
            <v>2.5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1</v>
          </cell>
          <cell r="AJ64">
            <v>0</v>
          </cell>
          <cell r="AK64">
            <v>0</v>
          </cell>
          <cell r="AN64">
            <v>2.5</v>
          </cell>
          <cell r="AO64">
            <v>2.5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2.5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BZ64">
            <v>0</v>
          </cell>
          <cell r="CA64">
            <v>0</v>
          </cell>
          <cell r="CB64">
            <v>0</v>
          </cell>
          <cell r="CC64">
            <v>0</v>
          </cell>
          <cell r="CD64">
            <v>0</v>
          </cell>
          <cell r="CE64">
            <v>0</v>
          </cell>
          <cell r="CF64">
            <v>0</v>
          </cell>
          <cell r="CG64">
            <v>0</v>
          </cell>
          <cell r="CH64">
            <v>0</v>
          </cell>
          <cell r="CI64">
            <v>0</v>
          </cell>
          <cell r="CJ64">
            <v>0</v>
          </cell>
          <cell r="CK64">
            <v>0</v>
          </cell>
          <cell r="CL64">
            <v>0</v>
          </cell>
          <cell r="CM64">
            <v>2.5</v>
          </cell>
          <cell r="CN64">
            <v>0</v>
          </cell>
          <cell r="CO64">
            <v>0</v>
          </cell>
          <cell r="CP64">
            <v>0</v>
          </cell>
          <cell r="CQ64">
            <v>0</v>
          </cell>
          <cell r="CR64">
            <v>0</v>
          </cell>
          <cell r="CS64">
            <v>0</v>
          </cell>
          <cell r="CV64">
            <v>0</v>
          </cell>
          <cell r="CW64">
            <v>0</v>
          </cell>
          <cell r="CX64">
            <v>0</v>
          </cell>
          <cell r="CY64">
            <v>0</v>
          </cell>
          <cell r="CZ64">
            <v>0</v>
          </cell>
          <cell r="DA64">
            <v>2.5</v>
          </cell>
          <cell r="DD64">
            <v>3.2500000000000001E-2</v>
          </cell>
          <cell r="DE64">
            <v>4.3480818425022362E-2</v>
          </cell>
          <cell r="DF64">
            <v>5.1403596897279767E-2</v>
          </cell>
          <cell r="DG64">
            <v>3.7359447002183042E-2</v>
          </cell>
          <cell r="DH64">
            <v>3.1271739930554508E-2</v>
          </cell>
          <cell r="DI64">
            <v>2.7488046269090145E-2</v>
          </cell>
          <cell r="DJ64">
            <v>2.6109836658996539E-2</v>
          </cell>
          <cell r="DK64">
            <v>2.5909759691511065E-2</v>
          </cell>
          <cell r="DL64">
            <v>2.7890043747624566E-2</v>
          </cell>
          <cell r="DM64">
            <v>3.29689556677197E-2</v>
          </cell>
          <cell r="DN64">
            <v>3.3977733484579185E-2</v>
          </cell>
          <cell r="DQ64">
            <v>0</v>
          </cell>
          <cell r="DR64">
            <v>0</v>
          </cell>
          <cell r="DS64">
            <v>0</v>
          </cell>
          <cell r="DT64">
            <v>0</v>
          </cell>
          <cell r="DU64">
            <v>0</v>
          </cell>
          <cell r="DV64">
            <v>0</v>
          </cell>
          <cell r="DW64">
            <v>0</v>
          </cell>
          <cell r="DX64">
            <v>0</v>
          </cell>
          <cell r="DY64">
            <v>0</v>
          </cell>
          <cell r="DZ64">
            <v>0</v>
          </cell>
          <cell r="EA64">
            <v>0</v>
          </cell>
          <cell r="ED64">
            <v>0</v>
          </cell>
          <cell r="EE64">
            <v>0</v>
          </cell>
          <cell r="EF64">
            <v>0</v>
          </cell>
          <cell r="EG64">
            <v>0</v>
          </cell>
          <cell r="EH64">
            <v>0</v>
          </cell>
          <cell r="EI64">
            <v>0</v>
          </cell>
          <cell r="EJ64">
            <v>0</v>
          </cell>
          <cell r="EK64">
            <v>0</v>
          </cell>
          <cell r="EL64">
            <v>0</v>
          </cell>
          <cell r="EM64">
            <v>0</v>
          </cell>
          <cell r="EN64">
            <v>0</v>
          </cell>
          <cell r="EQ64">
            <v>4.2860692004637199E-2</v>
          </cell>
          <cell r="ER64">
            <v>0.04</v>
          </cell>
          <cell r="ES64">
            <v>4.5000000000000005E-2</v>
          </cell>
          <cell r="ET64">
            <v>4.4999999999999998E-2</v>
          </cell>
          <cell r="EU64">
            <v>4.4999999999999998E-2</v>
          </cell>
          <cell r="EV64">
            <v>4.4999999999999998E-2</v>
          </cell>
          <cell r="EW64">
            <v>4.4999999999999998E-2</v>
          </cell>
          <cell r="EX64">
            <v>4.4999999999999998E-2</v>
          </cell>
          <cell r="EY64">
            <v>4.4999999999999998E-2</v>
          </cell>
          <cell r="EZ64">
            <v>4.4999999999999998E-2</v>
          </cell>
          <cell r="FA64">
            <v>4.4999999999999998E-2</v>
          </cell>
          <cell r="FD64">
            <v>0</v>
          </cell>
          <cell r="FE64">
            <v>0</v>
          </cell>
          <cell r="FF64">
            <v>0</v>
          </cell>
          <cell r="FG64">
            <v>0</v>
          </cell>
          <cell r="FH64">
            <v>0</v>
          </cell>
          <cell r="FI64">
            <v>0</v>
          </cell>
          <cell r="FJ64">
            <v>0</v>
          </cell>
          <cell r="FK64">
            <v>0</v>
          </cell>
          <cell r="FL64">
            <v>0</v>
          </cell>
          <cell r="FM64">
            <v>0</v>
          </cell>
          <cell r="FN64">
            <v>0</v>
          </cell>
          <cell r="FQ64">
            <v>4.2860692004637199E-2</v>
          </cell>
          <cell r="FR64">
            <v>0.04</v>
          </cell>
          <cell r="FS64">
            <v>4.5000000000000005E-2</v>
          </cell>
          <cell r="FT64">
            <v>4.4999999999999998E-2</v>
          </cell>
          <cell r="FU64">
            <v>4.4999999999999998E-2</v>
          </cell>
          <cell r="FV64">
            <v>4.4999999999999998E-2</v>
          </cell>
          <cell r="FW64">
            <v>4.4999999999999998E-2</v>
          </cell>
          <cell r="FX64">
            <v>4.4999999999999998E-2</v>
          </cell>
          <cell r="FY64">
            <v>4.4999999999999998E-2</v>
          </cell>
          <cell r="FZ64">
            <v>4.4999999999999998E-2</v>
          </cell>
          <cell r="GA64">
            <v>4.4999999999999998E-2</v>
          </cell>
          <cell r="GD64">
            <v>4.0788553603709761E-2</v>
          </cell>
          <cell r="GE64">
            <v>4.0696163685004477E-2</v>
          </cell>
          <cell r="GF64">
            <v>4.6280719379455958E-2</v>
          </cell>
          <cell r="GG64">
            <v>4.3471889400436607E-2</v>
          </cell>
          <cell r="GH64">
            <v>4.2254347986110899E-2</v>
          </cell>
          <cell r="GI64">
            <v>4.1497609253818027E-2</v>
          </cell>
          <cell r="GJ64">
            <v>4.1221967331799308E-2</v>
          </cell>
          <cell r="GK64">
            <v>4.1181951938302208E-2</v>
          </cell>
          <cell r="GL64">
            <v>4.1578008749524914E-2</v>
          </cell>
          <cell r="GM64">
            <v>4.2593791133543939E-2</v>
          </cell>
          <cell r="GN64">
            <v>4.2795546696915834E-2</v>
          </cell>
        </row>
        <row r="65">
          <cell r="B65" t="str">
            <v>Parkes</v>
          </cell>
          <cell r="C65">
            <v>0</v>
          </cell>
          <cell r="D65">
            <v>1</v>
          </cell>
          <cell r="E65" t="str">
            <v>Supermarket Only</v>
          </cell>
          <cell r="F65" t="str">
            <v>NSW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3.5</v>
          </cell>
          <cell r="S65">
            <v>0</v>
          </cell>
          <cell r="T65">
            <v>3.5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1</v>
          </cell>
          <cell r="AJ65">
            <v>0</v>
          </cell>
          <cell r="AK65">
            <v>0</v>
          </cell>
          <cell r="AN65">
            <v>3.5</v>
          </cell>
          <cell r="AO65">
            <v>3.5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3.5</v>
          </cell>
          <cell r="BP65">
            <v>0</v>
          </cell>
          <cell r="BQ65">
            <v>0</v>
          </cell>
          <cell r="BR65">
            <v>0</v>
          </cell>
          <cell r="BS65">
            <v>0</v>
          </cell>
          <cell r="BT65">
            <v>0</v>
          </cell>
          <cell r="BU65">
            <v>0</v>
          </cell>
          <cell r="BV65">
            <v>0</v>
          </cell>
          <cell r="BW65">
            <v>0</v>
          </cell>
          <cell r="BX65">
            <v>0</v>
          </cell>
          <cell r="BY65">
            <v>0</v>
          </cell>
          <cell r="BZ65">
            <v>0</v>
          </cell>
          <cell r="CA65">
            <v>0</v>
          </cell>
          <cell r="CB65">
            <v>0</v>
          </cell>
          <cell r="CC65">
            <v>0</v>
          </cell>
          <cell r="CD65">
            <v>0</v>
          </cell>
          <cell r="CE65">
            <v>0</v>
          </cell>
          <cell r="CF65">
            <v>0</v>
          </cell>
          <cell r="CG65">
            <v>0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L65">
            <v>0</v>
          </cell>
          <cell r="CM65">
            <v>3.5</v>
          </cell>
          <cell r="CN65">
            <v>0</v>
          </cell>
          <cell r="CO65">
            <v>0</v>
          </cell>
          <cell r="CP65">
            <v>0</v>
          </cell>
          <cell r="CQ65">
            <v>0</v>
          </cell>
          <cell r="CR65">
            <v>0</v>
          </cell>
          <cell r="CS65">
            <v>0</v>
          </cell>
          <cell r="CV65">
            <v>0</v>
          </cell>
          <cell r="CW65">
            <v>0</v>
          </cell>
          <cell r="CX65">
            <v>0</v>
          </cell>
          <cell r="CY65">
            <v>0</v>
          </cell>
          <cell r="CZ65">
            <v>0</v>
          </cell>
          <cell r="DA65">
            <v>3.5</v>
          </cell>
          <cell r="DD65">
            <v>3.2500000000000001E-2</v>
          </cell>
          <cell r="DE65">
            <v>4.3480818425022362E-2</v>
          </cell>
          <cell r="DF65">
            <v>5.1403596897279767E-2</v>
          </cell>
          <cell r="DG65">
            <v>3.7359447002183042E-2</v>
          </cell>
          <cell r="DH65">
            <v>3.1271739930554508E-2</v>
          </cell>
          <cell r="DI65">
            <v>2.7488046269090145E-2</v>
          </cell>
          <cell r="DJ65">
            <v>2.6109836658996539E-2</v>
          </cell>
          <cell r="DK65">
            <v>2.5909759691511065E-2</v>
          </cell>
          <cell r="DL65">
            <v>2.7890043747624566E-2</v>
          </cell>
          <cell r="DM65">
            <v>3.29689556677197E-2</v>
          </cell>
          <cell r="DN65">
            <v>3.3977733484579185E-2</v>
          </cell>
          <cell r="DQ65">
            <v>0</v>
          </cell>
          <cell r="DR65">
            <v>0</v>
          </cell>
          <cell r="DS65">
            <v>0</v>
          </cell>
          <cell r="DT65">
            <v>0</v>
          </cell>
          <cell r="DU65">
            <v>0</v>
          </cell>
          <cell r="DV65">
            <v>0</v>
          </cell>
          <cell r="DW65">
            <v>0</v>
          </cell>
          <cell r="DX65">
            <v>0</v>
          </cell>
          <cell r="DY65">
            <v>0</v>
          </cell>
          <cell r="DZ65">
            <v>0</v>
          </cell>
          <cell r="EA65">
            <v>0</v>
          </cell>
          <cell r="ED65">
            <v>0</v>
          </cell>
          <cell r="EE65">
            <v>0</v>
          </cell>
          <cell r="EF65">
            <v>0</v>
          </cell>
          <cell r="EG65">
            <v>0</v>
          </cell>
          <cell r="EH65">
            <v>0</v>
          </cell>
          <cell r="EI65">
            <v>0</v>
          </cell>
          <cell r="EJ65">
            <v>0</v>
          </cell>
          <cell r="EK65">
            <v>0</v>
          </cell>
          <cell r="EL65">
            <v>0</v>
          </cell>
          <cell r="EM65">
            <v>0</v>
          </cell>
          <cell r="EN65">
            <v>0</v>
          </cell>
          <cell r="EQ65">
            <v>4.2860692004637199E-2</v>
          </cell>
          <cell r="ER65">
            <v>0.04</v>
          </cell>
          <cell r="ES65">
            <v>4.5000000000000005E-2</v>
          </cell>
          <cell r="ET65">
            <v>4.4999999999999998E-2</v>
          </cell>
          <cell r="EU65">
            <v>4.4999999999999998E-2</v>
          </cell>
          <cell r="EV65">
            <v>4.4999999999999998E-2</v>
          </cell>
          <cell r="EW65">
            <v>4.4999999999999998E-2</v>
          </cell>
          <cell r="EX65">
            <v>4.4999999999999998E-2</v>
          </cell>
          <cell r="EY65">
            <v>4.4999999999999998E-2</v>
          </cell>
          <cell r="EZ65">
            <v>4.4999999999999998E-2</v>
          </cell>
          <cell r="FA65">
            <v>4.4999999999999998E-2</v>
          </cell>
          <cell r="FD65">
            <v>0</v>
          </cell>
          <cell r="FE65">
            <v>0</v>
          </cell>
          <cell r="FF65">
            <v>0</v>
          </cell>
          <cell r="FG65">
            <v>0</v>
          </cell>
          <cell r="FH65">
            <v>0</v>
          </cell>
          <cell r="FI65">
            <v>0</v>
          </cell>
          <cell r="FJ65">
            <v>0</v>
          </cell>
          <cell r="FK65">
            <v>0</v>
          </cell>
          <cell r="FL65">
            <v>0</v>
          </cell>
          <cell r="FM65">
            <v>0</v>
          </cell>
          <cell r="FN65">
            <v>0</v>
          </cell>
          <cell r="FQ65">
            <v>4.2860692004637199E-2</v>
          </cell>
          <cell r="FR65">
            <v>0.04</v>
          </cell>
          <cell r="FS65">
            <v>4.5000000000000005E-2</v>
          </cell>
          <cell r="FT65">
            <v>4.4999999999999998E-2</v>
          </cell>
          <cell r="FU65">
            <v>4.4999999999999998E-2</v>
          </cell>
          <cell r="FV65">
            <v>4.4999999999999998E-2</v>
          </cell>
          <cell r="FW65">
            <v>4.4999999999999998E-2</v>
          </cell>
          <cell r="FX65">
            <v>4.4999999999999998E-2</v>
          </cell>
          <cell r="FY65">
            <v>4.4999999999999998E-2</v>
          </cell>
          <cell r="FZ65">
            <v>4.4999999999999998E-2</v>
          </cell>
          <cell r="GA65">
            <v>4.4999999999999998E-2</v>
          </cell>
          <cell r="GD65">
            <v>4.0788553603709761E-2</v>
          </cell>
          <cell r="GE65">
            <v>4.0696163685004477E-2</v>
          </cell>
          <cell r="GF65">
            <v>4.6280719379455958E-2</v>
          </cell>
          <cell r="GG65">
            <v>4.3471889400436607E-2</v>
          </cell>
          <cell r="GH65">
            <v>4.2254347986110899E-2</v>
          </cell>
          <cell r="GI65">
            <v>4.1497609253818027E-2</v>
          </cell>
          <cell r="GJ65">
            <v>4.1221967331799308E-2</v>
          </cell>
          <cell r="GK65">
            <v>4.1181951938302208E-2</v>
          </cell>
          <cell r="GL65">
            <v>4.1578008749524914E-2</v>
          </cell>
          <cell r="GM65">
            <v>4.2593791133543939E-2</v>
          </cell>
          <cell r="GN65">
            <v>4.2795546696915834E-2</v>
          </cell>
        </row>
        <row r="66">
          <cell r="B66" t="str">
            <v>Singleton</v>
          </cell>
          <cell r="C66">
            <v>0</v>
          </cell>
          <cell r="D66">
            <v>1</v>
          </cell>
          <cell r="E66" t="str">
            <v>Neighbourhood</v>
          </cell>
          <cell r="F66" t="str">
            <v>NSW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3.5</v>
          </cell>
          <cell r="M66">
            <v>0</v>
          </cell>
          <cell r="N66">
            <v>0</v>
          </cell>
          <cell r="O66">
            <v>3.5</v>
          </cell>
          <cell r="P66">
            <v>0</v>
          </cell>
          <cell r="Q66">
            <v>0</v>
          </cell>
          <cell r="R66">
            <v>3.5</v>
          </cell>
          <cell r="S66">
            <v>0</v>
          </cell>
          <cell r="T66">
            <v>3.5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1.6</v>
          </cell>
          <cell r="AD66">
            <v>0</v>
          </cell>
          <cell r="AE66">
            <v>0</v>
          </cell>
          <cell r="AF66">
            <v>0.186046511627907</v>
          </cell>
          <cell r="AG66">
            <v>0</v>
          </cell>
          <cell r="AH66">
            <v>0.40697674418604651</v>
          </cell>
          <cell r="AI66">
            <v>0.40697674418604651</v>
          </cell>
          <cell r="AJ66">
            <v>0</v>
          </cell>
          <cell r="AK66">
            <v>0</v>
          </cell>
          <cell r="AN66">
            <v>7</v>
          </cell>
          <cell r="AO66">
            <v>8.6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3.5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3.5</v>
          </cell>
          <cell r="BP66">
            <v>0</v>
          </cell>
          <cell r="BQ66">
            <v>0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V66">
            <v>0</v>
          </cell>
          <cell r="BW66">
            <v>1.6</v>
          </cell>
          <cell r="BX66">
            <v>0</v>
          </cell>
          <cell r="BY66">
            <v>0</v>
          </cell>
          <cell r="BZ66">
            <v>0</v>
          </cell>
          <cell r="CA66">
            <v>0</v>
          </cell>
          <cell r="CB66">
            <v>0</v>
          </cell>
          <cell r="CC66">
            <v>0</v>
          </cell>
          <cell r="CD66">
            <v>0</v>
          </cell>
          <cell r="CE66">
            <v>0</v>
          </cell>
          <cell r="CF66">
            <v>0</v>
          </cell>
          <cell r="CG66">
            <v>0</v>
          </cell>
          <cell r="CH66">
            <v>0</v>
          </cell>
          <cell r="CI66">
            <v>0</v>
          </cell>
          <cell r="CJ66">
            <v>0</v>
          </cell>
          <cell r="CK66">
            <v>0</v>
          </cell>
          <cell r="CL66">
            <v>0</v>
          </cell>
          <cell r="CM66">
            <v>8.6</v>
          </cell>
          <cell r="CN66">
            <v>0</v>
          </cell>
          <cell r="CO66">
            <v>0</v>
          </cell>
          <cell r="CP66">
            <v>0</v>
          </cell>
          <cell r="CQ66">
            <v>0</v>
          </cell>
          <cell r="CR66">
            <v>0</v>
          </cell>
          <cell r="CS66">
            <v>0</v>
          </cell>
          <cell r="CV66">
            <v>0</v>
          </cell>
          <cell r="CW66">
            <v>0</v>
          </cell>
          <cell r="CX66">
            <v>0</v>
          </cell>
          <cell r="CY66">
            <v>0</v>
          </cell>
          <cell r="CZ66">
            <v>8.6</v>
          </cell>
          <cell r="DA66">
            <v>0</v>
          </cell>
          <cell r="DD66">
            <v>3.2500000000000001E-2</v>
          </cell>
          <cell r="DE66">
            <v>4.3480818425022362E-2</v>
          </cell>
          <cell r="DF66">
            <v>5.1403596897279767E-2</v>
          </cell>
          <cell r="DG66">
            <v>3.7359447002183042E-2</v>
          </cell>
          <cell r="DH66">
            <v>3.1271739930554508E-2</v>
          </cell>
          <cell r="DI66">
            <v>2.7488046269090145E-2</v>
          </cell>
          <cell r="DJ66">
            <v>2.6109836658996539E-2</v>
          </cell>
          <cell r="DK66">
            <v>2.5909759691511065E-2</v>
          </cell>
          <cell r="DL66">
            <v>2.7890043747624566E-2</v>
          </cell>
          <cell r="DM66">
            <v>3.29689556677197E-2</v>
          </cell>
          <cell r="DN66">
            <v>3.3977733484579185E-2</v>
          </cell>
          <cell r="DQ66">
            <v>0</v>
          </cell>
          <cell r="DR66">
            <v>0</v>
          </cell>
          <cell r="DS66">
            <v>0</v>
          </cell>
          <cell r="DT66">
            <v>0</v>
          </cell>
          <cell r="DU66">
            <v>0</v>
          </cell>
          <cell r="DV66">
            <v>0</v>
          </cell>
          <cell r="DW66">
            <v>0</v>
          </cell>
          <cell r="DX66">
            <v>0</v>
          </cell>
          <cell r="DY66">
            <v>0</v>
          </cell>
          <cell r="DZ66">
            <v>0</v>
          </cell>
          <cell r="EA66">
            <v>0</v>
          </cell>
          <cell r="ED66">
            <v>6.1046511627906976E-3</v>
          </cell>
          <cell r="EE66">
            <v>-2.0348837209302325E-3</v>
          </cell>
          <cell r="EF66">
            <v>4.0697674418604651E-3</v>
          </cell>
          <cell r="EG66">
            <v>1.4244186046511627E-2</v>
          </cell>
          <cell r="EH66">
            <v>1.4244186046511627E-2</v>
          </cell>
          <cell r="EI66">
            <v>1.4244186046511627E-2</v>
          </cell>
          <cell r="EJ66">
            <v>1.0174418604651164E-2</v>
          </cell>
          <cell r="EK66">
            <v>1.0174418604651164E-2</v>
          </cell>
          <cell r="EL66">
            <v>1.0174418604651164E-2</v>
          </cell>
          <cell r="EM66">
            <v>1.0174418604651164E-2</v>
          </cell>
          <cell r="EN66">
            <v>1.0174418604651164E-2</v>
          </cell>
          <cell r="EQ66">
            <v>1.7443304885608163E-2</v>
          </cell>
          <cell r="ER66">
            <v>1.627906976744186E-2</v>
          </cell>
          <cell r="ES66">
            <v>1.8313953488372094E-2</v>
          </cell>
          <cell r="ET66">
            <v>1.8313953488372094E-2</v>
          </cell>
          <cell r="EU66">
            <v>1.8313953488372094E-2</v>
          </cell>
          <cell r="EV66">
            <v>1.8313953488372094E-2</v>
          </cell>
          <cell r="EW66">
            <v>1.8313953488372094E-2</v>
          </cell>
          <cell r="EX66">
            <v>1.8313953488372094E-2</v>
          </cell>
          <cell r="EY66">
            <v>1.8313953488372094E-2</v>
          </cell>
          <cell r="EZ66">
            <v>1.8313953488372094E-2</v>
          </cell>
          <cell r="FA66">
            <v>1.8313953488372094E-2</v>
          </cell>
          <cell r="FD66">
            <v>0</v>
          </cell>
          <cell r="FE66">
            <v>0</v>
          </cell>
          <cell r="FF66">
            <v>0</v>
          </cell>
          <cell r="FG66">
            <v>0</v>
          </cell>
          <cell r="FH66">
            <v>0</v>
          </cell>
          <cell r="FI66">
            <v>0</v>
          </cell>
          <cell r="FJ66">
            <v>0</v>
          </cell>
          <cell r="FK66">
            <v>0</v>
          </cell>
          <cell r="FL66">
            <v>0</v>
          </cell>
          <cell r="FM66">
            <v>0</v>
          </cell>
          <cell r="FN66">
            <v>0</v>
          </cell>
          <cell r="FQ66">
            <v>2.354795604839886E-2</v>
          </cell>
          <cell r="FR66">
            <v>1.4244186046511627E-2</v>
          </cell>
          <cell r="FS66">
            <v>2.238372093023256E-2</v>
          </cell>
          <cell r="FT66">
            <v>3.255813953488372E-2</v>
          </cell>
          <cell r="FU66">
            <v>3.255813953488372E-2</v>
          </cell>
          <cell r="FV66">
            <v>3.255813953488372E-2</v>
          </cell>
          <cell r="FW66">
            <v>2.8488372093023257E-2</v>
          </cell>
          <cell r="FX66">
            <v>2.8488372093023257E-2</v>
          </cell>
          <cell r="FY66">
            <v>2.8488372093023257E-2</v>
          </cell>
          <cell r="FZ66">
            <v>2.8488372093023257E-2</v>
          </cell>
          <cell r="GA66">
            <v>2.8488372093023257E-2</v>
          </cell>
          <cell r="GD66">
            <v>2.5338364838719089E-2</v>
          </cell>
          <cell r="GE66">
            <v>2.0091512522213775E-2</v>
          </cell>
          <cell r="GF66">
            <v>2.8187696123642001E-2</v>
          </cell>
          <cell r="GG66">
            <v>3.3518401028343588E-2</v>
          </cell>
          <cell r="GH66">
            <v>3.2300859614017879E-2</v>
          </cell>
          <cell r="GI66">
            <v>3.1544120881725007E-2</v>
          </cell>
          <cell r="GJ66">
            <v>2.8012665006217914E-2</v>
          </cell>
          <cell r="GK66">
            <v>2.7972649612720821E-2</v>
          </cell>
          <cell r="GL66">
            <v>2.836870642394352E-2</v>
          </cell>
          <cell r="GM66">
            <v>2.9384488807962548E-2</v>
          </cell>
          <cell r="GN66">
            <v>2.9586244371334443E-2</v>
          </cell>
        </row>
        <row r="67">
          <cell r="B67" t="str">
            <v>Tumut</v>
          </cell>
          <cell r="C67">
            <v>0</v>
          </cell>
          <cell r="D67">
            <v>1</v>
          </cell>
          <cell r="E67" t="str">
            <v>Supermarket Only</v>
          </cell>
          <cell r="F67" t="str">
            <v>NSW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2.6</v>
          </cell>
          <cell r="S67">
            <v>2.6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1</v>
          </cell>
          <cell r="AJ67">
            <v>0</v>
          </cell>
          <cell r="AK67">
            <v>0</v>
          </cell>
          <cell r="AN67">
            <v>2.6</v>
          </cell>
          <cell r="AO67">
            <v>2.6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2.6</v>
          </cell>
          <cell r="BP67">
            <v>0</v>
          </cell>
          <cell r="BQ67">
            <v>0</v>
          </cell>
          <cell r="BR67">
            <v>0</v>
          </cell>
          <cell r="BS67">
            <v>0</v>
          </cell>
          <cell r="BT67">
            <v>0</v>
          </cell>
          <cell r="BU67">
            <v>0</v>
          </cell>
          <cell r="BV67">
            <v>0</v>
          </cell>
          <cell r="BW67">
            <v>0</v>
          </cell>
          <cell r="BX67">
            <v>0</v>
          </cell>
          <cell r="BY67">
            <v>0</v>
          </cell>
          <cell r="BZ67">
            <v>0</v>
          </cell>
          <cell r="CA67">
            <v>0</v>
          </cell>
          <cell r="CB67">
            <v>0</v>
          </cell>
          <cell r="CC67">
            <v>0</v>
          </cell>
          <cell r="CD67">
            <v>0</v>
          </cell>
          <cell r="CE67">
            <v>0</v>
          </cell>
          <cell r="CF67">
            <v>0</v>
          </cell>
          <cell r="CG67">
            <v>0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  <cell r="CL67">
            <v>0</v>
          </cell>
          <cell r="CM67">
            <v>2.6</v>
          </cell>
          <cell r="CN67">
            <v>0</v>
          </cell>
          <cell r="CO67">
            <v>0</v>
          </cell>
          <cell r="CP67">
            <v>0</v>
          </cell>
          <cell r="CQ67">
            <v>0</v>
          </cell>
          <cell r="CR67">
            <v>0</v>
          </cell>
          <cell r="CS67">
            <v>0</v>
          </cell>
          <cell r="CV67">
            <v>0</v>
          </cell>
          <cell r="CW67">
            <v>0</v>
          </cell>
          <cell r="CX67">
            <v>0</v>
          </cell>
          <cell r="CY67">
            <v>0</v>
          </cell>
          <cell r="CZ67">
            <v>0</v>
          </cell>
          <cell r="DA67">
            <v>2.6</v>
          </cell>
          <cell r="DD67">
            <v>3.2500000000000001E-2</v>
          </cell>
          <cell r="DE67">
            <v>4.3480818425022362E-2</v>
          </cell>
          <cell r="DF67">
            <v>5.1403596897279767E-2</v>
          </cell>
          <cell r="DG67">
            <v>3.7359447002183042E-2</v>
          </cell>
          <cell r="DH67">
            <v>3.1271739930554508E-2</v>
          </cell>
          <cell r="DI67">
            <v>2.7488046269090145E-2</v>
          </cell>
          <cell r="DJ67">
            <v>2.6109836658996539E-2</v>
          </cell>
          <cell r="DK67">
            <v>2.5909759691511065E-2</v>
          </cell>
          <cell r="DL67">
            <v>2.7890043747624566E-2</v>
          </cell>
          <cell r="DM67">
            <v>3.29689556677197E-2</v>
          </cell>
          <cell r="DN67">
            <v>3.3977733484579185E-2</v>
          </cell>
          <cell r="DQ67">
            <v>0</v>
          </cell>
          <cell r="DR67">
            <v>0</v>
          </cell>
          <cell r="DS67">
            <v>0</v>
          </cell>
          <cell r="DT67">
            <v>0</v>
          </cell>
          <cell r="DU67">
            <v>0</v>
          </cell>
          <cell r="DV67">
            <v>0</v>
          </cell>
          <cell r="DW67">
            <v>0</v>
          </cell>
          <cell r="DX67">
            <v>0</v>
          </cell>
          <cell r="DY67">
            <v>0</v>
          </cell>
          <cell r="DZ67">
            <v>0</v>
          </cell>
          <cell r="EA67">
            <v>0</v>
          </cell>
          <cell r="ED67">
            <v>0</v>
          </cell>
          <cell r="EE67">
            <v>0</v>
          </cell>
          <cell r="EF67">
            <v>0</v>
          </cell>
          <cell r="EG67">
            <v>0</v>
          </cell>
          <cell r="EH67">
            <v>0</v>
          </cell>
          <cell r="EI67">
            <v>0</v>
          </cell>
          <cell r="EJ67">
            <v>0</v>
          </cell>
          <cell r="EK67">
            <v>0</v>
          </cell>
          <cell r="EL67">
            <v>0</v>
          </cell>
          <cell r="EM67">
            <v>0</v>
          </cell>
          <cell r="EN67">
            <v>0</v>
          </cell>
          <cell r="EQ67">
            <v>4.2860692004637199E-2</v>
          </cell>
          <cell r="ER67">
            <v>0.04</v>
          </cell>
          <cell r="ES67">
            <v>4.5000000000000005E-2</v>
          </cell>
          <cell r="ET67">
            <v>4.4999999999999998E-2</v>
          </cell>
          <cell r="EU67">
            <v>4.4999999999999998E-2</v>
          </cell>
          <cell r="EV67">
            <v>4.4999999999999998E-2</v>
          </cell>
          <cell r="EW67">
            <v>4.4999999999999998E-2</v>
          </cell>
          <cell r="EX67">
            <v>4.4999999999999998E-2</v>
          </cell>
          <cell r="EY67">
            <v>4.4999999999999998E-2</v>
          </cell>
          <cell r="EZ67">
            <v>4.4999999999999998E-2</v>
          </cell>
          <cell r="FA67">
            <v>4.4999999999999998E-2</v>
          </cell>
          <cell r="FD67">
            <v>0</v>
          </cell>
          <cell r="FE67">
            <v>0</v>
          </cell>
          <cell r="FF67">
            <v>0</v>
          </cell>
          <cell r="FG67">
            <v>0</v>
          </cell>
          <cell r="FH67">
            <v>0</v>
          </cell>
          <cell r="FI67">
            <v>0</v>
          </cell>
          <cell r="FJ67">
            <v>0</v>
          </cell>
          <cell r="FK67">
            <v>0</v>
          </cell>
          <cell r="FL67">
            <v>0</v>
          </cell>
          <cell r="FM67">
            <v>0</v>
          </cell>
          <cell r="FN67">
            <v>0</v>
          </cell>
          <cell r="FQ67">
            <v>4.2860692004637199E-2</v>
          </cell>
          <cell r="FR67">
            <v>0.04</v>
          </cell>
          <cell r="FS67">
            <v>4.5000000000000005E-2</v>
          </cell>
          <cell r="FT67">
            <v>4.4999999999999998E-2</v>
          </cell>
          <cell r="FU67">
            <v>4.4999999999999998E-2</v>
          </cell>
          <cell r="FV67">
            <v>4.4999999999999998E-2</v>
          </cell>
          <cell r="FW67">
            <v>4.4999999999999998E-2</v>
          </cell>
          <cell r="FX67">
            <v>4.4999999999999998E-2</v>
          </cell>
          <cell r="FY67">
            <v>4.4999999999999998E-2</v>
          </cell>
          <cell r="FZ67">
            <v>4.4999999999999998E-2</v>
          </cell>
          <cell r="GA67">
            <v>4.4999999999999998E-2</v>
          </cell>
          <cell r="GD67">
            <v>4.0788553603709761E-2</v>
          </cell>
          <cell r="GE67">
            <v>4.0696163685004477E-2</v>
          </cell>
          <cell r="GF67">
            <v>4.6280719379455958E-2</v>
          </cell>
          <cell r="GG67">
            <v>4.3471889400436607E-2</v>
          </cell>
          <cell r="GH67">
            <v>4.2254347986110899E-2</v>
          </cell>
          <cell r="GI67">
            <v>4.1497609253818027E-2</v>
          </cell>
          <cell r="GJ67">
            <v>4.1221967331799308E-2</v>
          </cell>
          <cell r="GK67">
            <v>4.1181951938302208E-2</v>
          </cell>
          <cell r="GL67">
            <v>4.1578008749524914E-2</v>
          </cell>
          <cell r="GM67">
            <v>4.2593791133543939E-2</v>
          </cell>
          <cell r="GN67">
            <v>4.2795546696915834E-2</v>
          </cell>
        </row>
        <row r="68">
          <cell r="B68" t="str">
            <v>Wellington</v>
          </cell>
          <cell r="C68">
            <v>0</v>
          </cell>
          <cell r="D68">
            <v>1</v>
          </cell>
          <cell r="E68" t="str">
            <v>Supermarket Only</v>
          </cell>
          <cell r="F68" t="str">
            <v>NSW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2.2000000000000002</v>
          </cell>
          <cell r="S68">
            <v>0</v>
          </cell>
          <cell r="T68">
            <v>0</v>
          </cell>
          <cell r="U68">
            <v>2.2000000000000002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1</v>
          </cell>
          <cell r="AJ68">
            <v>0</v>
          </cell>
          <cell r="AK68">
            <v>0</v>
          </cell>
          <cell r="AN68">
            <v>2.2000000000000002</v>
          </cell>
          <cell r="AO68">
            <v>2.2000000000000002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2.2000000000000002</v>
          </cell>
          <cell r="BP68">
            <v>0</v>
          </cell>
          <cell r="BQ68">
            <v>0</v>
          </cell>
          <cell r="BR68">
            <v>0</v>
          </cell>
          <cell r="BS68">
            <v>0</v>
          </cell>
          <cell r="BT68">
            <v>0</v>
          </cell>
          <cell r="BU68">
            <v>0</v>
          </cell>
          <cell r="BV68">
            <v>0</v>
          </cell>
          <cell r="BW68">
            <v>0</v>
          </cell>
          <cell r="BX68">
            <v>0</v>
          </cell>
          <cell r="BY68">
            <v>0</v>
          </cell>
          <cell r="BZ68">
            <v>0</v>
          </cell>
          <cell r="CA68">
            <v>0</v>
          </cell>
          <cell r="CB68">
            <v>0</v>
          </cell>
          <cell r="CC68">
            <v>0</v>
          </cell>
          <cell r="CD68">
            <v>0</v>
          </cell>
          <cell r="CE68">
            <v>0</v>
          </cell>
          <cell r="CF68">
            <v>0</v>
          </cell>
          <cell r="CG68">
            <v>0</v>
          </cell>
          <cell r="CH68">
            <v>0</v>
          </cell>
          <cell r="CI68">
            <v>0</v>
          </cell>
          <cell r="CJ68">
            <v>0</v>
          </cell>
          <cell r="CK68">
            <v>0</v>
          </cell>
          <cell r="CL68">
            <v>0</v>
          </cell>
          <cell r="CM68">
            <v>2.2000000000000002</v>
          </cell>
          <cell r="CN68">
            <v>0</v>
          </cell>
          <cell r="CO68">
            <v>0</v>
          </cell>
          <cell r="CP68">
            <v>0</v>
          </cell>
          <cell r="CQ68">
            <v>0</v>
          </cell>
          <cell r="CR68">
            <v>0</v>
          </cell>
          <cell r="CS68">
            <v>0</v>
          </cell>
          <cell r="CV68">
            <v>0</v>
          </cell>
          <cell r="CW68">
            <v>0</v>
          </cell>
          <cell r="CX68">
            <v>0</v>
          </cell>
          <cell r="CY68">
            <v>0</v>
          </cell>
          <cell r="CZ68">
            <v>0</v>
          </cell>
          <cell r="DA68">
            <v>2.2000000000000002</v>
          </cell>
          <cell r="DD68">
            <v>3.2500000000000001E-2</v>
          </cell>
          <cell r="DE68">
            <v>4.3480818425022362E-2</v>
          </cell>
          <cell r="DF68">
            <v>5.1403596897279767E-2</v>
          </cell>
          <cell r="DG68">
            <v>3.7359447002183042E-2</v>
          </cell>
          <cell r="DH68">
            <v>3.1271739930554508E-2</v>
          </cell>
          <cell r="DI68">
            <v>2.7488046269090145E-2</v>
          </cell>
          <cell r="DJ68">
            <v>2.6109836658996539E-2</v>
          </cell>
          <cell r="DK68">
            <v>2.5909759691511065E-2</v>
          </cell>
          <cell r="DL68">
            <v>2.7890043747624566E-2</v>
          </cell>
          <cell r="DM68">
            <v>3.29689556677197E-2</v>
          </cell>
          <cell r="DN68">
            <v>3.3977733484579185E-2</v>
          </cell>
          <cell r="DQ68">
            <v>0</v>
          </cell>
          <cell r="DR68">
            <v>0</v>
          </cell>
          <cell r="DS68">
            <v>0</v>
          </cell>
          <cell r="DT68">
            <v>0</v>
          </cell>
          <cell r="DU68">
            <v>0</v>
          </cell>
          <cell r="DV68">
            <v>0</v>
          </cell>
          <cell r="DW68">
            <v>0</v>
          </cell>
          <cell r="DX68">
            <v>0</v>
          </cell>
          <cell r="DY68">
            <v>0</v>
          </cell>
          <cell r="DZ68">
            <v>0</v>
          </cell>
          <cell r="EA68">
            <v>0</v>
          </cell>
          <cell r="ED68">
            <v>0</v>
          </cell>
          <cell r="EE68">
            <v>0</v>
          </cell>
          <cell r="EF68">
            <v>0</v>
          </cell>
          <cell r="EG68">
            <v>0</v>
          </cell>
          <cell r="EH68">
            <v>0</v>
          </cell>
          <cell r="EI68">
            <v>0</v>
          </cell>
          <cell r="EJ68">
            <v>0</v>
          </cell>
          <cell r="EK68">
            <v>0</v>
          </cell>
          <cell r="EL68">
            <v>0</v>
          </cell>
          <cell r="EM68">
            <v>0</v>
          </cell>
          <cell r="EN68">
            <v>0</v>
          </cell>
          <cell r="EQ68">
            <v>4.2860692004637199E-2</v>
          </cell>
          <cell r="ER68">
            <v>0.04</v>
          </cell>
          <cell r="ES68">
            <v>4.5000000000000005E-2</v>
          </cell>
          <cell r="ET68">
            <v>4.4999999999999998E-2</v>
          </cell>
          <cell r="EU68">
            <v>4.4999999999999998E-2</v>
          </cell>
          <cell r="EV68">
            <v>4.4999999999999998E-2</v>
          </cell>
          <cell r="EW68">
            <v>4.4999999999999998E-2</v>
          </cell>
          <cell r="EX68">
            <v>4.4999999999999998E-2</v>
          </cell>
          <cell r="EY68">
            <v>4.4999999999999998E-2</v>
          </cell>
          <cell r="EZ68">
            <v>4.4999999999999998E-2</v>
          </cell>
          <cell r="FA68">
            <v>4.4999999999999998E-2</v>
          </cell>
          <cell r="FD68">
            <v>0</v>
          </cell>
          <cell r="FE68">
            <v>0</v>
          </cell>
          <cell r="FF68">
            <v>0</v>
          </cell>
          <cell r="FG68">
            <v>0</v>
          </cell>
          <cell r="FH68">
            <v>0</v>
          </cell>
          <cell r="FI68">
            <v>0</v>
          </cell>
          <cell r="FJ68">
            <v>0</v>
          </cell>
          <cell r="FK68">
            <v>0</v>
          </cell>
          <cell r="FL68">
            <v>0</v>
          </cell>
          <cell r="FM68">
            <v>0</v>
          </cell>
          <cell r="FN68">
            <v>0</v>
          </cell>
          <cell r="FQ68">
            <v>4.2860692004637199E-2</v>
          </cell>
          <cell r="FR68">
            <v>0.04</v>
          </cell>
          <cell r="FS68">
            <v>4.5000000000000005E-2</v>
          </cell>
          <cell r="FT68">
            <v>4.4999999999999998E-2</v>
          </cell>
          <cell r="FU68">
            <v>4.4999999999999998E-2</v>
          </cell>
          <cell r="FV68">
            <v>4.4999999999999998E-2</v>
          </cell>
          <cell r="FW68">
            <v>4.4999999999999998E-2</v>
          </cell>
          <cell r="FX68">
            <v>4.4999999999999998E-2</v>
          </cell>
          <cell r="FY68">
            <v>4.4999999999999998E-2</v>
          </cell>
          <cell r="FZ68">
            <v>4.4999999999999998E-2</v>
          </cell>
          <cell r="GA68">
            <v>4.4999999999999998E-2</v>
          </cell>
          <cell r="GD68">
            <v>4.0788553603709761E-2</v>
          </cell>
          <cell r="GE68">
            <v>4.0696163685004477E-2</v>
          </cell>
          <cell r="GF68">
            <v>4.6280719379455958E-2</v>
          </cell>
          <cell r="GG68">
            <v>4.3471889400436607E-2</v>
          </cell>
          <cell r="GH68">
            <v>4.2254347986110899E-2</v>
          </cell>
          <cell r="GI68">
            <v>4.1497609253818027E-2</v>
          </cell>
          <cell r="GJ68">
            <v>4.1221967331799308E-2</v>
          </cell>
          <cell r="GK68">
            <v>4.1181951938302208E-2</v>
          </cell>
          <cell r="GL68">
            <v>4.1578008749524914E-2</v>
          </cell>
          <cell r="GM68">
            <v>4.2593791133543939E-2</v>
          </cell>
          <cell r="GN68">
            <v>4.2795546696915834E-2</v>
          </cell>
        </row>
        <row r="69">
          <cell r="B69" t="str">
            <v>Young</v>
          </cell>
          <cell r="C69">
            <v>0</v>
          </cell>
          <cell r="D69">
            <v>1</v>
          </cell>
          <cell r="E69" t="str">
            <v>Supermarket Only</v>
          </cell>
          <cell r="F69" t="str">
            <v>NSW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3.1</v>
          </cell>
          <cell r="S69">
            <v>0</v>
          </cell>
          <cell r="T69">
            <v>3.1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1</v>
          </cell>
          <cell r="AJ69">
            <v>0</v>
          </cell>
          <cell r="AK69">
            <v>0</v>
          </cell>
          <cell r="AN69">
            <v>3.1</v>
          </cell>
          <cell r="AO69">
            <v>3.1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3.1</v>
          </cell>
          <cell r="BP69">
            <v>0</v>
          </cell>
          <cell r="BQ69">
            <v>0</v>
          </cell>
          <cell r="BR69">
            <v>0</v>
          </cell>
          <cell r="BS69">
            <v>0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  <cell r="BZ69">
            <v>0</v>
          </cell>
          <cell r="CA69">
            <v>0</v>
          </cell>
          <cell r="CB69">
            <v>0</v>
          </cell>
          <cell r="CC69">
            <v>0</v>
          </cell>
          <cell r="CD69">
            <v>0</v>
          </cell>
          <cell r="CE69">
            <v>0</v>
          </cell>
          <cell r="CF69">
            <v>0</v>
          </cell>
          <cell r="CG69">
            <v>0</v>
          </cell>
          <cell r="CH69">
            <v>0</v>
          </cell>
          <cell r="CI69">
            <v>0</v>
          </cell>
          <cell r="CJ69">
            <v>0</v>
          </cell>
          <cell r="CK69">
            <v>0</v>
          </cell>
          <cell r="CL69">
            <v>0</v>
          </cell>
          <cell r="CM69">
            <v>3.1</v>
          </cell>
          <cell r="CN69">
            <v>0</v>
          </cell>
          <cell r="CO69">
            <v>0</v>
          </cell>
          <cell r="CP69">
            <v>0</v>
          </cell>
          <cell r="CQ69">
            <v>0</v>
          </cell>
          <cell r="CR69">
            <v>0</v>
          </cell>
          <cell r="CS69">
            <v>0</v>
          </cell>
          <cell r="CV69">
            <v>0</v>
          </cell>
          <cell r="CW69">
            <v>0</v>
          </cell>
          <cell r="CX69">
            <v>0</v>
          </cell>
          <cell r="CY69">
            <v>0</v>
          </cell>
          <cell r="CZ69">
            <v>0</v>
          </cell>
          <cell r="DA69">
            <v>3.1</v>
          </cell>
          <cell r="DD69">
            <v>3.2500000000000001E-2</v>
          </cell>
          <cell r="DE69">
            <v>4.3480818425022362E-2</v>
          </cell>
          <cell r="DF69">
            <v>5.1403596897279767E-2</v>
          </cell>
          <cell r="DG69">
            <v>3.7359447002183042E-2</v>
          </cell>
          <cell r="DH69">
            <v>3.1271739930554508E-2</v>
          </cell>
          <cell r="DI69">
            <v>2.7488046269090145E-2</v>
          </cell>
          <cell r="DJ69">
            <v>2.6109836658996539E-2</v>
          </cell>
          <cell r="DK69">
            <v>2.5909759691511065E-2</v>
          </cell>
          <cell r="DL69">
            <v>2.7890043747624566E-2</v>
          </cell>
          <cell r="DM69">
            <v>3.29689556677197E-2</v>
          </cell>
          <cell r="DN69">
            <v>3.3977733484579185E-2</v>
          </cell>
          <cell r="DQ69">
            <v>0</v>
          </cell>
          <cell r="DR69">
            <v>0</v>
          </cell>
          <cell r="DS69">
            <v>0</v>
          </cell>
          <cell r="DT69">
            <v>0</v>
          </cell>
          <cell r="DU69">
            <v>0</v>
          </cell>
          <cell r="DV69">
            <v>0</v>
          </cell>
          <cell r="DW69">
            <v>0</v>
          </cell>
          <cell r="DX69">
            <v>0</v>
          </cell>
          <cell r="DY69">
            <v>0</v>
          </cell>
          <cell r="DZ69">
            <v>0</v>
          </cell>
          <cell r="EA69">
            <v>0</v>
          </cell>
          <cell r="ED69">
            <v>0</v>
          </cell>
          <cell r="EE69">
            <v>0</v>
          </cell>
          <cell r="EF69">
            <v>0</v>
          </cell>
          <cell r="EG69">
            <v>0</v>
          </cell>
          <cell r="EH69">
            <v>0</v>
          </cell>
          <cell r="EI69">
            <v>0</v>
          </cell>
          <cell r="EJ69">
            <v>0</v>
          </cell>
          <cell r="EK69">
            <v>0</v>
          </cell>
          <cell r="EL69">
            <v>0</v>
          </cell>
          <cell r="EM69">
            <v>0</v>
          </cell>
          <cell r="EN69">
            <v>0</v>
          </cell>
          <cell r="EQ69">
            <v>4.2860692004637199E-2</v>
          </cell>
          <cell r="ER69">
            <v>0.04</v>
          </cell>
          <cell r="ES69">
            <v>4.5000000000000005E-2</v>
          </cell>
          <cell r="ET69">
            <v>4.4999999999999998E-2</v>
          </cell>
          <cell r="EU69">
            <v>4.4999999999999998E-2</v>
          </cell>
          <cell r="EV69">
            <v>4.4999999999999998E-2</v>
          </cell>
          <cell r="EW69">
            <v>4.4999999999999998E-2</v>
          </cell>
          <cell r="EX69">
            <v>4.4999999999999998E-2</v>
          </cell>
          <cell r="EY69">
            <v>4.4999999999999998E-2</v>
          </cell>
          <cell r="EZ69">
            <v>4.4999999999999998E-2</v>
          </cell>
          <cell r="FA69">
            <v>4.4999999999999998E-2</v>
          </cell>
          <cell r="FD69">
            <v>0</v>
          </cell>
          <cell r="FE69">
            <v>0</v>
          </cell>
          <cell r="FF69">
            <v>0</v>
          </cell>
          <cell r="FG69">
            <v>0</v>
          </cell>
          <cell r="FH69">
            <v>0</v>
          </cell>
          <cell r="FI69">
            <v>0</v>
          </cell>
          <cell r="FJ69">
            <v>0</v>
          </cell>
          <cell r="FK69">
            <v>0</v>
          </cell>
          <cell r="FL69">
            <v>0</v>
          </cell>
          <cell r="FM69">
            <v>0</v>
          </cell>
          <cell r="FN69">
            <v>0</v>
          </cell>
          <cell r="FQ69">
            <v>4.2860692004637199E-2</v>
          </cell>
          <cell r="FR69">
            <v>0.04</v>
          </cell>
          <cell r="FS69">
            <v>4.5000000000000005E-2</v>
          </cell>
          <cell r="FT69">
            <v>4.4999999999999998E-2</v>
          </cell>
          <cell r="FU69">
            <v>4.4999999999999998E-2</v>
          </cell>
          <cell r="FV69">
            <v>4.4999999999999998E-2</v>
          </cell>
          <cell r="FW69">
            <v>4.4999999999999998E-2</v>
          </cell>
          <cell r="FX69">
            <v>4.4999999999999998E-2</v>
          </cell>
          <cell r="FY69">
            <v>4.4999999999999998E-2</v>
          </cell>
          <cell r="FZ69">
            <v>4.4999999999999998E-2</v>
          </cell>
          <cell r="GA69">
            <v>4.4999999999999998E-2</v>
          </cell>
          <cell r="GD69">
            <v>4.0788553603709761E-2</v>
          </cell>
          <cell r="GE69">
            <v>4.0696163685004477E-2</v>
          </cell>
          <cell r="GF69">
            <v>4.6280719379455958E-2</v>
          </cell>
          <cell r="GG69">
            <v>4.3471889400436607E-2</v>
          </cell>
          <cell r="GH69">
            <v>4.2254347986110899E-2</v>
          </cell>
          <cell r="GI69">
            <v>4.1497609253818027E-2</v>
          </cell>
          <cell r="GJ69">
            <v>4.1221967331799308E-2</v>
          </cell>
          <cell r="GK69">
            <v>4.1181951938302208E-2</v>
          </cell>
          <cell r="GL69">
            <v>4.1578008749524914E-2</v>
          </cell>
          <cell r="GM69">
            <v>4.2593791133543939E-2</v>
          </cell>
          <cell r="GN69">
            <v>4.2795546696915834E-2</v>
          </cell>
        </row>
        <row r="70">
          <cell r="B70" t="str">
            <v>Atherton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 t="e">
            <v>#DIV/0!</v>
          </cell>
          <cell r="AG70" t="e">
            <v>#DIV/0!</v>
          </cell>
          <cell r="AH70" t="e">
            <v>#DIV/0!</v>
          </cell>
          <cell r="AI70" t="e">
            <v>#DIV/0!</v>
          </cell>
          <cell r="AJ70" t="e">
            <v>#DIV/0!</v>
          </cell>
          <cell r="AK70" t="e">
            <v>#DIV/0!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>
            <v>0</v>
          </cell>
          <cell r="BQ70">
            <v>0</v>
          </cell>
          <cell r="BR70">
            <v>0</v>
          </cell>
          <cell r="BS70">
            <v>0</v>
          </cell>
          <cell r="BT70">
            <v>0</v>
          </cell>
          <cell r="BU70">
            <v>0</v>
          </cell>
          <cell r="BV70">
            <v>0</v>
          </cell>
          <cell r="BW70">
            <v>0</v>
          </cell>
          <cell r="BX70">
            <v>0</v>
          </cell>
          <cell r="BY70">
            <v>0</v>
          </cell>
          <cell r="BZ70">
            <v>0</v>
          </cell>
          <cell r="CA70">
            <v>0</v>
          </cell>
          <cell r="CB70">
            <v>0</v>
          </cell>
          <cell r="CC70">
            <v>0</v>
          </cell>
          <cell r="CD70">
            <v>0</v>
          </cell>
          <cell r="CE70">
            <v>0</v>
          </cell>
          <cell r="CF70">
            <v>0</v>
          </cell>
          <cell r="CG70">
            <v>0</v>
          </cell>
          <cell r="CH70">
            <v>0</v>
          </cell>
          <cell r="CI70">
            <v>0</v>
          </cell>
          <cell r="CJ70">
            <v>0</v>
          </cell>
          <cell r="CK70">
            <v>0</v>
          </cell>
          <cell r="CL70">
            <v>0</v>
          </cell>
          <cell r="CM70">
            <v>0</v>
          </cell>
          <cell r="CN70">
            <v>0</v>
          </cell>
          <cell r="CO70">
            <v>0</v>
          </cell>
          <cell r="CP70">
            <v>0</v>
          </cell>
          <cell r="CQ70">
            <v>0</v>
          </cell>
          <cell r="CR70">
            <v>0</v>
          </cell>
          <cell r="CS70">
            <v>0</v>
          </cell>
          <cell r="CV70">
            <v>0</v>
          </cell>
          <cell r="CW70">
            <v>0</v>
          </cell>
          <cell r="CX70">
            <v>0</v>
          </cell>
          <cell r="CY70">
            <v>0</v>
          </cell>
          <cell r="CZ70">
            <v>0</v>
          </cell>
          <cell r="DA70">
            <v>0</v>
          </cell>
          <cell r="DD70">
            <v>0</v>
          </cell>
          <cell r="DE70">
            <v>0</v>
          </cell>
          <cell r="DF70">
            <v>0</v>
          </cell>
          <cell r="DG70">
            <v>0</v>
          </cell>
          <cell r="DH70">
            <v>0</v>
          </cell>
          <cell r="DI70">
            <v>0</v>
          </cell>
          <cell r="DJ70">
            <v>0</v>
          </cell>
          <cell r="DK70">
            <v>0</v>
          </cell>
          <cell r="DL70">
            <v>0</v>
          </cell>
          <cell r="DM70">
            <v>0</v>
          </cell>
          <cell r="DN70">
            <v>0</v>
          </cell>
          <cell r="DQ70">
            <v>0</v>
          </cell>
          <cell r="DR70">
            <v>0</v>
          </cell>
          <cell r="DS70">
            <v>0</v>
          </cell>
          <cell r="DT70">
            <v>0</v>
          </cell>
          <cell r="DU70">
            <v>0</v>
          </cell>
          <cell r="DV70">
            <v>0</v>
          </cell>
          <cell r="DW70">
            <v>0</v>
          </cell>
          <cell r="DX70">
            <v>0</v>
          </cell>
          <cell r="DY70">
            <v>0</v>
          </cell>
          <cell r="DZ70">
            <v>0</v>
          </cell>
          <cell r="EA70">
            <v>0</v>
          </cell>
          <cell r="ED70">
            <v>0</v>
          </cell>
          <cell r="EE70">
            <v>0</v>
          </cell>
          <cell r="EF70">
            <v>0</v>
          </cell>
          <cell r="EG70">
            <v>0</v>
          </cell>
          <cell r="EH70">
            <v>0</v>
          </cell>
          <cell r="EI70">
            <v>0</v>
          </cell>
          <cell r="EJ70">
            <v>0</v>
          </cell>
          <cell r="EK70">
            <v>0</v>
          </cell>
          <cell r="EL70">
            <v>0</v>
          </cell>
          <cell r="EM70">
            <v>0</v>
          </cell>
          <cell r="EN70">
            <v>0</v>
          </cell>
          <cell r="EQ70">
            <v>0</v>
          </cell>
          <cell r="ER70">
            <v>0</v>
          </cell>
          <cell r="ES70">
            <v>0</v>
          </cell>
          <cell r="ET70">
            <v>0</v>
          </cell>
          <cell r="EU70">
            <v>0</v>
          </cell>
          <cell r="EV70">
            <v>0</v>
          </cell>
          <cell r="EW70">
            <v>0</v>
          </cell>
          <cell r="EX70">
            <v>0</v>
          </cell>
          <cell r="EY70">
            <v>0</v>
          </cell>
          <cell r="EZ70">
            <v>0</v>
          </cell>
          <cell r="FA70">
            <v>0</v>
          </cell>
          <cell r="FD70">
            <v>0</v>
          </cell>
          <cell r="FE70">
            <v>0</v>
          </cell>
          <cell r="FF70">
            <v>0</v>
          </cell>
          <cell r="FG70">
            <v>0</v>
          </cell>
          <cell r="FH70">
            <v>0</v>
          </cell>
          <cell r="FI70">
            <v>0</v>
          </cell>
          <cell r="FJ70">
            <v>0</v>
          </cell>
          <cell r="FK70">
            <v>0</v>
          </cell>
          <cell r="FL70">
            <v>0</v>
          </cell>
          <cell r="FM70">
            <v>0</v>
          </cell>
          <cell r="FN70">
            <v>0</v>
          </cell>
          <cell r="FQ70">
            <v>0</v>
          </cell>
          <cell r="FR70">
            <v>0</v>
          </cell>
          <cell r="FS70">
            <v>0</v>
          </cell>
          <cell r="FT70">
            <v>0</v>
          </cell>
          <cell r="FU70">
            <v>0</v>
          </cell>
          <cell r="FV70">
            <v>0</v>
          </cell>
          <cell r="FW70">
            <v>0</v>
          </cell>
          <cell r="FX70">
            <v>0</v>
          </cell>
          <cell r="FY70">
            <v>0</v>
          </cell>
          <cell r="FZ70">
            <v>0</v>
          </cell>
          <cell r="GA70">
            <v>0</v>
          </cell>
          <cell r="GD70" t="e">
            <v>#N/A</v>
          </cell>
          <cell r="GE70" t="e">
            <v>#N/A</v>
          </cell>
          <cell r="GF70" t="e">
            <v>#N/A</v>
          </cell>
          <cell r="GG70" t="e">
            <v>#N/A</v>
          </cell>
          <cell r="GH70" t="e">
            <v>#N/A</v>
          </cell>
          <cell r="GI70" t="e">
            <v>#N/A</v>
          </cell>
          <cell r="GJ70" t="e">
            <v>#N/A</v>
          </cell>
          <cell r="GK70" t="e">
            <v>#N/A</v>
          </cell>
          <cell r="GL70" t="e">
            <v>#N/A</v>
          </cell>
          <cell r="GM70" t="e">
            <v>#N/A</v>
          </cell>
          <cell r="GN70" t="e">
            <v>#N/A</v>
          </cell>
        </row>
        <row r="71">
          <cell r="B71" t="str">
            <v>Bundaberg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 t="e">
            <v>#DIV/0!</v>
          </cell>
          <cell r="AG71" t="e">
            <v>#DIV/0!</v>
          </cell>
          <cell r="AH71" t="e">
            <v>#DIV/0!</v>
          </cell>
          <cell r="AI71" t="e">
            <v>#DIV/0!</v>
          </cell>
          <cell r="AJ71" t="e">
            <v>#DIV/0!</v>
          </cell>
          <cell r="AK71" t="e">
            <v>#DIV/0!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BQ71">
            <v>0</v>
          </cell>
          <cell r="BR71">
            <v>0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BZ71">
            <v>0</v>
          </cell>
          <cell r="CA71">
            <v>0</v>
          </cell>
          <cell r="CB71">
            <v>0</v>
          </cell>
          <cell r="CC71">
            <v>0</v>
          </cell>
          <cell r="CD71">
            <v>0</v>
          </cell>
          <cell r="CE71">
            <v>0</v>
          </cell>
          <cell r="CF71">
            <v>0</v>
          </cell>
          <cell r="CG71">
            <v>0</v>
          </cell>
          <cell r="CH71">
            <v>0</v>
          </cell>
          <cell r="CI71">
            <v>0</v>
          </cell>
          <cell r="CJ71">
            <v>0</v>
          </cell>
          <cell r="CK71">
            <v>0</v>
          </cell>
          <cell r="CL71">
            <v>0</v>
          </cell>
          <cell r="CM71">
            <v>0</v>
          </cell>
          <cell r="CN71">
            <v>0</v>
          </cell>
          <cell r="CO71">
            <v>0</v>
          </cell>
          <cell r="CP71">
            <v>0</v>
          </cell>
          <cell r="CQ71">
            <v>0</v>
          </cell>
          <cell r="CR71">
            <v>0</v>
          </cell>
          <cell r="CS71">
            <v>0</v>
          </cell>
          <cell r="CV71">
            <v>0</v>
          </cell>
          <cell r="CW71">
            <v>0</v>
          </cell>
          <cell r="CX71">
            <v>0</v>
          </cell>
          <cell r="CY71">
            <v>0</v>
          </cell>
          <cell r="CZ71">
            <v>0</v>
          </cell>
          <cell r="DA71">
            <v>0</v>
          </cell>
          <cell r="DD71">
            <v>0</v>
          </cell>
          <cell r="DE71">
            <v>0</v>
          </cell>
          <cell r="DF71">
            <v>0</v>
          </cell>
          <cell r="DG71">
            <v>0</v>
          </cell>
          <cell r="DH71">
            <v>0</v>
          </cell>
          <cell r="DI71">
            <v>0</v>
          </cell>
          <cell r="DJ71">
            <v>0</v>
          </cell>
          <cell r="DK71">
            <v>0</v>
          </cell>
          <cell r="DL71">
            <v>0</v>
          </cell>
          <cell r="DM71">
            <v>0</v>
          </cell>
          <cell r="DN71">
            <v>0</v>
          </cell>
          <cell r="DQ71">
            <v>0</v>
          </cell>
          <cell r="DR71">
            <v>0</v>
          </cell>
          <cell r="DS71">
            <v>0</v>
          </cell>
          <cell r="DT71">
            <v>0</v>
          </cell>
          <cell r="DU71">
            <v>0</v>
          </cell>
          <cell r="DV71">
            <v>0</v>
          </cell>
          <cell r="DW71">
            <v>0</v>
          </cell>
          <cell r="DX71">
            <v>0</v>
          </cell>
          <cell r="DY71">
            <v>0</v>
          </cell>
          <cell r="DZ71">
            <v>0</v>
          </cell>
          <cell r="EA71">
            <v>0</v>
          </cell>
          <cell r="ED71">
            <v>0</v>
          </cell>
          <cell r="EE71">
            <v>0</v>
          </cell>
          <cell r="EF71">
            <v>0</v>
          </cell>
          <cell r="EG71">
            <v>0</v>
          </cell>
          <cell r="EH71">
            <v>0</v>
          </cell>
          <cell r="EI71">
            <v>0</v>
          </cell>
          <cell r="EJ71">
            <v>0</v>
          </cell>
          <cell r="EK71">
            <v>0</v>
          </cell>
          <cell r="EL71">
            <v>0</v>
          </cell>
          <cell r="EM71">
            <v>0</v>
          </cell>
          <cell r="EN71">
            <v>0</v>
          </cell>
          <cell r="EQ71">
            <v>0</v>
          </cell>
          <cell r="ER71">
            <v>0</v>
          </cell>
          <cell r="ES71">
            <v>0</v>
          </cell>
          <cell r="ET71">
            <v>0</v>
          </cell>
          <cell r="EU71">
            <v>0</v>
          </cell>
          <cell r="EV71">
            <v>0</v>
          </cell>
          <cell r="EW71">
            <v>0</v>
          </cell>
          <cell r="EX71">
            <v>0</v>
          </cell>
          <cell r="EY71">
            <v>0</v>
          </cell>
          <cell r="EZ71">
            <v>0</v>
          </cell>
          <cell r="FA71">
            <v>0</v>
          </cell>
          <cell r="FD71">
            <v>0</v>
          </cell>
          <cell r="FE71">
            <v>0</v>
          </cell>
          <cell r="FF71">
            <v>0</v>
          </cell>
          <cell r="FG71">
            <v>0</v>
          </cell>
          <cell r="FH71">
            <v>0</v>
          </cell>
          <cell r="FI71">
            <v>0</v>
          </cell>
          <cell r="FJ71">
            <v>0</v>
          </cell>
          <cell r="FK71">
            <v>0</v>
          </cell>
          <cell r="FL71">
            <v>0</v>
          </cell>
          <cell r="FM71">
            <v>0</v>
          </cell>
          <cell r="FN71">
            <v>0</v>
          </cell>
          <cell r="FQ71">
            <v>0</v>
          </cell>
          <cell r="FR71">
            <v>0</v>
          </cell>
          <cell r="FS71">
            <v>0</v>
          </cell>
          <cell r="FT71">
            <v>0</v>
          </cell>
          <cell r="FU71">
            <v>0</v>
          </cell>
          <cell r="FV71">
            <v>0</v>
          </cell>
          <cell r="FW71">
            <v>0</v>
          </cell>
          <cell r="FX71">
            <v>0</v>
          </cell>
          <cell r="FY71">
            <v>0</v>
          </cell>
          <cell r="FZ71">
            <v>0</v>
          </cell>
          <cell r="GA71">
            <v>0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</row>
        <row r="72">
          <cell r="B72" t="str">
            <v>Coorparoo</v>
          </cell>
          <cell r="C72">
            <v>0</v>
          </cell>
          <cell r="D72">
            <v>1</v>
          </cell>
          <cell r="E72" t="str">
            <v>Supermarket Only</v>
          </cell>
          <cell r="F72" t="str">
            <v>QLD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2.7</v>
          </cell>
          <cell r="S72">
            <v>2.7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1</v>
          </cell>
          <cell r="AJ72">
            <v>0</v>
          </cell>
          <cell r="AK72">
            <v>0</v>
          </cell>
          <cell r="AN72">
            <v>2.7</v>
          </cell>
          <cell r="AO72">
            <v>2.7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BR72">
            <v>0</v>
          </cell>
          <cell r="BS72">
            <v>2.7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BZ72">
            <v>0</v>
          </cell>
          <cell r="CA72">
            <v>0</v>
          </cell>
          <cell r="CB72">
            <v>0</v>
          </cell>
          <cell r="CC72">
            <v>0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  <cell r="CI72">
            <v>0</v>
          </cell>
          <cell r="CJ72">
            <v>0</v>
          </cell>
          <cell r="CK72">
            <v>0</v>
          </cell>
          <cell r="CL72">
            <v>0</v>
          </cell>
          <cell r="CM72">
            <v>0</v>
          </cell>
          <cell r="CN72">
            <v>0</v>
          </cell>
          <cell r="CO72">
            <v>0</v>
          </cell>
          <cell r="CP72">
            <v>0</v>
          </cell>
          <cell r="CQ72">
            <v>2.7</v>
          </cell>
          <cell r="CR72">
            <v>0</v>
          </cell>
          <cell r="CS72">
            <v>0</v>
          </cell>
          <cell r="CV72">
            <v>0</v>
          </cell>
          <cell r="CW72">
            <v>0</v>
          </cell>
          <cell r="CX72">
            <v>0</v>
          </cell>
          <cell r="CY72">
            <v>0</v>
          </cell>
          <cell r="CZ72">
            <v>0</v>
          </cell>
          <cell r="DA72">
            <v>2.7</v>
          </cell>
          <cell r="DD72">
            <v>3.5000000000000003E-2</v>
          </cell>
          <cell r="DE72">
            <v>3.8480818425022364E-2</v>
          </cell>
          <cell r="DF72">
            <v>4.3903596897279767E-2</v>
          </cell>
          <cell r="DG72">
            <v>3.4859447002183047E-2</v>
          </cell>
          <cell r="DH72">
            <v>2.8771739930554506E-2</v>
          </cell>
          <cell r="DI72">
            <v>2.4988046269090142E-2</v>
          </cell>
          <cell r="DJ72">
            <v>2.3609836658996537E-2</v>
          </cell>
          <cell r="DK72">
            <v>2.3409759691511062E-2</v>
          </cell>
          <cell r="DL72">
            <v>2.5390043747624564E-2</v>
          </cell>
          <cell r="DM72">
            <v>3.0468955667719698E-2</v>
          </cell>
          <cell r="DN72">
            <v>3.1477733484579183E-2</v>
          </cell>
          <cell r="DQ72">
            <v>0</v>
          </cell>
          <cell r="DR72">
            <v>0</v>
          </cell>
          <cell r="DS72">
            <v>0</v>
          </cell>
          <cell r="DT72">
            <v>0</v>
          </cell>
          <cell r="DU72">
            <v>0</v>
          </cell>
          <cell r="DV72">
            <v>0</v>
          </cell>
          <cell r="DW72">
            <v>0</v>
          </cell>
          <cell r="DX72">
            <v>0</v>
          </cell>
          <cell r="DY72">
            <v>0</v>
          </cell>
          <cell r="DZ72">
            <v>0</v>
          </cell>
          <cell r="EA72">
            <v>0</v>
          </cell>
          <cell r="ED72">
            <v>0</v>
          </cell>
          <cell r="EE72">
            <v>0</v>
          </cell>
          <cell r="EF72">
            <v>0</v>
          </cell>
          <cell r="EG72">
            <v>0</v>
          </cell>
          <cell r="EH72">
            <v>0</v>
          </cell>
          <cell r="EI72">
            <v>0</v>
          </cell>
          <cell r="EJ72">
            <v>0</v>
          </cell>
          <cell r="EK72">
            <v>0</v>
          </cell>
          <cell r="EL72">
            <v>0</v>
          </cell>
          <cell r="EM72">
            <v>0</v>
          </cell>
          <cell r="EN72">
            <v>0</v>
          </cell>
          <cell r="EQ72">
            <v>4.5360692004637201E-2</v>
          </cell>
          <cell r="ER72">
            <v>3.5000000000000003E-2</v>
          </cell>
          <cell r="ES72">
            <v>3.7500000000000006E-2</v>
          </cell>
          <cell r="ET72">
            <v>4.2500000000000003E-2</v>
          </cell>
          <cell r="EU72">
            <v>4.2500000000000003E-2</v>
          </cell>
          <cell r="EV72">
            <v>4.2500000000000003E-2</v>
          </cell>
          <cell r="EW72">
            <v>4.2500000000000003E-2</v>
          </cell>
          <cell r="EX72">
            <v>4.2500000000000003E-2</v>
          </cell>
          <cell r="EY72">
            <v>4.2500000000000003E-2</v>
          </cell>
          <cell r="EZ72">
            <v>4.2500000000000003E-2</v>
          </cell>
          <cell r="FA72">
            <v>4.2500000000000003E-2</v>
          </cell>
          <cell r="FD72">
            <v>0</v>
          </cell>
          <cell r="FE72">
            <v>0</v>
          </cell>
          <cell r="FF72">
            <v>0</v>
          </cell>
          <cell r="FG72">
            <v>0</v>
          </cell>
          <cell r="FH72">
            <v>0</v>
          </cell>
          <cell r="FI72">
            <v>0</v>
          </cell>
          <cell r="FJ72">
            <v>0</v>
          </cell>
          <cell r="FK72">
            <v>0</v>
          </cell>
          <cell r="FL72">
            <v>0</v>
          </cell>
          <cell r="FM72">
            <v>0</v>
          </cell>
          <cell r="FN72">
            <v>0</v>
          </cell>
          <cell r="FQ72">
            <v>4.5360692004637201E-2</v>
          </cell>
          <cell r="FR72">
            <v>3.5000000000000003E-2</v>
          </cell>
          <cell r="FS72">
            <v>3.7500000000000006E-2</v>
          </cell>
          <cell r="FT72">
            <v>4.2500000000000003E-2</v>
          </cell>
          <cell r="FU72">
            <v>4.2500000000000003E-2</v>
          </cell>
          <cell r="FV72">
            <v>4.2500000000000003E-2</v>
          </cell>
          <cell r="FW72">
            <v>4.2500000000000003E-2</v>
          </cell>
          <cell r="FX72">
            <v>4.2500000000000003E-2</v>
          </cell>
          <cell r="FY72">
            <v>4.2500000000000003E-2</v>
          </cell>
          <cell r="FZ72">
            <v>4.2500000000000003E-2</v>
          </cell>
          <cell r="GA72">
            <v>4.2500000000000003E-2</v>
          </cell>
          <cell r="GD72">
            <v>4.3288553603709763E-2</v>
          </cell>
          <cell r="GE72">
            <v>3.569616368500448E-2</v>
          </cell>
          <cell r="GF72">
            <v>3.8780719379455958E-2</v>
          </cell>
          <cell r="GG72">
            <v>4.0971889400436612E-2</v>
          </cell>
          <cell r="GH72">
            <v>3.9754347986110904E-2</v>
          </cell>
          <cell r="GI72">
            <v>3.8997609253818032E-2</v>
          </cell>
          <cell r="GJ72">
            <v>3.8721967331799306E-2</v>
          </cell>
          <cell r="GK72">
            <v>3.8681951938302213E-2</v>
          </cell>
          <cell r="GL72">
            <v>3.9078008749524912E-2</v>
          </cell>
          <cell r="GM72">
            <v>4.0093791133543943E-2</v>
          </cell>
          <cell r="GN72">
            <v>4.0295546696915839E-2</v>
          </cell>
        </row>
        <row r="73">
          <cell r="B73" t="str">
            <v>Gatton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 t="e">
            <v>#DIV/0!</v>
          </cell>
          <cell r="AG73" t="e">
            <v>#DIV/0!</v>
          </cell>
          <cell r="AH73" t="e">
            <v>#DIV/0!</v>
          </cell>
          <cell r="AI73" t="e">
            <v>#DIV/0!</v>
          </cell>
          <cell r="AJ73" t="e">
            <v>#DIV/0!</v>
          </cell>
          <cell r="AK73" t="e">
            <v>#DIV/0!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0</v>
          </cell>
          <cell r="BR73">
            <v>0</v>
          </cell>
          <cell r="BS73">
            <v>0</v>
          </cell>
          <cell r="BT73">
            <v>0</v>
          </cell>
          <cell r="BU73">
            <v>0</v>
          </cell>
          <cell r="BV73">
            <v>0</v>
          </cell>
          <cell r="BW73">
            <v>0</v>
          </cell>
          <cell r="BX73">
            <v>0</v>
          </cell>
          <cell r="BY73">
            <v>0</v>
          </cell>
          <cell r="BZ73">
            <v>0</v>
          </cell>
          <cell r="CA73">
            <v>0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0</v>
          </cell>
          <cell r="CJ73">
            <v>0</v>
          </cell>
          <cell r="CK73">
            <v>0</v>
          </cell>
          <cell r="CL73">
            <v>0</v>
          </cell>
          <cell r="CM73">
            <v>0</v>
          </cell>
          <cell r="CN73">
            <v>0</v>
          </cell>
          <cell r="CO73">
            <v>0</v>
          </cell>
          <cell r="CP73">
            <v>0</v>
          </cell>
          <cell r="CQ73">
            <v>0</v>
          </cell>
          <cell r="CR73">
            <v>0</v>
          </cell>
          <cell r="CS73">
            <v>0</v>
          </cell>
          <cell r="CV73">
            <v>0</v>
          </cell>
          <cell r="CW73">
            <v>0</v>
          </cell>
          <cell r="CX73">
            <v>0</v>
          </cell>
          <cell r="CY73">
            <v>0</v>
          </cell>
          <cell r="CZ73">
            <v>0</v>
          </cell>
          <cell r="DA73">
            <v>0</v>
          </cell>
          <cell r="DD73">
            <v>0</v>
          </cell>
          <cell r="DE73">
            <v>0</v>
          </cell>
          <cell r="DF73">
            <v>0</v>
          </cell>
          <cell r="DG73">
            <v>0</v>
          </cell>
          <cell r="DH73">
            <v>0</v>
          </cell>
          <cell r="DI73">
            <v>0</v>
          </cell>
          <cell r="DJ73">
            <v>0</v>
          </cell>
          <cell r="DK73">
            <v>0</v>
          </cell>
          <cell r="DL73">
            <v>0</v>
          </cell>
          <cell r="DM73">
            <v>0</v>
          </cell>
          <cell r="DN73">
            <v>0</v>
          </cell>
          <cell r="DQ73">
            <v>0</v>
          </cell>
          <cell r="DR73">
            <v>0</v>
          </cell>
          <cell r="DS73">
            <v>0</v>
          </cell>
          <cell r="DT73">
            <v>0</v>
          </cell>
          <cell r="DU73">
            <v>0</v>
          </cell>
          <cell r="DV73">
            <v>0</v>
          </cell>
          <cell r="DW73">
            <v>0</v>
          </cell>
          <cell r="DX73">
            <v>0</v>
          </cell>
          <cell r="DY73">
            <v>0</v>
          </cell>
          <cell r="DZ73">
            <v>0</v>
          </cell>
          <cell r="EA73">
            <v>0</v>
          </cell>
          <cell r="ED73">
            <v>0</v>
          </cell>
          <cell r="EE73">
            <v>0</v>
          </cell>
          <cell r="EF73">
            <v>0</v>
          </cell>
          <cell r="EG73">
            <v>0</v>
          </cell>
          <cell r="EH73">
            <v>0</v>
          </cell>
          <cell r="EI73">
            <v>0</v>
          </cell>
          <cell r="EJ73">
            <v>0</v>
          </cell>
          <cell r="EK73">
            <v>0</v>
          </cell>
          <cell r="EL73">
            <v>0</v>
          </cell>
          <cell r="EM73">
            <v>0</v>
          </cell>
          <cell r="EN73">
            <v>0</v>
          </cell>
          <cell r="EQ73">
            <v>0</v>
          </cell>
          <cell r="ER73">
            <v>0</v>
          </cell>
          <cell r="ES73">
            <v>0</v>
          </cell>
          <cell r="ET73">
            <v>0</v>
          </cell>
          <cell r="EU73">
            <v>0</v>
          </cell>
          <cell r="EV73">
            <v>0</v>
          </cell>
          <cell r="EW73">
            <v>0</v>
          </cell>
          <cell r="EX73">
            <v>0</v>
          </cell>
          <cell r="EY73">
            <v>0</v>
          </cell>
          <cell r="EZ73">
            <v>0</v>
          </cell>
          <cell r="FA73">
            <v>0</v>
          </cell>
          <cell r="FD73">
            <v>0</v>
          </cell>
          <cell r="FE73">
            <v>0</v>
          </cell>
          <cell r="FF73">
            <v>0</v>
          </cell>
          <cell r="FG73">
            <v>0</v>
          </cell>
          <cell r="FH73">
            <v>0</v>
          </cell>
          <cell r="FI73">
            <v>0</v>
          </cell>
          <cell r="FJ73">
            <v>0</v>
          </cell>
          <cell r="FK73">
            <v>0</v>
          </cell>
          <cell r="FL73">
            <v>0</v>
          </cell>
          <cell r="FM73">
            <v>0</v>
          </cell>
          <cell r="FN73">
            <v>0</v>
          </cell>
          <cell r="FQ73">
            <v>0</v>
          </cell>
          <cell r="FR73">
            <v>0</v>
          </cell>
          <cell r="FS73">
            <v>0</v>
          </cell>
          <cell r="FT73">
            <v>0</v>
          </cell>
          <cell r="FU73">
            <v>0</v>
          </cell>
          <cell r="FV73">
            <v>0</v>
          </cell>
          <cell r="FW73">
            <v>0</v>
          </cell>
          <cell r="FX73">
            <v>0</v>
          </cell>
          <cell r="FY73">
            <v>0</v>
          </cell>
          <cell r="FZ73">
            <v>0</v>
          </cell>
          <cell r="GA73">
            <v>0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</row>
        <row r="74">
          <cell r="B74" t="str">
            <v>Hervey Bay</v>
          </cell>
          <cell r="C74">
            <v>0</v>
          </cell>
          <cell r="D74">
            <v>1</v>
          </cell>
          <cell r="E74" t="str">
            <v>Neighbourhood</v>
          </cell>
          <cell r="F74" t="str">
            <v>QLD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4.3</v>
          </cell>
          <cell r="S74">
            <v>0</v>
          </cell>
          <cell r="T74">
            <v>4.3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1.1000000000000001</v>
          </cell>
          <cell r="AD74">
            <v>0</v>
          </cell>
          <cell r="AE74">
            <v>0</v>
          </cell>
          <cell r="AF74">
            <v>0.20370370370370372</v>
          </cell>
          <cell r="AG74">
            <v>0</v>
          </cell>
          <cell r="AH74">
            <v>0</v>
          </cell>
          <cell r="AI74">
            <v>0.79629629629629617</v>
          </cell>
          <cell r="AJ74">
            <v>0</v>
          </cell>
          <cell r="AK74">
            <v>0</v>
          </cell>
          <cell r="AN74">
            <v>4.3</v>
          </cell>
          <cell r="AO74">
            <v>5.4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>
            <v>0</v>
          </cell>
          <cell r="BQ74">
            <v>0</v>
          </cell>
          <cell r="BR74">
            <v>0</v>
          </cell>
          <cell r="BS74">
            <v>4.3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BZ74">
            <v>0</v>
          </cell>
          <cell r="CA74">
            <v>1.1000000000000001</v>
          </cell>
          <cell r="CB74">
            <v>0</v>
          </cell>
          <cell r="CC74">
            <v>0</v>
          </cell>
          <cell r="CD74">
            <v>0</v>
          </cell>
          <cell r="CE74">
            <v>0</v>
          </cell>
          <cell r="CF74">
            <v>0</v>
          </cell>
          <cell r="CG74">
            <v>0</v>
          </cell>
          <cell r="CH74">
            <v>0</v>
          </cell>
          <cell r="CI74">
            <v>0</v>
          </cell>
          <cell r="CJ74">
            <v>0</v>
          </cell>
          <cell r="CK74">
            <v>0</v>
          </cell>
          <cell r="CL74">
            <v>0</v>
          </cell>
          <cell r="CM74">
            <v>0</v>
          </cell>
          <cell r="CN74">
            <v>0</v>
          </cell>
          <cell r="CO74">
            <v>0</v>
          </cell>
          <cell r="CP74">
            <v>0</v>
          </cell>
          <cell r="CQ74">
            <v>5.4</v>
          </cell>
          <cell r="CR74">
            <v>0</v>
          </cell>
          <cell r="CS74">
            <v>0</v>
          </cell>
          <cell r="CV74">
            <v>0</v>
          </cell>
          <cell r="CW74">
            <v>0</v>
          </cell>
          <cell r="CX74">
            <v>0</v>
          </cell>
          <cell r="CY74">
            <v>0</v>
          </cell>
          <cell r="CZ74">
            <v>5.4</v>
          </cell>
          <cell r="DA74">
            <v>0</v>
          </cell>
          <cell r="DD74">
            <v>3.5000000000000003E-2</v>
          </cell>
          <cell r="DE74">
            <v>3.8480818425022364E-2</v>
          </cell>
          <cell r="DF74">
            <v>4.3903596897279767E-2</v>
          </cell>
          <cell r="DG74">
            <v>3.4859447002183047E-2</v>
          </cell>
          <cell r="DH74">
            <v>2.8771739930554506E-2</v>
          </cell>
          <cell r="DI74">
            <v>2.4988046269090142E-2</v>
          </cell>
          <cell r="DJ74">
            <v>2.3609836658996537E-2</v>
          </cell>
          <cell r="DK74">
            <v>2.3409759691511062E-2</v>
          </cell>
          <cell r="DL74">
            <v>2.5390043747624564E-2</v>
          </cell>
          <cell r="DM74">
            <v>3.0468955667719698E-2</v>
          </cell>
          <cell r="DN74">
            <v>3.1477733484579183E-2</v>
          </cell>
          <cell r="DQ74">
            <v>0</v>
          </cell>
          <cell r="DR74">
            <v>0</v>
          </cell>
          <cell r="DS74">
            <v>0</v>
          </cell>
          <cell r="DT74">
            <v>0</v>
          </cell>
          <cell r="DU74">
            <v>0</v>
          </cell>
          <cell r="DV74">
            <v>0</v>
          </cell>
          <cell r="DW74">
            <v>0</v>
          </cell>
          <cell r="DX74">
            <v>0</v>
          </cell>
          <cell r="DY74">
            <v>0</v>
          </cell>
          <cell r="DZ74">
            <v>0</v>
          </cell>
          <cell r="EA74">
            <v>0</v>
          </cell>
          <cell r="ED74">
            <v>0</v>
          </cell>
          <cell r="EE74">
            <v>0</v>
          </cell>
          <cell r="EF74">
            <v>0</v>
          </cell>
          <cell r="EG74">
            <v>0</v>
          </cell>
          <cell r="EH74">
            <v>0</v>
          </cell>
          <cell r="EI74">
            <v>0</v>
          </cell>
          <cell r="EJ74">
            <v>0</v>
          </cell>
          <cell r="EK74">
            <v>0</v>
          </cell>
          <cell r="EL74">
            <v>0</v>
          </cell>
          <cell r="EM74">
            <v>0</v>
          </cell>
          <cell r="EN74">
            <v>0</v>
          </cell>
          <cell r="EQ74">
            <v>3.6120551040729615E-2</v>
          </cell>
          <cell r="ER74">
            <v>2.7870370370370368E-2</v>
          </cell>
          <cell r="ES74">
            <v>2.9861111111111109E-2</v>
          </cell>
          <cell r="ET74">
            <v>3.3842592592592591E-2</v>
          </cell>
          <cell r="EU74">
            <v>3.3842592592592591E-2</v>
          </cell>
          <cell r="EV74">
            <v>3.3842592592592591E-2</v>
          </cell>
          <cell r="EW74">
            <v>3.3842592592592591E-2</v>
          </cell>
          <cell r="EX74">
            <v>3.3842592592592591E-2</v>
          </cell>
          <cell r="EY74">
            <v>3.3842592592592591E-2</v>
          </cell>
          <cell r="EZ74">
            <v>3.3842592592592591E-2</v>
          </cell>
          <cell r="FA74">
            <v>3.3842592592592591E-2</v>
          </cell>
          <cell r="FD74">
            <v>0</v>
          </cell>
          <cell r="FE74">
            <v>0</v>
          </cell>
          <cell r="FF74">
            <v>0</v>
          </cell>
          <cell r="FG74">
            <v>0</v>
          </cell>
          <cell r="FH74">
            <v>0</v>
          </cell>
          <cell r="FI74">
            <v>0</v>
          </cell>
          <cell r="FJ74">
            <v>0</v>
          </cell>
          <cell r="FK74">
            <v>0</v>
          </cell>
          <cell r="FL74">
            <v>0</v>
          </cell>
          <cell r="FM74">
            <v>0</v>
          </cell>
          <cell r="FN74">
            <v>0</v>
          </cell>
          <cell r="FQ74">
            <v>3.6120551040729615E-2</v>
          </cell>
          <cell r="FR74">
            <v>2.7870370370370368E-2</v>
          </cell>
          <cell r="FS74">
            <v>2.9861111111111109E-2</v>
          </cell>
          <cell r="FT74">
            <v>3.3842592592592591E-2</v>
          </cell>
          <cell r="FU74">
            <v>3.3842592592592591E-2</v>
          </cell>
          <cell r="FV74">
            <v>3.3842592592592591E-2</v>
          </cell>
          <cell r="FW74">
            <v>3.3842592592592591E-2</v>
          </cell>
          <cell r="FX74">
            <v>3.3842592592592591E-2</v>
          </cell>
          <cell r="FY74">
            <v>3.3842592592592591E-2</v>
          </cell>
          <cell r="FZ74">
            <v>3.3842592592592591E-2</v>
          </cell>
          <cell r="GA74">
            <v>3.3842592592592591E-2</v>
          </cell>
          <cell r="GD74">
            <v>3.5896440832583691E-2</v>
          </cell>
          <cell r="GE74">
            <v>2.9992459981300769E-2</v>
          </cell>
          <cell r="GF74">
            <v>3.2669608268344842E-2</v>
          </cell>
          <cell r="GG74">
            <v>3.4045963474510679E-2</v>
          </cell>
          <cell r="GH74">
            <v>3.2828422060184978E-2</v>
          </cell>
          <cell r="GI74">
            <v>3.2071683327892106E-2</v>
          </cell>
          <cell r="GJ74">
            <v>3.1796041405873381E-2</v>
          </cell>
          <cell r="GK74">
            <v>3.1756026012376287E-2</v>
          </cell>
          <cell r="GL74">
            <v>3.2152082823598986E-2</v>
          </cell>
          <cell r="GM74">
            <v>3.3167865207618011E-2</v>
          </cell>
          <cell r="GN74">
            <v>3.3369620770989913E-2</v>
          </cell>
        </row>
        <row r="75">
          <cell r="B75" t="str">
            <v>Mackay</v>
          </cell>
          <cell r="C75">
            <v>0</v>
          </cell>
          <cell r="D75">
            <v>1</v>
          </cell>
          <cell r="E75" t="str">
            <v>Supermarket Only</v>
          </cell>
          <cell r="F75" t="str">
            <v>QLD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2.1</v>
          </cell>
          <cell r="S75">
            <v>2.1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1</v>
          </cell>
          <cell r="AJ75">
            <v>0</v>
          </cell>
          <cell r="AK75">
            <v>0</v>
          </cell>
          <cell r="AN75">
            <v>2.1</v>
          </cell>
          <cell r="AO75">
            <v>2.1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>
            <v>0</v>
          </cell>
          <cell r="BQ75">
            <v>0</v>
          </cell>
          <cell r="BR75">
            <v>0</v>
          </cell>
          <cell r="BS75">
            <v>2.1</v>
          </cell>
          <cell r="BT75">
            <v>0</v>
          </cell>
          <cell r="BU75">
            <v>0</v>
          </cell>
          <cell r="BV75">
            <v>0</v>
          </cell>
          <cell r="BW75">
            <v>0</v>
          </cell>
          <cell r="BX75">
            <v>0</v>
          </cell>
          <cell r="BY75">
            <v>0</v>
          </cell>
          <cell r="BZ75">
            <v>0</v>
          </cell>
          <cell r="CA75">
            <v>0</v>
          </cell>
          <cell r="CB75">
            <v>0</v>
          </cell>
          <cell r="CC75">
            <v>0</v>
          </cell>
          <cell r="CD75">
            <v>0</v>
          </cell>
          <cell r="CE75">
            <v>0</v>
          </cell>
          <cell r="CF75">
            <v>0</v>
          </cell>
          <cell r="CG75">
            <v>0</v>
          </cell>
          <cell r="CH75">
            <v>0</v>
          </cell>
          <cell r="CI75">
            <v>0</v>
          </cell>
          <cell r="CJ75">
            <v>0</v>
          </cell>
          <cell r="CK75">
            <v>0</v>
          </cell>
          <cell r="CL75">
            <v>0</v>
          </cell>
          <cell r="CM75">
            <v>0</v>
          </cell>
          <cell r="CN75">
            <v>0</v>
          </cell>
          <cell r="CO75">
            <v>0</v>
          </cell>
          <cell r="CP75">
            <v>0</v>
          </cell>
          <cell r="CQ75">
            <v>2.1</v>
          </cell>
          <cell r="CR75">
            <v>0</v>
          </cell>
          <cell r="CS75">
            <v>0</v>
          </cell>
          <cell r="CV75">
            <v>0</v>
          </cell>
          <cell r="CW75">
            <v>0</v>
          </cell>
          <cell r="CX75">
            <v>0</v>
          </cell>
          <cell r="CY75">
            <v>0</v>
          </cell>
          <cell r="CZ75">
            <v>0</v>
          </cell>
          <cell r="DA75">
            <v>2.1</v>
          </cell>
          <cell r="DD75">
            <v>3.5000000000000003E-2</v>
          </cell>
          <cell r="DE75">
            <v>3.8480818425022364E-2</v>
          </cell>
          <cell r="DF75">
            <v>4.3903596897279767E-2</v>
          </cell>
          <cell r="DG75">
            <v>3.4859447002183047E-2</v>
          </cell>
          <cell r="DH75">
            <v>2.8771739930554506E-2</v>
          </cell>
          <cell r="DI75">
            <v>2.4988046269090142E-2</v>
          </cell>
          <cell r="DJ75">
            <v>2.3609836658996537E-2</v>
          </cell>
          <cell r="DK75">
            <v>2.3409759691511062E-2</v>
          </cell>
          <cell r="DL75">
            <v>2.5390043747624564E-2</v>
          </cell>
          <cell r="DM75">
            <v>3.0468955667719698E-2</v>
          </cell>
          <cell r="DN75">
            <v>3.1477733484579183E-2</v>
          </cell>
          <cell r="DQ75">
            <v>0</v>
          </cell>
          <cell r="DR75">
            <v>0</v>
          </cell>
          <cell r="DS75">
            <v>0</v>
          </cell>
          <cell r="DT75">
            <v>0</v>
          </cell>
          <cell r="DU75">
            <v>0</v>
          </cell>
          <cell r="DV75">
            <v>0</v>
          </cell>
          <cell r="DW75">
            <v>0</v>
          </cell>
          <cell r="DX75">
            <v>0</v>
          </cell>
          <cell r="DY75">
            <v>0</v>
          </cell>
          <cell r="DZ75">
            <v>0</v>
          </cell>
          <cell r="EA75">
            <v>0</v>
          </cell>
          <cell r="ED75">
            <v>0</v>
          </cell>
          <cell r="EE75">
            <v>0</v>
          </cell>
          <cell r="EF75">
            <v>0</v>
          </cell>
          <cell r="EG75">
            <v>0</v>
          </cell>
          <cell r="EH75">
            <v>0</v>
          </cell>
          <cell r="EI75">
            <v>0</v>
          </cell>
          <cell r="EJ75">
            <v>0</v>
          </cell>
          <cell r="EK75">
            <v>0</v>
          </cell>
          <cell r="EL75">
            <v>0</v>
          </cell>
          <cell r="EM75">
            <v>0</v>
          </cell>
          <cell r="EN75">
            <v>0</v>
          </cell>
          <cell r="EQ75">
            <v>4.5360692004637201E-2</v>
          </cell>
          <cell r="ER75">
            <v>3.5000000000000003E-2</v>
          </cell>
          <cell r="ES75">
            <v>3.7500000000000006E-2</v>
          </cell>
          <cell r="ET75">
            <v>4.2500000000000003E-2</v>
          </cell>
          <cell r="EU75">
            <v>4.2500000000000003E-2</v>
          </cell>
          <cell r="EV75">
            <v>4.2500000000000003E-2</v>
          </cell>
          <cell r="EW75">
            <v>4.2500000000000003E-2</v>
          </cell>
          <cell r="EX75">
            <v>4.2500000000000003E-2</v>
          </cell>
          <cell r="EY75">
            <v>4.2500000000000003E-2</v>
          </cell>
          <cell r="EZ75">
            <v>4.2500000000000003E-2</v>
          </cell>
          <cell r="FA75">
            <v>4.2500000000000003E-2</v>
          </cell>
          <cell r="FD75">
            <v>0</v>
          </cell>
          <cell r="FE75">
            <v>0</v>
          </cell>
          <cell r="FF75">
            <v>0</v>
          </cell>
          <cell r="FG75">
            <v>0</v>
          </cell>
          <cell r="FH75">
            <v>0</v>
          </cell>
          <cell r="FI75">
            <v>0</v>
          </cell>
          <cell r="FJ75">
            <v>0</v>
          </cell>
          <cell r="FK75">
            <v>0</v>
          </cell>
          <cell r="FL75">
            <v>0</v>
          </cell>
          <cell r="FM75">
            <v>0</v>
          </cell>
          <cell r="FN75">
            <v>0</v>
          </cell>
          <cell r="FQ75">
            <v>4.5360692004637201E-2</v>
          </cell>
          <cell r="FR75">
            <v>3.5000000000000003E-2</v>
          </cell>
          <cell r="FS75">
            <v>3.7500000000000006E-2</v>
          </cell>
          <cell r="FT75">
            <v>4.2500000000000003E-2</v>
          </cell>
          <cell r="FU75">
            <v>4.2500000000000003E-2</v>
          </cell>
          <cell r="FV75">
            <v>4.2500000000000003E-2</v>
          </cell>
          <cell r="FW75">
            <v>4.2500000000000003E-2</v>
          </cell>
          <cell r="FX75">
            <v>4.2500000000000003E-2</v>
          </cell>
          <cell r="FY75">
            <v>4.2500000000000003E-2</v>
          </cell>
          <cell r="FZ75">
            <v>4.2500000000000003E-2</v>
          </cell>
          <cell r="GA75">
            <v>4.2500000000000003E-2</v>
          </cell>
          <cell r="GD75">
            <v>4.3288553603709763E-2</v>
          </cell>
          <cell r="GE75">
            <v>3.569616368500448E-2</v>
          </cell>
          <cell r="GF75">
            <v>3.8780719379455958E-2</v>
          </cell>
          <cell r="GG75">
            <v>4.0971889400436612E-2</v>
          </cell>
          <cell r="GH75">
            <v>3.9754347986110904E-2</v>
          </cell>
          <cell r="GI75">
            <v>3.8997609253818032E-2</v>
          </cell>
          <cell r="GJ75">
            <v>3.8721967331799306E-2</v>
          </cell>
          <cell r="GK75">
            <v>3.8681951938302213E-2</v>
          </cell>
          <cell r="GL75">
            <v>3.9078008749524912E-2</v>
          </cell>
          <cell r="GM75">
            <v>4.0093791133543943E-2</v>
          </cell>
          <cell r="GN75">
            <v>4.0295546696915839E-2</v>
          </cell>
        </row>
        <row r="76">
          <cell r="B76" t="str">
            <v>Mooloolaba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 t="e">
            <v>#DIV/0!</v>
          </cell>
          <cell r="AG76" t="e">
            <v>#DIV/0!</v>
          </cell>
          <cell r="AH76" t="e">
            <v>#DIV/0!</v>
          </cell>
          <cell r="AI76" t="e">
            <v>#DIV/0!</v>
          </cell>
          <cell r="AJ76" t="e">
            <v>#DIV/0!</v>
          </cell>
          <cell r="AK76" t="e">
            <v>#DIV/0!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>
            <v>0</v>
          </cell>
          <cell r="BQ76">
            <v>0</v>
          </cell>
          <cell r="BR76">
            <v>0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BZ76">
            <v>0</v>
          </cell>
          <cell r="CA76">
            <v>0</v>
          </cell>
          <cell r="CB76">
            <v>0</v>
          </cell>
          <cell r="CC76">
            <v>0</v>
          </cell>
          <cell r="CD76">
            <v>0</v>
          </cell>
          <cell r="CE76">
            <v>0</v>
          </cell>
          <cell r="CF76">
            <v>0</v>
          </cell>
          <cell r="CG76">
            <v>0</v>
          </cell>
          <cell r="CH76">
            <v>0</v>
          </cell>
          <cell r="CI76">
            <v>0</v>
          </cell>
          <cell r="CJ76">
            <v>0</v>
          </cell>
          <cell r="CK76">
            <v>0</v>
          </cell>
          <cell r="CL76">
            <v>0</v>
          </cell>
          <cell r="CM76">
            <v>0</v>
          </cell>
          <cell r="CN76">
            <v>0</v>
          </cell>
          <cell r="CO76">
            <v>0</v>
          </cell>
          <cell r="CP76">
            <v>0</v>
          </cell>
          <cell r="CQ76">
            <v>0</v>
          </cell>
          <cell r="CR76">
            <v>0</v>
          </cell>
          <cell r="CS76">
            <v>0</v>
          </cell>
          <cell r="CV76">
            <v>0</v>
          </cell>
          <cell r="CW76">
            <v>0</v>
          </cell>
          <cell r="CX76">
            <v>0</v>
          </cell>
          <cell r="CY76">
            <v>0</v>
          </cell>
          <cell r="CZ76">
            <v>0</v>
          </cell>
          <cell r="DA76">
            <v>0</v>
          </cell>
          <cell r="DD76">
            <v>0</v>
          </cell>
          <cell r="DE76">
            <v>0</v>
          </cell>
          <cell r="DF76">
            <v>0</v>
          </cell>
          <cell r="DG76">
            <v>0</v>
          </cell>
          <cell r="DH76">
            <v>0</v>
          </cell>
          <cell r="DI76">
            <v>0</v>
          </cell>
          <cell r="DJ76">
            <v>0</v>
          </cell>
          <cell r="DK76">
            <v>0</v>
          </cell>
          <cell r="DL76">
            <v>0</v>
          </cell>
          <cell r="DM76">
            <v>0</v>
          </cell>
          <cell r="DN76">
            <v>0</v>
          </cell>
          <cell r="DQ76">
            <v>0</v>
          </cell>
          <cell r="DR76">
            <v>0</v>
          </cell>
          <cell r="DS76">
            <v>0</v>
          </cell>
          <cell r="DT76">
            <v>0</v>
          </cell>
          <cell r="DU76">
            <v>0</v>
          </cell>
          <cell r="DV76">
            <v>0</v>
          </cell>
          <cell r="DW76">
            <v>0</v>
          </cell>
          <cell r="DX76">
            <v>0</v>
          </cell>
          <cell r="DY76">
            <v>0</v>
          </cell>
          <cell r="DZ76">
            <v>0</v>
          </cell>
          <cell r="EA76">
            <v>0</v>
          </cell>
          <cell r="ED76">
            <v>0</v>
          </cell>
          <cell r="EE76">
            <v>0</v>
          </cell>
          <cell r="EF76">
            <v>0</v>
          </cell>
          <cell r="EG76">
            <v>0</v>
          </cell>
          <cell r="EH76">
            <v>0</v>
          </cell>
          <cell r="EI76">
            <v>0</v>
          </cell>
          <cell r="EJ76">
            <v>0</v>
          </cell>
          <cell r="EK76">
            <v>0</v>
          </cell>
          <cell r="EL76">
            <v>0</v>
          </cell>
          <cell r="EM76">
            <v>0</v>
          </cell>
          <cell r="EN76">
            <v>0</v>
          </cell>
          <cell r="EQ76">
            <v>0</v>
          </cell>
          <cell r="ER76">
            <v>0</v>
          </cell>
          <cell r="ES76">
            <v>0</v>
          </cell>
          <cell r="ET76">
            <v>0</v>
          </cell>
          <cell r="EU76">
            <v>0</v>
          </cell>
          <cell r="EV76">
            <v>0</v>
          </cell>
          <cell r="EW76">
            <v>0</v>
          </cell>
          <cell r="EX76">
            <v>0</v>
          </cell>
          <cell r="EY76">
            <v>0</v>
          </cell>
          <cell r="EZ76">
            <v>0</v>
          </cell>
          <cell r="FA76">
            <v>0</v>
          </cell>
          <cell r="FD76">
            <v>0</v>
          </cell>
          <cell r="FE76">
            <v>0</v>
          </cell>
          <cell r="FF76">
            <v>0</v>
          </cell>
          <cell r="FG76">
            <v>0</v>
          </cell>
          <cell r="FH76">
            <v>0</v>
          </cell>
          <cell r="FI76">
            <v>0</v>
          </cell>
          <cell r="FJ76">
            <v>0</v>
          </cell>
          <cell r="FK76">
            <v>0</v>
          </cell>
          <cell r="FL76">
            <v>0</v>
          </cell>
          <cell r="FM76">
            <v>0</v>
          </cell>
          <cell r="FN76">
            <v>0</v>
          </cell>
          <cell r="FQ76">
            <v>0</v>
          </cell>
          <cell r="FR76">
            <v>0</v>
          </cell>
          <cell r="FS76">
            <v>0</v>
          </cell>
          <cell r="FT76">
            <v>0</v>
          </cell>
          <cell r="FU76">
            <v>0</v>
          </cell>
          <cell r="FV76">
            <v>0</v>
          </cell>
          <cell r="FW76">
            <v>0</v>
          </cell>
          <cell r="FX76">
            <v>0</v>
          </cell>
          <cell r="FY76">
            <v>0</v>
          </cell>
          <cell r="FZ76">
            <v>0</v>
          </cell>
          <cell r="GA76">
            <v>0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</row>
        <row r="77">
          <cell r="B77" t="str">
            <v>Moranbah</v>
          </cell>
          <cell r="C77">
            <v>0</v>
          </cell>
          <cell r="D77">
            <v>1</v>
          </cell>
          <cell r="E77" t="str">
            <v>Neighbourhood</v>
          </cell>
          <cell r="F77" t="str">
            <v>QLD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3.9</v>
          </cell>
          <cell r="S77">
            <v>3.9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1.9</v>
          </cell>
          <cell r="AD77">
            <v>0</v>
          </cell>
          <cell r="AE77">
            <v>0</v>
          </cell>
          <cell r="AF77">
            <v>0.32758620689655171</v>
          </cell>
          <cell r="AG77">
            <v>0</v>
          </cell>
          <cell r="AH77">
            <v>0</v>
          </cell>
          <cell r="AI77">
            <v>0.67241379310344829</v>
          </cell>
          <cell r="AJ77">
            <v>0</v>
          </cell>
          <cell r="AK77">
            <v>0</v>
          </cell>
          <cell r="AN77">
            <v>3.9</v>
          </cell>
          <cell r="AO77">
            <v>5.8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>
            <v>0</v>
          </cell>
          <cell r="BQ77">
            <v>0</v>
          </cell>
          <cell r="BR77">
            <v>0</v>
          </cell>
          <cell r="BS77">
            <v>3.9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BZ77">
            <v>0</v>
          </cell>
          <cell r="CA77">
            <v>1.9</v>
          </cell>
          <cell r="CB77">
            <v>0</v>
          </cell>
          <cell r="CC77">
            <v>0</v>
          </cell>
          <cell r="CD77">
            <v>0</v>
          </cell>
          <cell r="CE77">
            <v>0</v>
          </cell>
          <cell r="CF77">
            <v>0</v>
          </cell>
          <cell r="CG77">
            <v>0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  <cell r="CM77">
            <v>0</v>
          </cell>
          <cell r="CN77">
            <v>0</v>
          </cell>
          <cell r="CO77">
            <v>0</v>
          </cell>
          <cell r="CP77">
            <v>0</v>
          </cell>
          <cell r="CQ77">
            <v>5.8</v>
          </cell>
          <cell r="CR77">
            <v>0</v>
          </cell>
          <cell r="CS77">
            <v>0</v>
          </cell>
          <cell r="CV77">
            <v>0</v>
          </cell>
          <cell r="CW77">
            <v>0</v>
          </cell>
          <cell r="CX77">
            <v>0</v>
          </cell>
          <cell r="CY77">
            <v>0</v>
          </cell>
          <cell r="CZ77">
            <v>5.8</v>
          </cell>
          <cell r="DA77">
            <v>0</v>
          </cell>
          <cell r="DD77">
            <v>3.5000000000000003E-2</v>
          </cell>
          <cell r="DE77">
            <v>3.8480818425022364E-2</v>
          </cell>
          <cell r="DF77">
            <v>4.3903596897279767E-2</v>
          </cell>
          <cell r="DG77">
            <v>3.4859447002183047E-2</v>
          </cell>
          <cell r="DH77">
            <v>2.8771739930554506E-2</v>
          </cell>
          <cell r="DI77">
            <v>2.4988046269090142E-2</v>
          </cell>
          <cell r="DJ77">
            <v>2.3609836658996537E-2</v>
          </cell>
          <cell r="DK77">
            <v>2.3409759691511062E-2</v>
          </cell>
          <cell r="DL77">
            <v>2.5390043747624564E-2</v>
          </cell>
          <cell r="DM77">
            <v>3.0468955667719698E-2</v>
          </cell>
          <cell r="DN77">
            <v>3.1477733484579183E-2</v>
          </cell>
          <cell r="DQ77">
            <v>0</v>
          </cell>
          <cell r="DR77">
            <v>0</v>
          </cell>
          <cell r="DS77">
            <v>0</v>
          </cell>
          <cell r="DT77">
            <v>0</v>
          </cell>
          <cell r="DU77">
            <v>0</v>
          </cell>
          <cell r="DV77">
            <v>0</v>
          </cell>
          <cell r="DW77">
            <v>0</v>
          </cell>
          <cell r="DX77">
            <v>0</v>
          </cell>
          <cell r="DY77">
            <v>0</v>
          </cell>
          <cell r="DZ77">
            <v>0</v>
          </cell>
          <cell r="EA77">
            <v>0</v>
          </cell>
          <cell r="ED77">
            <v>0</v>
          </cell>
          <cell r="EE77">
            <v>0</v>
          </cell>
          <cell r="EF77">
            <v>0</v>
          </cell>
          <cell r="EG77">
            <v>0</v>
          </cell>
          <cell r="EH77">
            <v>0</v>
          </cell>
          <cell r="EI77">
            <v>0</v>
          </cell>
          <cell r="EJ77">
            <v>0</v>
          </cell>
          <cell r="EK77">
            <v>0</v>
          </cell>
          <cell r="EL77">
            <v>0</v>
          </cell>
          <cell r="EM77">
            <v>0</v>
          </cell>
          <cell r="EN77">
            <v>0</v>
          </cell>
          <cell r="EQ77">
            <v>3.0501154968635358E-2</v>
          </cell>
          <cell r="ER77">
            <v>2.3534482758620693E-2</v>
          </cell>
          <cell r="ES77">
            <v>2.5215517241379316E-2</v>
          </cell>
          <cell r="ET77">
            <v>2.8577586206896554E-2</v>
          </cell>
          <cell r="EU77">
            <v>2.8577586206896554E-2</v>
          </cell>
          <cell r="EV77">
            <v>2.8577586206896554E-2</v>
          </cell>
          <cell r="EW77">
            <v>2.8577586206896554E-2</v>
          </cell>
          <cell r="EX77">
            <v>2.8577586206896554E-2</v>
          </cell>
          <cell r="EY77">
            <v>2.8577586206896554E-2</v>
          </cell>
          <cell r="EZ77">
            <v>2.8577586206896554E-2</v>
          </cell>
          <cell r="FA77">
            <v>2.8577586206896554E-2</v>
          </cell>
          <cell r="FD77">
            <v>0</v>
          </cell>
          <cell r="FE77">
            <v>0</v>
          </cell>
          <cell r="FF77">
            <v>0</v>
          </cell>
          <cell r="FG77">
            <v>0</v>
          </cell>
          <cell r="FH77">
            <v>0</v>
          </cell>
          <cell r="FI77">
            <v>0</v>
          </cell>
          <cell r="FJ77">
            <v>0</v>
          </cell>
          <cell r="FK77">
            <v>0</v>
          </cell>
          <cell r="FL77">
            <v>0</v>
          </cell>
          <cell r="FM77">
            <v>0</v>
          </cell>
          <cell r="FN77">
            <v>0</v>
          </cell>
          <cell r="FQ77">
            <v>3.0501154968635358E-2</v>
          </cell>
          <cell r="FR77">
            <v>2.3534482758620693E-2</v>
          </cell>
          <cell r="FS77">
            <v>2.5215517241379316E-2</v>
          </cell>
          <cell r="FT77">
            <v>2.8577586206896554E-2</v>
          </cell>
          <cell r="FU77">
            <v>2.8577586206896554E-2</v>
          </cell>
          <cell r="FV77">
            <v>2.8577586206896554E-2</v>
          </cell>
          <cell r="FW77">
            <v>2.8577586206896554E-2</v>
          </cell>
          <cell r="FX77">
            <v>2.8577586206896554E-2</v>
          </cell>
          <cell r="FY77">
            <v>2.8577586206896554E-2</v>
          </cell>
          <cell r="FZ77">
            <v>2.8577586206896554E-2</v>
          </cell>
          <cell r="GA77">
            <v>2.8577586206896554E-2</v>
          </cell>
          <cell r="GD77">
            <v>3.140092397490829E-2</v>
          </cell>
          <cell r="GE77">
            <v>2.6523749891901028E-2</v>
          </cell>
          <cell r="GF77">
            <v>2.895313317255941E-2</v>
          </cell>
          <cell r="GG77">
            <v>2.9833958365953855E-2</v>
          </cell>
          <cell r="GH77">
            <v>2.8616416951628146E-2</v>
          </cell>
          <cell r="GI77">
            <v>2.7859678219335274E-2</v>
          </cell>
          <cell r="GJ77">
            <v>2.7584036297316553E-2</v>
          </cell>
          <cell r="GK77">
            <v>2.7544020903819459E-2</v>
          </cell>
          <cell r="GL77">
            <v>2.7940077715042158E-2</v>
          </cell>
          <cell r="GM77">
            <v>2.8955860099061186E-2</v>
          </cell>
          <cell r="GN77">
            <v>2.9157615662433082E-2</v>
          </cell>
        </row>
        <row r="78">
          <cell r="B78" t="str">
            <v>Nambour Central Mall</v>
          </cell>
          <cell r="C78">
            <v>0</v>
          </cell>
          <cell r="D78">
            <v>1</v>
          </cell>
          <cell r="E78" t="str">
            <v>Neighbourhood</v>
          </cell>
          <cell r="F78" t="str">
            <v>QLD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3.4</v>
          </cell>
          <cell r="S78">
            <v>0</v>
          </cell>
          <cell r="T78">
            <v>3.4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1.5</v>
          </cell>
          <cell r="AD78">
            <v>0</v>
          </cell>
          <cell r="AE78">
            <v>0</v>
          </cell>
          <cell r="AF78">
            <v>0.30612244897959179</v>
          </cell>
          <cell r="AG78">
            <v>0</v>
          </cell>
          <cell r="AH78">
            <v>0</v>
          </cell>
          <cell r="AI78">
            <v>0.69387755102040805</v>
          </cell>
          <cell r="AJ78">
            <v>0</v>
          </cell>
          <cell r="AK78">
            <v>0</v>
          </cell>
          <cell r="AN78">
            <v>3.4</v>
          </cell>
          <cell r="AO78">
            <v>4.9000000000000004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>
            <v>0</v>
          </cell>
          <cell r="BQ78">
            <v>0</v>
          </cell>
          <cell r="BR78">
            <v>0</v>
          </cell>
          <cell r="BS78">
            <v>3.4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BZ78">
            <v>0</v>
          </cell>
          <cell r="CA78">
            <v>1.5</v>
          </cell>
          <cell r="CB78">
            <v>0</v>
          </cell>
          <cell r="CC78">
            <v>0</v>
          </cell>
          <cell r="CD78">
            <v>0</v>
          </cell>
          <cell r="CE78">
            <v>0</v>
          </cell>
          <cell r="CF78">
            <v>0</v>
          </cell>
          <cell r="CG78">
            <v>0</v>
          </cell>
          <cell r="CH78">
            <v>0</v>
          </cell>
          <cell r="CI78">
            <v>0</v>
          </cell>
          <cell r="CJ78">
            <v>0</v>
          </cell>
          <cell r="CK78">
            <v>0</v>
          </cell>
          <cell r="CL78">
            <v>0</v>
          </cell>
          <cell r="CM78">
            <v>0</v>
          </cell>
          <cell r="CN78">
            <v>0</v>
          </cell>
          <cell r="CO78">
            <v>0</v>
          </cell>
          <cell r="CP78">
            <v>0</v>
          </cell>
          <cell r="CQ78">
            <v>4.9000000000000004</v>
          </cell>
          <cell r="CR78">
            <v>0</v>
          </cell>
          <cell r="CS78">
            <v>0</v>
          </cell>
          <cell r="CV78">
            <v>0</v>
          </cell>
          <cell r="CW78">
            <v>0</v>
          </cell>
          <cell r="CX78">
            <v>0</v>
          </cell>
          <cell r="CY78">
            <v>0</v>
          </cell>
          <cell r="CZ78">
            <v>4.9000000000000004</v>
          </cell>
          <cell r="DA78">
            <v>0</v>
          </cell>
          <cell r="DD78">
            <v>3.5000000000000003E-2</v>
          </cell>
          <cell r="DE78">
            <v>3.8480818425022364E-2</v>
          </cell>
          <cell r="DF78">
            <v>4.3903596897279767E-2</v>
          </cell>
          <cell r="DG78">
            <v>3.4859447002183047E-2</v>
          </cell>
          <cell r="DH78">
            <v>2.8771739930554506E-2</v>
          </cell>
          <cell r="DI78">
            <v>2.4988046269090142E-2</v>
          </cell>
          <cell r="DJ78">
            <v>2.3609836658996537E-2</v>
          </cell>
          <cell r="DK78">
            <v>2.3409759691511062E-2</v>
          </cell>
          <cell r="DL78">
            <v>2.5390043747624564E-2</v>
          </cell>
          <cell r="DM78">
            <v>3.0468955667719698E-2</v>
          </cell>
          <cell r="DN78">
            <v>3.1477733484579183E-2</v>
          </cell>
          <cell r="DQ78">
            <v>0</v>
          </cell>
          <cell r="DR78">
            <v>0</v>
          </cell>
          <cell r="DS78">
            <v>0</v>
          </cell>
          <cell r="DT78">
            <v>0</v>
          </cell>
          <cell r="DU78">
            <v>0</v>
          </cell>
          <cell r="DV78">
            <v>0</v>
          </cell>
          <cell r="DW78">
            <v>0</v>
          </cell>
          <cell r="DX78">
            <v>0</v>
          </cell>
          <cell r="DY78">
            <v>0</v>
          </cell>
          <cell r="DZ78">
            <v>0</v>
          </cell>
          <cell r="EA78">
            <v>0</v>
          </cell>
          <cell r="ED78">
            <v>0</v>
          </cell>
          <cell r="EE78">
            <v>0</v>
          </cell>
          <cell r="EF78">
            <v>0</v>
          </cell>
          <cell r="EG78">
            <v>0</v>
          </cell>
          <cell r="EH78">
            <v>0</v>
          </cell>
          <cell r="EI78">
            <v>0</v>
          </cell>
          <cell r="EJ78">
            <v>0</v>
          </cell>
          <cell r="EK78">
            <v>0</v>
          </cell>
          <cell r="EL78">
            <v>0</v>
          </cell>
          <cell r="EM78">
            <v>0</v>
          </cell>
          <cell r="EN78">
            <v>0</v>
          </cell>
          <cell r="EQ78">
            <v>3.1474765880768668E-2</v>
          </cell>
          <cell r="ER78">
            <v>2.4285714285714285E-2</v>
          </cell>
          <cell r="ES78">
            <v>2.6020408163265306E-2</v>
          </cell>
          <cell r="ET78">
            <v>2.9489795918367343E-2</v>
          </cell>
          <cell r="EU78">
            <v>2.9489795918367343E-2</v>
          </cell>
          <cell r="EV78">
            <v>2.9489795918367343E-2</v>
          </cell>
          <cell r="EW78">
            <v>2.9489795918367343E-2</v>
          </cell>
          <cell r="EX78">
            <v>2.9489795918367343E-2</v>
          </cell>
          <cell r="EY78">
            <v>2.9489795918367343E-2</v>
          </cell>
          <cell r="EZ78">
            <v>2.9489795918367343E-2</v>
          </cell>
          <cell r="FA78">
            <v>2.9489795918367343E-2</v>
          </cell>
          <cell r="FD78">
            <v>0</v>
          </cell>
          <cell r="FE78">
            <v>0</v>
          </cell>
          <cell r="FF78">
            <v>0</v>
          </cell>
          <cell r="FG78">
            <v>0</v>
          </cell>
          <cell r="FH78">
            <v>0</v>
          </cell>
          <cell r="FI78">
            <v>0</v>
          </cell>
          <cell r="FJ78">
            <v>0</v>
          </cell>
          <cell r="FK78">
            <v>0</v>
          </cell>
          <cell r="FL78">
            <v>0</v>
          </cell>
          <cell r="FM78">
            <v>0</v>
          </cell>
          <cell r="FN78">
            <v>0</v>
          </cell>
          <cell r="FQ78">
            <v>3.1474765880768668E-2</v>
          </cell>
          <cell r="FR78">
            <v>2.4285714285714285E-2</v>
          </cell>
          <cell r="FS78">
            <v>2.6020408163265306E-2</v>
          </cell>
          <cell r="FT78">
            <v>2.9489795918367343E-2</v>
          </cell>
          <cell r="FU78">
            <v>2.9489795918367343E-2</v>
          </cell>
          <cell r="FV78">
            <v>2.9489795918367343E-2</v>
          </cell>
          <cell r="FW78">
            <v>2.9489795918367343E-2</v>
          </cell>
          <cell r="FX78">
            <v>2.9489795918367343E-2</v>
          </cell>
          <cell r="FY78">
            <v>2.9489795918367343E-2</v>
          </cell>
          <cell r="FZ78">
            <v>2.9489795918367343E-2</v>
          </cell>
          <cell r="GA78">
            <v>2.9489795918367343E-2</v>
          </cell>
          <cell r="GD78">
            <v>3.2179812704614938E-2</v>
          </cell>
          <cell r="GE78">
            <v>2.7124735113575903E-2</v>
          </cell>
          <cell r="GF78">
            <v>2.9597045910068197E-2</v>
          </cell>
          <cell r="GG78">
            <v>3.0563726135130486E-2</v>
          </cell>
          <cell r="GH78">
            <v>2.9346184720804778E-2</v>
          </cell>
          <cell r="GI78">
            <v>2.8589445988511906E-2</v>
          </cell>
          <cell r="GJ78">
            <v>2.8313804066493184E-2</v>
          </cell>
          <cell r="GK78">
            <v>2.827378867299609E-2</v>
          </cell>
          <cell r="GL78">
            <v>2.8669845484218789E-2</v>
          </cell>
          <cell r="GM78">
            <v>2.9685627868237818E-2</v>
          </cell>
          <cell r="GN78">
            <v>2.9887383431609713E-2</v>
          </cell>
        </row>
        <row r="79">
          <cell r="B79" t="str">
            <v>Nambour Plaza</v>
          </cell>
          <cell r="C79">
            <v>0</v>
          </cell>
          <cell r="D79">
            <v>1</v>
          </cell>
          <cell r="E79" t="str">
            <v>Neighbourhood</v>
          </cell>
          <cell r="F79" t="str">
            <v>QLD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1.3</v>
          </cell>
          <cell r="S79">
            <v>0</v>
          </cell>
          <cell r="T79">
            <v>0</v>
          </cell>
          <cell r="U79">
            <v>0</v>
          </cell>
          <cell r="V79">
            <v>1.3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1.2</v>
          </cell>
          <cell r="AD79">
            <v>0</v>
          </cell>
          <cell r="AE79">
            <v>0</v>
          </cell>
          <cell r="AF79">
            <v>0.48</v>
          </cell>
          <cell r="AG79">
            <v>0</v>
          </cell>
          <cell r="AH79">
            <v>0</v>
          </cell>
          <cell r="AI79">
            <v>0.52</v>
          </cell>
          <cell r="AJ79">
            <v>0</v>
          </cell>
          <cell r="AK79">
            <v>0</v>
          </cell>
          <cell r="AN79">
            <v>1.3</v>
          </cell>
          <cell r="AO79">
            <v>2.5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>
            <v>0</v>
          </cell>
          <cell r="BQ79">
            <v>0</v>
          </cell>
          <cell r="BR79">
            <v>0</v>
          </cell>
          <cell r="BS79">
            <v>1.3</v>
          </cell>
          <cell r="BT79">
            <v>0</v>
          </cell>
          <cell r="BU79">
            <v>0</v>
          </cell>
          <cell r="BV79">
            <v>0</v>
          </cell>
          <cell r="BW79">
            <v>0</v>
          </cell>
          <cell r="BX79">
            <v>0</v>
          </cell>
          <cell r="BY79">
            <v>0</v>
          </cell>
          <cell r="BZ79">
            <v>0</v>
          </cell>
          <cell r="CA79">
            <v>1.2</v>
          </cell>
          <cell r="CB79">
            <v>0</v>
          </cell>
          <cell r="CC79">
            <v>0</v>
          </cell>
          <cell r="CD79">
            <v>0</v>
          </cell>
          <cell r="CE79">
            <v>0</v>
          </cell>
          <cell r="CF79">
            <v>0</v>
          </cell>
          <cell r="CG79">
            <v>0</v>
          </cell>
          <cell r="CH79">
            <v>0</v>
          </cell>
          <cell r="CI79">
            <v>0</v>
          </cell>
          <cell r="CJ79">
            <v>0</v>
          </cell>
          <cell r="CK79">
            <v>0</v>
          </cell>
          <cell r="CL79">
            <v>0</v>
          </cell>
          <cell r="CM79">
            <v>0</v>
          </cell>
          <cell r="CN79">
            <v>0</v>
          </cell>
          <cell r="CO79">
            <v>0</v>
          </cell>
          <cell r="CP79">
            <v>0</v>
          </cell>
          <cell r="CQ79">
            <v>2.5</v>
          </cell>
          <cell r="CR79">
            <v>0</v>
          </cell>
          <cell r="CS79">
            <v>0</v>
          </cell>
          <cell r="CV79">
            <v>0</v>
          </cell>
          <cell r="CW79">
            <v>0</v>
          </cell>
          <cell r="CX79">
            <v>0</v>
          </cell>
          <cell r="CY79">
            <v>0</v>
          </cell>
          <cell r="CZ79">
            <v>2.5</v>
          </cell>
          <cell r="DA79">
            <v>0</v>
          </cell>
          <cell r="DD79">
            <v>3.5000000000000003E-2</v>
          </cell>
          <cell r="DE79">
            <v>3.8480818425022364E-2</v>
          </cell>
          <cell r="DF79">
            <v>4.3903596897279767E-2</v>
          </cell>
          <cell r="DG79">
            <v>3.4859447002183047E-2</v>
          </cell>
          <cell r="DH79">
            <v>2.8771739930554506E-2</v>
          </cell>
          <cell r="DI79">
            <v>2.4988046269090142E-2</v>
          </cell>
          <cell r="DJ79">
            <v>2.3609836658996537E-2</v>
          </cell>
          <cell r="DK79">
            <v>2.3409759691511062E-2</v>
          </cell>
          <cell r="DL79">
            <v>2.5390043747624564E-2</v>
          </cell>
          <cell r="DM79">
            <v>3.0468955667719698E-2</v>
          </cell>
          <cell r="DN79">
            <v>3.1477733484579183E-2</v>
          </cell>
          <cell r="DQ79">
            <v>0</v>
          </cell>
          <cell r="DR79">
            <v>0</v>
          </cell>
          <cell r="DS79">
            <v>0</v>
          </cell>
          <cell r="DT79">
            <v>0</v>
          </cell>
          <cell r="DU79">
            <v>0</v>
          </cell>
          <cell r="DV79">
            <v>0</v>
          </cell>
          <cell r="DW79">
            <v>0</v>
          </cell>
          <cell r="DX79">
            <v>0</v>
          </cell>
          <cell r="DY79">
            <v>0</v>
          </cell>
          <cell r="DZ79">
            <v>0</v>
          </cell>
          <cell r="EA79">
            <v>0</v>
          </cell>
          <cell r="ED79">
            <v>0</v>
          </cell>
          <cell r="EE79">
            <v>0</v>
          </cell>
          <cell r="EF79">
            <v>0</v>
          </cell>
          <cell r="EG79">
            <v>0</v>
          </cell>
          <cell r="EH79">
            <v>0</v>
          </cell>
          <cell r="EI79">
            <v>0</v>
          </cell>
          <cell r="EJ79">
            <v>0</v>
          </cell>
          <cell r="EK79">
            <v>0</v>
          </cell>
          <cell r="EL79">
            <v>0</v>
          </cell>
          <cell r="EM79">
            <v>0</v>
          </cell>
          <cell r="EN79">
            <v>0</v>
          </cell>
          <cell r="EQ79">
            <v>2.3587559842411347E-2</v>
          </cell>
          <cell r="ER79">
            <v>1.8200000000000001E-2</v>
          </cell>
          <cell r="ES79">
            <v>1.9500000000000003E-2</v>
          </cell>
          <cell r="ET79">
            <v>2.2100000000000002E-2</v>
          </cell>
          <cell r="EU79">
            <v>2.2100000000000002E-2</v>
          </cell>
          <cell r="EV79">
            <v>2.2100000000000002E-2</v>
          </cell>
          <cell r="EW79">
            <v>2.2100000000000002E-2</v>
          </cell>
          <cell r="EX79">
            <v>2.2100000000000002E-2</v>
          </cell>
          <cell r="EY79">
            <v>2.2100000000000002E-2</v>
          </cell>
          <cell r="EZ79">
            <v>2.2100000000000002E-2</v>
          </cell>
          <cell r="FA79">
            <v>2.2100000000000002E-2</v>
          </cell>
          <cell r="FD79">
            <v>0</v>
          </cell>
          <cell r="FE79">
            <v>0</v>
          </cell>
          <cell r="FF79">
            <v>0</v>
          </cell>
          <cell r="FG79">
            <v>0</v>
          </cell>
          <cell r="FH79">
            <v>0</v>
          </cell>
          <cell r="FI79">
            <v>0</v>
          </cell>
          <cell r="FJ79">
            <v>0</v>
          </cell>
          <cell r="FK79">
            <v>0</v>
          </cell>
          <cell r="FL79">
            <v>0</v>
          </cell>
          <cell r="FM79">
            <v>0</v>
          </cell>
          <cell r="FN79">
            <v>0</v>
          </cell>
          <cell r="FQ79">
            <v>2.3587559842411347E-2</v>
          </cell>
          <cell r="FR79">
            <v>1.8200000000000001E-2</v>
          </cell>
          <cell r="FS79">
            <v>1.9500000000000003E-2</v>
          </cell>
          <cell r="FT79">
            <v>2.2100000000000002E-2</v>
          </cell>
          <cell r="FU79">
            <v>2.2100000000000002E-2</v>
          </cell>
          <cell r="FV79">
            <v>2.2100000000000002E-2</v>
          </cell>
          <cell r="FW79">
            <v>2.2100000000000002E-2</v>
          </cell>
          <cell r="FX79">
            <v>2.2100000000000002E-2</v>
          </cell>
          <cell r="FY79">
            <v>2.2100000000000002E-2</v>
          </cell>
          <cell r="FZ79">
            <v>2.2100000000000002E-2</v>
          </cell>
          <cell r="GA79">
            <v>2.2100000000000002E-2</v>
          </cell>
          <cell r="GD79">
            <v>2.5870047873929082E-2</v>
          </cell>
          <cell r="GE79">
            <v>2.2256163685004476E-2</v>
          </cell>
          <cell r="GF79">
            <v>2.4380719379455955E-2</v>
          </cell>
          <cell r="GG79">
            <v>2.4651889400436611E-2</v>
          </cell>
          <cell r="GH79">
            <v>2.3434347986110902E-2</v>
          </cell>
          <cell r="GI79">
            <v>2.267760925381803E-2</v>
          </cell>
          <cell r="GJ79">
            <v>2.2401967331799309E-2</v>
          </cell>
          <cell r="GK79">
            <v>2.2361951938302215E-2</v>
          </cell>
          <cell r="GL79">
            <v>2.2758008749524914E-2</v>
          </cell>
          <cell r="GM79">
            <v>2.3773791133543942E-2</v>
          </cell>
          <cell r="GN79">
            <v>2.3975546696915838E-2</v>
          </cell>
        </row>
        <row r="80">
          <cell r="B80" t="str">
            <v>Redcliffe</v>
          </cell>
          <cell r="C80">
            <v>0</v>
          </cell>
          <cell r="D80">
            <v>1</v>
          </cell>
          <cell r="E80" t="str">
            <v>Neighbourhood</v>
          </cell>
          <cell r="F80" t="str">
            <v>QLD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1.6</v>
          </cell>
          <cell r="S80">
            <v>1.6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0.6</v>
          </cell>
          <cell r="AD80">
            <v>0</v>
          </cell>
          <cell r="AE80">
            <v>0</v>
          </cell>
          <cell r="AF80">
            <v>0.27272727272727271</v>
          </cell>
          <cell r="AG80">
            <v>0</v>
          </cell>
          <cell r="AH80">
            <v>0</v>
          </cell>
          <cell r="AI80">
            <v>0.72727272727272729</v>
          </cell>
          <cell r="AJ80">
            <v>0</v>
          </cell>
          <cell r="AK80">
            <v>0</v>
          </cell>
          <cell r="AN80">
            <v>1.6</v>
          </cell>
          <cell r="AO80">
            <v>2.2000000000000002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>
            <v>0</v>
          </cell>
          <cell r="BQ80">
            <v>0</v>
          </cell>
          <cell r="BR80">
            <v>0</v>
          </cell>
          <cell r="BS80">
            <v>1.6</v>
          </cell>
          <cell r="BT80">
            <v>0</v>
          </cell>
          <cell r="BU80">
            <v>0</v>
          </cell>
          <cell r="BV80">
            <v>0</v>
          </cell>
          <cell r="BW80">
            <v>0</v>
          </cell>
          <cell r="BX80">
            <v>0</v>
          </cell>
          <cell r="BY80">
            <v>0</v>
          </cell>
          <cell r="BZ80">
            <v>0</v>
          </cell>
          <cell r="CA80">
            <v>0.6</v>
          </cell>
          <cell r="CB80">
            <v>0</v>
          </cell>
          <cell r="CC80">
            <v>0</v>
          </cell>
          <cell r="CD80">
            <v>0</v>
          </cell>
          <cell r="CE80">
            <v>0</v>
          </cell>
          <cell r="CF80">
            <v>0</v>
          </cell>
          <cell r="CG80">
            <v>0</v>
          </cell>
          <cell r="CH80">
            <v>0</v>
          </cell>
          <cell r="CI80">
            <v>0</v>
          </cell>
          <cell r="CJ80">
            <v>0</v>
          </cell>
          <cell r="CK80">
            <v>0</v>
          </cell>
          <cell r="CL80">
            <v>0</v>
          </cell>
          <cell r="CM80">
            <v>0</v>
          </cell>
          <cell r="CN80">
            <v>0</v>
          </cell>
          <cell r="CO80">
            <v>0</v>
          </cell>
          <cell r="CP80">
            <v>0</v>
          </cell>
          <cell r="CQ80">
            <v>2.2000000000000002</v>
          </cell>
          <cell r="CR80">
            <v>0</v>
          </cell>
          <cell r="CS80">
            <v>0</v>
          </cell>
          <cell r="CV80">
            <v>0</v>
          </cell>
          <cell r="CW80">
            <v>0</v>
          </cell>
          <cell r="CX80">
            <v>0</v>
          </cell>
          <cell r="CY80">
            <v>0</v>
          </cell>
          <cell r="CZ80">
            <v>2.2000000000000002</v>
          </cell>
          <cell r="DA80">
            <v>0</v>
          </cell>
          <cell r="DD80">
            <v>3.5000000000000003E-2</v>
          </cell>
          <cell r="DE80">
            <v>3.8480818425022364E-2</v>
          </cell>
          <cell r="DF80">
            <v>4.3903596897279767E-2</v>
          </cell>
          <cell r="DG80">
            <v>3.4859447002183047E-2</v>
          </cell>
          <cell r="DH80">
            <v>2.8771739930554506E-2</v>
          </cell>
          <cell r="DI80">
            <v>2.4988046269090142E-2</v>
          </cell>
          <cell r="DJ80">
            <v>2.3609836658996537E-2</v>
          </cell>
          <cell r="DK80">
            <v>2.3409759691511062E-2</v>
          </cell>
          <cell r="DL80">
            <v>2.5390043747624564E-2</v>
          </cell>
          <cell r="DM80">
            <v>3.0468955667719698E-2</v>
          </cell>
          <cell r="DN80">
            <v>3.1477733484579183E-2</v>
          </cell>
          <cell r="DQ80">
            <v>0</v>
          </cell>
          <cell r="DR80">
            <v>0</v>
          </cell>
          <cell r="DS80">
            <v>0</v>
          </cell>
          <cell r="DT80">
            <v>0</v>
          </cell>
          <cell r="DU80">
            <v>0</v>
          </cell>
          <cell r="DV80">
            <v>0</v>
          </cell>
          <cell r="DW80">
            <v>0</v>
          </cell>
          <cell r="DX80">
            <v>0</v>
          </cell>
          <cell r="DY80">
            <v>0</v>
          </cell>
          <cell r="DZ80">
            <v>0</v>
          </cell>
          <cell r="EA80">
            <v>0</v>
          </cell>
          <cell r="ED80">
            <v>0</v>
          </cell>
          <cell r="EE80">
            <v>0</v>
          </cell>
          <cell r="EF80">
            <v>0</v>
          </cell>
          <cell r="EG80">
            <v>0</v>
          </cell>
          <cell r="EH80">
            <v>0</v>
          </cell>
          <cell r="EI80">
            <v>0</v>
          </cell>
          <cell r="EJ80">
            <v>0</v>
          </cell>
          <cell r="EK80">
            <v>0</v>
          </cell>
          <cell r="EL80">
            <v>0</v>
          </cell>
          <cell r="EM80">
            <v>0</v>
          </cell>
          <cell r="EN80">
            <v>0</v>
          </cell>
          <cell r="EQ80">
            <v>3.2989594185190693E-2</v>
          </cell>
          <cell r="ER80">
            <v>2.5454545454545459E-2</v>
          </cell>
          <cell r="ES80">
            <v>2.7272727272727278E-2</v>
          </cell>
          <cell r="ET80">
            <v>3.0909090909090914E-2</v>
          </cell>
          <cell r="EU80">
            <v>3.0909090909090914E-2</v>
          </cell>
          <cell r="EV80">
            <v>3.0909090909090914E-2</v>
          </cell>
          <cell r="EW80">
            <v>3.0909090909090914E-2</v>
          </cell>
          <cell r="EX80">
            <v>3.0909090909090914E-2</v>
          </cell>
          <cell r="EY80">
            <v>3.0909090909090914E-2</v>
          </cell>
          <cell r="EZ80">
            <v>3.0909090909090914E-2</v>
          </cell>
          <cell r="FA80">
            <v>3.0909090909090914E-2</v>
          </cell>
          <cell r="FD80">
            <v>0</v>
          </cell>
          <cell r="FE80">
            <v>0</v>
          </cell>
          <cell r="FF80">
            <v>0</v>
          </cell>
          <cell r="FG80">
            <v>0</v>
          </cell>
          <cell r="FH80">
            <v>0</v>
          </cell>
          <cell r="FI80">
            <v>0</v>
          </cell>
          <cell r="FJ80">
            <v>0</v>
          </cell>
          <cell r="FK80">
            <v>0</v>
          </cell>
          <cell r="FL80">
            <v>0</v>
          </cell>
          <cell r="FM80">
            <v>0</v>
          </cell>
          <cell r="FN80">
            <v>0</v>
          </cell>
          <cell r="FQ80">
            <v>3.2989594185190693E-2</v>
          </cell>
          <cell r="FR80">
            <v>2.5454545454545459E-2</v>
          </cell>
          <cell r="FS80">
            <v>2.7272727272727278E-2</v>
          </cell>
          <cell r="FT80">
            <v>3.0909090909090914E-2</v>
          </cell>
          <cell r="FU80">
            <v>3.0909090909090914E-2</v>
          </cell>
          <cell r="FV80">
            <v>3.0909090909090914E-2</v>
          </cell>
          <cell r="FW80">
            <v>3.0909090909090914E-2</v>
          </cell>
          <cell r="FX80">
            <v>3.0909090909090914E-2</v>
          </cell>
          <cell r="FY80">
            <v>3.0909090909090914E-2</v>
          </cell>
          <cell r="FZ80">
            <v>3.0909090909090914E-2</v>
          </cell>
          <cell r="GA80">
            <v>3.0909090909090914E-2</v>
          </cell>
          <cell r="GD80">
            <v>3.3391675348152558E-2</v>
          </cell>
          <cell r="GE80">
            <v>2.8059800048640841E-2</v>
          </cell>
          <cell r="GF80">
            <v>3.0598901197637779E-2</v>
          </cell>
          <cell r="GG80">
            <v>3.1699162127709346E-2</v>
          </cell>
          <cell r="GH80">
            <v>3.0481620713383634E-2</v>
          </cell>
          <cell r="GI80">
            <v>2.9724881981090762E-2</v>
          </cell>
          <cell r="GJ80">
            <v>2.944924005907204E-2</v>
          </cell>
          <cell r="GK80">
            <v>2.9409224665574947E-2</v>
          </cell>
          <cell r="GL80">
            <v>2.9805281476797646E-2</v>
          </cell>
          <cell r="GM80">
            <v>3.0821063860816674E-2</v>
          </cell>
          <cell r="GN80">
            <v>3.102281942418857E-2</v>
          </cell>
        </row>
        <row r="81">
          <cell r="B81" t="str">
            <v>Woolworths Rockhampton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 t="e">
            <v>#DIV/0!</v>
          </cell>
          <cell r="AG81" t="e">
            <v>#DIV/0!</v>
          </cell>
          <cell r="AH81" t="e">
            <v>#DIV/0!</v>
          </cell>
          <cell r="AI81" t="e">
            <v>#DIV/0!</v>
          </cell>
          <cell r="AJ81" t="e">
            <v>#DIV/0!</v>
          </cell>
          <cell r="AK81" t="e">
            <v>#DIV/0!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>
            <v>0</v>
          </cell>
          <cell r="BQ81">
            <v>0</v>
          </cell>
          <cell r="BR81">
            <v>0</v>
          </cell>
          <cell r="BS81">
            <v>0</v>
          </cell>
          <cell r="BT81">
            <v>0</v>
          </cell>
          <cell r="BU81">
            <v>0</v>
          </cell>
          <cell r="BV81">
            <v>0</v>
          </cell>
          <cell r="BW81">
            <v>0</v>
          </cell>
          <cell r="BX81">
            <v>0</v>
          </cell>
          <cell r="BY81">
            <v>0</v>
          </cell>
          <cell r="BZ81">
            <v>0</v>
          </cell>
          <cell r="CA81">
            <v>0</v>
          </cell>
          <cell r="CB81">
            <v>0</v>
          </cell>
          <cell r="CC81">
            <v>0</v>
          </cell>
          <cell r="CD81">
            <v>0</v>
          </cell>
          <cell r="CE81">
            <v>0</v>
          </cell>
          <cell r="CF81">
            <v>0</v>
          </cell>
          <cell r="CG81">
            <v>0</v>
          </cell>
          <cell r="CH81">
            <v>0</v>
          </cell>
          <cell r="CI81">
            <v>0</v>
          </cell>
          <cell r="CJ81">
            <v>0</v>
          </cell>
          <cell r="CK81">
            <v>0</v>
          </cell>
          <cell r="CL81">
            <v>0</v>
          </cell>
          <cell r="CM81">
            <v>0</v>
          </cell>
          <cell r="CN81">
            <v>0</v>
          </cell>
          <cell r="CO81">
            <v>0</v>
          </cell>
          <cell r="CP81">
            <v>0</v>
          </cell>
          <cell r="CQ81">
            <v>0</v>
          </cell>
          <cell r="CR81">
            <v>0</v>
          </cell>
          <cell r="CS81">
            <v>0</v>
          </cell>
          <cell r="CV81">
            <v>0</v>
          </cell>
          <cell r="CW81">
            <v>0</v>
          </cell>
          <cell r="CX81">
            <v>0</v>
          </cell>
          <cell r="CY81">
            <v>0</v>
          </cell>
          <cell r="CZ81">
            <v>0</v>
          </cell>
          <cell r="DA81">
            <v>0</v>
          </cell>
          <cell r="DD81">
            <v>0</v>
          </cell>
          <cell r="DE81">
            <v>0</v>
          </cell>
          <cell r="DF81">
            <v>0</v>
          </cell>
          <cell r="DG81">
            <v>0</v>
          </cell>
          <cell r="DH81">
            <v>0</v>
          </cell>
          <cell r="DI81">
            <v>0</v>
          </cell>
          <cell r="DJ81">
            <v>0</v>
          </cell>
          <cell r="DK81">
            <v>0</v>
          </cell>
          <cell r="DL81">
            <v>0</v>
          </cell>
          <cell r="DM81">
            <v>0</v>
          </cell>
          <cell r="DN81">
            <v>0</v>
          </cell>
          <cell r="DQ81">
            <v>0</v>
          </cell>
          <cell r="DR81">
            <v>0</v>
          </cell>
          <cell r="DS81">
            <v>0</v>
          </cell>
          <cell r="DT81">
            <v>0</v>
          </cell>
          <cell r="DU81">
            <v>0</v>
          </cell>
          <cell r="DV81">
            <v>0</v>
          </cell>
          <cell r="DW81">
            <v>0</v>
          </cell>
          <cell r="DX81">
            <v>0</v>
          </cell>
          <cell r="DY81">
            <v>0</v>
          </cell>
          <cell r="DZ81">
            <v>0</v>
          </cell>
          <cell r="EA81">
            <v>0</v>
          </cell>
          <cell r="ED81">
            <v>0</v>
          </cell>
          <cell r="EE81">
            <v>0</v>
          </cell>
          <cell r="EF81">
            <v>0</v>
          </cell>
          <cell r="EG81">
            <v>0</v>
          </cell>
          <cell r="EH81">
            <v>0</v>
          </cell>
          <cell r="EI81">
            <v>0</v>
          </cell>
          <cell r="EJ81">
            <v>0</v>
          </cell>
          <cell r="EK81">
            <v>0</v>
          </cell>
          <cell r="EL81">
            <v>0</v>
          </cell>
          <cell r="EM81">
            <v>0</v>
          </cell>
          <cell r="EN81">
            <v>0</v>
          </cell>
          <cell r="EQ81">
            <v>0</v>
          </cell>
          <cell r="ER81">
            <v>0</v>
          </cell>
          <cell r="ES81">
            <v>0</v>
          </cell>
          <cell r="ET81">
            <v>0</v>
          </cell>
          <cell r="EU81">
            <v>0</v>
          </cell>
          <cell r="EV81">
            <v>0</v>
          </cell>
          <cell r="EW81">
            <v>0</v>
          </cell>
          <cell r="EX81">
            <v>0</v>
          </cell>
          <cell r="EY81">
            <v>0</v>
          </cell>
          <cell r="EZ81">
            <v>0</v>
          </cell>
          <cell r="FA81">
            <v>0</v>
          </cell>
          <cell r="FD81">
            <v>0</v>
          </cell>
          <cell r="FE81">
            <v>0</v>
          </cell>
          <cell r="FF81">
            <v>0</v>
          </cell>
          <cell r="FG81">
            <v>0</v>
          </cell>
          <cell r="FH81">
            <v>0</v>
          </cell>
          <cell r="FI81">
            <v>0</v>
          </cell>
          <cell r="FJ81">
            <v>0</v>
          </cell>
          <cell r="FK81">
            <v>0</v>
          </cell>
          <cell r="FL81">
            <v>0</v>
          </cell>
          <cell r="FM81">
            <v>0</v>
          </cell>
          <cell r="FN81">
            <v>0</v>
          </cell>
          <cell r="FQ81">
            <v>0</v>
          </cell>
          <cell r="FR81">
            <v>0</v>
          </cell>
          <cell r="FS81">
            <v>0</v>
          </cell>
          <cell r="FT81">
            <v>0</v>
          </cell>
          <cell r="FU81">
            <v>0</v>
          </cell>
          <cell r="FV81">
            <v>0</v>
          </cell>
          <cell r="FW81">
            <v>0</v>
          </cell>
          <cell r="FX81">
            <v>0</v>
          </cell>
          <cell r="FY81">
            <v>0</v>
          </cell>
          <cell r="FZ81">
            <v>0</v>
          </cell>
          <cell r="GA81">
            <v>0</v>
          </cell>
          <cell r="GD81" t="e">
            <v>#N/A</v>
          </cell>
          <cell r="GE81" t="e">
            <v>#N/A</v>
          </cell>
          <cell r="GF81" t="e">
            <v>#N/A</v>
          </cell>
          <cell r="GG81" t="e">
            <v>#N/A</v>
          </cell>
          <cell r="GH81" t="e">
            <v>#N/A</v>
          </cell>
          <cell r="GI81" t="e">
            <v>#N/A</v>
          </cell>
          <cell r="GJ81" t="e">
            <v>#N/A</v>
          </cell>
          <cell r="GK81" t="e">
            <v>#N/A</v>
          </cell>
          <cell r="GL81" t="e">
            <v>#N/A</v>
          </cell>
          <cell r="GM81" t="e">
            <v>#N/A</v>
          </cell>
          <cell r="GN81" t="e">
            <v>#N/A</v>
          </cell>
        </row>
        <row r="82">
          <cell r="B82" t="str">
            <v>Townsville</v>
          </cell>
          <cell r="C82">
            <v>0</v>
          </cell>
          <cell r="D82">
            <v>1</v>
          </cell>
          <cell r="E82" t="str">
            <v>Neighbourhood</v>
          </cell>
          <cell r="F82" t="str">
            <v>QLD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2.2000000000000002</v>
          </cell>
          <cell r="S82">
            <v>2.2000000000000002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1.3</v>
          </cell>
          <cell r="AD82">
            <v>0</v>
          </cell>
          <cell r="AE82">
            <v>0</v>
          </cell>
          <cell r="AF82">
            <v>0.37142857142857144</v>
          </cell>
          <cell r="AG82">
            <v>0</v>
          </cell>
          <cell r="AH82">
            <v>0</v>
          </cell>
          <cell r="AI82">
            <v>0.62857142857142867</v>
          </cell>
          <cell r="AJ82">
            <v>0</v>
          </cell>
          <cell r="AK82">
            <v>0</v>
          </cell>
          <cell r="AN82">
            <v>2.2000000000000002</v>
          </cell>
          <cell r="AO82">
            <v>3.5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>
            <v>0</v>
          </cell>
          <cell r="BQ82">
            <v>0</v>
          </cell>
          <cell r="BR82">
            <v>0</v>
          </cell>
          <cell r="BS82">
            <v>2.2000000000000002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BZ82">
            <v>0</v>
          </cell>
          <cell r="CA82">
            <v>1.3</v>
          </cell>
          <cell r="CB82">
            <v>0</v>
          </cell>
          <cell r="CC82">
            <v>0</v>
          </cell>
          <cell r="CD82">
            <v>0</v>
          </cell>
          <cell r="CE82">
            <v>0</v>
          </cell>
          <cell r="CF82">
            <v>0</v>
          </cell>
          <cell r="CG82">
            <v>0</v>
          </cell>
          <cell r="CH82">
            <v>0</v>
          </cell>
          <cell r="CI82">
            <v>0</v>
          </cell>
          <cell r="CJ82">
            <v>0</v>
          </cell>
          <cell r="CK82">
            <v>0</v>
          </cell>
          <cell r="CL82">
            <v>0</v>
          </cell>
          <cell r="CM82">
            <v>0</v>
          </cell>
          <cell r="CN82">
            <v>0</v>
          </cell>
          <cell r="CO82">
            <v>0</v>
          </cell>
          <cell r="CP82">
            <v>0</v>
          </cell>
          <cell r="CQ82">
            <v>3.5</v>
          </cell>
          <cell r="CR82">
            <v>0</v>
          </cell>
          <cell r="CS82">
            <v>0</v>
          </cell>
          <cell r="CV82">
            <v>0</v>
          </cell>
          <cell r="CW82">
            <v>0</v>
          </cell>
          <cell r="CX82">
            <v>0</v>
          </cell>
          <cell r="CY82">
            <v>0</v>
          </cell>
          <cell r="CZ82">
            <v>3.5</v>
          </cell>
          <cell r="DA82">
            <v>0</v>
          </cell>
          <cell r="DD82">
            <v>3.5000000000000003E-2</v>
          </cell>
          <cell r="DE82">
            <v>3.8480818425022364E-2</v>
          </cell>
          <cell r="DF82">
            <v>4.3903596897279767E-2</v>
          </cell>
          <cell r="DG82">
            <v>3.4859447002183047E-2</v>
          </cell>
          <cell r="DH82">
            <v>2.8771739930554506E-2</v>
          </cell>
          <cell r="DI82">
            <v>2.4988046269090142E-2</v>
          </cell>
          <cell r="DJ82">
            <v>2.3609836658996537E-2</v>
          </cell>
          <cell r="DK82">
            <v>2.3409759691511062E-2</v>
          </cell>
          <cell r="DL82">
            <v>2.5390043747624564E-2</v>
          </cell>
          <cell r="DM82">
            <v>3.0468955667719698E-2</v>
          </cell>
          <cell r="DN82">
            <v>3.1477733484579183E-2</v>
          </cell>
          <cell r="DQ82">
            <v>0</v>
          </cell>
          <cell r="DR82">
            <v>0</v>
          </cell>
          <cell r="DS82">
            <v>0</v>
          </cell>
          <cell r="DT82">
            <v>0</v>
          </cell>
          <cell r="DU82">
            <v>0</v>
          </cell>
          <cell r="DV82">
            <v>0</v>
          </cell>
          <cell r="DW82">
            <v>0</v>
          </cell>
          <cell r="DX82">
            <v>0</v>
          </cell>
          <cell r="DY82">
            <v>0</v>
          </cell>
          <cell r="DZ82">
            <v>0</v>
          </cell>
          <cell r="EA82">
            <v>0</v>
          </cell>
          <cell r="ED82">
            <v>0</v>
          </cell>
          <cell r="EE82">
            <v>0</v>
          </cell>
          <cell r="EF82">
            <v>0</v>
          </cell>
          <cell r="EG82">
            <v>0</v>
          </cell>
          <cell r="EH82">
            <v>0</v>
          </cell>
          <cell r="EI82">
            <v>0</v>
          </cell>
          <cell r="EJ82">
            <v>0</v>
          </cell>
          <cell r="EK82">
            <v>0</v>
          </cell>
          <cell r="EL82">
            <v>0</v>
          </cell>
          <cell r="EM82">
            <v>0</v>
          </cell>
          <cell r="EN82">
            <v>0</v>
          </cell>
          <cell r="EQ82">
            <v>2.8512434974343387E-2</v>
          </cell>
          <cell r="ER82">
            <v>2.2000000000000006E-2</v>
          </cell>
          <cell r="ES82">
            <v>2.357142857142858E-2</v>
          </cell>
          <cell r="ET82">
            <v>2.6714285714285722E-2</v>
          </cell>
          <cell r="EU82">
            <v>2.6714285714285722E-2</v>
          </cell>
          <cell r="EV82">
            <v>2.6714285714285722E-2</v>
          </cell>
          <cell r="EW82">
            <v>2.6714285714285722E-2</v>
          </cell>
          <cell r="EX82">
            <v>2.6714285714285722E-2</v>
          </cell>
          <cell r="EY82">
            <v>2.6714285714285722E-2</v>
          </cell>
          <cell r="EZ82">
            <v>2.6714285714285722E-2</v>
          </cell>
          <cell r="FA82">
            <v>2.6714285714285722E-2</v>
          </cell>
          <cell r="FD82">
            <v>0</v>
          </cell>
          <cell r="FE82">
            <v>0</v>
          </cell>
          <cell r="FF82">
            <v>0</v>
          </cell>
          <cell r="FG82">
            <v>0</v>
          </cell>
          <cell r="FH82">
            <v>0</v>
          </cell>
          <cell r="FI82">
            <v>0</v>
          </cell>
          <cell r="FJ82">
            <v>0</v>
          </cell>
          <cell r="FK82">
            <v>0</v>
          </cell>
          <cell r="FL82">
            <v>0</v>
          </cell>
          <cell r="FM82">
            <v>0</v>
          </cell>
          <cell r="FN82">
            <v>0</v>
          </cell>
          <cell r="FQ82">
            <v>2.8512434974343387E-2</v>
          </cell>
          <cell r="FR82">
            <v>2.2000000000000006E-2</v>
          </cell>
          <cell r="FS82">
            <v>2.357142857142858E-2</v>
          </cell>
          <cell r="FT82">
            <v>2.6714285714285722E-2</v>
          </cell>
          <cell r="FU82">
            <v>2.6714285714285722E-2</v>
          </cell>
          <cell r="FV82">
            <v>2.6714285714285722E-2</v>
          </cell>
          <cell r="FW82">
            <v>2.6714285714285722E-2</v>
          </cell>
          <cell r="FX82">
            <v>2.6714285714285722E-2</v>
          </cell>
          <cell r="FY82">
            <v>2.6714285714285722E-2</v>
          </cell>
          <cell r="FZ82">
            <v>2.6714285714285722E-2</v>
          </cell>
          <cell r="GA82">
            <v>2.6714285714285722E-2</v>
          </cell>
          <cell r="GD82">
            <v>2.9809947979474713E-2</v>
          </cell>
          <cell r="GE82">
            <v>2.5296163685004477E-2</v>
          </cell>
          <cell r="GF82">
            <v>2.7637862236598816E-2</v>
          </cell>
          <cell r="GG82">
            <v>2.8343317971865189E-2</v>
          </cell>
          <cell r="GH82">
            <v>2.7125776557539481E-2</v>
          </cell>
          <cell r="GI82">
            <v>2.6369037825246609E-2</v>
          </cell>
          <cell r="GJ82">
            <v>2.6093395903227887E-2</v>
          </cell>
          <cell r="GK82">
            <v>2.6053380509730793E-2</v>
          </cell>
          <cell r="GL82">
            <v>2.6449437320953492E-2</v>
          </cell>
          <cell r="GM82">
            <v>2.746521970497252E-2</v>
          </cell>
          <cell r="GN82">
            <v>2.7666975268344416E-2</v>
          </cell>
        </row>
        <row r="83">
          <cell r="B83" t="str">
            <v>Oaklands Park</v>
          </cell>
          <cell r="C83">
            <v>0</v>
          </cell>
          <cell r="D83">
            <v>1</v>
          </cell>
          <cell r="E83" t="str">
            <v>Supermarket Only</v>
          </cell>
          <cell r="F83" t="str">
            <v>SA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2.5</v>
          </cell>
          <cell r="S83">
            <v>2.5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1</v>
          </cell>
          <cell r="AJ83">
            <v>0</v>
          </cell>
          <cell r="AK83">
            <v>0</v>
          </cell>
          <cell r="AN83">
            <v>2.5</v>
          </cell>
          <cell r="AO83">
            <v>2.5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>
            <v>0</v>
          </cell>
          <cell r="BQ83">
            <v>0</v>
          </cell>
          <cell r="BR83">
            <v>2.5</v>
          </cell>
          <cell r="BS83">
            <v>0</v>
          </cell>
          <cell r="BT83">
            <v>0</v>
          </cell>
          <cell r="BU83">
            <v>0</v>
          </cell>
          <cell r="BV83">
            <v>0</v>
          </cell>
          <cell r="BW83">
            <v>0</v>
          </cell>
          <cell r="BX83">
            <v>0</v>
          </cell>
          <cell r="BY83">
            <v>0</v>
          </cell>
          <cell r="BZ83">
            <v>0</v>
          </cell>
          <cell r="CA83">
            <v>0</v>
          </cell>
          <cell r="CB83">
            <v>0</v>
          </cell>
          <cell r="CC83">
            <v>0</v>
          </cell>
          <cell r="CD83">
            <v>0</v>
          </cell>
          <cell r="CE83">
            <v>0</v>
          </cell>
          <cell r="CF83">
            <v>0</v>
          </cell>
          <cell r="CG83">
            <v>0</v>
          </cell>
          <cell r="CH83">
            <v>0</v>
          </cell>
          <cell r="CI83">
            <v>0</v>
          </cell>
          <cell r="CJ83">
            <v>0</v>
          </cell>
          <cell r="CK83">
            <v>0</v>
          </cell>
          <cell r="CL83">
            <v>0</v>
          </cell>
          <cell r="CM83">
            <v>0</v>
          </cell>
          <cell r="CN83">
            <v>0</v>
          </cell>
          <cell r="CO83">
            <v>0</v>
          </cell>
          <cell r="CP83">
            <v>2.5</v>
          </cell>
          <cell r="CQ83">
            <v>0</v>
          </cell>
          <cell r="CR83">
            <v>0</v>
          </cell>
          <cell r="CS83">
            <v>0</v>
          </cell>
          <cell r="CV83">
            <v>0</v>
          </cell>
          <cell r="CW83">
            <v>0</v>
          </cell>
          <cell r="CX83">
            <v>0</v>
          </cell>
          <cell r="CY83">
            <v>0</v>
          </cell>
          <cell r="CZ83">
            <v>0</v>
          </cell>
          <cell r="DA83">
            <v>2.5</v>
          </cell>
          <cell r="DD83">
            <v>1.7500000000000002E-2</v>
          </cell>
          <cell r="DE83">
            <v>2.8480818425022363E-2</v>
          </cell>
          <cell r="DF83">
            <v>3.1403596897279763E-2</v>
          </cell>
          <cell r="DG83">
            <v>2.2359447002183043E-2</v>
          </cell>
          <cell r="DH83">
            <v>1.6271739930554509E-2</v>
          </cell>
          <cell r="DI83">
            <v>1.2488046269090143E-2</v>
          </cell>
          <cell r="DJ83">
            <v>1.1109836658996538E-2</v>
          </cell>
          <cell r="DK83">
            <v>1.0909759691511063E-2</v>
          </cell>
          <cell r="DL83">
            <v>1.2890043747624565E-2</v>
          </cell>
          <cell r="DM83">
            <v>1.7968955667719701E-2</v>
          </cell>
          <cell r="DN83">
            <v>1.8977733484579186E-2</v>
          </cell>
          <cell r="DQ83">
            <v>0</v>
          </cell>
          <cell r="DR83">
            <v>0</v>
          </cell>
          <cell r="DS83">
            <v>0</v>
          </cell>
          <cell r="DT83">
            <v>0</v>
          </cell>
          <cell r="DU83">
            <v>0</v>
          </cell>
          <cell r="DV83">
            <v>0</v>
          </cell>
          <cell r="DW83">
            <v>0</v>
          </cell>
          <cell r="DX83">
            <v>0</v>
          </cell>
          <cell r="DY83">
            <v>0</v>
          </cell>
          <cell r="DZ83">
            <v>0</v>
          </cell>
          <cell r="EA83">
            <v>0</v>
          </cell>
          <cell r="ED83">
            <v>0</v>
          </cell>
          <cell r="EE83">
            <v>0</v>
          </cell>
          <cell r="EF83">
            <v>0</v>
          </cell>
          <cell r="EG83">
            <v>0</v>
          </cell>
          <cell r="EH83">
            <v>0</v>
          </cell>
          <cell r="EI83">
            <v>0</v>
          </cell>
          <cell r="EJ83">
            <v>0</v>
          </cell>
          <cell r="EK83">
            <v>0</v>
          </cell>
          <cell r="EL83">
            <v>0</v>
          </cell>
          <cell r="EM83">
            <v>0</v>
          </cell>
          <cell r="EN83">
            <v>0</v>
          </cell>
          <cell r="EQ83">
            <v>2.78606920046372E-2</v>
          </cell>
          <cell r="ER83">
            <v>2.5000000000000001E-2</v>
          </cell>
          <cell r="ES83">
            <v>2.5000000000000001E-2</v>
          </cell>
          <cell r="ET83">
            <v>0.03</v>
          </cell>
          <cell r="EU83">
            <v>0.03</v>
          </cell>
          <cell r="EV83">
            <v>0.03</v>
          </cell>
          <cell r="EW83">
            <v>0.03</v>
          </cell>
          <cell r="EX83">
            <v>0.03</v>
          </cell>
          <cell r="EY83">
            <v>0.03</v>
          </cell>
          <cell r="EZ83">
            <v>0.03</v>
          </cell>
          <cell r="FA83">
            <v>0.03</v>
          </cell>
          <cell r="FD83">
            <v>0</v>
          </cell>
          <cell r="FE83">
            <v>0</v>
          </cell>
          <cell r="FF83">
            <v>0</v>
          </cell>
          <cell r="FG83">
            <v>0</v>
          </cell>
          <cell r="FH83">
            <v>0</v>
          </cell>
          <cell r="FI83">
            <v>0</v>
          </cell>
          <cell r="FJ83">
            <v>0</v>
          </cell>
          <cell r="FK83">
            <v>0</v>
          </cell>
          <cell r="FL83">
            <v>0</v>
          </cell>
          <cell r="FM83">
            <v>0</v>
          </cell>
          <cell r="FN83">
            <v>0</v>
          </cell>
          <cell r="FQ83">
            <v>2.78606920046372E-2</v>
          </cell>
          <cell r="FR83">
            <v>2.5000000000000001E-2</v>
          </cell>
          <cell r="FS83">
            <v>2.5000000000000001E-2</v>
          </cell>
          <cell r="FT83">
            <v>0.03</v>
          </cell>
          <cell r="FU83">
            <v>0.03</v>
          </cell>
          <cell r="FV83">
            <v>0.03</v>
          </cell>
          <cell r="FW83">
            <v>0.03</v>
          </cell>
          <cell r="FX83">
            <v>0.03</v>
          </cell>
          <cell r="FY83">
            <v>0.03</v>
          </cell>
          <cell r="FZ83">
            <v>0.03</v>
          </cell>
          <cell r="GA83">
            <v>0.03</v>
          </cell>
          <cell r="GD83">
            <v>2.5788553603709762E-2</v>
          </cell>
          <cell r="GE83">
            <v>2.5696163685004478E-2</v>
          </cell>
          <cell r="GF83">
            <v>2.6280719379455957E-2</v>
          </cell>
          <cell r="GG83">
            <v>2.8471889400436608E-2</v>
          </cell>
          <cell r="GH83">
            <v>2.7254347986110903E-2</v>
          </cell>
          <cell r="GI83">
            <v>2.6497609253818027E-2</v>
          </cell>
          <cell r="GJ83">
            <v>2.6221967331799309E-2</v>
          </cell>
          <cell r="GK83">
            <v>2.6181951938302212E-2</v>
          </cell>
          <cell r="GL83">
            <v>2.6578008749524915E-2</v>
          </cell>
          <cell r="GM83">
            <v>2.7593791133543939E-2</v>
          </cell>
          <cell r="GN83">
            <v>2.7795546696915838E-2</v>
          </cell>
        </row>
        <row r="84">
          <cell r="B84" t="str">
            <v>Plympton</v>
          </cell>
          <cell r="C84">
            <v>0</v>
          </cell>
          <cell r="D84">
            <v>1</v>
          </cell>
          <cell r="E84" t="str">
            <v>Supermarket Only</v>
          </cell>
          <cell r="F84" t="str">
            <v>SA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1.7</v>
          </cell>
          <cell r="S84">
            <v>1.7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1</v>
          </cell>
          <cell r="AJ84">
            <v>0</v>
          </cell>
          <cell r="AK84">
            <v>0</v>
          </cell>
          <cell r="AN84">
            <v>1.7</v>
          </cell>
          <cell r="AO84">
            <v>1.7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>
            <v>0</v>
          </cell>
          <cell r="BQ84">
            <v>0</v>
          </cell>
          <cell r="BR84">
            <v>1.7</v>
          </cell>
          <cell r="BS84">
            <v>0</v>
          </cell>
          <cell r="BT84">
            <v>0</v>
          </cell>
          <cell r="BU84">
            <v>0</v>
          </cell>
          <cell r="BV84">
            <v>0</v>
          </cell>
          <cell r="BW84">
            <v>0</v>
          </cell>
          <cell r="BX84">
            <v>0</v>
          </cell>
          <cell r="BY84">
            <v>0</v>
          </cell>
          <cell r="BZ84">
            <v>0</v>
          </cell>
          <cell r="CA84">
            <v>0</v>
          </cell>
          <cell r="CB84">
            <v>0</v>
          </cell>
          <cell r="CC84">
            <v>0</v>
          </cell>
          <cell r="CD84">
            <v>0</v>
          </cell>
          <cell r="CE84">
            <v>0</v>
          </cell>
          <cell r="CF84">
            <v>0</v>
          </cell>
          <cell r="CG84">
            <v>0</v>
          </cell>
          <cell r="CH84">
            <v>0</v>
          </cell>
          <cell r="CI84">
            <v>0</v>
          </cell>
          <cell r="CJ84">
            <v>0</v>
          </cell>
          <cell r="CK84">
            <v>0</v>
          </cell>
          <cell r="CL84">
            <v>0</v>
          </cell>
          <cell r="CM84">
            <v>0</v>
          </cell>
          <cell r="CN84">
            <v>0</v>
          </cell>
          <cell r="CO84">
            <v>0</v>
          </cell>
          <cell r="CP84">
            <v>1.7</v>
          </cell>
          <cell r="CQ84">
            <v>0</v>
          </cell>
          <cell r="CR84">
            <v>0</v>
          </cell>
          <cell r="CS84">
            <v>0</v>
          </cell>
          <cell r="CV84">
            <v>0</v>
          </cell>
          <cell r="CW84">
            <v>0</v>
          </cell>
          <cell r="CX84">
            <v>0</v>
          </cell>
          <cell r="CY84">
            <v>0</v>
          </cell>
          <cell r="CZ84">
            <v>0</v>
          </cell>
          <cell r="DA84">
            <v>1.7</v>
          </cell>
          <cell r="DD84">
            <v>1.7500000000000002E-2</v>
          </cell>
          <cell r="DE84">
            <v>2.8480818425022363E-2</v>
          </cell>
          <cell r="DF84">
            <v>3.1403596897279763E-2</v>
          </cell>
          <cell r="DG84">
            <v>2.2359447002183043E-2</v>
          </cell>
          <cell r="DH84">
            <v>1.6271739930554509E-2</v>
          </cell>
          <cell r="DI84">
            <v>1.2488046269090143E-2</v>
          </cell>
          <cell r="DJ84">
            <v>1.1109836658996538E-2</v>
          </cell>
          <cell r="DK84">
            <v>1.0909759691511063E-2</v>
          </cell>
          <cell r="DL84">
            <v>1.2890043747624565E-2</v>
          </cell>
          <cell r="DM84">
            <v>1.7968955667719701E-2</v>
          </cell>
          <cell r="DN84">
            <v>1.8977733484579186E-2</v>
          </cell>
          <cell r="DQ84">
            <v>0</v>
          </cell>
          <cell r="DR84">
            <v>0</v>
          </cell>
          <cell r="DS84">
            <v>0</v>
          </cell>
          <cell r="DT84">
            <v>0</v>
          </cell>
          <cell r="DU84">
            <v>0</v>
          </cell>
          <cell r="DV84">
            <v>0</v>
          </cell>
          <cell r="DW84">
            <v>0</v>
          </cell>
          <cell r="DX84">
            <v>0</v>
          </cell>
          <cell r="DY84">
            <v>0</v>
          </cell>
          <cell r="DZ84">
            <v>0</v>
          </cell>
          <cell r="EA84">
            <v>0</v>
          </cell>
          <cell r="ED84">
            <v>0</v>
          </cell>
          <cell r="EE84">
            <v>0</v>
          </cell>
          <cell r="EF84">
            <v>0</v>
          </cell>
          <cell r="EG84">
            <v>0</v>
          </cell>
          <cell r="EH84">
            <v>0</v>
          </cell>
          <cell r="EI84">
            <v>0</v>
          </cell>
          <cell r="EJ84">
            <v>0</v>
          </cell>
          <cell r="EK84">
            <v>0</v>
          </cell>
          <cell r="EL84">
            <v>0</v>
          </cell>
          <cell r="EM84">
            <v>0</v>
          </cell>
          <cell r="EN84">
            <v>0</v>
          </cell>
          <cell r="EQ84">
            <v>2.78606920046372E-2</v>
          </cell>
          <cell r="ER84">
            <v>2.5000000000000001E-2</v>
          </cell>
          <cell r="ES84">
            <v>2.5000000000000001E-2</v>
          </cell>
          <cell r="ET84">
            <v>0.03</v>
          </cell>
          <cell r="EU84">
            <v>0.03</v>
          </cell>
          <cell r="EV84">
            <v>0.03</v>
          </cell>
          <cell r="EW84">
            <v>0.03</v>
          </cell>
          <cell r="EX84">
            <v>0.03</v>
          </cell>
          <cell r="EY84">
            <v>0.03</v>
          </cell>
          <cell r="EZ84">
            <v>0.03</v>
          </cell>
          <cell r="FA84">
            <v>0.03</v>
          </cell>
          <cell r="FD84">
            <v>0</v>
          </cell>
          <cell r="FE84">
            <v>0</v>
          </cell>
          <cell r="FF84">
            <v>0</v>
          </cell>
          <cell r="FG84">
            <v>0</v>
          </cell>
          <cell r="FH84">
            <v>0</v>
          </cell>
          <cell r="FI84">
            <v>0</v>
          </cell>
          <cell r="FJ84">
            <v>0</v>
          </cell>
          <cell r="FK84">
            <v>0</v>
          </cell>
          <cell r="FL84">
            <v>0</v>
          </cell>
          <cell r="FM84">
            <v>0</v>
          </cell>
          <cell r="FN84">
            <v>0</v>
          </cell>
          <cell r="FQ84">
            <v>2.78606920046372E-2</v>
          </cell>
          <cell r="FR84">
            <v>2.5000000000000001E-2</v>
          </cell>
          <cell r="FS84">
            <v>2.5000000000000001E-2</v>
          </cell>
          <cell r="FT84">
            <v>0.03</v>
          </cell>
          <cell r="FU84">
            <v>0.03</v>
          </cell>
          <cell r="FV84">
            <v>0.03</v>
          </cell>
          <cell r="FW84">
            <v>0.03</v>
          </cell>
          <cell r="FX84">
            <v>0.03</v>
          </cell>
          <cell r="FY84">
            <v>0.03</v>
          </cell>
          <cell r="FZ84">
            <v>0.03</v>
          </cell>
          <cell r="GA84">
            <v>0.03</v>
          </cell>
          <cell r="GD84">
            <v>2.5788553603709762E-2</v>
          </cell>
          <cell r="GE84">
            <v>2.5696163685004478E-2</v>
          </cell>
          <cell r="GF84">
            <v>2.6280719379455957E-2</v>
          </cell>
          <cell r="GG84">
            <v>2.8471889400436608E-2</v>
          </cell>
          <cell r="GH84">
            <v>2.7254347986110903E-2</v>
          </cell>
          <cell r="GI84">
            <v>2.6497609253818027E-2</v>
          </cell>
          <cell r="GJ84">
            <v>2.6221967331799309E-2</v>
          </cell>
          <cell r="GK84">
            <v>2.6181951938302212E-2</v>
          </cell>
          <cell r="GL84">
            <v>2.6578008749524915E-2</v>
          </cell>
          <cell r="GM84">
            <v>2.7593791133543939E-2</v>
          </cell>
          <cell r="GN84">
            <v>2.7795546696915838E-2</v>
          </cell>
        </row>
        <row r="85">
          <cell r="B85" t="str">
            <v>Port Augusta</v>
          </cell>
          <cell r="C85">
            <v>0</v>
          </cell>
          <cell r="D85">
            <v>1</v>
          </cell>
          <cell r="E85" t="str">
            <v>Neighbourhood</v>
          </cell>
          <cell r="F85" t="str">
            <v>SA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4</v>
          </cell>
          <cell r="S85">
            <v>0</v>
          </cell>
          <cell r="T85">
            <v>4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0.8</v>
          </cell>
          <cell r="AD85">
            <v>0</v>
          </cell>
          <cell r="AE85">
            <v>0</v>
          </cell>
          <cell r="AF85">
            <v>0.16666666666666669</v>
          </cell>
          <cell r="AG85">
            <v>0</v>
          </cell>
          <cell r="AH85">
            <v>0</v>
          </cell>
          <cell r="AI85">
            <v>0.83333333333333337</v>
          </cell>
          <cell r="AJ85">
            <v>0</v>
          </cell>
          <cell r="AK85">
            <v>0</v>
          </cell>
          <cell r="AN85">
            <v>4</v>
          </cell>
          <cell r="AO85">
            <v>4.8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>
            <v>0</v>
          </cell>
          <cell r="BQ85">
            <v>0</v>
          </cell>
          <cell r="BR85">
            <v>4</v>
          </cell>
          <cell r="BS85">
            <v>0</v>
          </cell>
          <cell r="BT85">
            <v>0</v>
          </cell>
          <cell r="BU85">
            <v>0</v>
          </cell>
          <cell r="BV85">
            <v>0</v>
          </cell>
          <cell r="BW85">
            <v>0</v>
          </cell>
          <cell r="BX85">
            <v>0</v>
          </cell>
          <cell r="BY85">
            <v>0</v>
          </cell>
          <cell r="BZ85">
            <v>0.8</v>
          </cell>
          <cell r="CA85">
            <v>0</v>
          </cell>
          <cell r="CB85">
            <v>0</v>
          </cell>
          <cell r="CC85">
            <v>0</v>
          </cell>
          <cell r="CD85">
            <v>0</v>
          </cell>
          <cell r="CE85">
            <v>0</v>
          </cell>
          <cell r="CF85">
            <v>0</v>
          </cell>
          <cell r="CG85">
            <v>0</v>
          </cell>
          <cell r="CH85">
            <v>0</v>
          </cell>
          <cell r="CI85">
            <v>0</v>
          </cell>
          <cell r="CJ85">
            <v>0</v>
          </cell>
          <cell r="CK85">
            <v>0</v>
          </cell>
          <cell r="CL85">
            <v>0</v>
          </cell>
          <cell r="CM85">
            <v>0</v>
          </cell>
          <cell r="CN85">
            <v>0</v>
          </cell>
          <cell r="CO85">
            <v>0</v>
          </cell>
          <cell r="CP85">
            <v>4.8</v>
          </cell>
          <cell r="CQ85">
            <v>0</v>
          </cell>
          <cell r="CR85">
            <v>0</v>
          </cell>
          <cell r="CS85">
            <v>0</v>
          </cell>
          <cell r="CV85">
            <v>0</v>
          </cell>
          <cell r="CW85">
            <v>0</v>
          </cell>
          <cell r="CX85">
            <v>0</v>
          </cell>
          <cell r="CY85">
            <v>0</v>
          </cell>
          <cell r="CZ85">
            <v>4.8</v>
          </cell>
          <cell r="DA85">
            <v>0</v>
          </cell>
          <cell r="DD85">
            <v>1.7500000000000002E-2</v>
          </cell>
          <cell r="DE85">
            <v>2.8480818425022363E-2</v>
          </cell>
          <cell r="DF85">
            <v>3.1403596897279763E-2</v>
          </cell>
          <cell r="DG85">
            <v>2.2359447002183043E-2</v>
          </cell>
          <cell r="DH85">
            <v>1.6271739930554509E-2</v>
          </cell>
          <cell r="DI85">
            <v>1.2488046269090143E-2</v>
          </cell>
          <cell r="DJ85">
            <v>1.1109836658996538E-2</v>
          </cell>
          <cell r="DK85">
            <v>1.0909759691511063E-2</v>
          </cell>
          <cell r="DL85">
            <v>1.2890043747624565E-2</v>
          </cell>
          <cell r="DM85">
            <v>1.7968955667719701E-2</v>
          </cell>
          <cell r="DN85">
            <v>1.8977733484579186E-2</v>
          </cell>
          <cell r="DQ85">
            <v>0</v>
          </cell>
          <cell r="DR85">
            <v>0</v>
          </cell>
          <cell r="DS85">
            <v>0</v>
          </cell>
          <cell r="DT85">
            <v>0</v>
          </cell>
          <cell r="DU85">
            <v>0</v>
          </cell>
          <cell r="DV85">
            <v>0</v>
          </cell>
          <cell r="DW85">
            <v>0</v>
          </cell>
          <cell r="DX85">
            <v>0</v>
          </cell>
          <cell r="DY85">
            <v>0</v>
          </cell>
          <cell r="DZ85">
            <v>0</v>
          </cell>
          <cell r="EA85">
            <v>0</v>
          </cell>
          <cell r="ED85">
            <v>0</v>
          </cell>
          <cell r="EE85">
            <v>0</v>
          </cell>
          <cell r="EF85">
            <v>0</v>
          </cell>
          <cell r="EG85">
            <v>0</v>
          </cell>
          <cell r="EH85">
            <v>0</v>
          </cell>
          <cell r="EI85">
            <v>0</v>
          </cell>
          <cell r="EJ85">
            <v>0</v>
          </cell>
          <cell r="EK85">
            <v>0</v>
          </cell>
          <cell r="EL85">
            <v>0</v>
          </cell>
          <cell r="EM85">
            <v>0</v>
          </cell>
          <cell r="EN85">
            <v>0</v>
          </cell>
          <cell r="EQ85">
            <v>2.3217243337197668E-2</v>
          </cell>
          <cell r="ER85">
            <v>2.0833333333333336E-2</v>
          </cell>
          <cell r="ES85">
            <v>2.0833333333333336E-2</v>
          </cell>
          <cell r="ET85">
            <v>2.5000000000000001E-2</v>
          </cell>
          <cell r="EU85">
            <v>2.5000000000000001E-2</v>
          </cell>
          <cell r="EV85">
            <v>2.5000000000000001E-2</v>
          </cell>
          <cell r="EW85">
            <v>2.5000000000000001E-2</v>
          </cell>
          <cell r="EX85">
            <v>2.5000000000000001E-2</v>
          </cell>
          <cell r="EY85">
            <v>2.5000000000000001E-2</v>
          </cell>
          <cell r="EZ85">
            <v>2.5000000000000001E-2</v>
          </cell>
          <cell r="FA85">
            <v>2.5000000000000001E-2</v>
          </cell>
          <cell r="FD85">
            <v>0</v>
          </cell>
          <cell r="FE85">
            <v>0</v>
          </cell>
          <cell r="FF85">
            <v>0</v>
          </cell>
          <cell r="FG85">
            <v>0</v>
          </cell>
          <cell r="FH85">
            <v>0</v>
          </cell>
          <cell r="FI85">
            <v>0</v>
          </cell>
          <cell r="FJ85">
            <v>0</v>
          </cell>
          <cell r="FK85">
            <v>0</v>
          </cell>
          <cell r="FL85">
            <v>0</v>
          </cell>
          <cell r="FM85">
            <v>0</v>
          </cell>
          <cell r="FN85">
            <v>0</v>
          </cell>
          <cell r="FQ85">
            <v>2.3217243337197668E-2</v>
          </cell>
          <cell r="FR85">
            <v>2.0833333333333336E-2</v>
          </cell>
          <cell r="FS85">
            <v>2.0833333333333336E-2</v>
          </cell>
          <cell r="FT85">
            <v>2.5000000000000001E-2</v>
          </cell>
          <cell r="FU85">
            <v>2.5000000000000001E-2</v>
          </cell>
          <cell r="FV85">
            <v>2.5000000000000001E-2</v>
          </cell>
          <cell r="FW85">
            <v>2.5000000000000001E-2</v>
          </cell>
          <cell r="FX85">
            <v>2.5000000000000001E-2</v>
          </cell>
          <cell r="FY85">
            <v>2.5000000000000001E-2</v>
          </cell>
          <cell r="FZ85">
            <v>2.5000000000000001E-2</v>
          </cell>
          <cell r="GA85">
            <v>2.5000000000000001E-2</v>
          </cell>
          <cell r="GD85">
            <v>2.2073794669758135E-2</v>
          </cell>
          <cell r="GE85">
            <v>2.2362830351671144E-2</v>
          </cell>
          <cell r="GF85">
            <v>2.2947386046122623E-2</v>
          </cell>
          <cell r="GG85">
            <v>2.4471889400436611E-2</v>
          </cell>
          <cell r="GH85">
            <v>2.3254347986110906E-2</v>
          </cell>
          <cell r="GI85">
            <v>2.2497609253818031E-2</v>
          </cell>
          <cell r="GJ85">
            <v>2.2221967331799312E-2</v>
          </cell>
          <cell r="GK85">
            <v>2.2181951938302216E-2</v>
          </cell>
          <cell r="GL85">
            <v>2.2578008749524918E-2</v>
          </cell>
          <cell r="GM85">
            <v>2.3593791133543943E-2</v>
          </cell>
          <cell r="GN85">
            <v>2.3795546696915842E-2</v>
          </cell>
        </row>
        <row r="86">
          <cell r="B86" t="str">
            <v>Devonport</v>
          </cell>
          <cell r="C86">
            <v>0</v>
          </cell>
          <cell r="D86">
            <v>1</v>
          </cell>
          <cell r="E86" t="str">
            <v>Supermarket Only</v>
          </cell>
          <cell r="F86" t="str">
            <v>TAS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2</v>
          </cell>
          <cell r="S86">
            <v>2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1</v>
          </cell>
          <cell r="AJ86">
            <v>0</v>
          </cell>
          <cell r="AK86">
            <v>0</v>
          </cell>
          <cell r="AN86">
            <v>2</v>
          </cell>
          <cell r="AO86">
            <v>2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>
            <v>0</v>
          </cell>
          <cell r="BQ86">
            <v>2</v>
          </cell>
          <cell r="BR86">
            <v>0</v>
          </cell>
          <cell r="BS86">
            <v>0</v>
          </cell>
          <cell r="BT86">
            <v>0</v>
          </cell>
          <cell r="BU86">
            <v>0</v>
          </cell>
          <cell r="BV86">
            <v>0</v>
          </cell>
          <cell r="BW86">
            <v>0</v>
          </cell>
          <cell r="BX86">
            <v>0</v>
          </cell>
          <cell r="BY86">
            <v>0</v>
          </cell>
          <cell r="BZ86">
            <v>0</v>
          </cell>
          <cell r="CA86">
            <v>0</v>
          </cell>
          <cell r="CB86">
            <v>0</v>
          </cell>
          <cell r="CC86">
            <v>0</v>
          </cell>
          <cell r="CD86">
            <v>0</v>
          </cell>
          <cell r="CE86">
            <v>0</v>
          </cell>
          <cell r="CF86">
            <v>0</v>
          </cell>
          <cell r="CG86">
            <v>0</v>
          </cell>
          <cell r="CH86">
            <v>0</v>
          </cell>
          <cell r="CI86">
            <v>0</v>
          </cell>
          <cell r="CJ86">
            <v>0</v>
          </cell>
          <cell r="CK86">
            <v>0</v>
          </cell>
          <cell r="CL86">
            <v>0</v>
          </cell>
          <cell r="CM86">
            <v>0</v>
          </cell>
          <cell r="CN86">
            <v>0</v>
          </cell>
          <cell r="CO86">
            <v>2</v>
          </cell>
          <cell r="CP86">
            <v>0</v>
          </cell>
          <cell r="CQ86">
            <v>0</v>
          </cell>
          <cell r="CR86">
            <v>0</v>
          </cell>
          <cell r="CS86">
            <v>0</v>
          </cell>
          <cell r="CV86">
            <v>0</v>
          </cell>
          <cell r="CW86">
            <v>0</v>
          </cell>
          <cell r="CX86">
            <v>0</v>
          </cell>
          <cell r="CY86">
            <v>0</v>
          </cell>
          <cell r="CZ86">
            <v>0</v>
          </cell>
          <cell r="DA86">
            <v>2</v>
          </cell>
          <cell r="DD86">
            <v>1.7500000000000002E-2</v>
          </cell>
          <cell r="DE86">
            <v>2.8480818425022363E-2</v>
          </cell>
          <cell r="DF86">
            <v>3.1403596897279763E-2</v>
          </cell>
          <cell r="DG86">
            <v>2.2359447002183043E-2</v>
          </cell>
          <cell r="DH86">
            <v>1.6271739930554509E-2</v>
          </cell>
          <cell r="DI86">
            <v>1.2488046269090143E-2</v>
          </cell>
          <cell r="DJ86">
            <v>1.1109836658996538E-2</v>
          </cell>
          <cell r="DK86">
            <v>1.0909759691511063E-2</v>
          </cell>
          <cell r="DL86">
            <v>1.2890043747624565E-2</v>
          </cell>
          <cell r="DM86">
            <v>1.7968955667719701E-2</v>
          </cell>
          <cell r="DN86">
            <v>1.8977733484579186E-2</v>
          </cell>
          <cell r="DQ86">
            <v>0</v>
          </cell>
          <cell r="DR86">
            <v>0</v>
          </cell>
          <cell r="DS86">
            <v>0</v>
          </cell>
          <cell r="DT86">
            <v>0</v>
          </cell>
          <cell r="DU86">
            <v>0</v>
          </cell>
          <cell r="DV86">
            <v>0</v>
          </cell>
          <cell r="DW86">
            <v>0</v>
          </cell>
          <cell r="DX86">
            <v>0</v>
          </cell>
          <cell r="DY86">
            <v>0</v>
          </cell>
          <cell r="DZ86">
            <v>0</v>
          </cell>
          <cell r="EA86">
            <v>0</v>
          </cell>
          <cell r="ED86">
            <v>0</v>
          </cell>
          <cell r="EE86">
            <v>0</v>
          </cell>
          <cell r="EF86">
            <v>0</v>
          </cell>
          <cell r="EG86">
            <v>0</v>
          </cell>
          <cell r="EH86">
            <v>0</v>
          </cell>
          <cell r="EI86">
            <v>0</v>
          </cell>
          <cell r="EJ86">
            <v>0</v>
          </cell>
          <cell r="EK86">
            <v>0</v>
          </cell>
          <cell r="EL86">
            <v>0</v>
          </cell>
          <cell r="EM86">
            <v>0</v>
          </cell>
          <cell r="EN86">
            <v>0</v>
          </cell>
          <cell r="EQ86">
            <v>2.78606920046372E-2</v>
          </cell>
          <cell r="ER86">
            <v>2.5000000000000001E-2</v>
          </cell>
          <cell r="ES86">
            <v>2.5000000000000001E-2</v>
          </cell>
          <cell r="ET86">
            <v>0.03</v>
          </cell>
          <cell r="EU86">
            <v>0.03</v>
          </cell>
          <cell r="EV86">
            <v>0.03</v>
          </cell>
          <cell r="EW86">
            <v>0.03</v>
          </cell>
          <cell r="EX86">
            <v>0.03</v>
          </cell>
          <cell r="EY86">
            <v>0.03</v>
          </cell>
          <cell r="EZ86">
            <v>0.03</v>
          </cell>
          <cell r="FA86">
            <v>0.03</v>
          </cell>
          <cell r="FD86">
            <v>0</v>
          </cell>
          <cell r="FE86">
            <v>0</v>
          </cell>
          <cell r="FF86">
            <v>0</v>
          </cell>
          <cell r="FG86">
            <v>0</v>
          </cell>
          <cell r="FH86">
            <v>0</v>
          </cell>
          <cell r="FI86">
            <v>0</v>
          </cell>
          <cell r="FJ86">
            <v>0</v>
          </cell>
          <cell r="FK86">
            <v>0</v>
          </cell>
          <cell r="FL86">
            <v>0</v>
          </cell>
          <cell r="FM86">
            <v>0</v>
          </cell>
          <cell r="FN86">
            <v>0</v>
          </cell>
          <cell r="FQ86">
            <v>2.78606920046372E-2</v>
          </cell>
          <cell r="FR86">
            <v>2.5000000000000001E-2</v>
          </cell>
          <cell r="FS86">
            <v>2.5000000000000001E-2</v>
          </cell>
          <cell r="FT86">
            <v>0.03</v>
          </cell>
          <cell r="FU86">
            <v>0.03</v>
          </cell>
          <cell r="FV86">
            <v>0.03</v>
          </cell>
          <cell r="FW86">
            <v>0.03</v>
          </cell>
          <cell r="FX86">
            <v>0.03</v>
          </cell>
          <cell r="FY86">
            <v>0.03</v>
          </cell>
          <cell r="FZ86">
            <v>0.03</v>
          </cell>
          <cell r="GA86">
            <v>0.03</v>
          </cell>
          <cell r="GD86">
            <v>2.5788553603709762E-2</v>
          </cell>
          <cell r="GE86">
            <v>2.5696163685004478E-2</v>
          </cell>
          <cell r="GF86">
            <v>2.6280719379455957E-2</v>
          </cell>
          <cell r="GG86">
            <v>2.8471889400436608E-2</v>
          </cell>
          <cell r="GH86">
            <v>2.7254347986110903E-2</v>
          </cell>
          <cell r="GI86">
            <v>2.6497609253818027E-2</v>
          </cell>
          <cell r="GJ86">
            <v>2.6221967331799309E-2</v>
          </cell>
          <cell r="GK86">
            <v>2.6181951938302212E-2</v>
          </cell>
          <cell r="GL86">
            <v>2.6578008749524915E-2</v>
          </cell>
          <cell r="GM86">
            <v>2.7593791133543939E-2</v>
          </cell>
          <cell r="GN86">
            <v>2.7795546696915838E-2</v>
          </cell>
        </row>
        <row r="87">
          <cell r="B87" t="str">
            <v>Georgetown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 t="e">
            <v>#DIV/0!</v>
          </cell>
          <cell r="AG87" t="e">
            <v>#DIV/0!</v>
          </cell>
          <cell r="AH87" t="e">
            <v>#DIV/0!</v>
          </cell>
          <cell r="AI87" t="e">
            <v>#DIV/0!</v>
          </cell>
          <cell r="AJ87" t="e">
            <v>#DIV/0!</v>
          </cell>
          <cell r="AK87" t="e">
            <v>#DIV/0!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0</v>
          </cell>
          <cell r="BQ87">
            <v>0</v>
          </cell>
          <cell r="BR87">
            <v>0</v>
          </cell>
          <cell r="BS87">
            <v>0</v>
          </cell>
          <cell r="BT87">
            <v>0</v>
          </cell>
          <cell r="BU87">
            <v>0</v>
          </cell>
          <cell r="BV87">
            <v>0</v>
          </cell>
          <cell r="BW87">
            <v>0</v>
          </cell>
          <cell r="BX87">
            <v>0</v>
          </cell>
          <cell r="BY87">
            <v>0</v>
          </cell>
          <cell r="BZ87">
            <v>0</v>
          </cell>
          <cell r="CA87">
            <v>0</v>
          </cell>
          <cell r="CB87">
            <v>0</v>
          </cell>
          <cell r="CC87">
            <v>0</v>
          </cell>
          <cell r="CD87">
            <v>0</v>
          </cell>
          <cell r="CE87">
            <v>0</v>
          </cell>
          <cell r="CF87">
            <v>0</v>
          </cell>
          <cell r="CG87">
            <v>0</v>
          </cell>
          <cell r="CH87">
            <v>0</v>
          </cell>
          <cell r="CI87">
            <v>0</v>
          </cell>
          <cell r="CJ87">
            <v>0</v>
          </cell>
          <cell r="CK87">
            <v>0</v>
          </cell>
          <cell r="CL87">
            <v>0</v>
          </cell>
          <cell r="CM87">
            <v>0</v>
          </cell>
          <cell r="CN87">
            <v>0</v>
          </cell>
          <cell r="CO87">
            <v>0</v>
          </cell>
          <cell r="CP87">
            <v>0</v>
          </cell>
          <cell r="CQ87">
            <v>0</v>
          </cell>
          <cell r="CR87">
            <v>0</v>
          </cell>
          <cell r="CS87">
            <v>0</v>
          </cell>
          <cell r="CV87">
            <v>0</v>
          </cell>
          <cell r="CW87">
            <v>0</v>
          </cell>
          <cell r="CX87">
            <v>0</v>
          </cell>
          <cell r="CY87">
            <v>0</v>
          </cell>
          <cell r="CZ87">
            <v>0</v>
          </cell>
          <cell r="DA87">
            <v>0</v>
          </cell>
          <cell r="DD87">
            <v>0</v>
          </cell>
          <cell r="DE87">
            <v>0</v>
          </cell>
          <cell r="DF87">
            <v>0</v>
          </cell>
          <cell r="DG87">
            <v>0</v>
          </cell>
          <cell r="DH87">
            <v>0</v>
          </cell>
          <cell r="DI87">
            <v>0</v>
          </cell>
          <cell r="DJ87">
            <v>0</v>
          </cell>
          <cell r="DK87">
            <v>0</v>
          </cell>
          <cell r="DL87">
            <v>0</v>
          </cell>
          <cell r="DM87">
            <v>0</v>
          </cell>
          <cell r="DN87">
            <v>0</v>
          </cell>
          <cell r="DQ87">
            <v>0</v>
          </cell>
          <cell r="DR87">
            <v>0</v>
          </cell>
          <cell r="DS87">
            <v>0</v>
          </cell>
          <cell r="DT87">
            <v>0</v>
          </cell>
          <cell r="DU87">
            <v>0</v>
          </cell>
          <cell r="DV87">
            <v>0</v>
          </cell>
          <cell r="DW87">
            <v>0</v>
          </cell>
          <cell r="DX87">
            <v>0</v>
          </cell>
          <cell r="DY87">
            <v>0</v>
          </cell>
          <cell r="DZ87">
            <v>0</v>
          </cell>
          <cell r="EA87">
            <v>0</v>
          </cell>
          <cell r="ED87">
            <v>0</v>
          </cell>
          <cell r="EE87">
            <v>0</v>
          </cell>
          <cell r="EF87">
            <v>0</v>
          </cell>
          <cell r="EG87">
            <v>0</v>
          </cell>
          <cell r="EH87">
            <v>0</v>
          </cell>
          <cell r="EI87">
            <v>0</v>
          </cell>
          <cell r="EJ87">
            <v>0</v>
          </cell>
          <cell r="EK87">
            <v>0</v>
          </cell>
          <cell r="EL87">
            <v>0</v>
          </cell>
          <cell r="EM87">
            <v>0</v>
          </cell>
          <cell r="EN87">
            <v>0</v>
          </cell>
          <cell r="EQ87">
            <v>0</v>
          </cell>
          <cell r="ER87">
            <v>0</v>
          </cell>
          <cell r="ES87">
            <v>0</v>
          </cell>
          <cell r="ET87">
            <v>0</v>
          </cell>
          <cell r="EU87">
            <v>0</v>
          </cell>
          <cell r="EV87">
            <v>0</v>
          </cell>
          <cell r="EW87">
            <v>0</v>
          </cell>
          <cell r="EX87">
            <v>0</v>
          </cell>
          <cell r="EY87">
            <v>0</v>
          </cell>
          <cell r="EZ87">
            <v>0</v>
          </cell>
          <cell r="FA87">
            <v>0</v>
          </cell>
          <cell r="FD87">
            <v>0</v>
          </cell>
          <cell r="FE87">
            <v>0</v>
          </cell>
          <cell r="FF87">
            <v>0</v>
          </cell>
          <cell r="FG87">
            <v>0</v>
          </cell>
          <cell r="FH87">
            <v>0</v>
          </cell>
          <cell r="FI87">
            <v>0</v>
          </cell>
          <cell r="FJ87">
            <v>0</v>
          </cell>
          <cell r="FK87">
            <v>0</v>
          </cell>
          <cell r="FL87">
            <v>0</v>
          </cell>
          <cell r="FM87">
            <v>0</v>
          </cell>
          <cell r="FN87">
            <v>0</v>
          </cell>
          <cell r="FQ87">
            <v>0</v>
          </cell>
          <cell r="FR87">
            <v>0</v>
          </cell>
          <cell r="FS87">
            <v>0</v>
          </cell>
          <cell r="FT87">
            <v>0</v>
          </cell>
          <cell r="FU87">
            <v>0</v>
          </cell>
          <cell r="FV87">
            <v>0</v>
          </cell>
          <cell r="FW87">
            <v>0</v>
          </cell>
          <cell r="FX87">
            <v>0</v>
          </cell>
          <cell r="FY87">
            <v>0</v>
          </cell>
          <cell r="FZ87">
            <v>0</v>
          </cell>
          <cell r="GA87">
            <v>0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</row>
        <row r="88">
          <cell r="B88" t="str">
            <v>Launceston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 t="e">
            <v>#DIV/0!</v>
          </cell>
          <cell r="AG88" t="e">
            <v>#DIV/0!</v>
          </cell>
          <cell r="AH88" t="e">
            <v>#DIV/0!</v>
          </cell>
          <cell r="AI88" t="e">
            <v>#DIV/0!</v>
          </cell>
          <cell r="AJ88" t="e">
            <v>#DIV/0!</v>
          </cell>
          <cell r="AK88" t="e">
            <v>#DIV/0!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BQ88">
            <v>0</v>
          </cell>
          <cell r="BR88">
            <v>0</v>
          </cell>
          <cell r="BS88">
            <v>0</v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BZ88">
            <v>0</v>
          </cell>
          <cell r="CA88">
            <v>0</v>
          </cell>
          <cell r="CB88">
            <v>0</v>
          </cell>
          <cell r="CC88">
            <v>0</v>
          </cell>
          <cell r="CD88">
            <v>0</v>
          </cell>
          <cell r="CE88">
            <v>0</v>
          </cell>
          <cell r="CF88">
            <v>0</v>
          </cell>
          <cell r="CG88">
            <v>0</v>
          </cell>
          <cell r="CH88">
            <v>0</v>
          </cell>
          <cell r="CI88">
            <v>0</v>
          </cell>
          <cell r="CJ88">
            <v>0</v>
          </cell>
          <cell r="CK88">
            <v>0</v>
          </cell>
          <cell r="CL88">
            <v>0</v>
          </cell>
          <cell r="CM88">
            <v>0</v>
          </cell>
          <cell r="CN88">
            <v>0</v>
          </cell>
          <cell r="CO88">
            <v>0</v>
          </cell>
          <cell r="CP88">
            <v>0</v>
          </cell>
          <cell r="CQ88">
            <v>0</v>
          </cell>
          <cell r="CR88">
            <v>0</v>
          </cell>
          <cell r="CS88">
            <v>0</v>
          </cell>
          <cell r="CV88">
            <v>0</v>
          </cell>
          <cell r="CW88">
            <v>0</v>
          </cell>
          <cell r="CX88">
            <v>0</v>
          </cell>
          <cell r="CY88">
            <v>0</v>
          </cell>
          <cell r="CZ88">
            <v>0</v>
          </cell>
          <cell r="DA88">
            <v>0</v>
          </cell>
          <cell r="DD88">
            <v>0</v>
          </cell>
          <cell r="DE88">
            <v>0</v>
          </cell>
          <cell r="DF88">
            <v>0</v>
          </cell>
          <cell r="DG88">
            <v>0</v>
          </cell>
          <cell r="DH88">
            <v>0</v>
          </cell>
          <cell r="DI88">
            <v>0</v>
          </cell>
          <cell r="DJ88">
            <v>0</v>
          </cell>
          <cell r="DK88">
            <v>0</v>
          </cell>
          <cell r="DL88">
            <v>0</v>
          </cell>
          <cell r="DM88">
            <v>0</v>
          </cell>
          <cell r="DN88">
            <v>0</v>
          </cell>
          <cell r="DQ88">
            <v>0</v>
          </cell>
          <cell r="DR88">
            <v>0</v>
          </cell>
          <cell r="DS88">
            <v>0</v>
          </cell>
          <cell r="DT88">
            <v>0</v>
          </cell>
          <cell r="DU88">
            <v>0</v>
          </cell>
          <cell r="DV88">
            <v>0</v>
          </cell>
          <cell r="DW88">
            <v>0</v>
          </cell>
          <cell r="DX88">
            <v>0</v>
          </cell>
          <cell r="DY88">
            <v>0</v>
          </cell>
          <cell r="DZ88">
            <v>0</v>
          </cell>
          <cell r="EA88">
            <v>0</v>
          </cell>
          <cell r="ED88">
            <v>0</v>
          </cell>
          <cell r="EE88">
            <v>0</v>
          </cell>
          <cell r="EF88">
            <v>0</v>
          </cell>
          <cell r="EG88">
            <v>0</v>
          </cell>
          <cell r="EH88">
            <v>0</v>
          </cell>
          <cell r="EI88">
            <v>0</v>
          </cell>
          <cell r="EJ88">
            <v>0</v>
          </cell>
          <cell r="EK88">
            <v>0</v>
          </cell>
          <cell r="EL88">
            <v>0</v>
          </cell>
          <cell r="EM88">
            <v>0</v>
          </cell>
          <cell r="EN88">
            <v>0</v>
          </cell>
          <cell r="EQ88">
            <v>0</v>
          </cell>
          <cell r="ER88">
            <v>0</v>
          </cell>
          <cell r="ES88">
            <v>0</v>
          </cell>
          <cell r="ET88">
            <v>0</v>
          </cell>
          <cell r="EU88">
            <v>0</v>
          </cell>
          <cell r="EV88">
            <v>0</v>
          </cell>
          <cell r="EW88">
            <v>0</v>
          </cell>
          <cell r="EX88">
            <v>0</v>
          </cell>
          <cell r="EY88">
            <v>0</v>
          </cell>
          <cell r="EZ88">
            <v>0</v>
          </cell>
          <cell r="FA88">
            <v>0</v>
          </cell>
          <cell r="FD88">
            <v>0</v>
          </cell>
          <cell r="FE88">
            <v>0</v>
          </cell>
          <cell r="FF88">
            <v>0</v>
          </cell>
          <cell r="FG88">
            <v>0</v>
          </cell>
          <cell r="FH88">
            <v>0</v>
          </cell>
          <cell r="FI88">
            <v>0</v>
          </cell>
          <cell r="FJ88">
            <v>0</v>
          </cell>
          <cell r="FK88">
            <v>0</v>
          </cell>
          <cell r="FL88">
            <v>0</v>
          </cell>
          <cell r="FM88">
            <v>0</v>
          </cell>
          <cell r="FN88">
            <v>0</v>
          </cell>
          <cell r="FQ88">
            <v>0</v>
          </cell>
          <cell r="FR88">
            <v>0</v>
          </cell>
          <cell r="FS88">
            <v>0</v>
          </cell>
          <cell r="FT88">
            <v>0</v>
          </cell>
          <cell r="FU88">
            <v>0</v>
          </cell>
          <cell r="FV88">
            <v>0</v>
          </cell>
          <cell r="FW88">
            <v>0</v>
          </cell>
          <cell r="FX88">
            <v>0</v>
          </cell>
          <cell r="FY88">
            <v>0</v>
          </cell>
          <cell r="FZ88">
            <v>0</v>
          </cell>
          <cell r="GA88">
            <v>0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</row>
        <row r="89">
          <cell r="B89" t="str">
            <v>Newham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 t="e">
            <v>#DIV/0!</v>
          </cell>
          <cell r="AG89" t="e">
            <v>#DIV/0!</v>
          </cell>
          <cell r="AH89" t="e">
            <v>#DIV/0!</v>
          </cell>
          <cell r="AI89" t="e">
            <v>#DIV/0!</v>
          </cell>
          <cell r="AJ89" t="e">
            <v>#DIV/0!</v>
          </cell>
          <cell r="AK89" t="e">
            <v>#DIV/0!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>
            <v>0</v>
          </cell>
          <cell r="BQ89">
            <v>0</v>
          </cell>
          <cell r="BR89">
            <v>0</v>
          </cell>
          <cell r="BS89">
            <v>0</v>
          </cell>
          <cell r="BT89">
            <v>0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0</v>
          </cell>
          <cell r="BZ89">
            <v>0</v>
          </cell>
          <cell r="CA89">
            <v>0</v>
          </cell>
          <cell r="CB89">
            <v>0</v>
          </cell>
          <cell r="CC89">
            <v>0</v>
          </cell>
          <cell r="CD89">
            <v>0</v>
          </cell>
          <cell r="CE89">
            <v>0</v>
          </cell>
          <cell r="CF89">
            <v>0</v>
          </cell>
          <cell r="CG89">
            <v>0</v>
          </cell>
          <cell r="CH89">
            <v>0</v>
          </cell>
          <cell r="CI89">
            <v>0</v>
          </cell>
          <cell r="CJ89">
            <v>0</v>
          </cell>
          <cell r="CK89">
            <v>0</v>
          </cell>
          <cell r="CL89">
            <v>0</v>
          </cell>
          <cell r="CM89">
            <v>0</v>
          </cell>
          <cell r="CN89">
            <v>0</v>
          </cell>
          <cell r="CO89">
            <v>0</v>
          </cell>
          <cell r="CP89">
            <v>0</v>
          </cell>
          <cell r="CQ89">
            <v>0</v>
          </cell>
          <cell r="CR89">
            <v>0</v>
          </cell>
          <cell r="CS89">
            <v>0</v>
          </cell>
          <cell r="CV89">
            <v>0</v>
          </cell>
          <cell r="CW89">
            <v>0</v>
          </cell>
          <cell r="CX89">
            <v>0</v>
          </cell>
          <cell r="CY89">
            <v>0</v>
          </cell>
          <cell r="CZ89">
            <v>0</v>
          </cell>
          <cell r="DA89">
            <v>0</v>
          </cell>
          <cell r="DD89">
            <v>0</v>
          </cell>
          <cell r="DE89">
            <v>0</v>
          </cell>
          <cell r="DF89">
            <v>0</v>
          </cell>
          <cell r="DG89">
            <v>0</v>
          </cell>
          <cell r="DH89">
            <v>0</v>
          </cell>
          <cell r="DI89">
            <v>0</v>
          </cell>
          <cell r="DJ89">
            <v>0</v>
          </cell>
          <cell r="DK89">
            <v>0</v>
          </cell>
          <cell r="DL89">
            <v>0</v>
          </cell>
          <cell r="DM89">
            <v>0</v>
          </cell>
          <cell r="DN89">
            <v>0</v>
          </cell>
          <cell r="DQ89">
            <v>0</v>
          </cell>
          <cell r="DR89">
            <v>0</v>
          </cell>
          <cell r="DS89">
            <v>0</v>
          </cell>
          <cell r="DT89">
            <v>0</v>
          </cell>
          <cell r="DU89">
            <v>0</v>
          </cell>
          <cell r="DV89">
            <v>0</v>
          </cell>
          <cell r="DW89">
            <v>0</v>
          </cell>
          <cell r="DX89">
            <v>0</v>
          </cell>
          <cell r="DY89">
            <v>0</v>
          </cell>
          <cell r="DZ89">
            <v>0</v>
          </cell>
          <cell r="EA89">
            <v>0</v>
          </cell>
          <cell r="ED89">
            <v>0</v>
          </cell>
          <cell r="EE89">
            <v>0</v>
          </cell>
          <cell r="EF89">
            <v>0</v>
          </cell>
          <cell r="EG89">
            <v>0</v>
          </cell>
          <cell r="EH89">
            <v>0</v>
          </cell>
          <cell r="EI89">
            <v>0</v>
          </cell>
          <cell r="EJ89">
            <v>0</v>
          </cell>
          <cell r="EK89">
            <v>0</v>
          </cell>
          <cell r="EL89">
            <v>0</v>
          </cell>
          <cell r="EM89">
            <v>0</v>
          </cell>
          <cell r="EN89">
            <v>0</v>
          </cell>
          <cell r="EQ89">
            <v>0</v>
          </cell>
          <cell r="ER89">
            <v>0</v>
          </cell>
          <cell r="ES89">
            <v>0</v>
          </cell>
          <cell r="ET89">
            <v>0</v>
          </cell>
          <cell r="EU89">
            <v>0</v>
          </cell>
          <cell r="EV89">
            <v>0</v>
          </cell>
          <cell r="EW89">
            <v>0</v>
          </cell>
          <cell r="EX89">
            <v>0</v>
          </cell>
          <cell r="EY89">
            <v>0</v>
          </cell>
          <cell r="EZ89">
            <v>0</v>
          </cell>
          <cell r="FA89">
            <v>0</v>
          </cell>
          <cell r="FD89">
            <v>0</v>
          </cell>
          <cell r="FE89">
            <v>0</v>
          </cell>
          <cell r="FF89">
            <v>0</v>
          </cell>
          <cell r="FG89">
            <v>0</v>
          </cell>
          <cell r="FH89">
            <v>0</v>
          </cell>
          <cell r="FI89">
            <v>0</v>
          </cell>
          <cell r="FJ89">
            <v>0</v>
          </cell>
          <cell r="FK89">
            <v>0</v>
          </cell>
          <cell r="FL89">
            <v>0</v>
          </cell>
          <cell r="FM89">
            <v>0</v>
          </cell>
          <cell r="FN89">
            <v>0</v>
          </cell>
          <cell r="FQ89">
            <v>0</v>
          </cell>
          <cell r="FR89">
            <v>0</v>
          </cell>
          <cell r="FS89">
            <v>0</v>
          </cell>
          <cell r="FT89">
            <v>0</v>
          </cell>
          <cell r="FU89">
            <v>0</v>
          </cell>
          <cell r="FV89">
            <v>0</v>
          </cell>
          <cell r="FW89">
            <v>0</v>
          </cell>
          <cell r="FX89">
            <v>0</v>
          </cell>
          <cell r="FY89">
            <v>0</v>
          </cell>
          <cell r="FZ89">
            <v>0</v>
          </cell>
          <cell r="GA89">
            <v>0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</row>
        <row r="90">
          <cell r="B90" t="str">
            <v>Newstead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 t="e">
            <v>#DIV/0!</v>
          </cell>
          <cell r="AG90" t="e">
            <v>#DIV/0!</v>
          </cell>
          <cell r="AH90" t="e">
            <v>#DIV/0!</v>
          </cell>
          <cell r="AI90" t="e">
            <v>#DIV/0!</v>
          </cell>
          <cell r="AJ90" t="e">
            <v>#DIV/0!</v>
          </cell>
          <cell r="AK90" t="e">
            <v>#DIV/0!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>
            <v>0</v>
          </cell>
          <cell r="BQ90">
            <v>0</v>
          </cell>
          <cell r="BR90">
            <v>0</v>
          </cell>
          <cell r="BS90">
            <v>0</v>
          </cell>
          <cell r="BT90">
            <v>0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  <cell r="BY90">
            <v>0</v>
          </cell>
          <cell r="BZ90">
            <v>0</v>
          </cell>
          <cell r="CA90">
            <v>0</v>
          </cell>
          <cell r="CB90">
            <v>0</v>
          </cell>
          <cell r="CC90">
            <v>0</v>
          </cell>
          <cell r="CD90">
            <v>0</v>
          </cell>
          <cell r="CE90">
            <v>0</v>
          </cell>
          <cell r="CF90">
            <v>0</v>
          </cell>
          <cell r="CG90">
            <v>0</v>
          </cell>
          <cell r="CH90">
            <v>0</v>
          </cell>
          <cell r="CI90">
            <v>0</v>
          </cell>
          <cell r="CJ90">
            <v>0</v>
          </cell>
          <cell r="CK90">
            <v>0</v>
          </cell>
          <cell r="CL90">
            <v>0</v>
          </cell>
          <cell r="CM90">
            <v>0</v>
          </cell>
          <cell r="CN90">
            <v>0</v>
          </cell>
          <cell r="CO90">
            <v>0</v>
          </cell>
          <cell r="CP90">
            <v>0</v>
          </cell>
          <cell r="CQ90">
            <v>0</v>
          </cell>
          <cell r="CR90">
            <v>0</v>
          </cell>
          <cell r="CS90">
            <v>0</v>
          </cell>
          <cell r="CV90">
            <v>0</v>
          </cell>
          <cell r="CW90">
            <v>0</v>
          </cell>
          <cell r="CX90">
            <v>0</v>
          </cell>
          <cell r="CY90">
            <v>0</v>
          </cell>
          <cell r="CZ90">
            <v>0</v>
          </cell>
          <cell r="DA90">
            <v>0</v>
          </cell>
          <cell r="DD90">
            <v>0</v>
          </cell>
          <cell r="DE90">
            <v>0</v>
          </cell>
          <cell r="DF90">
            <v>0</v>
          </cell>
          <cell r="DG90">
            <v>0</v>
          </cell>
          <cell r="DH90">
            <v>0</v>
          </cell>
          <cell r="DI90">
            <v>0</v>
          </cell>
          <cell r="DJ90">
            <v>0</v>
          </cell>
          <cell r="DK90">
            <v>0</v>
          </cell>
          <cell r="DL90">
            <v>0</v>
          </cell>
          <cell r="DM90">
            <v>0</v>
          </cell>
          <cell r="DN90">
            <v>0</v>
          </cell>
          <cell r="DQ90">
            <v>0</v>
          </cell>
          <cell r="DR90">
            <v>0</v>
          </cell>
          <cell r="DS90">
            <v>0</v>
          </cell>
          <cell r="DT90">
            <v>0</v>
          </cell>
          <cell r="DU90">
            <v>0</v>
          </cell>
          <cell r="DV90">
            <v>0</v>
          </cell>
          <cell r="DW90">
            <v>0</v>
          </cell>
          <cell r="DX90">
            <v>0</v>
          </cell>
          <cell r="DY90">
            <v>0</v>
          </cell>
          <cell r="DZ90">
            <v>0</v>
          </cell>
          <cell r="EA90">
            <v>0</v>
          </cell>
          <cell r="ED90">
            <v>0</v>
          </cell>
          <cell r="EE90">
            <v>0</v>
          </cell>
          <cell r="EF90">
            <v>0</v>
          </cell>
          <cell r="EG90">
            <v>0</v>
          </cell>
          <cell r="EH90">
            <v>0</v>
          </cell>
          <cell r="EI90">
            <v>0</v>
          </cell>
          <cell r="EJ90">
            <v>0</v>
          </cell>
          <cell r="EK90">
            <v>0</v>
          </cell>
          <cell r="EL90">
            <v>0</v>
          </cell>
          <cell r="EM90">
            <v>0</v>
          </cell>
          <cell r="EN90">
            <v>0</v>
          </cell>
          <cell r="EQ90">
            <v>0</v>
          </cell>
          <cell r="ER90">
            <v>0</v>
          </cell>
          <cell r="ES90">
            <v>0</v>
          </cell>
          <cell r="ET90">
            <v>0</v>
          </cell>
          <cell r="EU90">
            <v>0</v>
          </cell>
          <cell r="EV90">
            <v>0</v>
          </cell>
          <cell r="EW90">
            <v>0</v>
          </cell>
          <cell r="EX90">
            <v>0</v>
          </cell>
          <cell r="EY90">
            <v>0</v>
          </cell>
          <cell r="EZ90">
            <v>0</v>
          </cell>
          <cell r="FA90">
            <v>0</v>
          </cell>
          <cell r="FD90">
            <v>0</v>
          </cell>
          <cell r="FE90">
            <v>0</v>
          </cell>
          <cell r="FF90">
            <v>0</v>
          </cell>
          <cell r="FG90">
            <v>0</v>
          </cell>
          <cell r="FH90">
            <v>0</v>
          </cell>
          <cell r="FI90">
            <v>0</v>
          </cell>
          <cell r="FJ90">
            <v>0</v>
          </cell>
          <cell r="FK90">
            <v>0</v>
          </cell>
          <cell r="FL90">
            <v>0</v>
          </cell>
          <cell r="FM90">
            <v>0</v>
          </cell>
          <cell r="FN90">
            <v>0</v>
          </cell>
          <cell r="FQ90">
            <v>0</v>
          </cell>
          <cell r="FR90">
            <v>0</v>
          </cell>
          <cell r="FS90">
            <v>0</v>
          </cell>
          <cell r="FT90">
            <v>0</v>
          </cell>
          <cell r="FU90">
            <v>0</v>
          </cell>
          <cell r="FV90">
            <v>0</v>
          </cell>
          <cell r="FW90">
            <v>0</v>
          </cell>
          <cell r="FX90">
            <v>0</v>
          </cell>
          <cell r="FY90">
            <v>0</v>
          </cell>
          <cell r="FZ90">
            <v>0</v>
          </cell>
          <cell r="GA90">
            <v>0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</row>
        <row r="91">
          <cell r="B91" t="str">
            <v>Riverside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 t="e">
            <v>#DIV/0!</v>
          </cell>
          <cell r="AG91" t="e">
            <v>#DIV/0!</v>
          </cell>
          <cell r="AH91" t="e">
            <v>#DIV/0!</v>
          </cell>
          <cell r="AI91" t="e">
            <v>#DIV/0!</v>
          </cell>
          <cell r="AJ91" t="e">
            <v>#DIV/0!</v>
          </cell>
          <cell r="AK91" t="e">
            <v>#DIV/0!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BR91">
            <v>0</v>
          </cell>
          <cell r="BS91">
            <v>0</v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BZ91">
            <v>0</v>
          </cell>
          <cell r="CA91">
            <v>0</v>
          </cell>
          <cell r="CB91">
            <v>0</v>
          </cell>
          <cell r="CC91">
            <v>0</v>
          </cell>
          <cell r="CD91">
            <v>0</v>
          </cell>
          <cell r="CE91">
            <v>0</v>
          </cell>
          <cell r="CF91">
            <v>0</v>
          </cell>
          <cell r="CG91">
            <v>0</v>
          </cell>
          <cell r="CH91">
            <v>0</v>
          </cell>
          <cell r="CI91">
            <v>0</v>
          </cell>
          <cell r="CJ91">
            <v>0</v>
          </cell>
          <cell r="CK91">
            <v>0</v>
          </cell>
          <cell r="CL91">
            <v>0</v>
          </cell>
          <cell r="CM91">
            <v>0</v>
          </cell>
          <cell r="CN91">
            <v>0</v>
          </cell>
          <cell r="CO91">
            <v>0</v>
          </cell>
          <cell r="CP91">
            <v>0</v>
          </cell>
          <cell r="CQ91">
            <v>0</v>
          </cell>
          <cell r="CR91">
            <v>0</v>
          </cell>
          <cell r="CS91">
            <v>0</v>
          </cell>
          <cell r="CV91">
            <v>0</v>
          </cell>
          <cell r="CW91">
            <v>0</v>
          </cell>
          <cell r="CX91">
            <v>0</v>
          </cell>
          <cell r="CY91">
            <v>0</v>
          </cell>
          <cell r="CZ91">
            <v>0</v>
          </cell>
          <cell r="DA91">
            <v>0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H91">
            <v>0</v>
          </cell>
          <cell r="DI91">
            <v>0</v>
          </cell>
          <cell r="DJ91">
            <v>0</v>
          </cell>
          <cell r="DK91">
            <v>0</v>
          </cell>
          <cell r="DL91">
            <v>0</v>
          </cell>
          <cell r="DM91">
            <v>0</v>
          </cell>
          <cell r="DN91">
            <v>0</v>
          </cell>
          <cell r="DQ91">
            <v>0</v>
          </cell>
          <cell r="DR91">
            <v>0</v>
          </cell>
          <cell r="DS91">
            <v>0</v>
          </cell>
          <cell r="DT91">
            <v>0</v>
          </cell>
          <cell r="DU91">
            <v>0</v>
          </cell>
          <cell r="DV91">
            <v>0</v>
          </cell>
          <cell r="DW91">
            <v>0</v>
          </cell>
          <cell r="DX91">
            <v>0</v>
          </cell>
          <cell r="DY91">
            <v>0</v>
          </cell>
          <cell r="DZ91">
            <v>0</v>
          </cell>
          <cell r="EA91">
            <v>0</v>
          </cell>
          <cell r="ED91">
            <v>0</v>
          </cell>
          <cell r="EE91">
            <v>0</v>
          </cell>
          <cell r="EF91">
            <v>0</v>
          </cell>
          <cell r="EG91">
            <v>0</v>
          </cell>
          <cell r="EH91">
            <v>0</v>
          </cell>
          <cell r="EI91">
            <v>0</v>
          </cell>
          <cell r="EJ91">
            <v>0</v>
          </cell>
          <cell r="EK91">
            <v>0</v>
          </cell>
          <cell r="EL91">
            <v>0</v>
          </cell>
          <cell r="EM91">
            <v>0</v>
          </cell>
          <cell r="EN91">
            <v>0</v>
          </cell>
          <cell r="EQ91">
            <v>0</v>
          </cell>
          <cell r="ER91">
            <v>0</v>
          </cell>
          <cell r="ES91">
            <v>0</v>
          </cell>
          <cell r="ET91">
            <v>0</v>
          </cell>
          <cell r="EU91">
            <v>0</v>
          </cell>
          <cell r="EV91">
            <v>0</v>
          </cell>
          <cell r="EW91">
            <v>0</v>
          </cell>
          <cell r="EX91">
            <v>0</v>
          </cell>
          <cell r="EY91">
            <v>0</v>
          </cell>
          <cell r="EZ91">
            <v>0</v>
          </cell>
          <cell r="FA91">
            <v>0</v>
          </cell>
          <cell r="FD91">
            <v>0</v>
          </cell>
          <cell r="FE91">
            <v>0</v>
          </cell>
          <cell r="FF91">
            <v>0</v>
          </cell>
          <cell r="FG91">
            <v>0</v>
          </cell>
          <cell r="FH91">
            <v>0</v>
          </cell>
          <cell r="FI91">
            <v>0</v>
          </cell>
          <cell r="FJ91">
            <v>0</v>
          </cell>
          <cell r="FK91">
            <v>0</v>
          </cell>
          <cell r="FL91">
            <v>0</v>
          </cell>
          <cell r="FM91">
            <v>0</v>
          </cell>
          <cell r="FN91">
            <v>0</v>
          </cell>
          <cell r="FQ91">
            <v>0</v>
          </cell>
          <cell r="FR91">
            <v>0</v>
          </cell>
          <cell r="FS91">
            <v>0</v>
          </cell>
          <cell r="FT91">
            <v>0</v>
          </cell>
          <cell r="FU91">
            <v>0</v>
          </cell>
          <cell r="FV91">
            <v>0</v>
          </cell>
          <cell r="FW91">
            <v>0</v>
          </cell>
          <cell r="FX91">
            <v>0</v>
          </cell>
          <cell r="FY91">
            <v>0</v>
          </cell>
          <cell r="FZ91">
            <v>0</v>
          </cell>
          <cell r="GA91">
            <v>0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</row>
        <row r="92">
          <cell r="B92" t="str">
            <v>Sandy Bay</v>
          </cell>
          <cell r="C92">
            <v>0</v>
          </cell>
          <cell r="D92">
            <v>1</v>
          </cell>
          <cell r="E92" t="str">
            <v>Supermarket Only</v>
          </cell>
          <cell r="F92" t="str">
            <v>TAS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2.1</v>
          </cell>
          <cell r="S92">
            <v>2.1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1</v>
          </cell>
          <cell r="AJ92">
            <v>0</v>
          </cell>
          <cell r="AK92">
            <v>0</v>
          </cell>
          <cell r="AN92">
            <v>2.1</v>
          </cell>
          <cell r="AO92">
            <v>2.1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>
            <v>0</v>
          </cell>
          <cell r="BQ92">
            <v>2.1</v>
          </cell>
          <cell r="BR92">
            <v>0</v>
          </cell>
          <cell r="BS92">
            <v>0</v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  <cell r="BZ92">
            <v>0</v>
          </cell>
          <cell r="CA92">
            <v>0</v>
          </cell>
          <cell r="CB92">
            <v>0</v>
          </cell>
          <cell r="CC92">
            <v>0</v>
          </cell>
          <cell r="CD92">
            <v>0</v>
          </cell>
          <cell r="CE92">
            <v>0</v>
          </cell>
          <cell r="CF92">
            <v>0</v>
          </cell>
          <cell r="CG92">
            <v>0</v>
          </cell>
          <cell r="CH92">
            <v>0</v>
          </cell>
          <cell r="CI92">
            <v>0</v>
          </cell>
          <cell r="CJ92">
            <v>0</v>
          </cell>
          <cell r="CK92">
            <v>0</v>
          </cell>
          <cell r="CL92">
            <v>0</v>
          </cell>
          <cell r="CM92">
            <v>0</v>
          </cell>
          <cell r="CN92">
            <v>0</v>
          </cell>
          <cell r="CO92">
            <v>2.1</v>
          </cell>
          <cell r="CP92">
            <v>0</v>
          </cell>
          <cell r="CQ92">
            <v>0</v>
          </cell>
          <cell r="CR92">
            <v>0</v>
          </cell>
          <cell r="CS92">
            <v>0</v>
          </cell>
          <cell r="CV92">
            <v>0</v>
          </cell>
          <cell r="CW92">
            <v>0</v>
          </cell>
          <cell r="CX92">
            <v>0</v>
          </cell>
          <cell r="CY92">
            <v>0</v>
          </cell>
          <cell r="CZ92">
            <v>0</v>
          </cell>
          <cell r="DA92">
            <v>2.1</v>
          </cell>
          <cell r="DD92">
            <v>1.7500000000000002E-2</v>
          </cell>
          <cell r="DE92">
            <v>2.8480818425022363E-2</v>
          </cell>
          <cell r="DF92">
            <v>3.1403596897279763E-2</v>
          </cell>
          <cell r="DG92">
            <v>2.2359447002183043E-2</v>
          </cell>
          <cell r="DH92">
            <v>1.6271739930554509E-2</v>
          </cell>
          <cell r="DI92">
            <v>1.2488046269090143E-2</v>
          </cell>
          <cell r="DJ92">
            <v>1.1109836658996538E-2</v>
          </cell>
          <cell r="DK92">
            <v>1.0909759691511063E-2</v>
          </cell>
          <cell r="DL92">
            <v>1.2890043747624565E-2</v>
          </cell>
          <cell r="DM92">
            <v>1.7968955667719701E-2</v>
          </cell>
          <cell r="DN92">
            <v>1.8977733484579186E-2</v>
          </cell>
          <cell r="DQ92">
            <v>0</v>
          </cell>
          <cell r="DR92">
            <v>0</v>
          </cell>
          <cell r="DS92">
            <v>0</v>
          </cell>
          <cell r="DT92">
            <v>0</v>
          </cell>
          <cell r="DU92">
            <v>0</v>
          </cell>
          <cell r="DV92">
            <v>0</v>
          </cell>
          <cell r="DW92">
            <v>0</v>
          </cell>
          <cell r="DX92">
            <v>0</v>
          </cell>
          <cell r="DY92">
            <v>0</v>
          </cell>
          <cell r="DZ92">
            <v>0</v>
          </cell>
          <cell r="EA92">
            <v>0</v>
          </cell>
          <cell r="ED92">
            <v>0</v>
          </cell>
          <cell r="EE92">
            <v>0</v>
          </cell>
          <cell r="EF92">
            <v>0</v>
          </cell>
          <cell r="EG92">
            <v>0</v>
          </cell>
          <cell r="EH92">
            <v>0</v>
          </cell>
          <cell r="EI92">
            <v>0</v>
          </cell>
          <cell r="EJ92">
            <v>0</v>
          </cell>
          <cell r="EK92">
            <v>0</v>
          </cell>
          <cell r="EL92">
            <v>0</v>
          </cell>
          <cell r="EM92">
            <v>0</v>
          </cell>
          <cell r="EN92">
            <v>0</v>
          </cell>
          <cell r="EQ92">
            <v>2.78606920046372E-2</v>
          </cell>
          <cell r="ER92">
            <v>2.5000000000000001E-2</v>
          </cell>
          <cell r="ES92">
            <v>2.5000000000000001E-2</v>
          </cell>
          <cell r="ET92">
            <v>0.03</v>
          </cell>
          <cell r="EU92">
            <v>0.03</v>
          </cell>
          <cell r="EV92">
            <v>0.03</v>
          </cell>
          <cell r="EW92">
            <v>0.03</v>
          </cell>
          <cell r="EX92">
            <v>0.03</v>
          </cell>
          <cell r="EY92">
            <v>0.03</v>
          </cell>
          <cell r="EZ92">
            <v>0.03</v>
          </cell>
          <cell r="FA92">
            <v>0.03</v>
          </cell>
          <cell r="FD92">
            <v>0</v>
          </cell>
          <cell r="FE92">
            <v>0</v>
          </cell>
          <cell r="FF92">
            <v>0</v>
          </cell>
          <cell r="FG92">
            <v>0</v>
          </cell>
          <cell r="FH92">
            <v>0</v>
          </cell>
          <cell r="FI92">
            <v>0</v>
          </cell>
          <cell r="FJ92">
            <v>0</v>
          </cell>
          <cell r="FK92">
            <v>0</v>
          </cell>
          <cell r="FL92">
            <v>0</v>
          </cell>
          <cell r="FM92">
            <v>0</v>
          </cell>
          <cell r="FN92">
            <v>0</v>
          </cell>
          <cell r="FQ92">
            <v>2.78606920046372E-2</v>
          </cell>
          <cell r="FR92">
            <v>2.5000000000000001E-2</v>
          </cell>
          <cell r="FS92">
            <v>2.5000000000000001E-2</v>
          </cell>
          <cell r="FT92">
            <v>0.03</v>
          </cell>
          <cell r="FU92">
            <v>0.03</v>
          </cell>
          <cell r="FV92">
            <v>0.03</v>
          </cell>
          <cell r="FW92">
            <v>0.03</v>
          </cell>
          <cell r="FX92">
            <v>0.03</v>
          </cell>
          <cell r="FY92">
            <v>0.03</v>
          </cell>
          <cell r="FZ92">
            <v>0.03</v>
          </cell>
          <cell r="GA92">
            <v>0.03</v>
          </cell>
          <cell r="GD92">
            <v>2.5788553603709762E-2</v>
          </cell>
          <cell r="GE92">
            <v>2.5696163685004478E-2</v>
          </cell>
          <cell r="GF92">
            <v>2.6280719379455957E-2</v>
          </cell>
          <cell r="GG92">
            <v>2.8471889400436608E-2</v>
          </cell>
          <cell r="GH92">
            <v>2.7254347986110903E-2</v>
          </cell>
          <cell r="GI92">
            <v>2.6497609253818027E-2</v>
          </cell>
          <cell r="GJ92">
            <v>2.6221967331799309E-2</v>
          </cell>
          <cell r="GK92">
            <v>2.6181951938302212E-2</v>
          </cell>
          <cell r="GL92">
            <v>2.6578008749524915E-2</v>
          </cell>
          <cell r="GM92">
            <v>2.7593791133543939E-2</v>
          </cell>
          <cell r="GN92">
            <v>2.7795546696915838E-2</v>
          </cell>
        </row>
        <row r="93">
          <cell r="B93" t="str">
            <v>Wynyard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 t="e">
            <v>#DIV/0!</v>
          </cell>
          <cell r="AG93" t="e">
            <v>#DIV/0!</v>
          </cell>
          <cell r="AH93" t="e">
            <v>#DIV/0!</v>
          </cell>
          <cell r="AI93" t="e">
            <v>#DIV/0!</v>
          </cell>
          <cell r="AJ93" t="e">
            <v>#DIV/0!</v>
          </cell>
          <cell r="AK93" t="e">
            <v>#DIV/0!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>
            <v>0</v>
          </cell>
          <cell r="BQ93">
            <v>0</v>
          </cell>
          <cell r="BR93">
            <v>0</v>
          </cell>
          <cell r="BS93">
            <v>0</v>
          </cell>
          <cell r="BT93">
            <v>0</v>
          </cell>
          <cell r="BU93">
            <v>0</v>
          </cell>
          <cell r="BV93">
            <v>0</v>
          </cell>
          <cell r="BW93">
            <v>0</v>
          </cell>
          <cell r="BX93">
            <v>0</v>
          </cell>
          <cell r="BY93">
            <v>0</v>
          </cell>
          <cell r="BZ93">
            <v>0</v>
          </cell>
          <cell r="CA93">
            <v>0</v>
          </cell>
          <cell r="CB93">
            <v>0</v>
          </cell>
          <cell r="CC93">
            <v>0</v>
          </cell>
          <cell r="CD93">
            <v>0</v>
          </cell>
          <cell r="CE93">
            <v>0</v>
          </cell>
          <cell r="CF93">
            <v>0</v>
          </cell>
          <cell r="CG93">
            <v>0</v>
          </cell>
          <cell r="CH93">
            <v>0</v>
          </cell>
          <cell r="CI93">
            <v>0</v>
          </cell>
          <cell r="CJ93">
            <v>0</v>
          </cell>
          <cell r="CK93">
            <v>0</v>
          </cell>
          <cell r="CL93">
            <v>0</v>
          </cell>
          <cell r="CM93">
            <v>0</v>
          </cell>
          <cell r="CN93">
            <v>0</v>
          </cell>
          <cell r="CO93">
            <v>0</v>
          </cell>
          <cell r="CP93">
            <v>0</v>
          </cell>
          <cell r="CQ93">
            <v>0</v>
          </cell>
          <cell r="CR93">
            <v>0</v>
          </cell>
          <cell r="CS93">
            <v>0</v>
          </cell>
          <cell r="CV93">
            <v>0</v>
          </cell>
          <cell r="CW93">
            <v>0</v>
          </cell>
          <cell r="CX93">
            <v>0</v>
          </cell>
          <cell r="CY93">
            <v>0</v>
          </cell>
          <cell r="CZ93">
            <v>0</v>
          </cell>
          <cell r="DA93">
            <v>0</v>
          </cell>
          <cell r="DD93">
            <v>0</v>
          </cell>
          <cell r="DE93">
            <v>0</v>
          </cell>
          <cell r="DF93">
            <v>0</v>
          </cell>
          <cell r="DG93">
            <v>0</v>
          </cell>
          <cell r="DH93">
            <v>0</v>
          </cell>
          <cell r="DI93">
            <v>0</v>
          </cell>
          <cell r="DJ93">
            <v>0</v>
          </cell>
          <cell r="DK93">
            <v>0</v>
          </cell>
          <cell r="DL93">
            <v>0</v>
          </cell>
          <cell r="DM93">
            <v>0</v>
          </cell>
          <cell r="DN93">
            <v>0</v>
          </cell>
          <cell r="DQ93">
            <v>0</v>
          </cell>
          <cell r="DR93">
            <v>0</v>
          </cell>
          <cell r="DS93">
            <v>0</v>
          </cell>
          <cell r="DT93">
            <v>0</v>
          </cell>
          <cell r="DU93">
            <v>0</v>
          </cell>
          <cell r="DV93">
            <v>0</v>
          </cell>
          <cell r="DW93">
            <v>0</v>
          </cell>
          <cell r="DX93">
            <v>0</v>
          </cell>
          <cell r="DY93">
            <v>0</v>
          </cell>
          <cell r="DZ93">
            <v>0</v>
          </cell>
          <cell r="EA93">
            <v>0</v>
          </cell>
          <cell r="ED93">
            <v>0</v>
          </cell>
          <cell r="EE93">
            <v>0</v>
          </cell>
          <cell r="EF93">
            <v>0</v>
          </cell>
          <cell r="EG93">
            <v>0</v>
          </cell>
          <cell r="EH93">
            <v>0</v>
          </cell>
          <cell r="EI93">
            <v>0</v>
          </cell>
          <cell r="EJ93">
            <v>0</v>
          </cell>
          <cell r="EK93">
            <v>0</v>
          </cell>
          <cell r="EL93">
            <v>0</v>
          </cell>
          <cell r="EM93">
            <v>0</v>
          </cell>
          <cell r="EN93">
            <v>0</v>
          </cell>
          <cell r="EQ93">
            <v>0</v>
          </cell>
          <cell r="ER93">
            <v>0</v>
          </cell>
          <cell r="ES93">
            <v>0</v>
          </cell>
          <cell r="ET93">
            <v>0</v>
          </cell>
          <cell r="EU93">
            <v>0</v>
          </cell>
          <cell r="EV93">
            <v>0</v>
          </cell>
          <cell r="EW93">
            <v>0</v>
          </cell>
          <cell r="EX93">
            <v>0</v>
          </cell>
          <cell r="EY93">
            <v>0</v>
          </cell>
          <cell r="EZ93">
            <v>0</v>
          </cell>
          <cell r="FA93">
            <v>0</v>
          </cell>
          <cell r="FD93">
            <v>0</v>
          </cell>
          <cell r="FE93">
            <v>0</v>
          </cell>
          <cell r="FF93">
            <v>0</v>
          </cell>
          <cell r="FG93">
            <v>0</v>
          </cell>
          <cell r="FH93">
            <v>0</v>
          </cell>
          <cell r="FI93">
            <v>0</v>
          </cell>
          <cell r="FJ93">
            <v>0</v>
          </cell>
          <cell r="FK93">
            <v>0</v>
          </cell>
          <cell r="FL93">
            <v>0</v>
          </cell>
          <cell r="FM93">
            <v>0</v>
          </cell>
          <cell r="FN93">
            <v>0</v>
          </cell>
          <cell r="FQ93">
            <v>0</v>
          </cell>
          <cell r="FR93">
            <v>0</v>
          </cell>
          <cell r="FS93">
            <v>0</v>
          </cell>
          <cell r="FT93">
            <v>0</v>
          </cell>
          <cell r="FU93">
            <v>0</v>
          </cell>
          <cell r="FV93">
            <v>0</v>
          </cell>
          <cell r="FW93">
            <v>0</v>
          </cell>
          <cell r="FX93">
            <v>0</v>
          </cell>
          <cell r="FY93">
            <v>0</v>
          </cell>
          <cell r="FZ93">
            <v>0</v>
          </cell>
          <cell r="GA93">
            <v>0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</row>
        <row r="94">
          <cell r="B94" t="str">
            <v>Bairnsdale</v>
          </cell>
          <cell r="C94">
            <v>0</v>
          </cell>
          <cell r="D94">
            <v>1</v>
          </cell>
          <cell r="E94" t="str">
            <v>Supermarket Only</v>
          </cell>
          <cell r="F94" t="str">
            <v>VIC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3.3</v>
          </cell>
          <cell r="S94">
            <v>3.3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1</v>
          </cell>
          <cell r="AJ94">
            <v>0</v>
          </cell>
          <cell r="AK94">
            <v>0</v>
          </cell>
          <cell r="AN94">
            <v>3.3</v>
          </cell>
          <cell r="AO94">
            <v>3.3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>
            <v>3.3</v>
          </cell>
          <cell r="BQ94">
            <v>0</v>
          </cell>
          <cell r="BR94">
            <v>0</v>
          </cell>
          <cell r="BS94">
            <v>0</v>
          </cell>
          <cell r="BT94">
            <v>0</v>
          </cell>
          <cell r="BU94">
            <v>0</v>
          </cell>
          <cell r="BV94">
            <v>0</v>
          </cell>
          <cell r="BW94">
            <v>0</v>
          </cell>
          <cell r="BX94">
            <v>0</v>
          </cell>
          <cell r="BY94">
            <v>0</v>
          </cell>
          <cell r="BZ94">
            <v>0</v>
          </cell>
          <cell r="CA94">
            <v>0</v>
          </cell>
          <cell r="CB94">
            <v>0</v>
          </cell>
          <cell r="CC94">
            <v>0</v>
          </cell>
          <cell r="CD94">
            <v>0</v>
          </cell>
          <cell r="CE94">
            <v>0</v>
          </cell>
          <cell r="CF94">
            <v>0</v>
          </cell>
          <cell r="CG94">
            <v>0</v>
          </cell>
          <cell r="CH94">
            <v>0</v>
          </cell>
          <cell r="CI94">
            <v>0</v>
          </cell>
          <cell r="CJ94">
            <v>0</v>
          </cell>
          <cell r="CK94">
            <v>0</v>
          </cell>
          <cell r="CL94">
            <v>0</v>
          </cell>
          <cell r="CM94">
            <v>0</v>
          </cell>
          <cell r="CN94">
            <v>3.3</v>
          </cell>
          <cell r="CO94">
            <v>0</v>
          </cell>
          <cell r="CP94">
            <v>0</v>
          </cell>
          <cell r="CQ94">
            <v>0</v>
          </cell>
          <cell r="CR94">
            <v>0</v>
          </cell>
          <cell r="CS94">
            <v>0</v>
          </cell>
          <cell r="CV94">
            <v>0</v>
          </cell>
          <cell r="CW94">
            <v>0</v>
          </cell>
          <cell r="CX94">
            <v>0</v>
          </cell>
          <cell r="CY94">
            <v>0</v>
          </cell>
          <cell r="CZ94">
            <v>0</v>
          </cell>
          <cell r="DA94">
            <v>3.3</v>
          </cell>
          <cell r="DD94">
            <v>3.5000000000000003E-2</v>
          </cell>
          <cell r="DE94">
            <v>3.8480818425022364E-2</v>
          </cell>
          <cell r="DF94">
            <v>4.1403596897279765E-2</v>
          </cell>
          <cell r="DG94">
            <v>3.2359447002183045E-2</v>
          </cell>
          <cell r="DH94">
            <v>2.6271739930554507E-2</v>
          </cell>
          <cell r="DI94">
            <v>2.2488046269090144E-2</v>
          </cell>
          <cell r="DJ94">
            <v>2.1109836658996538E-2</v>
          </cell>
          <cell r="DK94">
            <v>2.0909759691511064E-2</v>
          </cell>
          <cell r="DL94">
            <v>2.2890043747624565E-2</v>
          </cell>
          <cell r="DM94">
            <v>2.7968955667719699E-2</v>
          </cell>
          <cell r="DN94">
            <v>2.8977733484579184E-2</v>
          </cell>
          <cell r="DQ94">
            <v>0</v>
          </cell>
          <cell r="DR94">
            <v>0</v>
          </cell>
          <cell r="DS94">
            <v>0</v>
          </cell>
          <cell r="DT94">
            <v>0</v>
          </cell>
          <cell r="DU94">
            <v>0</v>
          </cell>
          <cell r="DV94">
            <v>0</v>
          </cell>
          <cell r="DW94">
            <v>0</v>
          </cell>
          <cell r="DX94">
            <v>0</v>
          </cell>
          <cell r="DY94">
            <v>0</v>
          </cell>
          <cell r="DZ94">
            <v>0</v>
          </cell>
          <cell r="EA94">
            <v>0</v>
          </cell>
          <cell r="ED94">
            <v>0</v>
          </cell>
          <cell r="EE94">
            <v>0</v>
          </cell>
          <cell r="EF94">
            <v>0</v>
          </cell>
          <cell r="EG94">
            <v>0</v>
          </cell>
          <cell r="EH94">
            <v>0</v>
          </cell>
          <cell r="EI94">
            <v>0</v>
          </cell>
          <cell r="EJ94">
            <v>0</v>
          </cell>
          <cell r="EK94">
            <v>0</v>
          </cell>
          <cell r="EL94">
            <v>0</v>
          </cell>
          <cell r="EM94">
            <v>0</v>
          </cell>
          <cell r="EN94">
            <v>0</v>
          </cell>
          <cell r="EQ94">
            <v>4.5360692004637201E-2</v>
          </cell>
          <cell r="ER94">
            <v>3.5000000000000003E-2</v>
          </cell>
          <cell r="ES94">
            <v>3.5000000000000003E-2</v>
          </cell>
          <cell r="ET94">
            <v>0.04</v>
          </cell>
          <cell r="EU94">
            <v>0.04</v>
          </cell>
          <cell r="EV94">
            <v>0.04</v>
          </cell>
          <cell r="EW94">
            <v>0.04</v>
          </cell>
          <cell r="EX94">
            <v>0.04</v>
          </cell>
          <cell r="EY94">
            <v>0.04</v>
          </cell>
          <cell r="EZ94">
            <v>0.04</v>
          </cell>
          <cell r="FA94">
            <v>0.04</v>
          </cell>
          <cell r="FD94">
            <v>0</v>
          </cell>
          <cell r="FE94">
            <v>0</v>
          </cell>
          <cell r="FF94">
            <v>0</v>
          </cell>
          <cell r="FG94">
            <v>0</v>
          </cell>
          <cell r="FH94">
            <v>0</v>
          </cell>
          <cell r="FI94">
            <v>0</v>
          </cell>
          <cell r="FJ94">
            <v>0</v>
          </cell>
          <cell r="FK94">
            <v>0</v>
          </cell>
          <cell r="FL94">
            <v>0</v>
          </cell>
          <cell r="FM94">
            <v>0</v>
          </cell>
          <cell r="FN94">
            <v>0</v>
          </cell>
          <cell r="FQ94">
            <v>4.5360692004637201E-2</v>
          </cell>
          <cell r="FR94">
            <v>3.5000000000000003E-2</v>
          </cell>
          <cell r="FS94">
            <v>3.5000000000000003E-2</v>
          </cell>
          <cell r="FT94">
            <v>0.04</v>
          </cell>
          <cell r="FU94">
            <v>0.04</v>
          </cell>
          <cell r="FV94">
            <v>0.04</v>
          </cell>
          <cell r="FW94">
            <v>0.04</v>
          </cell>
          <cell r="FX94">
            <v>0.04</v>
          </cell>
          <cell r="FY94">
            <v>0.04</v>
          </cell>
          <cell r="FZ94">
            <v>0.04</v>
          </cell>
          <cell r="GA94">
            <v>0.04</v>
          </cell>
          <cell r="GD94">
            <v>4.3288553603709763E-2</v>
          </cell>
          <cell r="GE94">
            <v>3.569616368500448E-2</v>
          </cell>
          <cell r="GF94">
            <v>3.6280719379455956E-2</v>
          </cell>
          <cell r="GG94">
            <v>3.847188940043661E-2</v>
          </cell>
          <cell r="GH94">
            <v>3.7254347986110901E-2</v>
          </cell>
          <cell r="GI94">
            <v>3.6497609253818029E-2</v>
          </cell>
          <cell r="GJ94">
            <v>3.6221967331799311E-2</v>
          </cell>
          <cell r="GK94">
            <v>3.6181951938302211E-2</v>
          </cell>
          <cell r="GL94">
            <v>3.6578008749524916E-2</v>
          </cell>
          <cell r="GM94">
            <v>3.7593791133543941E-2</v>
          </cell>
          <cell r="GN94">
            <v>3.7795546696915837E-2</v>
          </cell>
        </row>
        <row r="95">
          <cell r="B95" t="str">
            <v>Benalla</v>
          </cell>
          <cell r="C95">
            <v>0</v>
          </cell>
          <cell r="D95">
            <v>1</v>
          </cell>
          <cell r="E95" t="str">
            <v>Supermarket Only</v>
          </cell>
          <cell r="F95" t="str">
            <v>VIC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3</v>
          </cell>
          <cell r="S95">
            <v>3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1</v>
          </cell>
          <cell r="AJ95">
            <v>0</v>
          </cell>
          <cell r="AK95">
            <v>0</v>
          </cell>
          <cell r="AN95">
            <v>3</v>
          </cell>
          <cell r="AO95">
            <v>3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3</v>
          </cell>
          <cell r="BQ95">
            <v>0</v>
          </cell>
          <cell r="BR95">
            <v>0</v>
          </cell>
          <cell r="BS95">
            <v>0</v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BZ95">
            <v>0</v>
          </cell>
          <cell r="CA95">
            <v>0</v>
          </cell>
          <cell r="CB95">
            <v>0</v>
          </cell>
          <cell r="CC95">
            <v>0</v>
          </cell>
          <cell r="CD95">
            <v>0</v>
          </cell>
          <cell r="CE95">
            <v>0</v>
          </cell>
          <cell r="CF95">
            <v>0</v>
          </cell>
          <cell r="CG95">
            <v>0</v>
          </cell>
          <cell r="CH95">
            <v>0</v>
          </cell>
          <cell r="CI95">
            <v>0</v>
          </cell>
          <cell r="CJ95">
            <v>0</v>
          </cell>
          <cell r="CK95">
            <v>0</v>
          </cell>
          <cell r="CL95">
            <v>0</v>
          </cell>
          <cell r="CM95">
            <v>0</v>
          </cell>
          <cell r="CN95">
            <v>3</v>
          </cell>
          <cell r="CO95">
            <v>0</v>
          </cell>
          <cell r="CP95">
            <v>0</v>
          </cell>
          <cell r="CQ95">
            <v>0</v>
          </cell>
          <cell r="CR95">
            <v>0</v>
          </cell>
          <cell r="CS95">
            <v>0</v>
          </cell>
          <cell r="CV95">
            <v>0</v>
          </cell>
          <cell r="CW95">
            <v>0</v>
          </cell>
          <cell r="CX95">
            <v>0</v>
          </cell>
          <cell r="CY95">
            <v>0</v>
          </cell>
          <cell r="CZ95">
            <v>0</v>
          </cell>
          <cell r="DA95">
            <v>3</v>
          </cell>
          <cell r="DD95">
            <v>3.5000000000000003E-2</v>
          </cell>
          <cell r="DE95">
            <v>3.8480818425022364E-2</v>
          </cell>
          <cell r="DF95">
            <v>4.1403596897279765E-2</v>
          </cell>
          <cell r="DG95">
            <v>3.2359447002183045E-2</v>
          </cell>
          <cell r="DH95">
            <v>2.6271739930554507E-2</v>
          </cell>
          <cell r="DI95">
            <v>2.2488046269090144E-2</v>
          </cell>
          <cell r="DJ95">
            <v>2.1109836658996538E-2</v>
          </cell>
          <cell r="DK95">
            <v>2.0909759691511064E-2</v>
          </cell>
          <cell r="DL95">
            <v>2.2890043747624565E-2</v>
          </cell>
          <cell r="DM95">
            <v>2.7968955667719699E-2</v>
          </cell>
          <cell r="DN95">
            <v>2.8977733484579184E-2</v>
          </cell>
          <cell r="DQ95">
            <v>0</v>
          </cell>
          <cell r="DR95">
            <v>0</v>
          </cell>
          <cell r="DS95">
            <v>0</v>
          </cell>
          <cell r="DT95">
            <v>0</v>
          </cell>
          <cell r="DU95">
            <v>0</v>
          </cell>
          <cell r="DV95">
            <v>0</v>
          </cell>
          <cell r="DW95">
            <v>0</v>
          </cell>
          <cell r="DX95">
            <v>0</v>
          </cell>
          <cell r="DY95">
            <v>0</v>
          </cell>
          <cell r="DZ95">
            <v>0</v>
          </cell>
          <cell r="EA95">
            <v>0</v>
          </cell>
          <cell r="ED95">
            <v>0</v>
          </cell>
          <cell r="EE95">
            <v>0</v>
          </cell>
          <cell r="EF95">
            <v>0</v>
          </cell>
          <cell r="EG95">
            <v>0</v>
          </cell>
          <cell r="EH95">
            <v>0</v>
          </cell>
          <cell r="EI95">
            <v>0</v>
          </cell>
          <cell r="EJ95">
            <v>0</v>
          </cell>
          <cell r="EK95">
            <v>0</v>
          </cell>
          <cell r="EL95">
            <v>0</v>
          </cell>
          <cell r="EM95">
            <v>0</v>
          </cell>
          <cell r="EN95">
            <v>0</v>
          </cell>
          <cell r="EQ95">
            <v>4.5360692004637201E-2</v>
          </cell>
          <cell r="ER95">
            <v>3.5000000000000003E-2</v>
          </cell>
          <cell r="ES95">
            <v>3.5000000000000003E-2</v>
          </cell>
          <cell r="ET95">
            <v>0.04</v>
          </cell>
          <cell r="EU95">
            <v>0.04</v>
          </cell>
          <cell r="EV95">
            <v>0.04</v>
          </cell>
          <cell r="EW95">
            <v>0.04</v>
          </cell>
          <cell r="EX95">
            <v>0.04</v>
          </cell>
          <cell r="EY95">
            <v>0.04</v>
          </cell>
          <cell r="EZ95">
            <v>0.04</v>
          </cell>
          <cell r="FA95">
            <v>0.04</v>
          </cell>
          <cell r="FD95">
            <v>0</v>
          </cell>
          <cell r="FE95">
            <v>0</v>
          </cell>
          <cell r="FF95">
            <v>0</v>
          </cell>
          <cell r="FG95">
            <v>0</v>
          </cell>
          <cell r="FH95">
            <v>0</v>
          </cell>
          <cell r="FI95">
            <v>0</v>
          </cell>
          <cell r="FJ95">
            <v>0</v>
          </cell>
          <cell r="FK95">
            <v>0</v>
          </cell>
          <cell r="FL95">
            <v>0</v>
          </cell>
          <cell r="FM95">
            <v>0</v>
          </cell>
          <cell r="FN95">
            <v>0</v>
          </cell>
          <cell r="FQ95">
            <v>4.5360692004637201E-2</v>
          </cell>
          <cell r="FR95">
            <v>3.5000000000000003E-2</v>
          </cell>
          <cell r="FS95">
            <v>3.5000000000000003E-2</v>
          </cell>
          <cell r="FT95">
            <v>0.04</v>
          </cell>
          <cell r="FU95">
            <v>0.04</v>
          </cell>
          <cell r="FV95">
            <v>0.04</v>
          </cell>
          <cell r="FW95">
            <v>0.04</v>
          </cell>
          <cell r="FX95">
            <v>0.04</v>
          </cell>
          <cell r="FY95">
            <v>0.04</v>
          </cell>
          <cell r="FZ95">
            <v>0.04</v>
          </cell>
          <cell r="GA95">
            <v>0.04</v>
          </cell>
          <cell r="GD95">
            <v>4.3288553603709763E-2</v>
          </cell>
          <cell r="GE95">
            <v>3.569616368500448E-2</v>
          </cell>
          <cell r="GF95">
            <v>3.6280719379455956E-2</v>
          </cell>
          <cell r="GG95">
            <v>3.847188940043661E-2</v>
          </cell>
          <cell r="GH95">
            <v>3.7254347986110901E-2</v>
          </cell>
          <cell r="GI95">
            <v>3.6497609253818029E-2</v>
          </cell>
          <cell r="GJ95">
            <v>3.6221967331799311E-2</v>
          </cell>
          <cell r="GK95">
            <v>3.6181951938302211E-2</v>
          </cell>
          <cell r="GL95">
            <v>3.6578008749524916E-2</v>
          </cell>
          <cell r="GM95">
            <v>3.7593791133543941E-2</v>
          </cell>
          <cell r="GN95">
            <v>3.7795546696915837E-2</v>
          </cell>
        </row>
        <row r="96">
          <cell r="B96" t="str">
            <v>Horsham</v>
          </cell>
          <cell r="C96">
            <v>0</v>
          </cell>
          <cell r="D96">
            <v>1</v>
          </cell>
          <cell r="E96" t="str">
            <v>Supermarket Only</v>
          </cell>
          <cell r="F96" t="str">
            <v>VIC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3.3</v>
          </cell>
          <cell r="S96">
            <v>0</v>
          </cell>
          <cell r="T96">
            <v>3.3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1</v>
          </cell>
          <cell r="AJ96">
            <v>0</v>
          </cell>
          <cell r="AK96">
            <v>0</v>
          </cell>
          <cell r="AN96">
            <v>3.3</v>
          </cell>
          <cell r="AO96">
            <v>3.3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>
            <v>3.3</v>
          </cell>
          <cell r="BQ96">
            <v>0</v>
          </cell>
          <cell r="BR96">
            <v>0</v>
          </cell>
          <cell r="BS96">
            <v>0</v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BZ96">
            <v>0</v>
          </cell>
          <cell r="CA96">
            <v>0</v>
          </cell>
          <cell r="CB96">
            <v>0</v>
          </cell>
          <cell r="CC96">
            <v>0</v>
          </cell>
          <cell r="CD96">
            <v>0</v>
          </cell>
          <cell r="CE96">
            <v>0</v>
          </cell>
          <cell r="CF96">
            <v>0</v>
          </cell>
          <cell r="CG96">
            <v>0</v>
          </cell>
          <cell r="CH96">
            <v>0</v>
          </cell>
          <cell r="CI96">
            <v>0</v>
          </cell>
          <cell r="CJ96">
            <v>0</v>
          </cell>
          <cell r="CK96">
            <v>0</v>
          </cell>
          <cell r="CL96">
            <v>0</v>
          </cell>
          <cell r="CM96">
            <v>0</v>
          </cell>
          <cell r="CN96">
            <v>3.3</v>
          </cell>
          <cell r="CO96">
            <v>0</v>
          </cell>
          <cell r="CP96">
            <v>0</v>
          </cell>
          <cell r="CQ96">
            <v>0</v>
          </cell>
          <cell r="CR96">
            <v>0</v>
          </cell>
          <cell r="CS96">
            <v>0</v>
          </cell>
          <cell r="CV96">
            <v>0</v>
          </cell>
          <cell r="CW96">
            <v>0</v>
          </cell>
          <cell r="CX96">
            <v>0</v>
          </cell>
          <cell r="CY96">
            <v>0</v>
          </cell>
          <cell r="CZ96">
            <v>0</v>
          </cell>
          <cell r="DA96">
            <v>3.3</v>
          </cell>
          <cell r="DD96">
            <v>3.5000000000000003E-2</v>
          </cell>
          <cell r="DE96">
            <v>3.8480818425022364E-2</v>
          </cell>
          <cell r="DF96">
            <v>4.1403596897279765E-2</v>
          </cell>
          <cell r="DG96">
            <v>3.2359447002183045E-2</v>
          </cell>
          <cell r="DH96">
            <v>2.6271739930554507E-2</v>
          </cell>
          <cell r="DI96">
            <v>2.2488046269090144E-2</v>
          </cell>
          <cell r="DJ96">
            <v>2.1109836658996538E-2</v>
          </cell>
          <cell r="DK96">
            <v>2.0909759691511064E-2</v>
          </cell>
          <cell r="DL96">
            <v>2.2890043747624565E-2</v>
          </cell>
          <cell r="DM96">
            <v>2.7968955667719699E-2</v>
          </cell>
          <cell r="DN96">
            <v>2.8977733484579184E-2</v>
          </cell>
          <cell r="DQ96">
            <v>0</v>
          </cell>
          <cell r="DR96">
            <v>0</v>
          </cell>
          <cell r="DS96">
            <v>0</v>
          </cell>
          <cell r="DT96">
            <v>0</v>
          </cell>
          <cell r="DU96">
            <v>0</v>
          </cell>
          <cell r="DV96">
            <v>0</v>
          </cell>
          <cell r="DW96">
            <v>0</v>
          </cell>
          <cell r="DX96">
            <v>0</v>
          </cell>
          <cell r="DY96">
            <v>0</v>
          </cell>
          <cell r="DZ96">
            <v>0</v>
          </cell>
          <cell r="EA96">
            <v>0</v>
          </cell>
          <cell r="ED96">
            <v>0</v>
          </cell>
          <cell r="EE96">
            <v>0</v>
          </cell>
          <cell r="EF96">
            <v>0</v>
          </cell>
          <cell r="EG96">
            <v>0</v>
          </cell>
          <cell r="EH96">
            <v>0</v>
          </cell>
          <cell r="EI96">
            <v>0</v>
          </cell>
          <cell r="EJ96">
            <v>0</v>
          </cell>
          <cell r="EK96">
            <v>0</v>
          </cell>
          <cell r="EL96">
            <v>0</v>
          </cell>
          <cell r="EM96">
            <v>0</v>
          </cell>
          <cell r="EN96">
            <v>0</v>
          </cell>
          <cell r="EQ96">
            <v>4.5360692004637201E-2</v>
          </cell>
          <cell r="ER96">
            <v>3.5000000000000003E-2</v>
          </cell>
          <cell r="ES96">
            <v>3.5000000000000003E-2</v>
          </cell>
          <cell r="ET96">
            <v>0.04</v>
          </cell>
          <cell r="EU96">
            <v>0.04</v>
          </cell>
          <cell r="EV96">
            <v>0.04</v>
          </cell>
          <cell r="EW96">
            <v>0.04</v>
          </cell>
          <cell r="EX96">
            <v>0.04</v>
          </cell>
          <cell r="EY96">
            <v>0.04</v>
          </cell>
          <cell r="EZ96">
            <v>0.04</v>
          </cell>
          <cell r="FA96">
            <v>0.04</v>
          </cell>
          <cell r="FD96">
            <v>0</v>
          </cell>
          <cell r="FE96">
            <v>0</v>
          </cell>
          <cell r="FF96">
            <v>0</v>
          </cell>
          <cell r="FG96">
            <v>0</v>
          </cell>
          <cell r="FH96">
            <v>0</v>
          </cell>
          <cell r="FI96">
            <v>0</v>
          </cell>
          <cell r="FJ96">
            <v>0</v>
          </cell>
          <cell r="FK96">
            <v>0</v>
          </cell>
          <cell r="FL96">
            <v>0</v>
          </cell>
          <cell r="FM96">
            <v>0</v>
          </cell>
          <cell r="FN96">
            <v>0</v>
          </cell>
          <cell r="FQ96">
            <v>4.5360692004637201E-2</v>
          </cell>
          <cell r="FR96">
            <v>3.5000000000000003E-2</v>
          </cell>
          <cell r="FS96">
            <v>3.5000000000000003E-2</v>
          </cell>
          <cell r="FT96">
            <v>0.04</v>
          </cell>
          <cell r="FU96">
            <v>0.04</v>
          </cell>
          <cell r="FV96">
            <v>0.04</v>
          </cell>
          <cell r="FW96">
            <v>0.04</v>
          </cell>
          <cell r="FX96">
            <v>0.04</v>
          </cell>
          <cell r="FY96">
            <v>0.04</v>
          </cell>
          <cell r="FZ96">
            <v>0.04</v>
          </cell>
          <cell r="GA96">
            <v>0.04</v>
          </cell>
          <cell r="GD96">
            <v>4.3288553603709763E-2</v>
          </cell>
          <cell r="GE96">
            <v>3.569616368500448E-2</v>
          </cell>
          <cell r="GF96">
            <v>3.6280719379455956E-2</v>
          </cell>
          <cell r="GG96">
            <v>3.847188940043661E-2</v>
          </cell>
          <cell r="GH96">
            <v>3.7254347986110901E-2</v>
          </cell>
          <cell r="GI96">
            <v>3.6497609253818029E-2</v>
          </cell>
          <cell r="GJ96">
            <v>3.6221967331799311E-2</v>
          </cell>
          <cell r="GK96">
            <v>3.6181951938302211E-2</v>
          </cell>
          <cell r="GL96">
            <v>3.6578008749524916E-2</v>
          </cell>
          <cell r="GM96">
            <v>3.7593791133543941E-2</v>
          </cell>
          <cell r="GN96">
            <v>3.7795546696915837E-2</v>
          </cell>
        </row>
        <row r="97">
          <cell r="B97" t="str">
            <v>Kerang</v>
          </cell>
          <cell r="C97">
            <v>0</v>
          </cell>
          <cell r="D97">
            <v>1</v>
          </cell>
          <cell r="E97" t="str">
            <v>Supermarket Only</v>
          </cell>
          <cell r="F97" t="str">
            <v>VIC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4.2</v>
          </cell>
          <cell r="S97">
            <v>0</v>
          </cell>
          <cell r="T97">
            <v>4.2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1</v>
          </cell>
          <cell r="AJ97">
            <v>0</v>
          </cell>
          <cell r="AK97">
            <v>0</v>
          </cell>
          <cell r="AN97">
            <v>4.2</v>
          </cell>
          <cell r="AO97">
            <v>4.2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>
            <v>4.2</v>
          </cell>
          <cell r="BQ97">
            <v>0</v>
          </cell>
          <cell r="BR97">
            <v>0</v>
          </cell>
          <cell r="BS97">
            <v>0</v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BZ97">
            <v>0</v>
          </cell>
          <cell r="CA97">
            <v>0</v>
          </cell>
          <cell r="CB97">
            <v>0</v>
          </cell>
          <cell r="CC97">
            <v>0</v>
          </cell>
          <cell r="CD97">
            <v>0</v>
          </cell>
          <cell r="CE97">
            <v>0</v>
          </cell>
          <cell r="CF97">
            <v>0</v>
          </cell>
          <cell r="CG97">
            <v>0</v>
          </cell>
          <cell r="CH97">
            <v>0</v>
          </cell>
          <cell r="CI97">
            <v>0</v>
          </cell>
          <cell r="CJ97">
            <v>0</v>
          </cell>
          <cell r="CK97">
            <v>0</v>
          </cell>
          <cell r="CL97">
            <v>0</v>
          </cell>
          <cell r="CM97">
            <v>0</v>
          </cell>
          <cell r="CN97">
            <v>4.2</v>
          </cell>
          <cell r="CO97">
            <v>0</v>
          </cell>
          <cell r="CP97">
            <v>0</v>
          </cell>
          <cell r="CQ97">
            <v>0</v>
          </cell>
          <cell r="CR97">
            <v>0</v>
          </cell>
          <cell r="CS97">
            <v>0</v>
          </cell>
          <cell r="CV97">
            <v>0</v>
          </cell>
          <cell r="CW97">
            <v>0</v>
          </cell>
          <cell r="CX97">
            <v>0</v>
          </cell>
          <cell r="CY97">
            <v>0</v>
          </cell>
          <cell r="CZ97">
            <v>0</v>
          </cell>
          <cell r="DA97">
            <v>4.2</v>
          </cell>
          <cell r="DD97">
            <v>3.5000000000000003E-2</v>
          </cell>
          <cell r="DE97">
            <v>3.8480818425022364E-2</v>
          </cell>
          <cell r="DF97">
            <v>4.1403596897279765E-2</v>
          </cell>
          <cell r="DG97">
            <v>3.2359447002183045E-2</v>
          </cell>
          <cell r="DH97">
            <v>2.6271739930554507E-2</v>
          </cell>
          <cell r="DI97">
            <v>2.2488046269090144E-2</v>
          </cell>
          <cell r="DJ97">
            <v>2.1109836658996538E-2</v>
          </cell>
          <cell r="DK97">
            <v>2.0909759691511064E-2</v>
          </cell>
          <cell r="DL97">
            <v>2.2890043747624565E-2</v>
          </cell>
          <cell r="DM97">
            <v>2.7968955667719699E-2</v>
          </cell>
          <cell r="DN97">
            <v>2.8977733484579184E-2</v>
          </cell>
          <cell r="DQ97">
            <v>0</v>
          </cell>
          <cell r="DR97">
            <v>0</v>
          </cell>
          <cell r="DS97">
            <v>0</v>
          </cell>
          <cell r="DT97">
            <v>0</v>
          </cell>
          <cell r="DU97">
            <v>0</v>
          </cell>
          <cell r="DV97">
            <v>0</v>
          </cell>
          <cell r="DW97">
            <v>0</v>
          </cell>
          <cell r="DX97">
            <v>0</v>
          </cell>
          <cell r="DY97">
            <v>0</v>
          </cell>
          <cell r="DZ97">
            <v>0</v>
          </cell>
          <cell r="EA97">
            <v>0</v>
          </cell>
          <cell r="ED97">
            <v>0</v>
          </cell>
          <cell r="EE97">
            <v>0</v>
          </cell>
          <cell r="EF97">
            <v>0</v>
          </cell>
          <cell r="EG97">
            <v>0</v>
          </cell>
          <cell r="EH97">
            <v>0</v>
          </cell>
          <cell r="EI97">
            <v>0</v>
          </cell>
          <cell r="EJ97">
            <v>0</v>
          </cell>
          <cell r="EK97">
            <v>0</v>
          </cell>
          <cell r="EL97">
            <v>0</v>
          </cell>
          <cell r="EM97">
            <v>0</v>
          </cell>
          <cell r="EN97">
            <v>0</v>
          </cell>
          <cell r="EQ97">
            <v>4.5360692004637201E-2</v>
          </cell>
          <cell r="ER97">
            <v>3.5000000000000003E-2</v>
          </cell>
          <cell r="ES97">
            <v>3.5000000000000003E-2</v>
          </cell>
          <cell r="ET97">
            <v>0.04</v>
          </cell>
          <cell r="EU97">
            <v>0.04</v>
          </cell>
          <cell r="EV97">
            <v>0.04</v>
          </cell>
          <cell r="EW97">
            <v>0.04</v>
          </cell>
          <cell r="EX97">
            <v>0.04</v>
          </cell>
          <cell r="EY97">
            <v>0.04</v>
          </cell>
          <cell r="EZ97">
            <v>0.04</v>
          </cell>
          <cell r="FA97">
            <v>0.04</v>
          </cell>
          <cell r="FD97">
            <v>0</v>
          </cell>
          <cell r="FE97">
            <v>0</v>
          </cell>
          <cell r="FF97">
            <v>0</v>
          </cell>
          <cell r="FG97">
            <v>0</v>
          </cell>
          <cell r="FH97">
            <v>0</v>
          </cell>
          <cell r="FI97">
            <v>0</v>
          </cell>
          <cell r="FJ97">
            <v>0</v>
          </cell>
          <cell r="FK97">
            <v>0</v>
          </cell>
          <cell r="FL97">
            <v>0</v>
          </cell>
          <cell r="FM97">
            <v>0</v>
          </cell>
          <cell r="FN97">
            <v>0</v>
          </cell>
          <cell r="FQ97">
            <v>4.5360692004637201E-2</v>
          </cell>
          <cell r="FR97">
            <v>3.5000000000000003E-2</v>
          </cell>
          <cell r="FS97">
            <v>3.5000000000000003E-2</v>
          </cell>
          <cell r="FT97">
            <v>0.04</v>
          </cell>
          <cell r="FU97">
            <v>0.04</v>
          </cell>
          <cell r="FV97">
            <v>0.04</v>
          </cell>
          <cell r="FW97">
            <v>0.04</v>
          </cell>
          <cell r="FX97">
            <v>0.04</v>
          </cell>
          <cell r="FY97">
            <v>0.04</v>
          </cell>
          <cell r="FZ97">
            <v>0.04</v>
          </cell>
          <cell r="GA97">
            <v>0.04</v>
          </cell>
          <cell r="GD97">
            <v>4.3288553603709763E-2</v>
          </cell>
          <cell r="GE97">
            <v>3.569616368500448E-2</v>
          </cell>
          <cell r="GF97">
            <v>3.6280719379455956E-2</v>
          </cell>
          <cell r="GG97">
            <v>3.847188940043661E-2</v>
          </cell>
          <cell r="GH97">
            <v>3.7254347986110901E-2</v>
          </cell>
          <cell r="GI97">
            <v>3.6497609253818029E-2</v>
          </cell>
          <cell r="GJ97">
            <v>3.6221967331799311E-2</v>
          </cell>
          <cell r="GK97">
            <v>3.6181951938302211E-2</v>
          </cell>
          <cell r="GL97">
            <v>3.6578008749524916E-2</v>
          </cell>
          <cell r="GM97">
            <v>3.7593791133543941E-2</v>
          </cell>
          <cell r="GN97">
            <v>3.7795546696915837E-2</v>
          </cell>
        </row>
        <row r="98">
          <cell r="B98" t="str">
            <v>Kyneton</v>
          </cell>
          <cell r="C98">
            <v>0</v>
          </cell>
          <cell r="D98">
            <v>1</v>
          </cell>
          <cell r="E98" t="str">
            <v>Supermarket Only</v>
          </cell>
          <cell r="F98" t="str">
            <v>VIC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1.5</v>
          </cell>
          <cell r="S98">
            <v>0</v>
          </cell>
          <cell r="T98">
            <v>1.5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1</v>
          </cell>
          <cell r="AJ98">
            <v>0</v>
          </cell>
          <cell r="AK98">
            <v>0</v>
          </cell>
          <cell r="AN98">
            <v>1.5</v>
          </cell>
          <cell r="AO98">
            <v>1.5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>
            <v>1.5</v>
          </cell>
          <cell r="BQ98">
            <v>0</v>
          </cell>
          <cell r="BR98">
            <v>0</v>
          </cell>
          <cell r="BS98">
            <v>0</v>
          </cell>
          <cell r="BT98">
            <v>0</v>
          </cell>
          <cell r="BU98">
            <v>0</v>
          </cell>
          <cell r="BV98">
            <v>0</v>
          </cell>
          <cell r="BW98">
            <v>0</v>
          </cell>
          <cell r="BX98">
            <v>0</v>
          </cell>
          <cell r="BY98">
            <v>0</v>
          </cell>
          <cell r="BZ98">
            <v>0</v>
          </cell>
          <cell r="CA98">
            <v>0</v>
          </cell>
          <cell r="CB98">
            <v>0</v>
          </cell>
          <cell r="CC98">
            <v>0</v>
          </cell>
          <cell r="CD98">
            <v>0</v>
          </cell>
          <cell r="CE98">
            <v>0</v>
          </cell>
          <cell r="CF98">
            <v>0</v>
          </cell>
          <cell r="CG98">
            <v>0</v>
          </cell>
          <cell r="CH98">
            <v>0</v>
          </cell>
          <cell r="CI98">
            <v>0</v>
          </cell>
          <cell r="CJ98">
            <v>0</v>
          </cell>
          <cell r="CK98">
            <v>0</v>
          </cell>
          <cell r="CL98">
            <v>0</v>
          </cell>
          <cell r="CM98">
            <v>0</v>
          </cell>
          <cell r="CN98">
            <v>1.5</v>
          </cell>
          <cell r="CO98">
            <v>0</v>
          </cell>
          <cell r="CP98">
            <v>0</v>
          </cell>
          <cell r="CQ98">
            <v>0</v>
          </cell>
          <cell r="CR98">
            <v>0</v>
          </cell>
          <cell r="CS98">
            <v>0</v>
          </cell>
          <cell r="CV98">
            <v>0</v>
          </cell>
          <cell r="CW98">
            <v>0</v>
          </cell>
          <cell r="CX98">
            <v>0</v>
          </cell>
          <cell r="CY98">
            <v>0</v>
          </cell>
          <cell r="CZ98">
            <v>0</v>
          </cell>
          <cell r="DA98">
            <v>1.5</v>
          </cell>
          <cell r="DD98">
            <v>3.5000000000000003E-2</v>
          </cell>
          <cell r="DE98">
            <v>3.8480818425022364E-2</v>
          </cell>
          <cell r="DF98">
            <v>4.1403596897279765E-2</v>
          </cell>
          <cell r="DG98">
            <v>3.2359447002183045E-2</v>
          </cell>
          <cell r="DH98">
            <v>2.6271739930554507E-2</v>
          </cell>
          <cell r="DI98">
            <v>2.2488046269090144E-2</v>
          </cell>
          <cell r="DJ98">
            <v>2.1109836658996538E-2</v>
          </cell>
          <cell r="DK98">
            <v>2.0909759691511064E-2</v>
          </cell>
          <cell r="DL98">
            <v>2.2890043747624565E-2</v>
          </cell>
          <cell r="DM98">
            <v>2.7968955667719699E-2</v>
          </cell>
          <cell r="DN98">
            <v>2.8977733484579184E-2</v>
          </cell>
          <cell r="DQ98">
            <v>0</v>
          </cell>
          <cell r="DR98">
            <v>0</v>
          </cell>
          <cell r="DS98">
            <v>0</v>
          </cell>
          <cell r="DT98">
            <v>0</v>
          </cell>
          <cell r="DU98">
            <v>0</v>
          </cell>
          <cell r="DV98">
            <v>0</v>
          </cell>
          <cell r="DW98">
            <v>0</v>
          </cell>
          <cell r="DX98">
            <v>0</v>
          </cell>
          <cell r="DY98">
            <v>0</v>
          </cell>
          <cell r="DZ98">
            <v>0</v>
          </cell>
          <cell r="EA98">
            <v>0</v>
          </cell>
          <cell r="ED98">
            <v>0</v>
          </cell>
          <cell r="EE98">
            <v>0</v>
          </cell>
          <cell r="EF98">
            <v>0</v>
          </cell>
          <cell r="EG98">
            <v>0</v>
          </cell>
          <cell r="EH98">
            <v>0</v>
          </cell>
          <cell r="EI98">
            <v>0</v>
          </cell>
          <cell r="EJ98">
            <v>0</v>
          </cell>
          <cell r="EK98">
            <v>0</v>
          </cell>
          <cell r="EL98">
            <v>0</v>
          </cell>
          <cell r="EM98">
            <v>0</v>
          </cell>
          <cell r="EN98">
            <v>0</v>
          </cell>
          <cell r="EQ98">
            <v>4.5360692004637201E-2</v>
          </cell>
          <cell r="ER98">
            <v>3.5000000000000003E-2</v>
          </cell>
          <cell r="ES98">
            <v>3.5000000000000003E-2</v>
          </cell>
          <cell r="ET98">
            <v>0.04</v>
          </cell>
          <cell r="EU98">
            <v>0.04</v>
          </cell>
          <cell r="EV98">
            <v>0.04</v>
          </cell>
          <cell r="EW98">
            <v>0.04</v>
          </cell>
          <cell r="EX98">
            <v>0.04</v>
          </cell>
          <cell r="EY98">
            <v>0.04</v>
          </cell>
          <cell r="EZ98">
            <v>0.04</v>
          </cell>
          <cell r="FA98">
            <v>0.04</v>
          </cell>
          <cell r="FD98">
            <v>0</v>
          </cell>
          <cell r="FE98">
            <v>0</v>
          </cell>
          <cell r="FF98">
            <v>0</v>
          </cell>
          <cell r="FG98">
            <v>0</v>
          </cell>
          <cell r="FH98">
            <v>0</v>
          </cell>
          <cell r="FI98">
            <v>0</v>
          </cell>
          <cell r="FJ98">
            <v>0</v>
          </cell>
          <cell r="FK98">
            <v>0</v>
          </cell>
          <cell r="FL98">
            <v>0</v>
          </cell>
          <cell r="FM98">
            <v>0</v>
          </cell>
          <cell r="FN98">
            <v>0</v>
          </cell>
          <cell r="FQ98">
            <v>4.5360692004637201E-2</v>
          </cell>
          <cell r="FR98">
            <v>3.5000000000000003E-2</v>
          </cell>
          <cell r="FS98">
            <v>3.5000000000000003E-2</v>
          </cell>
          <cell r="FT98">
            <v>0.04</v>
          </cell>
          <cell r="FU98">
            <v>0.04</v>
          </cell>
          <cell r="FV98">
            <v>0.04</v>
          </cell>
          <cell r="FW98">
            <v>0.04</v>
          </cell>
          <cell r="FX98">
            <v>0.04</v>
          </cell>
          <cell r="FY98">
            <v>0.04</v>
          </cell>
          <cell r="FZ98">
            <v>0.04</v>
          </cell>
          <cell r="GA98">
            <v>0.04</v>
          </cell>
          <cell r="GD98">
            <v>4.3288553603709763E-2</v>
          </cell>
          <cell r="GE98">
            <v>3.569616368500448E-2</v>
          </cell>
          <cell r="GF98">
            <v>3.6280719379455956E-2</v>
          </cell>
          <cell r="GG98">
            <v>3.847188940043661E-2</v>
          </cell>
          <cell r="GH98">
            <v>3.7254347986110901E-2</v>
          </cell>
          <cell r="GI98">
            <v>3.6497609253818029E-2</v>
          </cell>
          <cell r="GJ98">
            <v>3.6221967331799311E-2</v>
          </cell>
          <cell r="GK98">
            <v>3.6181951938302211E-2</v>
          </cell>
          <cell r="GL98">
            <v>3.6578008749524916E-2</v>
          </cell>
          <cell r="GM98">
            <v>3.7593791133543941E-2</v>
          </cell>
          <cell r="GN98">
            <v>3.7795546696915837E-2</v>
          </cell>
        </row>
        <row r="99">
          <cell r="B99" t="str">
            <v>Lilydale</v>
          </cell>
          <cell r="C99">
            <v>0</v>
          </cell>
          <cell r="D99">
            <v>1</v>
          </cell>
          <cell r="E99" t="str">
            <v>Neighbourhood</v>
          </cell>
          <cell r="F99" t="str">
            <v>VIC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2.1</v>
          </cell>
          <cell r="S99">
            <v>0</v>
          </cell>
          <cell r="T99">
            <v>2.1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1.4</v>
          </cell>
          <cell r="AD99">
            <v>0</v>
          </cell>
          <cell r="AE99">
            <v>0</v>
          </cell>
          <cell r="AF99">
            <v>0.39999999999999997</v>
          </cell>
          <cell r="AG99">
            <v>0</v>
          </cell>
          <cell r="AH99">
            <v>0</v>
          </cell>
          <cell r="AI99">
            <v>0.6</v>
          </cell>
          <cell r="AJ99">
            <v>0</v>
          </cell>
          <cell r="AK99">
            <v>0</v>
          </cell>
          <cell r="AN99">
            <v>2.1</v>
          </cell>
          <cell r="AO99">
            <v>3.5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>
            <v>2.1</v>
          </cell>
          <cell r="BQ99">
            <v>0</v>
          </cell>
          <cell r="BR99">
            <v>0</v>
          </cell>
          <cell r="BS99">
            <v>0</v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1.4</v>
          </cell>
          <cell r="BY99">
            <v>0</v>
          </cell>
          <cell r="BZ99">
            <v>0</v>
          </cell>
          <cell r="CA99">
            <v>0</v>
          </cell>
          <cell r="CB99">
            <v>0</v>
          </cell>
          <cell r="CC99">
            <v>0</v>
          </cell>
          <cell r="CD99">
            <v>0</v>
          </cell>
          <cell r="CE99">
            <v>0</v>
          </cell>
          <cell r="CF99">
            <v>0</v>
          </cell>
          <cell r="CG99">
            <v>0</v>
          </cell>
          <cell r="CH99">
            <v>0</v>
          </cell>
          <cell r="CI99">
            <v>0</v>
          </cell>
          <cell r="CJ99">
            <v>0</v>
          </cell>
          <cell r="CK99">
            <v>0</v>
          </cell>
          <cell r="CL99">
            <v>0</v>
          </cell>
          <cell r="CM99">
            <v>0</v>
          </cell>
          <cell r="CN99">
            <v>3.5</v>
          </cell>
          <cell r="CO99">
            <v>0</v>
          </cell>
          <cell r="CP99">
            <v>0</v>
          </cell>
          <cell r="CQ99">
            <v>0</v>
          </cell>
          <cell r="CR99">
            <v>0</v>
          </cell>
          <cell r="CS99">
            <v>0</v>
          </cell>
          <cell r="CV99">
            <v>0</v>
          </cell>
          <cell r="CW99">
            <v>0</v>
          </cell>
          <cell r="CX99">
            <v>0</v>
          </cell>
          <cell r="CY99">
            <v>0</v>
          </cell>
          <cell r="CZ99">
            <v>3.5</v>
          </cell>
          <cell r="DA99">
            <v>0</v>
          </cell>
          <cell r="DD99">
            <v>3.5000000000000003E-2</v>
          </cell>
          <cell r="DE99">
            <v>3.8480818425022364E-2</v>
          </cell>
          <cell r="DF99">
            <v>4.1403596897279765E-2</v>
          </cell>
          <cell r="DG99">
            <v>3.2359447002183045E-2</v>
          </cell>
          <cell r="DH99">
            <v>2.6271739930554507E-2</v>
          </cell>
          <cell r="DI99">
            <v>2.2488046269090144E-2</v>
          </cell>
          <cell r="DJ99">
            <v>2.1109836658996538E-2</v>
          </cell>
          <cell r="DK99">
            <v>2.0909759691511064E-2</v>
          </cell>
          <cell r="DL99">
            <v>2.2890043747624565E-2</v>
          </cell>
          <cell r="DM99">
            <v>2.7968955667719699E-2</v>
          </cell>
          <cell r="DN99">
            <v>2.8977733484579184E-2</v>
          </cell>
          <cell r="DQ99">
            <v>0</v>
          </cell>
          <cell r="DR99">
            <v>0</v>
          </cell>
          <cell r="DS99">
            <v>0</v>
          </cell>
          <cell r="DT99">
            <v>0</v>
          </cell>
          <cell r="DU99">
            <v>0</v>
          </cell>
          <cell r="DV99">
            <v>0</v>
          </cell>
          <cell r="DW99">
            <v>0</v>
          </cell>
          <cell r="DX99">
            <v>0</v>
          </cell>
          <cell r="DY99">
            <v>0</v>
          </cell>
          <cell r="DZ99">
            <v>0</v>
          </cell>
          <cell r="EA99">
            <v>0</v>
          </cell>
          <cell r="ED99">
            <v>0</v>
          </cell>
          <cell r="EE99">
            <v>0</v>
          </cell>
          <cell r="EF99">
            <v>0</v>
          </cell>
          <cell r="EG99">
            <v>0</v>
          </cell>
          <cell r="EH99">
            <v>0</v>
          </cell>
          <cell r="EI99">
            <v>0</v>
          </cell>
          <cell r="EJ99">
            <v>0</v>
          </cell>
          <cell r="EK99">
            <v>0</v>
          </cell>
          <cell r="EL99">
            <v>0</v>
          </cell>
          <cell r="EM99">
            <v>0</v>
          </cell>
          <cell r="EN99">
            <v>0</v>
          </cell>
          <cell r="EQ99">
            <v>2.7216415202782319E-2</v>
          </cell>
          <cell r="ER99">
            <v>2.1000000000000001E-2</v>
          </cell>
          <cell r="ES99">
            <v>2.1000000000000001E-2</v>
          </cell>
          <cell r="ET99">
            <v>2.4E-2</v>
          </cell>
          <cell r="EU99">
            <v>2.4E-2</v>
          </cell>
          <cell r="EV99">
            <v>2.4E-2</v>
          </cell>
          <cell r="EW99">
            <v>2.4E-2</v>
          </cell>
          <cell r="EX99">
            <v>2.4E-2</v>
          </cell>
          <cell r="EY99">
            <v>2.4E-2</v>
          </cell>
          <cell r="EZ99">
            <v>2.4E-2</v>
          </cell>
          <cell r="FA99">
            <v>2.4E-2</v>
          </cell>
          <cell r="FD99">
            <v>0</v>
          </cell>
          <cell r="FE99">
            <v>0</v>
          </cell>
          <cell r="FF99">
            <v>0</v>
          </cell>
          <cell r="FG99">
            <v>0</v>
          </cell>
          <cell r="FH99">
            <v>0</v>
          </cell>
          <cell r="FI99">
            <v>0</v>
          </cell>
          <cell r="FJ99">
            <v>0</v>
          </cell>
          <cell r="FK99">
            <v>0</v>
          </cell>
          <cell r="FL99">
            <v>0</v>
          </cell>
          <cell r="FM99">
            <v>0</v>
          </cell>
          <cell r="FN99">
            <v>0</v>
          </cell>
          <cell r="FQ99">
            <v>2.7216415202782319E-2</v>
          </cell>
          <cell r="FR99">
            <v>2.1000000000000001E-2</v>
          </cell>
          <cell r="FS99">
            <v>2.1000000000000001E-2</v>
          </cell>
          <cell r="FT99">
            <v>2.4E-2</v>
          </cell>
          <cell r="FU99">
            <v>2.4E-2</v>
          </cell>
          <cell r="FV99">
            <v>2.4E-2</v>
          </cell>
          <cell r="FW99">
            <v>2.4E-2</v>
          </cell>
          <cell r="FX99">
            <v>2.4E-2</v>
          </cell>
          <cell r="FY99">
            <v>2.4E-2</v>
          </cell>
          <cell r="FZ99">
            <v>2.4E-2</v>
          </cell>
          <cell r="GA99">
            <v>2.4E-2</v>
          </cell>
          <cell r="GD99">
            <v>2.8773132162225858E-2</v>
          </cell>
          <cell r="GE99">
            <v>2.4496163685004475E-2</v>
          </cell>
          <cell r="GF99">
            <v>2.5080719379455954E-2</v>
          </cell>
          <cell r="GG99">
            <v>2.5671889400436611E-2</v>
          </cell>
          <cell r="GH99">
            <v>2.4454347986110903E-2</v>
          </cell>
          <cell r="GI99">
            <v>2.3697609253818031E-2</v>
          </cell>
          <cell r="GJ99">
            <v>2.3421967331799309E-2</v>
          </cell>
          <cell r="GK99">
            <v>2.3381951938302215E-2</v>
          </cell>
          <cell r="GL99">
            <v>2.3778008749524914E-2</v>
          </cell>
          <cell r="GM99">
            <v>2.4793791133543942E-2</v>
          </cell>
          <cell r="GN99">
            <v>2.4995546696915838E-2</v>
          </cell>
        </row>
        <row r="100">
          <cell r="B100" t="str">
            <v>Moe-Kmart</v>
          </cell>
          <cell r="C100">
            <v>0</v>
          </cell>
          <cell r="D100">
            <v>1</v>
          </cell>
          <cell r="E100" t="str">
            <v>Supermarket Only</v>
          </cell>
          <cell r="F100" t="str">
            <v>VIC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6.3</v>
          </cell>
          <cell r="M100">
            <v>6.3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1</v>
          </cell>
          <cell r="AI100">
            <v>0</v>
          </cell>
          <cell r="AJ100">
            <v>0</v>
          </cell>
          <cell r="AK100">
            <v>0</v>
          </cell>
          <cell r="AN100">
            <v>6.3</v>
          </cell>
          <cell r="AO100">
            <v>6.3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6.3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>
            <v>0</v>
          </cell>
          <cell r="BQ100">
            <v>0</v>
          </cell>
          <cell r="BR100">
            <v>0</v>
          </cell>
          <cell r="BS100">
            <v>0</v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BZ100">
            <v>0</v>
          </cell>
          <cell r="CA100">
            <v>0</v>
          </cell>
          <cell r="CB100">
            <v>0</v>
          </cell>
          <cell r="CC100">
            <v>0</v>
          </cell>
          <cell r="CD100">
            <v>0</v>
          </cell>
          <cell r="CE100">
            <v>0</v>
          </cell>
          <cell r="CF100">
            <v>0</v>
          </cell>
          <cell r="CG100">
            <v>0</v>
          </cell>
          <cell r="CH100">
            <v>0</v>
          </cell>
          <cell r="CI100">
            <v>0</v>
          </cell>
          <cell r="CJ100">
            <v>0</v>
          </cell>
          <cell r="CK100">
            <v>0</v>
          </cell>
          <cell r="CL100">
            <v>0</v>
          </cell>
          <cell r="CM100">
            <v>0</v>
          </cell>
          <cell r="CN100">
            <v>6.3</v>
          </cell>
          <cell r="CO100">
            <v>0</v>
          </cell>
          <cell r="CP100">
            <v>0</v>
          </cell>
          <cell r="CQ100">
            <v>0</v>
          </cell>
          <cell r="CR100">
            <v>0</v>
          </cell>
          <cell r="CS100">
            <v>0</v>
          </cell>
          <cell r="CV100">
            <v>0</v>
          </cell>
          <cell r="CW100">
            <v>0</v>
          </cell>
          <cell r="CX100">
            <v>0</v>
          </cell>
          <cell r="CY100">
            <v>0</v>
          </cell>
          <cell r="CZ100">
            <v>0</v>
          </cell>
          <cell r="DA100">
            <v>6.3</v>
          </cell>
          <cell r="DD100">
            <v>3.5000000000000003E-2</v>
          </cell>
          <cell r="DE100">
            <v>3.8480818425022364E-2</v>
          </cell>
          <cell r="DF100">
            <v>4.1403596897279765E-2</v>
          </cell>
          <cell r="DG100">
            <v>3.2359447002183045E-2</v>
          </cell>
          <cell r="DH100">
            <v>2.6271739930554507E-2</v>
          </cell>
          <cell r="DI100">
            <v>2.2488046269090144E-2</v>
          </cell>
          <cell r="DJ100">
            <v>2.1109836658996538E-2</v>
          </cell>
          <cell r="DK100">
            <v>2.0909759691511064E-2</v>
          </cell>
          <cell r="DL100">
            <v>2.2890043747624565E-2</v>
          </cell>
          <cell r="DM100">
            <v>2.7968955667719699E-2</v>
          </cell>
          <cell r="DN100">
            <v>2.8977733484579184E-2</v>
          </cell>
          <cell r="DQ100">
            <v>0</v>
          </cell>
          <cell r="DR100">
            <v>0</v>
          </cell>
          <cell r="DS100">
            <v>0</v>
          </cell>
          <cell r="DT100">
            <v>0</v>
          </cell>
          <cell r="DU100">
            <v>0</v>
          </cell>
          <cell r="DV100">
            <v>0</v>
          </cell>
          <cell r="DW100">
            <v>0</v>
          </cell>
          <cell r="DX100">
            <v>0</v>
          </cell>
          <cell r="DY100">
            <v>0</v>
          </cell>
          <cell r="DZ100">
            <v>0</v>
          </cell>
          <cell r="EA100">
            <v>0</v>
          </cell>
          <cell r="ED100">
            <v>1.7500000000000002E-2</v>
          </cell>
          <cell r="EE100">
            <v>-0.01</v>
          </cell>
          <cell r="EF100">
            <v>0</v>
          </cell>
          <cell r="EG100">
            <v>0.03</v>
          </cell>
          <cell r="EH100">
            <v>0.03</v>
          </cell>
          <cell r="EI100">
            <v>0.03</v>
          </cell>
          <cell r="EJ100">
            <v>0.02</v>
          </cell>
          <cell r="EK100">
            <v>0.02</v>
          </cell>
          <cell r="EL100">
            <v>0.02</v>
          </cell>
          <cell r="EM100">
            <v>0.02</v>
          </cell>
          <cell r="EN100">
            <v>0.02</v>
          </cell>
          <cell r="EQ100">
            <v>0</v>
          </cell>
          <cell r="ER100">
            <v>0</v>
          </cell>
          <cell r="ES100">
            <v>0</v>
          </cell>
          <cell r="ET100">
            <v>0</v>
          </cell>
          <cell r="EU100">
            <v>0</v>
          </cell>
          <cell r="EV100">
            <v>0</v>
          </cell>
          <cell r="EW100">
            <v>0</v>
          </cell>
          <cell r="EX100">
            <v>0</v>
          </cell>
          <cell r="EY100">
            <v>0</v>
          </cell>
          <cell r="EZ100">
            <v>0</v>
          </cell>
          <cell r="FA100">
            <v>0</v>
          </cell>
          <cell r="FD100">
            <v>0</v>
          </cell>
          <cell r="FE100">
            <v>0</v>
          </cell>
          <cell r="FF100">
            <v>0</v>
          </cell>
          <cell r="FG100">
            <v>0</v>
          </cell>
          <cell r="FH100">
            <v>0</v>
          </cell>
          <cell r="FI100">
            <v>0</v>
          </cell>
          <cell r="FJ100">
            <v>0</v>
          </cell>
          <cell r="FK100">
            <v>0</v>
          </cell>
          <cell r="FL100">
            <v>0</v>
          </cell>
          <cell r="FM100">
            <v>0</v>
          </cell>
          <cell r="FN100">
            <v>0</v>
          </cell>
          <cell r="FQ100">
            <v>1.7500000000000002E-2</v>
          </cell>
          <cell r="FR100">
            <v>-0.01</v>
          </cell>
          <cell r="FS100">
            <v>0</v>
          </cell>
          <cell r="FT100">
            <v>0.03</v>
          </cell>
          <cell r="FU100">
            <v>0.03</v>
          </cell>
          <cell r="FV100">
            <v>0.03</v>
          </cell>
          <cell r="FW100">
            <v>0.02</v>
          </cell>
          <cell r="FX100">
            <v>0.02</v>
          </cell>
          <cell r="FY100">
            <v>0.02</v>
          </cell>
          <cell r="FZ100">
            <v>0.02</v>
          </cell>
          <cell r="GA100">
            <v>0.02</v>
          </cell>
          <cell r="GD100">
            <v>2.1000000000000005E-2</v>
          </cell>
          <cell r="GE100">
            <v>-3.0383631499552709E-4</v>
          </cell>
          <cell r="GF100">
            <v>8.2807193794559534E-3</v>
          </cell>
          <cell r="GG100">
            <v>3.0471889400436609E-2</v>
          </cell>
          <cell r="GH100">
            <v>2.9254347986110901E-2</v>
          </cell>
          <cell r="GI100">
            <v>2.8497609253818029E-2</v>
          </cell>
          <cell r="GJ100">
            <v>2.0221967331799307E-2</v>
          </cell>
          <cell r="GK100">
            <v>2.0181951938302214E-2</v>
          </cell>
          <cell r="GL100">
            <v>2.0578008749524913E-2</v>
          </cell>
          <cell r="GM100">
            <v>2.1593791133543941E-2</v>
          </cell>
          <cell r="GN100">
            <v>2.1795546696915837E-2</v>
          </cell>
        </row>
        <row r="101">
          <cell r="B101" t="str">
            <v>Moe-Coles</v>
          </cell>
          <cell r="C101">
            <v>0</v>
          </cell>
          <cell r="D101">
            <v>1</v>
          </cell>
          <cell r="E101" t="str">
            <v>Supermarket Only</v>
          </cell>
          <cell r="F101" t="str">
            <v>VIC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3</v>
          </cell>
          <cell r="S101">
            <v>3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1</v>
          </cell>
          <cell r="AJ101">
            <v>0</v>
          </cell>
          <cell r="AK101">
            <v>0</v>
          </cell>
          <cell r="AN101">
            <v>3</v>
          </cell>
          <cell r="AO101">
            <v>3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>
            <v>3</v>
          </cell>
          <cell r="BQ101">
            <v>0</v>
          </cell>
          <cell r="BR101">
            <v>0</v>
          </cell>
          <cell r="BS101">
            <v>0</v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BZ101">
            <v>0</v>
          </cell>
          <cell r="CA101">
            <v>0</v>
          </cell>
          <cell r="CB101">
            <v>0</v>
          </cell>
          <cell r="CC101">
            <v>0</v>
          </cell>
          <cell r="CD101">
            <v>0</v>
          </cell>
          <cell r="CE101">
            <v>0</v>
          </cell>
          <cell r="CF101">
            <v>0</v>
          </cell>
          <cell r="CG101">
            <v>0</v>
          </cell>
          <cell r="CH101">
            <v>0</v>
          </cell>
          <cell r="CI101">
            <v>0</v>
          </cell>
          <cell r="CJ101">
            <v>0</v>
          </cell>
          <cell r="CK101">
            <v>0</v>
          </cell>
          <cell r="CL101">
            <v>0</v>
          </cell>
          <cell r="CM101">
            <v>0</v>
          </cell>
          <cell r="CN101">
            <v>3</v>
          </cell>
          <cell r="CO101">
            <v>0</v>
          </cell>
          <cell r="CP101">
            <v>0</v>
          </cell>
          <cell r="CQ101">
            <v>0</v>
          </cell>
          <cell r="CR101">
            <v>0</v>
          </cell>
          <cell r="CS101">
            <v>0</v>
          </cell>
          <cell r="CV101">
            <v>0</v>
          </cell>
          <cell r="CW101">
            <v>0</v>
          </cell>
          <cell r="CX101">
            <v>0</v>
          </cell>
          <cell r="CY101">
            <v>0</v>
          </cell>
          <cell r="CZ101">
            <v>0</v>
          </cell>
          <cell r="DA101">
            <v>3</v>
          </cell>
          <cell r="DD101">
            <v>3.5000000000000003E-2</v>
          </cell>
          <cell r="DE101">
            <v>3.8480818425022364E-2</v>
          </cell>
          <cell r="DF101">
            <v>4.1403596897279765E-2</v>
          </cell>
          <cell r="DG101">
            <v>3.2359447002183045E-2</v>
          </cell>
          <cell r="DH101">
            <v>2.6271739930554507E-2</v>
          </cell>
          <cell r="DI101">
            <v>2.2488046269090144E-2</v>
          </cell>
          <cell r="DJ101">
            <v>2.1109836658996538E-2</v>
          </cell>
          <cell r="DK101">
            <v>2.0909759691511064E-2</v>
          </cell>
          <cell r="DL101">
            <v>2.2890043747624565E-2</v>
          </cell>
          <cell r="DM101">
            <v>2.7968955667719699E-2</v>
          </cell>
          <cell r="DN101">
            <v>2.8977733484579184E-2</v>
          </cell>
          <cell r="DQ101">
            <v>0</v>
          </cell>
          <cell r="DR101">
            <v>0</v>
          </cell>
          <cell r="DS101">
            <v>0</v>
          </cell>
          <cell r="DT101">
            <v>0</v>
          </cell>
          <cell r="DU101">
            <v>0</v>
          </cell>
          <cell r="DV101">
            <v>0</v>
          </cell>
          <cell r="DW101">
            <v>0</v>
          </cell>
          <cell r="DX101">
            <v>0</v>
          </cell>
          <cell r="DY101">
            <v>0</v>
          </cell>
          <cell r="DZ101">
            <v>0</v>
          </cell>
          <cell r="EA101">
            <v>0</v>
          </cell>
          <cell r="ED101">
            <v>0</v>
          </cell>
          <cell r="EE101">
            <v>0</v>
          </cell>
          <cell r="EF101">
            <v>0</v>
          </cell>
          <cell r="EG101">
            <v>0</v>
          </cell>
          <cell r="EH101">
            <v>0</v>
          </cell>
          <cell r="EI101">
            <v>0</v>
          </cell>
          <cell r="EJ101">
            <v>0</v>
          </cell>
          <cell r="EK101">
            <v>0</v>
          </cell>
          <cell r="EL101">
            <v>0</v>
          </cell>
          <cell r="EM101">
            <v>0</v>
          </cell>
          <cell r="EN101">
            <v>0</v>
          </cell>
          <cell r="EQ101">
            <v>4.5360692004637201E-2</v>
          </cell>
          <cell r="ER101">
            <v>3.5000000000000003E-2</v>
          </cell>
          <cell r="ES101">
            <v>3.5000000000000003E-2</v>
          </cell>
          <cell r="ET101">
            <v>0.04</v>
          </cell>
          <cell r="EU101">
            <v>0.04</v>
          </cell>
          <cell r="EV101">
            <v>0.04</v>
          </cell>
          <cell r="EW101">
            <v>0.04</v>
          </cell>
          <cell r="EX101">
            <v>0.04</v>
          </cell>
          <cell r="EY101">
            <v>0.04</v>
          </cell>
          <cell r="EZ101">
            <v>0.04</v>
          </cell>
          <cell r="FA101">
            <v>0.04</v>
          </cell>
          <cell r="FD101">
            <v>0</v>
          </cell>
          <cell r="FE101">
            <v>0</v>
          </cell>
          <cell r="FF101">
            <v>0</v>
          </cell>
          <cell r="FG101">
            <v>0</v>
          </cell>
          <cell r="FH101">
            <v>0</v>
          </cell>
          <cell r="FI101">
            <v>0</v>
          </cell>
          <cell r="FJ101">
            <v>0</v>
          </cell>
          <cell r="FK101">
            <v>0</v>
          </cell>
          <cell r="FL101">
            <v>0</v>
          </cell>
          <cell r="FM101">
            <v>0</v>
          </cell>
          <cell r="FN101">
            <v>0</v>
          </cell>
          <cell r="FQ101">
            <v>4.5360692004637201E-2</v>
          </cell>
          <cell r="FR101">
            <v>3.5000000000000003E-2</v>
          </cell>
          <cell r="FS101">
            <v>3.5000000000000003E-2</v>
          </cell>
          <cell r="FT101">
            <v>0.04</v>
          </cell>
          <cell r="FU101">
            <v>0.04</v>
          </cell>
          <cell r="FV101">
            <v>0.04</v>
          </cell>
          <cell r="FW101">
            <v>0.04</v>
          </cell>
          <cell r="FX101">
            <v>0.04</v>
          </cell>
          <cell r="FY101">
            <v>0.04</v>
          </cell>
          <cell r="FZ101">
            <v>0.04</v>
          </cell>
          <cell r="GA101">
            <v>0.04</v>
          </cell>
          <cell r="GD101">
            <v>4.3288553603709763E-2</v>
          </cell>
          <cell r="GE101">
            <v>3.569616368500448E-2</v>
          </cell>
          <cell r="GF101">
            <v>3.6280719379455956E-2</v>
          </cell>
          <cell r="GG101">
            <v>3.847188940043661E-2</v>
          </cell>
          <cell r="GH101">
            <v>3.7254347986110901E-2</v>
          </cell>
          <cell r="GI101">
            <v>3.6497609253818029E-2</v>
          </cell>
          <cell r="GJ101">
            <v>3.6221967331799311E-2</v>
          </cell>
          <cell r="GK101">
            <v>3.6181951938302211E-2</v>
          </cell>
          <cell r="GL101">
            <v>3.6578008749524916E-2</v>
          </cell>
          <cell r="GM101">
            <v>3.7593791133543941E-2</v>
          </cell>
          <cell r="GN101">
            <v>3.7795546696915837E-2</v>
          </cell>
        </row>
        <row r="102">
          <cell r="B102" t="str">
            <v>Monbulk - Coles</v>
          </cell>
          <cell r="C102">
            <v>0</v>
          </cell>
          <cell r="D102">
            <v>1</v>
          </cell>
          <cell r="E102" t="str">
            <v>Supermarket Only</v>
          </cell>
          <cell r="F102" t="str">
            <v>VIC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2.5</v>
          </cell>
          <cell r="S102">
            <v>2.5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1</v>
          </cell>
          <cell r="AJ102">
            <v>0</v>
          </cell>
          <cell r="AK102">
            <v>0</v>
          </cell>
          <cell r="AN102">
            <v>2.5</v>
          </cell>
          <cell r="AO102">
            <v>2.5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>
            <v>2.5</v>
          </cell>
          <cell r="BQ102">
            <v>0</v>
          </cell>
          <cell r="BR102">
            <v>0</v>
          </cell>
          <cell r="BS102">
            <v>0</v>
          </cell>
          <cell r="BT102">
            <v>0</v>
          </cell>
          <cell r="BU102">
            <v>0</v>
          </cell>
          <cell r="BV102">
            <v>0</v>
          </cell>
          <cell r="BW102">
            <v>0</v>
          </cell>
          <cell r="BX102">
            <v>0</v>
          </cell>
          <cell r="BY102">
            <v>0</v>
          </cell>
          <cell r="BZ102">
            <v>0</v>
          </cell>
          <cell r="CA102">
            <v>0</v>
          </cell>
          <cell r="CB102">
            <v>0</v>
          </cell>
          <cell r="CC102">
            <v>0</v>
          </cell>
          <cell r="CD102">
            <v>0</v>
          </cell>
          <cell r="CE102">
            <v>0</v>
          </cell>
          <cell r="CF102">
            <v>0</v>
          </cell>
          <cell r="CG102">
            <v>0</v>
          </cell>
          <cell r="CH102">
            <v>0</v>
          </cell>
          <cell r="CI102">
            <v>0</v>
          </cell>
          <cell r="CJ102">
            <v>0</v>
          </cell>
          <cell r="CK102">
            <v>0</v>
          </cell>
          <cell r="CL102">
            <v>0</v>
          </cell>
          <cell r="CM102">
            <v>0</v>
          </cell>
          <cell r="CN102">
            <v>2.5</v>
          </cell>
          <cell r="CO102">
            <v>0</v>
          </cell>
          <cell r="CP102">
            <v>0</v>
          </cell>
          <cell r="CQ102">
            <v>0</v>
          </cell>
          <cell r="CR102">
            <v>0</v>
          </cell>
          <cell r="CS102">
            <v>0</v>
          </cell>
          <cell r="CV102">
            <v>0</v>
          </cell>
          <cell r="CW102">
            <v>0</v>
          </cell>
          <cell r="CX102">
            <v>0</v>
          </cell>
          <cell r="CY102">
            <v>0</v>
          </cell>
          <cell r="CZ102">
            <v>0</v>
          </cell>
          <cell r="DA102">
            <v>2.5</v>
          </cell>
          <cell r="DD102">
            <v>3.5000000000000003E-2</v>
          </cell>
          <cell r="DE102">
            <v>3.8480818425022364E-2</v>
          </cell>
          <cell r="DF102">
            <v>4.1403596897279765E-2</v>
          </cell>
          <cell r="DG102">
            <v>3.2359447002183045E-2</v>
          </cell>
          <cell r="DH102">
            <v>2.6271739930554507E-2</v>
          </cell>
          <cell r="DI102">
            <v>2.2488046269090144E-2</v>
          </cell>
          <cell r="DJ102">
            <v>2.1109836658996538E-2</v>
          </cell>
          <cell r="DK102">
            <v>2.0909759691511064E-2</v>
          </cell>
          <cell r="DL102">
            <v>2.2890043747624565E-2</v>
          </cell>
          <cell r="DM102">
            <v>2.7968955667719699E-2</v>
          </cell>
          <cell r="DN102">
            <v>2.8977733484579184E-2</v>
          </cell>
          <cell r="DQ102">
            <v>0</v>
          </cell>
          <cell r="DR102">
            <v>0</v>
          </cell>
          <cell r="DS102">
            <v>0</v>
          </cell>
          <cell r="DT102">
            <v>0</v>
          </cell>
          <cell r="DU102">
            <v>0</v>
          </cell>
          <cell r="DV102">
            <v>0</v>
          </cell>
          <cell r="DW102">
            <v>0</v>
          </cell>
          <cell r="DX102">
            <v>0</v>
          </cell>
          <cell r="DY102">
            <v>0</v>
          </cell>
          <cell r="DZ102">
            <v>0</v>
          </cell>
          <cell r="EA102">
            <v>0</v>
          </cell>
          <cell r="ED102">
            <v>0</v>
          </cell>
          <cell r="EE102">
            <v>0</v>
          </cell>
          <cell r="EF102">
            <v>0</v>
          </cell>
          <cell r="EG102">
            <v>0</v>
          </cell>
          <cell r="EH102">
            <v>0</v>
          </cell>
          <cell r="EI102">
            <v>0</v>
          </cell>
          <cell r="EJ102">
            <v>0</v>
          </cell>
          <cell r="EK102">
            <v>0</v>
          </cell>
          <cell r="EL102">
            <v>0</v>
          </cell>
          <cell r="EM102">
            <v>0</v>
          </cell>
          <cell r="EN102">
            <v>0</v>
          </cell>
          <cell r="EQ102">
            <v>4.5360692004637201E-2</v>
          </cell>
          <cell r="ER102">
            <v>3.5000000000000003E-2</v>
          </cell>
          <cell r="ES102">
            <v>3.5000000000000003E-2</v>
          </cell>
          <cell r="ET102">
            <v>0.04</v>
          </cell>
          <cell r="EU102">
            <v>0.04</v>
          </cell>
          <cell r="EV102">
            <v>0.04</v>
          </cell>
          <cell r="EW102">
            <v>0.04</v>
          </cell>
          <cell r="EX102">
            <v>0.04</v>
          </cell>
          <cell r="EY102">
            <v>0.04</v>
          </cell>
          <cell r="EZ102">
            <v>0.04</v>
          </cell>
          <cell r="FA102">
            <v>0.04</v>
          </cell>
          <cell r="FD102">
            <v>0</v>
          </cell>
          <cell r="FE102">
            <v>0</v>
          </cell>
          <cell r="FF102">
            <v>0</v>
          </cell>
          <cell r="FG102">
            <v>0</v>
          </cell>
          <cell r="FH102">
            <v>0</v>
          </cell>
          <cell r="FI102">
            <v>0</v>
          </cell>
          <cell r="FJ102">
            <v>0</v>
          </cell>
          <cell r="FK102">
            <v>0</v>
          </cell>
          <cell r="FL102">
            <v>0</v>
          </cell>
          <cell r="FM102">
            <v>0</v>
          </cell>
          <cell r="FN102">
            <v>0</v>
          </cell>
          <cell r="FQ102">
            <v>4.5360692004637201E-2</v>
          </cell>
          <cell r="FR102">
            <v>3.5000000000000003E-2</v>
          </cell>
          <cell r="FS102">
            <v>3.5000000000000003E-2</v>
          </cell>
          <cell r="FT102">
            <v>0.04</v>
          </cell>
          <cell r="FU102">
            <v>0.04</v>
          </cell>
          <cell r="FV102">
            <v>0.04</v>
          </cell>
          <cell r="FW102">
            <v>0.04</v>
          </cell>
          <cell r="FX102">
            <v>0.04</v>
          </cell>
          <cell r="FY102">
            <v>0.04</v>
          </cell>
          <cell r="FZ102">
            <v>0.04</v>
          </cell>
          <cell r="GA102">
            <v>0.04</v>
          </cell>
          <cell r="GD102">
            <v>4.3288553603709763E-2</v>
          </cell>
          <cell r="GE102">
            <v>3.569616368500448E-2</v>
          </cell>
          <cell r="GF102">
            <v>3.6280719379455956E-2</v>
          </cell>
          <cell r="GG102">
            <v>3.847188940043661E-2</v>
          </cell>
          <cell r="GH102">
            <v>3.7254347986110901E-2</v>
          </cell>
          <cell r="GI102">
            <v>3.6497609253818029E-2</v>
          </cell>
          <cell r="GJ102">
            <v>3.6221967331799311E-2</v>
          </cell>
          <cell r="GK102">
            <v>3.6181951938302211E-2</v>
          </cell>
          <cell r="GL102">
            <v>3.6578008749524916E-2</v>
          </cell>
          <cell r="GM102">
            <v>3.7593791133543941E-2</v>
          </cell>
          <cell r="GN102">
            <v>3.7795546696915837E-2</v>
          </cell>
        </row>
        <row r="103">
          <cell r="B103" t="str">
            <v>Mornington</v>
          </cell>
          <cell r="C103">
            <v>0</v>
          </cell>
          <cell r="D103">
            <v>1</v>
          </cell>
          <cell r="E103" t="str">
            <v>Neighbourhood</v>
          </cell>
          <cell r="F103" t="str">
            <v>VIC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3.1</v>
          </cell>
          <cell r="S103">
            <v>0</v>
          </cell>
          <cell r="T103">
            <v>3.1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4.2</v>
          </cell>
          <cell r="AD103">
            <v>0</v>
          </cell>
          <cell r="AE103">
            <v>0</v>
          </cell>
          <cell r="AF103">
            <v>0.57534246575342463</v>
          </cell>
          <cell r="AG103">
            <v>0</v>
          </cell>
          <cell r="AH103">
            <v>0</v>
          </cell>
          <cell r="AI103">
            <v>0.42465753424657532</v>
          </cell>
          <cell r="AJ103">
            <v>0</v>
          </cell>
          <cell r="AK103">
            <v>0</v>
          </cell>
          <cell r="AN103">
            <v>3.1</v>
          </cell>
          <cell r="AO103">
            <v>7.3000000000000007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>
            <v>3.1</v>
          </cell>
          <cell r="BQ103">
            <v>0</v>
          </cell>
          <cell r="BR103">
            <v>0</v>
          </cell>
          <cell r="BS103">
            <v>0</v>
          </cell>
          <cell r="BT103">
            <v>0</v>
          </cell>
          <cell r="BU103">
            <v>0</v>
          </cell>
          <cell r="BV103">
            <v>0</v>
          </cell>
          <cell r="BW103">
            <v>0</v>
          </cell>
          <cell r="BX103">
            <v>4.2</v>
          </cell>
          <cell r="BY103">
            <v>0</v>
          </cell>
          <cell r="BZ103">
            <v>0</v>
          </cell>
          <cell r="CA103">
            <v>0</v>
          </cell>
          <cell r="CB103">
            <v>0</v>
          </cell>
          <cell r="CC103">
            <v>0</v>
          </cell>
          <cell r="CD103">
            <v>0</v>
          </cell>
          <cell r="CE103">
            <v>0</v>
          </cell>
          <cell r="CF103">
            <v>0</v>
          </cell>
          <cell r="CG103">
            <v>0</v>
          </cell>
          <cell r="CH103">
            <v>0</v>
          </cell>
          <cell r="CI103">
            <v>0</v>
          </cell>
          <cell r="CJ103">
            <v>0</v>
          </cell>
          <cell r="CK103">
            <v>0</v>
          </cell>
          <cell r="CL103">
            <v>0</v>
          </cell>
          <cell r="CM103">
            <v>0</v>
          </cell>
          <cell r="CN103">
            <v>7.3000000000000007</v>
          </cell>
          <cell r="CO103">
            <v>0</v>
          </cell>
          <cell r="CP103">
            <v>0</v>
          </cell>
          <cell r="CQ103">
            <v>0</v>
          </cell>
          <cell r="CR103">
            <v>0</v>
          </cell>
          <cell r="CS103">
            <v>0</v>
          </cell>
          <cell r="CV103">
            <v>0</v>
          </cell>
          <cell r="CW103">
            <v>0</v>
          </cell>
          <cell r="CX103">
            <v>0</v>
          </cell>
          <cell r="CY103">
            <v>0</v>
          </cell>
          <cell r="CZ103">
            <v>7.3000000000000007</v>
          </cell>
          <cell r="DA103">
            <v>0</v>
          </cell>
          <cell r="DD103">
            <v>3.5000000000000003E-2</v>
          </cell>
          <cell r="DE103">
            <v>3.8480818425022364E-2</v>
          </cell>
          <cell r="DF103">
            <v>4.1403596897279765E-2</v>
          </cell>
          <cell r="DG103">
            <v>3.2359447002183045E-2</v>
          </cell>
          <cell r="DH103">
            <v>2.6271739930554507E-2</v>
          </cell>
          <cell r="DI103">
            <v>2.2488046269090144E-2</v>
          </cell>
          <cell r="DJ103">
            <v>2.1109836658996538E-2</v>
          </cell>
          <cell r="DK103">
            <v>2.0909759691511064E-2</v>
          </cell>
          <cell r="DL103">
            <v>2.2890043747624565E-2</v>
          </cell>
          <cell r="DM103">
            <v>2.7968955667719699E-2</v>
          </cell>
          <cell r="DN103">
            <v>2.8977733484579184E-2</v>
          </cell>
          <cell r="DQ103">
            <v>0</v>
          </cell>
          <cell r="DR103">
            <v>0</v>
          </cell>
          <cell r="DS103">
            <v>0</v>
          </cell>
          <cell r="DT103">
            <v>0</v>
          </cell>
          <cell r="DU103">
            <v>0</v>
          </cell>
          <cell r="DV103">
            <v>0</v>
          </cell>
          <cell r="DW103">
            <v>0</v>
          </cell>
          <cell r="DX103">
            <v>0</v>
          </cell>
          <cell r="DY103">
            <v>0</v>
          </cell>
          <cell r="DZ103">
            <v>0</v>
          </cell>
          <cell r="EA103">
            <v>0</v>
          </cell>
          <cell r="ED103">
            <v>0</v>
          </cell>
          <cell r="EE103">
            <v>0</v>
          </cell>
          <cell r="EF103">
            <v>0</v>
          </cell>
          <cell r="EG103">
            <v>0</v>
          </cell>
          <cell r="EH103">
            <v>0</v>
          </cell>
          <cell r="EI103">
            <v>0</v>
          </cell>
          <cell r="EJ103">
            <v>0</v>
          </cell>
          <cell r="EK103">
            <v>0</v>
          </cell>
          <cell r="EL103">
            <v>0</v>
          </cell>
          <cell r="EM103">
            <v>0</v>
          </cell>
          <cell r="EN103">
            <v>0</v>
          </cell>
          <cell r="EQ103">
            <v>1.9262759618407576E-2</v>
          </cell>
          <cell r="ER103">
            <v>1.4863013698630138E-2</v>
          </cell>
          <cell r="ES103">
            <v>1.4863013698630138E-2</v>
          </cell>
          <cell r="ET103">
            <v>1.6986301369863014E-2</v>
          </cell>
          <cell r="EU103">
            <v>1.6986301369863014E-2</v>
          </cell>
          <cell r="EV103">
            <v>1.6986301369863014E-2</v>
          </cell>
          <cell r="EW103">
            <v>1.6986301369863014E-2</v>
          </cell>
          <cell r="EX103">
            <v>1.6986301369863014E-2</v>
          </cell>
          <cell r="EY103">
            <v>1.6986301369863014E-2</v>
          </cell>
          <cell r="EZ103">
            <v>1.6986301369863014E-2</v>
          </cell>
          <cell r="FA103">
            <v>1.6986301369863014E-2</v>
          </cell>
          <cell r="FD103">
            <v>0</v>
          </cell>
          <cell r="FE103">
            <v>0</v>
          </cell>
          <cell r="FF103">
            <v>0</v>
          </cell>
          <cell r="FG103">
            <v>0</v>
          </cell>
          <cell r="FH103">
            <v>0</v>
          </cell>
          <cell r="FI103">
            <v>0</v>
          </cell>
          <cell r="FJ103">
            <v>0</v>
          </cell>
          <cell r="FK103">
            <v>0</v>
          </cell>
          <cell r="FL103">
            <v>0</v>
          </cell>
          <cell r="FM103">
            <v>0</v>
          </cell>
          <cell r="FN103">
            <v>0</v>
          </cell>
          <cell r="FQ103">
            <v>1.9262759618407576E-2</v>
          </cell>
          <cell r="FR103">
            <v>1.4863013698630138E-2</v>
          </cell>
          <cell r="FS103">
            <v>1.4863013698630138E-2</v>
          </cell>
          <cell r="FT103">
            <v>1.6986301369863014E-2</v>
          </cell>
          <cell r="FU103">
            <v>1.6986301369863014E-2</v>
          </cell>
          <cell r="FV103">
            <v>1.6986301369863014E-2</v>
          </cell>
          <cell r="FW103">
            <v>1.6986301369863014E-2</v>
          </cell>
          <cell r="FX103">
            <v>1.6986301369863014E-2</v>
          </cell>
          <cell r="FY103">
            <v>1.6986301369863014E-2</v>
          </cell>
          <cell r="FZ103">
            <v>1.6986301369863014E-2</v>
          </cell>
          <cell r="GA103">
            <v>1.6986301369863014E-2</v>
          </cell>
          <cell r="GD103">
            <v>2.2410207694726063E-2</v>
          </cell>
          <cell r="GE103">
            <v>1.9586574643908585E-2</v>
          </cell>
          <cell r="GF103">
            <v>2.0171130338360065E-2</v>
          </cell>
          <cell r="GG103">
            <v>2.0060930496327019E-2</v>
          </cell>
          <cell r="GH103">
            <v>1.8843389082001314E-2</v>
          </cell>
          <cell r="GI103">
            <v>1.8086650349708439E-2</v>
          </cell>
          <cell r="GJ103">
            <v>1.781100842768972E-2</v>
          </cell>
          <cell r="GK103">
            <v>1.7770993034192623E-2</v>
          </cell>
          <cell r="GL103">
            <v>1.8167049845415326E-2</v>
          </cell>
          <cell r="GM103">
            <v>1.918283222943435E-2</v>
          </cell>
          <cell r="GN103">
            <v>1.9384587792806249E-2</v>
          </cell>
        </row>
        <row r="104">
          <cell r="B104" t="str">
            <v>South Preston</v>
          </cell>
          <cell r="C104">
            <v>0</v>
          </cell>
          <cell r="D104">
            <v>1</v>
          </cell>
          <cell r="E104" t="str">
            <v>Supermarket Only</v>
          </cell>
          <cell r="F104" t="str">
            <v>VIC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4</v>
          </cell>
          <cell r="S104">
            <v>0</v>
          </cell>
          <cell r="T104">
            <v>4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1</v>
          </cell>
          <cell r="AJ104">
            <v>0</v>
          </cell>
          <cell r="AK104">
            <v>0</v>
          </cell>
          <cell r="AN104">
            <v>4</v>
          </cell>
          <cell r="AO104">
            <v>4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  <cell r="BK104">
            <v>0</v>
          </cell>
          <cell r="BL104">
            <v>0</v>
          </cell>
          <cell r="BM104">
            <v>0</v>
          </cell>
          <cell r="BN104">
            <v>0</v>
          </cell>
          <cell r="BO104">
            <v>0</v>
          </cell>
          <cell r="BP104">
            <v>4</v>
          </cell>
          <cell r="BQ104">
            <v>0</v>
          </cell>
          <cell r="BR104">
            <v>0</v>
          </cell>
          <cell r="BS104">
            <v>0</v>
          </cell>
          <cell r="BT104">
            <v>0</v>
          </cell>
          <cell r="BU104">
            <v>0</v>
          </cell>
          <cell r="BV104">
            <v>0</v>
          </cell>
          <cell r="BW104">
            <v>0</v>
          </cell>
          <cell r="BX104">
            <v>0</v>
          </cell>
          <cell r="BY104">
            <v>0</v>
          </cell>
          <cell r="BZ104">
            <v>0</v>
          </cell>
          <cell r="CA104">
            <v>0</v>
          </cell>
          <cell r="CB104">
            <v>0</v>
          </cell>
          <cell r="CC104">
            <v>0</v>
          </cell>
          <cell r="CD104">
            <v>0</v>
          </cell>
          <cell r="CE104">
            <v>0</v>
          </cell>
          <cell r="CF104">
            <v>0</v>
          </cell>
          <cell r="CG104">
            <v>0</v>
          </cell>
          <cell r="CH104">
            <v>0</v>
          </cell>
          <cell r="CI104">
            <v>0</v>
          </cell>
          <cell r="CJ104">
            <v>0</v>
          </cell>
          <cell r="CK104">
            <v>0</v>
          </cell>
          <cell r="CL104">
            <v>0</v>
          </cell>
          <cell r="CM104">
            <v>0</v>
          </cell>
          <cell r="CN104">
            <v>4</v>
          </cell>
          <cell r="CO104">
            <v>0</v>
          </cell>
          <cell r="CP104">
            <v>0</v>
          </cell>
          <cell r="CQ104">
            <v>0</v>
          </cell>
          <cell r="CR104">
            <v>0</v>
          </cell>
          <cell r="CS104">
            <v>0</v>
          </cell>
          <cell r="CV104">
            <v>0</v>
          </cell>
          <cell r="CW104">
            <v>0</v>
          </cell>
          <cell r="CX104">
            <v>0</v>
          </cell>
          <cell r="CY104">
            <v>0</v>
          </cell>
          <cell r="CZ104">
            <v>0</v>
          </cell>
          <cell r="DA104">
            <v>4</v>
          </cell>
          <cell r="DD104">
            <v>3.5000000000000003E-2</v>
          </cell>
          <cell r="DE104">
            <v>3.8480818425022364E-2</v>
          </cell>
          <cell r="DF104">
            <v>4.1403596897279765E-2</v>
          </cell>
          <cell r="DG104">
            <v>3.2359447002183045E-2</v>
          </cell>
          <cell r="DH104">
            <v>2.6271739930554507E-2</v>
          </cell>
          <cell r="DI104">
            <v>2.2488046269090144E-2</v>
          </cell>
          <cell r="DJ104">
            <v>2.1109836658996538E-2</v>
          </cell>
          <cell r="DK104">
            <v>2.0909759691511064E-2</v>
          </cell>
          <cell r="DL104">
            <v>2.2890043747624565E-2</v>
          </cell>
          <cell r="DM104">
            <v>2.7968955667719699E-2</v>
          </cell>
          <cell r="DN104">
            <v>2.8977733484579184E-2</v>
          </cell>
          <cell r="DQ104">
            <v>0</v>
          </cell>
          <cell r="DR104">
            <v>0</v>
          </cell>
          <cell r="DS104">
            <v>0</v>
          </cell>
          <cell r="DT104">
            <v>0</v>
          </cell>
          <cell r="DU104">
            <v>0</v>
          </cell>
          <cell r="DV104">
            <v>0</v>
          </cell>
          <cell r="DW104">
            <v>0</v>
          </cell>
          <cell r="DX104">
            <v>0</v>
          </cell>
          <cell r="DY104">
            <v>0</v>
          </cell>
          <cell r="DZ104">
            <v>0</v>
          </cell>
          <cell r="EA104">
            <v>0</v>
          </cell>
          <cell r="ED104">
            <v>0</v>
          </cell>
          <cell r="EE104">
            <v>0</v>
          </cell>
          <cell r="EF104">
            <v>0</v>
          </cell>
          <cell r="EG104">
            <v>0</v>
          </cell>
          <cell r="EH104">
            <v>0</v>
          </cell>
          <cell r="EI104">
            <v>0</v>
          </cell>
          <cell r="EJ104">
            <v>0</v>
          </cell>
          <cell r="EK104">
            <v>0</v>
          </cell>
          <cell r="EL104">
            <v>0</v>
          </cell>
          <cell r="EM104">
            <v>0</v>
          </cell>
          <cell r="EN104">
            <v>0</v>
          </cell>
          <cell r="EQ104">
            <v>4.5360692004637201E-2</v>
          </cell>
          <cell r="ER104">
            <v>3.5000000000000003E-2</v>
          </cell>
          <cell r="ES104">
            <v>3.5000000000000003E-2</v>
          </cell>
          <cell r="ET104">
            <v>0.04</v>
          </cell>
          <cell r="EU104">
            <v>0.04</v>
          </cell>
          <cell r="EV104">
            <v>0.04</v>
          </cell>
          <cell r="EW104">
            <v>0.04</v>
          </cell>
          <cell r="EX104">
            <v>0.04</v>
          </cell>
          <cell r="EY104">
            <v>0.04</v>
          </cell>
          <cell r="EZ104">
            <v>0.04</v>
          </cell>
          <cell r="FA104">
            <v>0.04</v>
          </cell>
          <cell r="FD104">
            <v>0</v>
          </cell>
          <cell r="FE104">
            <v>0</v>
          </cell>
          <cell r="FF104">
            <v>0</v>
          </cell>
          <cell r="FG104">
            <v>0</v>
          </cell>
          <cell r="FH104">
            <v>0</v>
          </cell>
          <cell r="FI104">
            <v>0</v>
          </cell>
          <cell r="FJ104">
            <v>0</v>
          </cell>
          <cell r="FK104">
            <v>0</v>
          </cell>
          <cell r="FL104">
            <v>0</v>
          </cell>
          <cell r="FM104">
            <v>0</v>
          </cell>
          <cell r="FN104">
            <v>0</v>
          </cell>
          <cell r="FQ104">
            <v>4.5360692004637201E-2</v>
          </cell>
          <cell r="FR104">
            <v>3.5000000000000003E-2</v>
          </cell>
          <cell r="FS104">
            <v>3.5000000000000003E-2</v>
          </cell>
          <cell r="FT104">
            <v>0.04</v>
          </cell>
          <cell r="FU104">
            <v>0.04</v>
          </cell>
          <cell r="FV104">
            <v>0.04</v>
          </cell>
          <cell r="FW104">
            <v>0.04</v>
          </cell>
          <cell r="FX104">
            <v>0.04</v>
          </cell>
          <cell r="FY104">
            <v>0.04</v>
          </cell>
          <cell r="FZ104">
            <v>0.04</v>
          </cell>
          <cell r="GA104">
            <v>0.04</v>
          </cell>
          <cell r="GD104">
            <v>4.3288553603709763E-2</v>
          </cell>
          <cell r="GE104">
            <v>3.569616368500448E-2</v>
          </cell>
          <cell r="GF104">
            <v>3.6280719379455956E-2</v>
          </cell>
          <cell r="GG104">
            <v>3.847188940043661E-2</v>
          </cell>
          <cell r="GH104">
            <v>3.7254347986110901E-2</v>
          </cell>
          <cell r="GI104">
            <v>3.6497609253818029E-2</v>
          </cell>
          <cell r="GJ104">
            <v>3.6221967331799311E-2</v>
          </cell>
          <cell r="GK104">
            <v>3.6181951938302211E-2</v>
          </cell>
          <cell r="GL104">
            <v>3.6578008749524916E-2</v>
          </cell>
          <cell r="GM104">
            <v>3.7593791133543941E-2</v>
          </cell>
          <cell r="GN104">
            <v>3.7795546696915837E-2</v>
          </cell>
        </row>
        <row r="105">
          <cell r="B105" t="str">
            <v>Wangaratta</v>
          </cell>
          <cell r="C105">
            <v>0</v>
          </cell>
          <cell r="D105">
            <v>1</v>
          </cell>
          <cell r="E105" t="str">
            <v>Neighbourhood</v>
          </cell>
          <cell r="F105" t="str">
            <v>VIC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2.1</v>
          </cell>
          <cell r="S105">
            <v>0</v>
          </cell>
          <cell r="T105">
            <v>0</v>
          </cell>
          <cell r="U105">
            <v>0</v>
          </cell>
          <cell r="V105">
            <v>2.1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1.5</v>
          </cell>
          <cell r="AD105">
            <v>0</v>
          </cell>
          <cell r="AE105">
            <v>0</v>
          </cell>
          <cell r="AF105">
            <v>0.41666666666666663</v>
          </cell>
          <cell r="AG105">
            <v>0</v>
          </cell>
          <cell r="AH105">
            <v>0</v>
          </cell>
          <cell r="AI105">
            <v>0.58333333333333337</v>
          </cell>
          <cell r="AJ105">
            <v>0</v>
          </cell>
          <cell r="AK105">
            <v>0</v>
          </cell>
          <cell r="AN105">
            <v>2.1</v>
          </cell>
          <cell r="AO105">
            <v>3.6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  <cell r="BK105">
            <v>0</v>
          </cell>
          <cell r="BL105">
            <v>0</v>
          </cell>
          <cell r="BM105">
            <v>0</v>
          </cell>
          <cell r="BN105">
            <v>0</v>
          </cell>
          <cell r="BO105">
            <v>0</v>
          </cell>
          <cell r="BP105">
            <v>2.1</v>
          </cell>
          <cell r="BQ105">
            <v>0</v>
          </cell>
          <cell r="BR105">
            <v>0</v>
          </cell>
          <cell r="BS105">
            <v>0</v>
          </cell>
          <cell r="BT105">
            <v>0</v>
          </cell>
          <cell r="BU105">
            <v>0</v>
          </cell>
          <cell r="BV105">
            <v>0</v>
          </cell>
          <cell r="BW105">
            <v>0</v>
          </cell>
          <cell r="BX105">
            <v>1.5</v>
          </cell>
          <cell r="BY105">
            <v>0</v>
          </cell>
          <cell r="BZ105">
            <v>0</v>
          </cell>
          <cell r="CA105">
            <v>0</v>
          </cell>
          <cell r="CB105">
            <v>0</v>
          </cell>
          <cell r="CC105">
            <v>0</v>
          </cell>
          <cell r="CD105">
            <v>0</v>
          </cell>
          <cell r="CE105">
            <v>0</v>
          </cell>
          <cell r="CF105">
            <v>0</v>
          </cell>
          <cell r="CG105">
            <v>0</v>
          </cell>
          <cell r="CH105">
            <v>0</v>
          </cell>
          <cell r="CI105">
            <v>0</v>
          </cell>
          <cell r="CJ105">
            <v>0</v>
          </cell>
          <cell r="CK105">
            <v>0</v>
          </cell>
          <cell r="CL105">
            <v>0</v>
          </cell>
          <cell r="CM105">
            <v>0</v>
          </cell>
          <cell r="CN105">
            <v>3.6</v>
          </cell>
          <cell r="CO105">
            <v>0</v>
          </cell>
          <cell r="CP105">
            <v>0</v>
          </cell>
          <cell r="CQ105">
            <v>0</v>
          </cell>
          <cell r="CR105">
            <v>0</v>
          </cell>
          <cell r="CS105">
            <v>0</v>
          </cell>
          <cell r="CV105">
            <v>0</v>
          </cell>
          <cell r="CW105">
            <v>0</v>
          </cell>
          <cell r="CX105">
            <v>0</v>
          </cell>
          <cell r="CY105">
            <v>0</v>
          </cell>
          <cell r="CZ105">
            <v>3.6</v>
          </cell>
          <cell r="DA105">
            <v>0</v>
          </cell>
          <cell r="DD105">
            <v>3.5000000000000003E-2</v>
          </cell>
          <cell r="DE105">
            <v>3.8480818425022364E-2</v>
          </cell>
          <cell r="DF105">
            <v>4.1403596897279765E-2</v>
          </cell>
          <cell r="DG105">
            <v>3.2359447002183045E-2</v>
          </cell>
          <cell r="DH105">
            <v>2.6271739930554507E-2</v>
          </cell>
          <cell r="DI105">
            <v>2.2488046269090144E-2</v>
          </cell>
          <cell r="DJ105">
            <v>2.1109836658996538E-2</v>
          </cell>
          <cell r="DK105">
            <v>2.0909759691511064E-2</v>
          </cell>
          <cell r="DL105">
            <v>2.2890043747624565E-2</v>
          </cell>
          <cell r="DM105">
            <v>2.7968955667719699E-2</v>
          </cell>
          <cell r="DN105">
            <v>2.8977733484579184E-2</v>
          </cell>
          <cell r="DQ105">
            <v>0</v>
          </cell>
          <cell r="DR105">
            <v>0</v>
          </cell>
          <cell r="DS105">
            <v>0</v>
          </cell>
          <cell r="DT105">
            <v>0</v>
          </cell>
          <cell r="DU105">
            <v>0</v>
          </cell>
          <cell r="DV105">
            <v>0</v>
          </cell>
          <cell r="DW105">
            <v>0</v>
          </cell>
          <cell r="DX105">
            <v>0</v>
          </cell>
          <cell r="DY105">
            <v>0</v>
          </cell>
          <cell r="DZ105">
            <v>0</v>
          </cell>
          <cell r="EA105">
            <v>0</v>
          </cell>
          <cell r="ED105">
            <v>0</v>
          </cell>
          <cell r="EE105">
            <v>0</v>
          </cell>
          <cell r="EF105">
            <v>0</v>
          </cell>
          <cell r="EG105">
            <v>0</v>
          </cell>
          <cell r="EH105">
            <v>0</v>
          </cell>
          <cell r="EI105">
            <v>0</v>
          </cell>
          <cell r="EJ105">
            <v>0</v>
          </cell>
          <cell r="EK105">
            <v>0</v>
          </cell>
          <cell r="EL105">
            <v>0</v>
          </cell>
          <cell r="EM105">
            <v>0</v>
          </cell>
          <cell r="EN105">
            <v>0</v>
          </cell>
          <cell r="EQ105">
            <v>2.6460403669371701E-2</v>
          </cell>
          <cell r="ER105">
            <v>2.041666666666667E-2</v>
          </cell>
          <cell r="ES105">
            <v>2.041666666666667E-2</v>
          </cell>
          <cell r="ET105">
            <v>2.3333333333333334E-2</v>
          </cell>
          <cell r="EU105">
            <v>2.3333333333333334E-2</v>
          </cell>
          <cell r="EV105">
            <v>2.3333333333333334E-2</v>
          </cell>
          <cell r="EW105">
            <v>2.3333333333333334E-2</v>
          </cell>
          <cell r="EX105">
            <v>2.3333333333333334E-2</v>
          </cell>
          <cell r="EY105">
            <v>2.3333333333333334E-2</v>
          </cell>
          <cell r="EZ105">
            <v>2.3333333333333334E-2</v>
          </cell>
          <cell r="FA105">
            <v>2.3333333333333334E-2</v>
          </cell>
          <cell r="FD105">
            <v>0</v>
          </cell>
          <cell r="FE105">
            <v>0</v>
          </cell>
          <cell r="FF105">
            <v>0</v>
          </cell>
          <cell r="FG105">
            <v>0</v>
          </cell>
          <cell r="FH105">
            <v>0</v>
          </cell>
          <cell r="FI105">
            <v>0</v>
          </cell>
          <cell r="FJ105">
            <v>0</v>
          </cell>
          <cell r="FK105">
            <v>0</v>
          </cell>
          <cell r="FL105">
            <v>0</v>
          </cell>
          <cell r="FM105">
            <v>0</v>
          </cell>
          <cell r="FN105">
            <v>0</v>
          </cell>
          <cell r="FQ105">
            <v>2.6460403669371701E-2</v>
          </cell>
          <cell r="FR105">
            <v>2.041666666666667E-2</v>
          </cell>
          <cell r="FS105">
            <v>2.041666666666667E-2</v>
          </cell>
          <cell r="FT105">
            <v>2.3333333333333334E-2</v>
          </cell>
          <cell r="FU105">
            <v>2.3333333333333334E-2</v>
          </cell>
          <cell r="FV105">
            <v>2.3333333333333334E-2</v>
          </cell>
          <cell r="FW105">
            <v>2.3333333333333334E-2</v>
          </cell>
          <cell r="FX105">
            <v>2.3333333333333334E-2</v>
          </cell>
          <cell r="FY105">
            <v>2.3333333333333334E-2</v>
          </cell>
          <cell r="FZ105">
            <v>2.3333333333333334E-2</v>
          </cell>
          <cell r="GA105">
            <v>2.3333333333333334E-2</v>
          </cell>
          <cell r="GD105">
            <v>2.8168322935497363E-2</v>
          </cell>
          <cell r="GE105">
            <v>2.4029497018337807E-2</v>
          </cell>
          <cell r="GF105">
            <v>2.461405271278929E-2</v>
          </cell>
          <cell r="GG105">
            <v>2.5138556067103277E-2</v>
          </cell>
          <cell r="GH105">
            <v>2.3921014652777569E-2</v>
          </cell>
          <cell r="GI105">
            <v>2.3164275920484697E-2</v>
          </cell>
          <cell r="GJ105">
            <v>2.2888633998465975E-2</v>
          </cell>
          <cell r="GK105">
            <v>2.2848618604968882E-2</v>
          </cell>
          <cell r="GL105">
            <v>2.3244675416191581E-2</v>
          </cell>
          <cell r="GM105">
            <v>2.4260457800210609E-2</v>
          </cell>
          <cell r="GN105">
            <v>2.4462213363582504E-2</v>
          </cell>
        </row>
        <row r="106">
          <cell r="B106" t="str">
            <v>Carnavon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 t="e">
            <v>#DIV/0!</v>
          </cell>
          <cell r="AG106" t="e">
            <v>#DIV/0!</v>
          </cell>
          <cell r="AH106" t="e">
            <v>#DIV/0!</v>
          </cell>
          <cell r="AI106" t="e">
            <v>#DIV/0!</v>
          </cell>
          <cell r="AJ106" t="e">
            <v>#DIV/0!</v>
          </cell>
          <cell r="AK106" t="e">
            <v>#DIV/0!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  <cell r="BP106">
            <v>0</v>
          </cell>
          <cell r="BQ106">
            <v>0</v>
          </cell>
          <cell r="BR106">
            <v>0</v>
          </cell>
          <cell r="BS106">
            <v>0</v>
          </cell>
          <cell r="BT106">
            <v>0</v>
          </cell>
          <cell r="BU106">
            <v>0</v>
          </cell>
          <cell r="BV106">
            <v>0</v>
          </cell>
          <cell r="BW106">
            <v>0</v>
          </cell>
          <cell r="BX106">
            <v>0</v>
          </cell>
          <cell r="BY106">
            <v>0</v>
          </cell>
          <cell r="BZ106">
            <v>0</v>
          </cell>
          <cell r="CA106">
            <v>0</v>
          </cell>
          <cell r="CB106">
            <v>0</v>
          </cell>
          <cell r="CC106">
            <v>0</v>
          </cell>
          <cell r="CD106">
            <v>0</v>
          </cell>
          <cell r="CE106">
            <v>0</v>
          </cell>
          <cell r="CF106">
            <v>0</v>
          </cell>
          <cell r="CG106">
            <v>0</v>
          </cell>
          <cell r="CH106">
            <v>0</v>
          </cell>
          <cell r="CI106">
            <v>0</v>
          </cell>
          <cell r="CJ106">
            <v>0</v>
          </cell>
          <cell r="CK106">
            <v>0</v>
          </cell>
          <cell r="CL106">
            <v>0</v>
          </cell>
          <cell r="CM106">
            <v>0</v>
          </cell>
          <cell r="CN106">
            <v>0</v>
          </cell>
          <cell r="CO106">
            <v>0</v>
          </cell>
          <cell r="CP106">
            <v>0</v>
          </cell>
          <cell r="CQ106">
            <v>0</v>
          </cell>
          <cell r="CR106">
            <v>0</v>
          </cell>
          <cell r="CS106">
            <v>0</v>
          </cell>
          <cell r="CV106">
            <v>0</v>
          </cell>
          <cell r="CW106">
            <v>0</v>
          </cell>
          <cell r="CX106">
            <v>0</v>
          </cell>
          <cell r="CY106">
            <v>0</v>
          </cell>
          <cell r="CZ106">
            <v>0</v>
          </cell>
          <cell r="DA106">
            <v>0</v>
          </cell>
          <cell r="DD106">
            <v>0</v>
          </cell>
          <cell r="DE106">
            <v>0</v>
          </cell>
          <cell r="DF106">
            <v>0</v>
          </cell>
          <cell r="DG106">
            <v>0</v>
          </cell>
          <cell r="DH106">
            <v>0</v>
          </cell>
          <cell r="DI106">
            <v>0</v>
          </cell>
          <cell r="DJ106">
            <v>0</v>
          </cell>
          <cell r="DK106">
            <v>0</v>
          </cell>
          <cell r="DL106">
            <v>0</v>
          </cell>
          <cell r="DM106">
            <v>0</v>
          </cell>
          <cell r="DN106">
            <v>0</v>
          </cell>
          <cell r="DQ106">
            <v>0</v>
          </cell>
          <cell r="DR106">
            <v>0</v>
          </cell>
          <cell r="DS106">
            <v>0</v>
          </cell>
          <cell r="DT106">
            <v>0</v>
          </cell>
          <cell r="DU106">
            <v>0</v>
          </cell>
          <cell r="DV106">
            <v>0</v>
          </cell>
          <cell r="DW106">
            <v>0</v>
          </cell>
          <cell r="DX106">
            <v>0</v>
          </cell>
          <cell r="DY106">
            <v>0</v>
          </cell>
          <cell r="DZ106">
            <v>0</v>
          </cell>
          <cell r="EA106">
            <v>0</v>
          </cell>
          <cell r="ED106">
            <v>0</v>
          </cell>
          <cell r="EE106">
            <v>0</v>
          </cell>
          <cell r="EF106">
            <v>0</v>
          </cell>
          <cell r="EG106">
            <v>0</v>
          </cell>
          <cell r="EH106">
            <v>0</v>
          </cell>
          <cell r="EI106">
            <v>0</v>
          </cell>
          <cell r="EJ106">
            <v>0</v>
          </cell>
          <cell r="EK106">
            <v>0</v>
          </cell>
          <cell r="EL106">
            <v>0</v>
          </cell>
          <cell r="EM106">
            <v>0</v>
          </cell>
          <cell r="EN106">
            <v>0</v>
          </cell>
          <cell r="EQ106">
            <v>0</v>
          </cell>
          <cell r="ER106">
            <v>0</v>
          </cell>
          <cell r="ES106">
            <v>0</v>
          </cell>
          <cell r="ET106">
            <v>0</v>
          </cell>
          <cell r="EU106">
            <v>0</v>
          </cell>
          <cell r="EV106">
            <v>0</v>
          </cell>
          <cell r="EW106">
            <v>0</v>
          </cell>
          <cell r="EX106">
            <v>0</v>
          </cell>
          <cell r="EY106">
            <v>0</v>
          </cell>
          <cell r="EZ106">
            <v>0</v>
          </cell>
          <cell r="FA106">
            <v>0</v>
          </cell>
          <cell r="FD106">
            <v>0</v>
          </cell>
          <cell r="FE106">
            <v>0</v>
          </cell>
          <cell r="FF106">
            <v>0</v>
          </cell>
          <cell r="FG106">
            <v>0</v>
          </cell>
          <cell r="FH106">
            <v>0</v>
          </cell>
          <cell r="FI106">
            <v>0</v>
          </cell>
          <cell r="FJ106">
            <v>0</v>
          </cell>
          <cell r="FK106">
            <v>0</v>
          </cell>
          <cell r="FL106">
            <v>0</v>
          </cell>
          <cell r="FM106">
            <v>0</v>
          </cell>
          <cell r="FN106">
            <v>0</v>
          </cell>
          <cell r="FQ106">
            <v>0</v>
          </cell>
          <cell r="FR106">
            <v>0</v>
          </cell>
          <cell r="FS106">
            <v>0</v>
          </cell>
          <cell r="FT106">
            <v>0</v>
          </cell>
          <cell r="FU106">
            <v>0</v>
          </cell>
          <cell r="FV106">
            <v>0</v>
          </cell>
          <cell r="FW106">
            <v>0</v>
          </cell>
          <cell r="FX106">
            <v>0</v>
          </cell>
          <cell r="FY106">
            <v>0</v>
          </cell>
          <cell r="FZ106">
            <v>0</v>
          </cell>
          <cell r="GA106">
            <v>0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</row>
        <row r="107">
          <cell r="B107" t="str">
            <v>Collie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 t="e">
            <v>#DIV/0!</v>
          </cell>
          <cell r="AG107" t="e">
            <v>#DIV/0!</v>
          </cell>
          <cell r="AH107" t="e">
            <v>#DIV/0!</v>
          </cell>
          <cell r="AI107" t="e">
            <v>#DIV/0!</v>
          </cell>
          <cell r="AJ107" t="e">
            <v>#DIV/0!</v>
          </cell>
          <cell r="AK107" t="e">
            <v>#DIV/0!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0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  <cell r="BP107">
            <v>0</v>
          </cell>
          <cell r="BQ107">
            <v>0</v>
          </cell>
          <cell r="BR107">
            <v>0</v>
          </cell>
          <cell r="BS107">
            <v>0</v>
          </cell>
          <cell r="BT107">
            <v>0</v>
          </cell>
          <cell r="BU107">
            <v>0</v>
          </cell>
          <cell r="BV107">
            <v>0</v>
          </cell>
          <cell r="BW107">
            <v>0</v>
          </cell>
          <cell r="BX107">
            <v>0</v>
          </cell>
          <cell r="BY107">
            <v>0</v>
          </cell>
          <cell r="BZ107">
            <v>0</v>
          </cell>
          <cell r="CA107">
            <v>0</v>
          </cell>
          <cell r="CB107">
            <v>0</v>
          </cell>
          <cell r="CC107">
            <v>0</v>
          </cell>
          <cell r="CD107">
            <v>0</v>
          </cell>
          <cell r="CE107">
            <v>0</v>
          </cell>
          <cell r="CF107">
            <v>0</v>
          </cell>
          <cell r="CG107">
            <v>0</v>
          </cell>
          <cell r="CH107">
            <v>0</v>
          </cell>
          <cell r="CI107">
            <v>0</v>
          </cell>
          <cell r="CJ107">
            <v>0</v>
          </cell>
          <cell r="CK107">
            <v>0</v>
          </cell>
          <cell r="CL107">
            <v>0</v>
          </cell>
          <cell r="CM107">
            <v>0</v>
          </cell>
          <cell r="CN107">
            <v>0</v>
          </cell>
          <cell r="CO107">
            <v>0</v>
          </cell>
          <cell r="CP107">
            <v>0</v>
          </cell>
          <cell r="CQ107">
            <v>0</v>
          </cell>
          <cell r="CR107">
            <v>0</v>
          </cell>
          <cell r="CS107">
            <v>0</v>
          </cell>
          <cell r="CV107">
            <v>0</v>
          </cell>
          <cell r="CW107">
            <v>0</v>
          </cell>
          <cell r="CX107">
            <v>0</v>
          </cell>
          <cell r="CY107">
            <v>0</v>
          </cell>
          <cell r="CZ107">
            <v>0</v>
          </cell>
          <cell r="DA107">
            <v>0</v>
          </cell>
          <cell r="DD107">
            <v>0</v>
          </cell>
          <cell r="DE107">
            <v>0</v>
          </cell>
          <cell r="DF107">
            <v>0</v>
          </cell>
          <cell r="DG107">
            <v>0</v>
          </cell>
          <cell r="DH107">
            <v>0</v>
          </cell>
          <cell r="DI107">
            <v>0</v>
          </cell>
          <cell r="DJ107">
            <v>0</v>
          </cell>
          <cell r="DK107">
            <v>0</v>
          </cell>
          <cell r="DL107">
            <v>0</v>
          </cell>
          <cell r="DM107">
            <v>0</v>
          </cell>
          <cell r="DN107">
            <v>0</v>
          </cell>
          <cell r="DQ107">
            <v>0</v>
          </cell>
          <cell r="DR107">
            <v>0</v>
          </cell>
          <cell r="DS107">
            <v>0</v>
          </cell>
          <cell r="DT107">
            <v>0</v>
          </cell>
          <cell r="DU107">
            <v>0</v>
          </cell>
          <cell r="DV107">
            <v>0</v>
          </cell>
          <cell r="DW107">
            <v>0</v>
          </cell>
          <cell r="DX107">
            <v>0</v>
          </cell>
          <cell r="DY107">
            <v>0</v>
          </cell>
          <cell r="DZ107">
            <v>0</v>
          </cell>
          <cell r="EA107">
            <v>0</v>
          </cell>
          <cell r="ED107">
            <v>0</v>
          </cell>
          <cell r="EE107">
            <v>0</v>
          </cell>
          <cell r="EF107">
            <v>0</v>
          </cell>
          <cell r="EG107">
            <v>0</v>
          </cell>
          <cell r="EH107">
            <v>0</v>
          </cell>
          <cell r="EI107">
            <v>0</v>
          </cell>
          <cell r="EJ107">
            <v>0</v>
          </cell>
          <cell r="EK107">
            <v>0</v>
          </cell>
          <cell r="EL107">
            <v>0</v>
          </cell>
          <cell r="EM107">
            <v>0</v>
          </cell>
          <cell r="EN107">
            <v>0</v>
          </cell>
          <cell r="EQ107">
            <v>0</v>
          </cell>
          <cell r="ER107">
            <v>0</v>
          </cell>
          <cell r="ES107">
            <v>0</v>
          </cell>
          <cell r="ET107">
            <v>0</v>
          </cell>
          <cell r="EU107">
            <v>0</v>
          </cell>
          <cell r="EV107">
            <v>0</v>
          </cell>
          <cell r="EW107">
            <v>0</v>
          </cell>
          <cell r="EX107">
            <v>0</v>
          </cell>
          <cell r="EY107">
            <v>0</v>
          </cell>
          <cell r="EZ107">
            <v>0</v>
          </cell>
          <cell r="FA107">
            <v>0</v>
          </cell>
          <cell r="FD107">
            <v>0</v>
          </cell>
          <cell r="FE107">
            <v>0</v>
          </cell>
          <cell r="FF107">
            <v>0</v>
          </cell>
          <cell r="FG107">
            <v>0</v>
          </cell>
          <cell r="FH107">
            <v>0</v>
          </cell>
          <cell r="FI107">
            <v>0</v>
          </cell>
          <cell r="FJ107">
            <v>0</v>
          </cell>
          <cell r="FK107">
            <v>0</v>
          </cell>
          <cell r="FL107">
            <v>0</v>
          </cell>
          <cell r="FM107">
            <v>0</v>
          </cell>
          <cell r="FN107">
            <v>0</v>
          </cell>
          <cell r="FQ107">
            <v>0</v>
          </cell>
          <cell r="FR107">
            <v>0</v>
          </cell>
          <cell r="FS107">
            <v>0</v>
          </cell>
          <cell r="FT107">
            <v>0</v>
          </cell>
          <cell r="FU107">
            <v>0</v>
          </cell>
          <cell r="FV107">
            <v>0</v>
          </cell>
          <cell r="FW107">
            <v>0</v>
          </cell>
          <cell r="FX107">
            <v>0</v>
          </cell>
          <cell r="FY107">
            <v>0</v>
          </cell>
          <cell r="FZ107">
            <v>0</v>
          </cell>
          <cell r="GA107">
            <v>0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</row>
        <row r="108">
          <cell r="B108" t="str">
            <v>Esperance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 t="e">
            <v>#DIV/0!</v>
          </cell>
          <cell r="AG108" t="e">
            <v>#DIV/0!</v>
          </cell>
          <cell r="AH108" t="e">
            <v>#DIV/0!</v>
          </cell>
          <cell r="AI108" t="e">
            <v>#DIV/0!</v>
          </cell>
          <cell r="AJ108" t="e">
            <v>#DIV/0!</v>
          </cell>
          <cell r="AK108" t="e">
            <v>#DIV/0!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  <cell r="BK108">
            <v>0</v>
          </cell>
          <cell r="BL108">
            <v>0</v>
          </cell>
          <cell r="BM108">
            <v>0</v>
          </cell>
          <cell r="BN108">
            <v>0</v>
          </cell>
          <cell r="BO108">
            <v>0</v>
          </cell>
          <cell r="BP108">
            <v>0</v>
          </cell>
          <cell r="BQ108">
            <v>0</v>
          </cell>
          <cell r="BR108">
            <v>0</v>
          </cell>
          <cell r="BS108">
            <v>0</v>
          </cell>
          <cell r="BT108">
            <v>0</v>
          </cell>
          <cell r="BU108">
            <v>0</v>
          </cell>
          <cell r="BV108">
            <v>0</v>
          </cell>
          <cell r="BW108">
            <v>0</v>
          </cell>
          <cell r="BX108">
            <v>0</v>
          </cell>
          <cell r="BY108">
            <v>0</v>
          </cell>
          <cell r="BZ108">
            <v>0</v>
          </cell>
          <cell r="CA108">
            <v>0</v>
          </cell>
          <cell r="CB108">
            <v>0</v>
          </cell>
          <cell r="CC108">
            <v>0</v>
          </cell>
          <cell r="CD108">
            <v>0</v>
          </cell>
          <cell r="CE108">
            <v>0</v>
          </cell>
          <cell r="CF108">
            <v>0</v>
          </cell>
          <cell r="CG108">
            <v>0</v>
          </cell>
          <cell r="CH108">
            <v>0</v>
          </cell>
          <cell r="CI108">
            <v>0</v>
          </cell>
          <cell r="CJ108">
            <v>0</v>
          </cell>
          <cell r="CK108">
            <v>0</v>
          </cell>
          <cell r="CL108">
            <v>0</v>
          </cell>
          <cell r="CM108">
            <v>0</v>
          </cell>
          <cell r="CN108">
            <v>0</v>
          </cell>
          <cell r="CO108">
            <v>0</v>
          </cell>
          <cell r="CP108">
            <v>0</v>
          </cell>
          <cell r="CQ108">
            <v>0</v>
          </cell>
          <cell r="CR108">
            <v>0</v>
          </cell>
          <cell r="CS108">
            <v>0</v>
          </cell>
          <cell r="CV108">
            <v>0</v>
          </cell>
          <cell r="CW108">
            <v>0</v>
          </cell>
          <cell r="CX108">
            <v>0</v>
          </cell>
          <cell r="CY108">
            <v>0</v>
          </cell>
          <cell r="CZ108">
            <v>0</v>
          </cell>
          <cell r="DA108">
            <v>0</v>
          </cell>
          <cell r="DD108">
            <v>0</v>
          </cell>
          <cell r="DE108">
            <v>0</v>
          </cell>
          <cell r="DF108">
            <v>0</v>
          </cell>
          <cell r="DG108">
            <v>0</v>
          </cell>
          <cell r="DH108">
            <v>0</v>
          </cell>
          <cell r="DI108">
            <v>0</v>
          </cell>
          <cell r="DJ108">
            <v>0</v>
          </cell>
          <cell r="DK108">
            <v>0</v>
          </cell>
          <cell r="DL108">
            <v>0</v>
          </cell>
          <cell r="DM108">
            <v>0</v>
          </cell>
          <cell r="DN108">
            <v>0</v>
          </cell>
          <cell r="DQ108">
            <v>0</v>
          </cell>
          <cell r="DR108">
            <v>0</v>
          </cell>
          <cell r="DS108">
            <v>0</v>
          </cell>
          <cell r="DT108">
            <v>0</v>
          </cell>
          <cell r="DU108">
            <v>0</v>
          </cell>
          <cell r="DV108">
            <v>0</v>
          </cell>
          <cell r="DW108">
            <v>0</v>
          </cell>
          <cell r="DX108">
            <v>0</v>
          </cell>
          <cell r="DY108">
            <v>0</v>
          </cell>
          <cell r="DZ108">
            <v>0</v>
          </cell>
          <cell r="EA108">
            <v>0</v>
          </cell>
          <cell r="ED108">
            <v>0</v>
          </cell>
          <cell r="EE108">
            <v>0</v>
          </cell>
          <cell r="EF108">
            <v>0</v>
          </cell>
          <cell r="EG108">
            <v>0</v>
          </cell>
          <cell r="EH108">
            <v>0</v>
          </cell>
          <cell r="EI108">
            <v>0</v>
          </cell>
          <cell r="EJ108">
            <v>0</v>
          </cell>
          <cell r="EK108">
            <v>0</v>
          </cell>
          <cell r="EL108">
            <v>0</v>
          </cell>
          <cell r="EM108">
            <v>0</v>
          </cell>
          <cell r="EN108">
            <v>0</v>
          </cell>
          <cell r="EQ108">
            <v>0</v>
          </cell>
          <cell r="ER108">
            <v>0</v>
          </cell>
          <cell r="ES108">
            <v>0</v>
          </cell>
          <cell r="ET108">
            <v>0</v>
          </cell>
          <cell r="EU108">
            <v>0</v>
          </cell>
          <cell r="EV108">
            <v>0</v>
          </cell>
          <cell r="EW108">
            <v>0</v>
          </cell>
          <cell r="EX108">
            <v>0</v>
          </cell>
          <cell r="EY108">
            <v>0</v>
          </cell>
          <cell r="EZ108">
            <v>0</v>
          </cell>
          <cell r="FA108">
            <v>0</v>
          </cell>
          <cell r="FD108">
            <v>0</v>
          </cell>
          <cell r="FE108">
            <v>0</v>
          </cell>
          <cell r="FF108">
            <v>0</v>
          </cell>
          <cell r="FG108">
            <v>0</v>
          </cell>
          <cell r="FH108">
            <v>0</v>
          </cell>
          <cell r="FI108">
            <v>0</v>
          </cell>
          <cell r="FJ108">
            <v>0</v>
          </cell>
          <cell r="FK108">
            <v>0</v>
          </cell>
          <cell r="FL108">
            <v>0</v>
          </cell>
          <cell r="FM108">
            <v>0</v>
          </cell>
          <cell r="FN108">
            <v>0</v>
          </cell>
          <cell r="FQ108">
            <v>0</v>
          </cell>
          <cell r="FR108">
            <v>0</v>
          </cell>
          <cell r="FS108">
            <v>0</v>
          </cell>
          <cell r="FT108">
            <v>0</v>
          </cell>
          <cell r="FU108">
            <v>0</v>
          </cell>
          <cell r="FV108">
            <v>0</v>
          </cell>
          <cell r="FW108">
            <v>0</v>
          </cell>
          <cell r="FX108">
            <v>0</v>
          </cell>
          <cell r="FY108">
            <v>0</v>
          </cell>
          <cell r="FZ108">
            <v>0</v>
          </cell>
          <cell r="GA108">
            <v>0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</row>
        <row r="109">
          <cell r="B109" t="str">
            <v>Kalgoorlie</v>
          </cell>
          <cell r="C109">
            <v>0</v>
          </cell>
          <cell r="D109">
            <v>1</v>
          </cell>
          <cell r="E109" t="str">
            <v>Neighbourhood</v>
          </cell>
          <cell r="F109" t="str">
            <v>WA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6.3</v>
          </cell>
          <cell r="S109">
            <v>0</v>
          </cell>
          <cell r="T109">
            <v>6.3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0.8</v>
          </cell>
          <cell r="AD109">
            <v>0</v>
          </cell>
          <cell r="AE109">
            <v>0</v>
          </cell>
          <cell r="AF109">
            <v>0.11267605633802819</v>
          </cell>
          <cell r="AG109">
            <v>0</v>
          </cell>
          <cell r="AH109">
            <v>0</v>
          </cell>
          <cell r="AI109">
            <v>0.88732394366197187</v>
          </cell>
          <cell r="AJ109">
            <v>0</v>
          </cell>
          <cell r="AK109">
            <v>0</v>
          </cell>
          <cell r="AN109">
            <v>6.3</v>
          </cell>
          <cell r="AO109">
            <v>7.1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  <cell r="BP109">
            <v>0</v>
          </cell>
          <cell r="BQ109">
            <v>0</v>
          </cell>
          <cell r="BR109">
            <v>0</v>
          </cell>
          <cell r="BS109">
            <v>0</v>
          </cell>
          <cell r="BT109">
            <v>0</v>
          </cell>
          <cell r="BU109">
            <v>6.3</v>
          </cell>
          <cell r="BV109">
            <v>0</v>
          </cell>
          <cell r="BW109">
            <v>0</v>
          </cell>
          <cell r="BX109">
            <v>0</v>
          </cell>
          <cell r="BY109">
            <v>0</v>
          </cell>
          <cell r="BZ109">
            <v>0</v>
          </cell>
          <cell r="CA109">
            <v>0</v>
          </cell>
          <cell r="CB109">
            <v>0</v>
          </cell>
          <cell r="CC109">
            <v>0.8</v>
          </cell>
          <cell r="CD109">
            <v>0</v>
          </cell>
          <cell r="CE109">
            <v>0</v>
          </cell>
          <cell r="CF109">
            <v>0</v>
          </cell>
          <cell r="CG109">
            <v>0</v>
          </cell>
          <cell r="CH109">
            <v>0</v>
          </cell>
          <cell r="CI109">
            <v>0</v>
          </cell>
          <cell r="CJ109">
            <v>0</v>
          </cell>
          <cell r="CK109">
            <v>0</v>
          </cell>
          <cell r="CL109">
            <v>0</v>
          </cell>
          <cell r="CM109">
            <v>0</v>
          </cell>
          <cell r="CN109">
            <v>0</v>
          </cell>
          <cell r="CO109">
            <v>0</v>
          </cell>
          <cell r="CP109">
            <v>0</v>
          </cell>
          <cell r="CQ109">
            <v>0</v>
          </cell>
          <cell r="CR109">
            <v>0</v>
          </cell>
          <cell r="CS109">
            <v>7.1</v>
          </cell>
          <cell r="CV109">
            <v>0</v>
          </cell>
          <cell r="CW109">
            <v>0</v>
          </cell>
          <cell r="CX109">
            <v>0</v>
          </cell>
          <cell r="CY109">
            <v>0</v>
          </cell>
          <cell r="CZ109">
            <v>7.1</v>
          </cell>
          <cell r="DA109">
            <v>0</v>
          </cell>
          <cell r="DD109">
            <v>3.2500000000000001E-2</v>
          </cell>
          <cell r="DE109">
            <v>3.3480818425022367E-2</v>
          </cell>
          <cell r="DF109">
            <v>3.6403596897279768E-2</v>
          </cell>
          <cell r="DG109">
            <v>3.2359447002183045E-2</v>
          </cell>
          <cell r="DH109">
            <v>3.1271739930554508E-2</v>
          </cell>
          <cell r="DI109">
            <v>2.7488046269090145E-2</v>
          </cell>
          <cell r="DJ109">
            <v>2.6109836658996539E-2</v>
          </cell>
          <cell r="DK109">
            <v>2.5909759691511065E-2</v>
          </cell>
          <cell r="DL109">
            <v>2.7890043747624566E-2</v>
          </cell>
          <cell r="DM109">
            <v>3.29689556677197E-2</v>
          </cell>
          <cell r="DN109">
            <v>3.3977733484579185E-2</v>
          </cell>
          <cell r="DQ109">
            <v>0</v>
          </cell>
          <cell r="DR109">
            <v>0</v>
          </cell>
          <cell r="DS109">
            <v>0</v>
          </cell>
          <cell r="DT109">
            <v>0</v>
          </cell>
          <cell r="DU109">
            <v>0</v>
          </cell>
          <cell r="DV109">
            <v>0</v>
          </cell>
          <cell r="DW109">
            <v>0</v>
          </cell>
          <cell r="DX109">
            <v>0</v>
          </cell>
          <cell r="DY109">
            <v>0</v>
          </cell>
          <cell r="DZ109">
            <v>0</v>
          </cell>
          <cell r="EA109">
            <v>0</v>
          </cell>
          <cell r="ED109">
            <v>0</v>
          </cell>
          <cell r="EE109">
            <v>0</v>
          </cell>
          <cell r="EF109">
            <v>0</v>
          </cell>
          <cell r="EG109">
            <v>0</v>
          </cell>
          <cell r="EH109">
            <v>0</v>
          </cell>
          <cell r="EI109">
            <v>0</v>
          </cell>
          <cell r="EJ109">
            <v>0</v>
          </cell>
          <cell r="EK109">
            <v>0</v>
          </cell>
          <cell r="EL109">
            <v>0</v>
          </cell>
          <cell r="EM109">
            <v>0</v>
          </cell>
          <cell r="EN109">
            <v>0</v>
          </cell>
          <cell r="EQ109">
            <v>3.8031318257635824E-2</v>
          </cell>
          <cell r="ER109">
            <v>2.661971830985916E-2</v>
          </cell>
          <cell r="ES109">
            <v>2.661971830985916E-2</v>
          </cell>
          <cell r="ET109">
            <v>3.5492957746478877E-2</v>
          </cell>
          <cell r="EU109">
            <v>3.9929577464788736E-2</v>
          </cell>
          <cell r="EV109">
            <v>3.9929577464788736E-2</v>
          </cell>
          <cell r="EW109">
            <v>3.9929577464788736E-2</v>
          </cell>
          <cell r="EX109">
            <v>3.9929577464788736E-2</v>
          </cell>
          <cell r="EY109">
            <v>3.9929577464788736E-2</v>
          </cell>
          <cell r="EZ109">
            <v>3.9929577464788736E-2</v>
          </cell>
          <cell r="FA109">
            <v>3.9929577464788736E-2</v>
          </cell>
          <cell r="FD109">
            <v>0</v>
          </cell>
          <cell r="FE109">
            <v>0</v>
          </cell>
          <cell r="FF109">
            <v>0</v>
          </cell>
          <cell r="FG109">
            <v>0</v>
          </cell>
          <cell r="FH109">
            <v>0</v>
          </cell>
          <cell r="FI109">
            <v>0</v>
          </cell>
          <cell r="FJ109">
            <v>0</v>
          </cell>
          <cell r="FK109">
            <v>0</v>
          </cell>
          <cell r="FL109">
            <v>0</v>
          </cell>
          <cell r="FM109">
            <v>0</v>
          </cell>
          <cell r="FN109">
            <v>0</v>
          </cell>
          <cell r="FQ109">
            <v>3.8031318257635824E-2</v>
          </cell>
          <cell r="FR109">
            <v>2.661971830985916E-2</v>
          </cell>
          <cell r="FS109">
            <v>2.661971830985916E-2</v>
          </cell>
          <cell r="FT109">
            <v>3.5492957746478877E-2</v>
          </cell>
          <cell r="FU109">
            <v>3.9929577464788736E-2</v>
          </cell>
          <cell r="FV109">
            <v>3.9929577464788736E-2</v>
          </cell>
          <cell r="FW109">
            <v>3.9929577464788736E-2</v>
          </cell>
          <cell r="FX109">
            <v>3.9929577464788736E-2</v>
          </cell>
          <cell r="FY109">
            <v>3.9929577464788736E-2</v>
          </cell>
          <cell r="FZ109">
            <v>3.9929577464788736E-2</v>
          </cell>
          <cell r="GA109">
            <v>3.9929577464788736E-2</v>
          </cell>
          <cell r="GD109">
            <v>3.6925054606108662E-2</v>
          </cell>
          <cell r="GE109">
            <v>2.7991938332891805E-2</v>
          </cell>
          <cell r="GF109">
            <v>2.8576494027343285E-2</v>
          </cell>
          <cell r="GG109">
            <v>3.4866255597619716E-2</v>
          </cell>
          <cell r="GH109">
            <v>3.8198009957941891E-2</v>
          </cell>
          <cell r="GI109">
            <v>3.7441271225649018E-2</v>
          </cell>
          <cell r="GJ109">
            <v>3.7165629303630293E-2</v>
          </cell>
          <cell r="GK109">
            <v>3.71256139101332E-2</v>
          </cell>
          <cell r="GL109">
            <v>3.7521670721355899E-2</v>
          </cell>
          <cell r="GM109">
            <v>3.853745310537493E-2</v>
          </cell>
          <cell r="GN109">
            <v>3.8739208668746826E-2</v>
          </cell>
        </row>
        <row r="110">
          <cell r="B110" t="str">
            <v>Maylands</v>
          </cell>
          <cell r="C110">
            <v>0</v>
          </cell>
          <cell r="D110">
            <v>1</v>
          </cell>
          <cell r="E110" t="str">
            <v>Supermarket Only</v>
          </cell>
          <cell r="F110" t="str">
            <v>WA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2.9</v>
          </cell>
          <cell r="S110">
            <v>2.9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1</v>
          </cell>
          <cell r="AJ110">
            <v>0</v>
          </cell>
          <cell r="AK110">
            <v>0</v>
          </cell>
          <cell r="AN110">
            <v>2.9</v>
          </cell>
          <cell r="AO110">
            <v>2.9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  <cell r="BK110">
            <v>0</v>
          </cell>
          <cell r="BL110">
            <v>0</v>
          </cell>
          <cell r="BM110">
            <v>0</v>
          </cell>
          <cell r="BN110">
            <v>0</v>
          </cell>
          <cell r="BO110">
            <v>0</v>
          </cell>
          <cell r="BP110">
            <v>0</v>
          </cell>
          <cell r="BQ110">
            <v>0</v>
          </cell>
          <cell r="BR110">
            <v>0</v>
          </cell>
          <cell r="BS110">
            <v>0</v>
          </cell>
          <cell r="BT110">
            <v>0</v>
          </cell>
          <cell r="BU110">
            <v>2.9</v>
          </cell>
          <cell r="BV110">
            <v>0</v>
          </cell>
          <cell r="BW110">
            <v>0</v>
          </cell>
          <cell r="BX110">
            <v>0</v>
          </cell>
          <cell r="BY110">
            <v>0</v>
          </cell>
          <cell r="BZ110">
            <v>0</v>
          </cell>
          <cell r="CA110">
            <v>0</v>
          </cell>
          <cell r="CB110">
            <v>0</v>
          </cell>
          <cell r="CC110">
            <v>0</v>
          </cell>
          <cell r="CD110">
            <v>0</v>
          </cell>
          <cell r="CE110">
            <v>0</v>
          </cell>
          <cell r="CF110">
            <v>0</v>
          </cell>
          <cell r="CG110">
            <v>0</v>
          </cell>
          <cell r="CH110">
            <v>0</v>
          </cell>
          <cell r="CI110">
            <v>0</v>
          </cell>
          <cell r="CJ110">
            <v>0</v>
          </cell>
          <cell r="CK110">
            <v>0</v>
          </cell>
          <cell r="CL110">
            <v>0</v>
          </cell>
          <cell r="CM110">
            <v>0</v>
          </cell>
          <cell r="CN110">
            <v>0</v>
          </cell>
          <cell r="CO110">
            <v>0</v>
          </cell>
          <cell r="CP110">
            <v>0</v>
          </cell>
          <cell r="CQ110">
            <v>0</v>
          </cell>
          <cell r="CR110">
            <v>0</v>
          </cell>
          <cell r="CS110">
            <v>2.9</v>
          </cell>
          <cell r="CV110">
            <v>0</v>
          </cell>
          <cell r="CW110">
            <v>0</v>
          </cell>
          <cell r="CX110">
            <v>0</v>
          </cell>
          <cell r="CY110">
            <v>0</v>
          </cell>
          <cell r="CZ110">
            <v>0</v>
          </cell>
          <cell r="DA110">
            <v>2.9</v>
          </cell>
          <cell r="DD110">
            <v>3.2500000000000001E-2</v>
          </cell>
          <cell r="DE110">
            <v>3.3480818425022367E-2</v>
          </cell>
          <cell r="DF110">
            <v>3.6403596897279768E-2</v>
          </cell>
          <cell r="DG110">
            <v>3.2359447002183045E-2</v>
          </cell>
          <cell r="DH110">
            <v>3.1271739930554508E-2</v>
          </cell>
          <cell r="DI110">
            <v>2.7488046269090145E-2</v>
          </cell>
          <cell r="DJ110">
            <v>2.6109836658996539E-2</v>
          </cell>
          <cell r="DK110">
            <v>2.5909759691511065E-2</v>
          </cell>
          <cell r="DL110">
            <v>2.7890043747624566E-2</v>
          </cell>
          <cell r="DM110">
            <v>3.29689556677197E-2</v>
          </cell>
          <cell r="DN110">
            <v>3.3977733484579185E-2</v>
          </cell>
          <cell r="DQ110">
            <v>0</v>
          </cell>
          <cell r="DR110">
            <v>0</v>
          </cell>
          <cell r="DS110">
            <v>0</v>
          </cell>
          <cell r="DT110">
            <v>0</v>
          </cell>
          <cell r="DU110">
            <v>0</v>
          </cell>
          <cell r="DV110">
            <v>0</v>
          </cell>
          <cell r="DW110">
            <v>0</v>
          </cell>
          <cell r="DX110">
            <v>0</v>
          </cell>
          <cell r="DY110">
            <v>0</v>
          </cell>
          <cell r="DZ110">
            <v>0</v>
          </cell>
          <cell r="EA110">
            <v>0</v>
          </cell>
          <cell r="ED110">
            <v>0</v>
          </cell>
          <cell r="EE110">
            <v>0</v>
          </cell>
          <cell r="EF110">
            <v>0</v>
          </cell>
          <cell r="EG110">
            <v>0</v>
          </cell>
          <cell r="EH110">
            <v>0</v>
          </cell>
          <cell r="EI110">
            <v>0</v>
          </cell>
          <cell r="EJ110">
            <v>0</v>
          </cell>
          <cell r="EK110">
            <v>0</v>
          </cell>
          <cell r="EL110">
            <v>0</v>
          </cell>
          <cell r="EM110">
            <v>0</v>
          </cell>
          <cell r="EN110">
            <v>0</v>
          </cell>
          <cell r="EQ110">
            <v>4.2860692004637199E-2</v>
          </cell>
          <cell r="ER110">
            <v>3.0000000000000002E-2</v>
          </cell>
          <cell r="ES110">
            <v>3.0000000000000002E-2</v>
          </cell>
          <cell r="ET110">
            <v>0.04</v>
          </cell>
          <cell r="EU110">
            <v>4.4999999999999998E-2</v>
          </cell>
          <cell r="EV110">
            <v>4.4999999999999998E-2</v>
          </cell>
          <cell r="EW110">
            <v>4.4999999999999998E-2</v>
          </cell>
          <cell r="EX110">
            <v>4.4999999999999998E-2</v>
          </cell>
          <cell r="EY110">
            <v>4.4999999999999998E-2</v>
          </cell>
          <cell r="EZ110">
            <v>4.4999999999999998E-2</v>
          </cell>
          <cell r="FA110">
            <v>4.4999999999999998E-2</v>
          </cell>
          <cell r="FD110">
            <v>0</v>
          </cell>
          <cell r="FE110">
            <v>0</v>
          </cell>
          <cell r="FF110">
            <v>0</v>
          </cell>
          <cell r="FG110">
            <v>0</v>
          </cell>
          <cell r="FH110">
            <v>0</v>
          </cell>
          <cell r="FI110">
            <v>0</v>
          </cell>
          <cell r="FJ110">
            <v>0</v>
          </cell>
          <cell r="FK110">
            <v>0</v>
          </cell>
          <cell r="FL110">
            <v>0</v>
          </cell>
          <cell r="FM110">
            <v>0</v>
          </cell>
          <cell r="FN110">
            <v>0</v>
          </cell>
          <cell r="FQ110">
            <v>4.2860692004637199E-2</v>
          </cell>
          <cell r="FR110">
            <v>3.0000000000000002E-2</v>
          </cell>
          <cell r="FS110">
            <v>3.0000000000000002E-2</v>
          </cell>
          <cell r="FT110">
            <v>0.04</v>
          </cell>
          <cell r="FU110">
            <v>4.4999999999999998E-2</v>
          </cell>
          <cell r="FV110">
            <v>4.4999999999999998E-2</v>
          </cell>
          <cell r="FW110">
            <v>4.4999999999999998E-2</v>
          </cell>
          <cell r="FX110">
            <v>4.4999999999999998E-2</v>
          </cell>
          <cell r="FY110">
            <v>4.4999999999999998E-2</v>
          </cell>
          <cell r="FZ110">
            <v>4.4999999999999998E-2</v>
          </cell>
          <cell r="GA110">
            <v>4.4999999999999998E-2</v>
          </cell>
          <cell r="GD110">
            <v>4.0788553603709761E-2</v>
          </cell>
          <cell r="GE110">
            <v>3.0696163685004479E-2</v>
          </cell>
          <cell r="GF110">
            <v>3.1280719379455958E-2</v>
          </cell>
          <cell r="GG110">
            <v>3.847188940043661E-2</v>
          </cell>
          <cell r="GH110">
            <v>4.2254347986110899E-2</v>
          </cell>
          <cell r="GI110">
            <v>4.1497609253818027E-2</v>
          </cell>
          <cell r="GJ110">
            <v>4.1221967331799308E-2</v>
          </cell>
          <cell r="GK110">
            <v>4.1181951938302208E-2</v>
          </cell>
          <cell r="GL110">
            <v>4.1578008749524914E-2</v>
          </cell>
          <cell r="GM110">
            <v>4.2593791133543939E-2</v>
          </cell>
          <cell r="GN110">
            <v>4.2795546696915834E-2</v>
          </cell>
        </row>
        <row r="111">
          <cell r="B111" t="str">
            <v>Narrogin</v>
          </cell>
          <cell r="C111">
            <v>0</v>
          </cell>
          <cell r="D111">
            <v>1</v>
          </cell>
          <cell r="E111" t="str">
            <v>Supermarket Only</v>
          </cell>
          <cell r="F111" t="str">
            <v>WA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3.1</v>
          </cell>
          <cell r="S111">
            <v>3.1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1</v>
          </cell>
          <cell r="AJ111">
            <v>0</v>
          </cell>
          <cell r="AK111">
            <v>0</v>
          </cell>
          <cell r="AN111">
            <v>3.1</v>
          </cell>
          <cell r="AO111">
            <v>3.1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  <cell r="BK111">
            <v>0</v>
          </cell>
          <cell r="BL111">
            <v>0</v>
          </cell>
          <cell r="BM111">
            <v>0</v>
          </cell>
          <cell r="BN111">
            <v>0</v>
          </cell>
          <cell r="BO111">
            <v>0</v>
          </cell>
          <cell r="BP111">
            <v>0</v>
          </cell>
          <cell r="BQ111">
            <v>0</v>
          </cell>
          <cell r="BR111">
            <v>0</v>
          </cell>
          <cell r="BS111">
            <v>0</v>
          </cell>
          <cell r="BT111">
            <v>0</v>
          </cell>
          <cell r="BU111">
            <v>3.1</v>
          </cell>
          <cell r="BV111">
            <v>0</v>
          </cell>
          <cell r="BW111">
            <v>0</v>
          </cell>
          <cell r="BX111">
            <v>0</v>
          </cell>
          <cell r="BY111">
            <v>0</v>
          </cell>
          <cell r="BZ111">
            <v>0</v>
          </cell>
          <cell r="CA111">
            <v>0</v>
          </cell>
          <cell r="CB111">
            <v>0</v>
          </cell>
          <cell r="CC111">
            <v>0</v>
          </cell>
          <cell r="CD111">
            <v>0</v>
          </cell>
          <cell r="CE111">
            <v>0</v>
          </cell>
          <cell r="CF111">
            <v>0</v>
          </cell>
          <cell r="CG111">
            <v>0</v>
          </cell>
          <cell r="CH111">
            <v>0</v>
          </cell>
          <cell r="CI111">
            <v>0</v>
          </cell>
          <cell r="CJ111">
            <v>0</v>
          </cell>
          <cell r="CK111">
            <v>0</v>
          </cell>
          <cell r="CL111">
            <v>0</v>
          </cell>
          <cell r="CM111">
            <v>0</v>
          </cell>
          <cell r="CN111">
            <v>0</v>
          </cell>
          <cell r="CO111">
            <v>0</v>
          </cell>
          <cell r="CP111">
            <v>0</v>
          </cell>
          <cell r="CQ111">
            <v>0</v>
          </cell>
          <cell r="CR111">
            <v>0</v>
          </cell>
          <cell r="CS111">
            <v>3.1</v>
          </cell>
          <cell r="CV111">
            <v>0</v>
          </cell>
          <cell r="CW111">
            <v>0</v>
          </cell>
          <cell r="CX111">
            <v>0</v>
          </cell>
          <cell r="CY111">
            <v>0</v>
          </cell>
          <cell r="CZ111">
            <v>0</v>
          </cell>
          <cell r="DA111">
            <v>3.1</v>
          </cell>
          <cell r="DD111">
            <v>3.2500000000000001E-2</v>
          </cell>
          <cell r="DE111">
            <v>3.3480818425022367E-2</v>
          </cell>
          <cell r="DF111">
            <v>3.6403596897279768E-2</v>
          </cell>
          <cell r="DG111">
            <v>3.2359447002183045E-2</v>
          </cell>
          <cell r="DH111">
            <v>3.1271739930554508E-2</v>
          </cell>
          <cell r="DI111">
            <v>2.7488046269090145E-2</v>
          </cell>
          <cell r="DJ111">
            <v>2.6109836658996539E-2</v>
          </cell>
          <cell r="DK111">
            <v>2.5909759691511065E-2</v>
          </cell>
          <cell r="DL111">
            <v>2.7890043747624566E-2</v>
          </cell>
          <cell r="DM111">
            <v>3.29689556677197E-2</v>
          </cell>
          <cell r="DN111">
            <v>3.3977733484579185E-2</v>
          </cell>
          <cell r="DQ111">
            <v>0</v>
          </cell>
          <cell r="DR111">
            <v>0</v>
          </cell>
          <cell r="DS111">
            <v>0</v>
          </cell>
          <cell r="DT111">
            <v>0</v>
          </cell>
          <cell r="DU111">
            <v>0</v>
          </cell>
          <cell r="DV111">
            <v>0</v>
          </cell>
          <cell r="DW111">
            <v>0</v>
          </cell>
          <cell r="DX111">
            <v>0</v>
          </cell>
          <cell r="DY111">
            <v>0</v>
          </cell>
          <cell r="DZ111">
            <v>0</v>
          </cell>
          <cell r="EA111">
            <v>0</v>
          </cell>
          <cell r="ED111">
            <v>0</v>
          </cell>
          <cell r="EE111">
            <v>0</v>
          </cell>
          <cell r="EF111">
            <v>0</v>
          </cell>
          <cell r="EG111">
            <v>0</v>
          </cell>
          <cell r="EH111">
            <v>0</v>
          </cell>
          <cell r="EI111">
            <v>0</v>
          </cell>
          <cell r="EJ111">
            <v>0</v>
          </cell>
          <cell r="EK111">
            <v>0</v>
          </cell>
          <cell r="EL111">
            <v>0</v>
          </cell>
          <cell r="EM111">
            <v>0</v>
          </cell>
          <cell r="EN111">
            <v>0</v>
          </cell>
          <cell r="EQ111">
            <v>4.2860692004637199E-2</v>
          </cell>
          <cell r="ER111">
            <v>3.0000000000000002E-2</v>
          </cell>
          <cell r="ES111">
            <v>3.0000000000000002E-2</v>
          </cell>
          <cell r="ET111">
            <v>0.04</v>
          </cell>
          <cell r="EU111">
            <v>4.4999999999999998E-2</v>
          </cell>
          <cell r="EV111">
            <v>4.4999999999999998E-2</v>
          </cell>
          <cell r="EW111">
            <v>4.4999999999999998E-2</v>
          </cell>
          <cell r="EX111">
            <v>4.4999999999999998E-2</v>
          </cell>
          <cell r="EY111">
            <v>4.4999999999999998E-2</v>
          </cell>
          <cell r="EZ111">
            <v>4.4999999999999998E-2</v>
          </cell>
          <cell r="FA111">
            <v>4.4999999999999998E-2</v>
          </cell>
          <cell r="FD111">
            <v>0</v>
          </cell>
          <cell r="FE111">
            <v>0</v>
          </cell>
          <cell r="FF111">
            <v>0</v>
          </cell>
          <cell r="FG111">
            <v>0</v>
          </cell>
          <cell r="FH111">
            <v>0</v>
          </cell>
          <cell r="FI111">
            <v>0</v>
          </cell>
          <cell r="FJ111">
            <v>0</v>
          </cell>
          <cell r="FK111">
            <v>0</v>
          </cell>
          <cell r="FL111">
            <v>0</v>
          </cell>
          <cell r="FM111">
            <v>0</v>
          </cell>
          <cell r="FN111">
            <v>0</v>
          </cell>
          <cell r="FQ111">
            <v>4.2860692004637199E-2</v>
          </cell>
          <cell r="FR111">
            <v>3.0000000000000002E-2</v>
          </cell>
          <cell r="FS111">
            <v>3.0000000000000002E-2</v>
          </cell>
          <cell r="FT111">
            <v>0.04</v>
          </cell>
          <cell r="FU111">
            <v>4.4999999999999998E-2</v>
          </cell>
          <cell r="FV111">
            <v>4.4999999999999998E-2</v>
          </cell>
          <cell r="FW111">
            <v>4.4999999999999998E-2</v>
          </cell>
          <cell r="FX111">
            <v>4.4999999999999998E-2</v>
          </cell>
          <cell r="FY111">
            <v>4.4999999999999998E-2</v>
          </cell>
          <cell r="FZ111">
            <v>4.4999999999999998E-2</v>
          </cell>
          <cell r="GA111">
            <v>4.4999999999999998E-2</v>
          </cell>
          <cell r="GD111">
            <v>4.0788553603709761E-2</v>
          </cell>
          <cell r="GE111">
            <v>3.0696163685004479E-2</v>
          </cell>
          <cell r="GF111">
            <v>3.1280719379455958E-2</v>
          </cell>
          <cell r="GG111">
            <v>3.847188940043661E-2</v>
          </cell>
          <cell r="GH111">
            <v>4.2254347986110899E-2</v>
          </cell>
          <cell r="GI111">
            <v>4.1497609253818027E-2</v>
          </cell>
          <cell r="GJ111">
            <v>4.1221967331799308E-2</v>
          </cell>
          <cell r="GK111">
            <v>4.1181951938302208E-2</v>
          </cell>
          <cell r="GL111">
            <v>4.1578008749524914E-2</v>
          </cell>
          <cell r="GM111">
            <v>4.2593791133543939E-2</v>
          </cell>
          <cell r="GN111">
            <v>4.2795546696915834E-2</v>
          </cell>
        </row>
        <row r="112">
          <cell r="B112" t="str">
            <v>Monbulk-Woolies</v>
          </cell>
          <cell r="C112">
            <v>0</v>
          </cell>
          <cell r="D112">
            <v>1</v>
          </cell>
          <cell r="E112" t="str">
            <v>Supermarket Only</v>
          </cell>
          <cell r="F112" t="str">
            <v>VIC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2.5</v>
          </cell>
          <cell r="S112">
            <v>0</v>
          </cell>
          <cell r="T112">
            <v>2.5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1</v>
          </cell>
          <cell r="AJ112">
            <v>0</v>
          </cell>
          <cell r="AK112">
            <v>0</v>
          </cell>
          <cell r="AN112">
            <v>2.5</v>
          </cell>
          <cell r="AO112">
            <v>2.5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  <cell r="BK112">
            <v>0</v>
          </cell>
          <cell r="BL112">
            <v>0</v>
          </cell>
          <cell r="BM112">
            <v>0</v>
          </cell>
          <cell r="BN112">
            <v>0</v>
          </cell>
          <cell r="BO112">
            <v>0</v>
          </cell>
          <cell r="BP112">
            <v>2.5</v>
          </cell>
          <cell r="BQ112">
            <v>0</v>
          </cell>
          <cell r="BR112">
            <v>0</v>
          </cell>
          <cell r="BS112">
            <v>0</v>
          </cell>
          <cell r="BT112">
            <v>0</v>
          </cell>
          <cell r="BU112">
            <v>0</v>
          </cell>
          <cell r="BV112">
            <v>0</v>
          </cell>
          <cell r="BW112">
            <v>0</v>
          </cell>
          <cell r="BX112">
            <v>0</v>
          </cell>
          <cell r="BY112">
            <v>0</v>
          </cell>
          <cell r="BZ112">
            <v>0</v>
          </cell>
          <cell r="CA112">
            <v>0</v>
          </cell>
          <cell r="CB112">
            <v>0</v>
          </cell>
          <cell r="CC112">
            <v>0</v>
          </cell>
          <cell r="CD112">
            <v>0</v>
          </cell>
          <cell r="CE112">
            <v>0</v>
          </cell>
          <cell r="CF112">
            <v>0</v>
          </cell>
          <cell r="CG112">
            <v>0</v>
          </cell>
          <cell r="CH112">
            <v>0</v>
          </cell>
          <cell r="CI112">
            <v>0</v>
          </cell>
          <cell r="CJ112">
            <v>0</v>
          </cell>
          <cell r="CK112">
            <v>0</v>
          </cell>
          <cell r="CL112">
            <v>0</v>
          </cell>
          <cell r="CM112">
            <v>0</v>
          </cell>
          <cell r="CN112">
            <v>2.5</v>
          </cell>
          <cell r="CO112">
            <v>0</v>
          </cell>
          <cell r="CP112">
            <v>0</v>
          </cell>
          <cell r="CQ112">
            <v>0</v>
          </cell>
          <cell r="CR112">
            <v>0</v>
          </cell>
          <cell r="CS112">
            <v>0</v>
          </cell>
          <cell r="CV112">
            <v>0</v>
          </cell>
          <cell r="CW112">
            <v>0</v>
          </cell>
          <cell r="CX112">
            <v>0</v>
          </cell>
          <cell r="CY112">
            <v>0</v>
          </cell>
          <cell r="CZ112">
            <v>0</v>
          </cell>
          <cell r="DA112">
            <v>2.5</v>
          </cell>
          <cell r="DD112">
            <v>3.5000000000000003E-2</v>
          </cell>
          <cell r="DE112">
            <v>3.8480818425022364E-2</v>
          </cell>
          <cell r="DF112">
            <v>4.1403596897279765E-2</v>
          </cell>
          <cell r="DG112">
            <v>3.2359447002183045E-2</v>
          </cell>
          <cell r="DH112">
            <v>2.6271739930554507E-2</v>
          </cell>
          <cell r="DI112">
            <v>2.2488046269090144E-2</v>
          </cell>
          <cell r="DJ112">
            <v>2.1109836658996538E-2</v>
          </cell>
          <cell r="DK112">
            <v>2.0909759691511064E-2</v>
          </cell>
          <cell r="DL112">
            <v>2.2890043747624565E-2</v>
          </cell>
          <cell r="DM112">
            <v>2.7968955667719699E-2</v>
          </cell>
          <cell r="DN112">
            <v>2.8977733484579184E-2</v>
          </cell>
          <cell r="DQ112">
            <v>0</v>
          </cell>
          <cell r="DR112">
            <v>0</v>
          </cell>
          <cell r="DS112">
            <v>0</v>
          </cell>
          <cell r="DT112">
            <v>0</v>
          </cell>
          <cell r="DU112">
            <v>0</v>
          </cell>
          <cell r="DV112">
            <v>0</v>
          </cell>
          <cell r="DW112">
            <v>0</v>
          </cell>
          <cell r="DX112">
            <v>0</v>
          </cell>
          <cell r="DY112">
            <v>0</v>
          </cell>
          <cell r="DZ112">
            <v>0</v>
          </cell>
          <cell r="EA112">
            <v>0</v>
          </cell>
          <cell r="ED112">
            <v>0</v>
          </cell>
          <cell r="EE112">
            <v>0</v>
          </cell>
          <cell r="EF112">
            <v>0</v>
          </cell>
          <cell r="EG112">
            <v>0</v>
          </cell>
          <cell r="EH112">
            <v>0</v>
          </cell>
          <cell r="EI112">
            <v>0</v>
          </cell>
          <cell r="EJ112">
            <v>0</v>
          </cell>
          <cell r="EK112">
            <v>0</v>
          </cell>
          <cell r="EL112">
            <v>0</v>
          </cell>
          <cell r="EM112">
            <v>0</v>
          </cell>
          <cell r="EN112">
            <v>0</v>
          </cell>
          <cell r="EQ112">
            <v>4.5360692004637201E-2</v>
          </cell>
          <cell r="ER112">
            <v>3.5000000000000003E-2</v>
          </cell>
          <cell r="ES112">
            <v>3.5000000000000003E-2</v>
          </cell>
          <cell r="ET112">
            <v>0.04</v>
          </cell>
          <cell r="EU112">
            <v>0.04</v>
          </cell>
          <cell r="EV112">
            <v>0.04</v>
          </cell>
          <cell r="EW112">
            <v>0.04</v>
          </cell>
          <cell r="EX112">
            <v>0.04</v>
          </cell>
          <cell r="EY112">
            <v>0.04</v>
          </cell>
          <cell r="EZ112">
            <v>0.04</v>
          </cell>
          <cell r="FA112">
            <v>0.04</v>
          </cell>
          <cell r="FD112">
            <v>0</v>
          </cell>
          <cell r="FE112">
            <v>0</v>
          </cell>
          <cell r="FF112">
            <v>0</v>
          </cell>
          <cell r="FG112">
            <v>0</v>
          </cell>
          <cell r="FH112">
            <v>0</v>
          </cell>
          <cell r="FI112">
            <v>0</v>
          </cell>
          <cell r="FJ112">
            <v>0</v>
          </cell>
          <cell r="FK112">
            <v>0</v>
          </cell>
          <cell r="FL112">
            <v>0</v>
          </cell>
          <cell r="FM112">
            <v>0</v>
          </cell>
          <cell r="FN112">
            <v>0</v>
          </cell>
          <cell r="FQ112">
            <v>4.5360692004637201E-2</v>
          </cell>
          <cell r="FR112">
            <v>3.5000000000000003E-2</v>
          </cell>
          <cell r="FS112">
            <v>3.5000000000000003E-2</v>
          </cell>
          <cell r="FT112">
            <v>0.04</v>
          </cell>
          <cell r="FU112">
            <v>0.04</v>
          </cell>
          <cell r="FV112">
            <v>0.04</v>
          </cell>
          <cell r="FW112">
            <v>0.04</v>
          </cell>
          <cell r="FX112">
            <v>0.04</v>
          </cell>
          <cell r="FY112">
            <v>0.04</v>
          </cell>
          <cell r="FZ112">
            <v>0.04</v>
          </cell>
          <cell r="GA112">
            <v>0.04</v>
          </cell>
          <cell r="GD112">
            <v>4.3288553603709763E-2</v>
          </cell>
          <cell r="GE112">
            <v>3.569616368500448E-2</v>
          </cell>
          <cell r="GF112">
            <v>3.6280719379455956E-2</v>
          </cell>
          <cell r="GG112">
            <v>3.847188940043661E-2</v>
          </cell>
          <cell r="GH112">
            <v>3.7254347986110901E-2</v>
          </cell>
          <cell r="GI112">
            <v>3.6497609253818029E-2</v>
          </cell>
          <cell r="GJ112">
            <v>3.6221967331799311E-2</v>
          </cell>
          <cell r="GK112">
            <v>3.6181951938302211E-2</v>
          </cell>
          <cell r="GL112">
            <v>3.6578008749524916E-2</v>
          </cell>
          <cell r="GM112">
            <v>3.7593791133543941E-2</v>
          </cell>
          <cell r="GN112">
            <v>3.7795546696915837E-2</v>
          </cell>
        </row>
        <row r="113"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  <cell r="BP113">
            <v>0</v>
          </cell>
          <cell r="BQ113">
            <v>0</v>
          </cell>
          <cell r="BR113">
            <v>0</v>
          </cell>
          <cell r="BS113">
            <v>0</v>
          </cell>
          <cell r="BT113">
            <v>0</v>
          </cell>
          <cell r="BU113">
            <v>0</v>
          </cell>
          <cell r="BV113">
            <v>0</v>
          </cell>
          <cell r="BW113">
            <v>0</v>
          </cell>
          <cell r="BX113">
            <v>0</v>
          </cell>
          <cell r="BY113">
            <v>0</v>
          </cell>
          <cell r="BZ113">
            <v>0</v>
          </cell>
          <cell r="CA113">
            <v>0</v>
          </cell>
          <cell r="CB113">
            <v>0</v>
          </cell>
          <cell r="CC113">
            <v>0</v>
          </cell>
          <cell r="CD113">
            <v>0</v>
          </cell>
          <cell r="CE113">
            <v>0</v>
          </cell>
          <cell r="CF113">
            <v>0</v>
          </cell>
          <cell r="CG113">
            <v>0</v>
          </cell>
          <cell r="CH113">
            <v>0</v>
          </cell>
          <cell r="CI113">
            <v>0</v>
          </cell>
          <cell r="CJ113">
            <v>0</v>
          </cell>
          <cell r="CK113">
            <v>0</v>
          </cell>
          <cell r="CL113">
            <v>0</v>
          </cell>
          <cell r="CM113">
            <v>0</v>
          </cell>
          <cell r="CN113">
            <v>0</v>
          </cell>
          <cell r="CO113">
            <v>0</v>
          </cell>
          <cell r="CP113">
            <v>0</v>
          </cell>
          <cell r="CQ113">
            <v>0</v>
          </cell>
          <cell r="CR113">
            <v>0</v>
          </cell>
          <cell r="CS113">
            <v>0</v>
          </cell>
          <cell r="CV113">
            <v>0</v>
          </cell>
          <cell r="CW113">
            <v>0</v>
          </cell>
          <cell r="CX113">
            <v>0</v>
          </cell>
          <cell r="CY113">
            <v>0</v>
          </cell>
          <cell r="CZ113">
            <v>0</v>
          </cell>
          <cell r="DA113">
            <v>0</v>
          </cell>
          <cell r="DD113">
            <v>0</v>
          </cell>
          <cell r="DE113">
            <v>0</v>
          </cell>
          <cell r="DF113">
            <v>0</v>
          </cell>
          <cell r="DG113">
            <v>0</v>
          </cell>
          <cell r="DH113">
            <v>0</v>
          </cell>
          <cell r="DI113">
            <v>0</v>
          </cell>
          <cell r="DJ113">
            <v>0</v>
          </cell>
          <cell r="DK113">
            <v>0</v>
          </cell>
          <cell r="DL113">
            <v>0</v>
          </cell>
          <cell r="DM113">
            <v>0</v>
          </cell>
          <cell r="DN113">
            <v>0</v>
          </cell>
          <cell r="DQ113">
            <v>0</v>
          </cell>
          <cell r="DR113">
            <v>0</v>
          </cell>
          <cell r="DS113">
            <v>0</v>
          </cell>
          <cell r="DT113">
            <v>0</v>
          </cell>
          <cell r="DU113">
            <v>0</v>
          </cell>
          <cell r="DV113">
            <v>0</v>
          </cell>
          <cell r="DW113">
            <v>0</v>
          </cell>
          <cell r="DX113">
            <v>0</v>
          </cell>
          <cell r="DY113">
            <v>0</v>
          </cell>
          <cell r="DZ113">
            <v>0</v>
          </cell>
          <cell r="EA113">
            <v>0</v>
          </cell>
          <cell r="ED113">
            <v>0</v>
          </cell>
          <cell r="EE113">
            <v>0</v>
          </cell>
          <cell r="EF113">
            <v>0</v>
          </cell>
          <cell r="EG113">
            <v>0</v>
          </cell>
          <cell r="EH113">
            <v>0</v>
          </cell>
          <cell r="EI113">
            <v>0</v>
          </cell>
          <cell r="EJ113">
            <v>0</v>
          </cell>
          <cell r="EK113">
            <v>0</v>
          </cell>
          <cell r="EL113">
            <v>0</v>
          </cell>
          <cell r="EM113">
            <v>0</v>
          </cell>
          <cell r="EN113">
            <v>0</v>
          </cell>
          <cell r="EQ113">
            <v>0</v>
          </cell>
          <cell r="ER113">
            <v>0</v>
          </cell>
          <cell r="ES113">
            <v>0</v>
          </cell>
          <cell r="ET113">
            <v>0</v>
          </cell>
          <cell r="EU113">
            <v>0</v>
          </cell>
          <cell r="EV113">
            <v>0</v>
          </cell>
          <cell r="EW113">
            <v>0</v>
          </cell>
          <cell r="EX113">
            <v>0</v>
          </cell>
          <cell r="EY113">
            <v>0</v>
          </cell>
          <cell r="EZ113">
            <v>0</v>
          </cell>
          <cell r="FA113">
            <v>0</v>
          </cell>
          <cell r="FD113">
            <v>0</v>
          </cell>
          <cell r="FE113">
            <v>0</v>
          </cell>
          <cell r="FF113">
            <v>0</v>
          </cell>
          <cell r="FG113">
            <v>0</v>
          </cell>
          <cell r="FH113">
            <v>0</v>
          </cell>
          <cell r="FI113">
            <v>0</v>
          </cell>
          <cell r="FJ113">
            <v>0</v>
          </cell>
          <cell r="FK113">
            <v>0</v>
          </cell>
          <cell r="FL113">
            <v>0</v>
          </cell>
          <cell r="FM113">
            <v>0</v>
          </cell>
          <cell r="FN113">
            <v>0</v>
          </cell>
          <cell r="FQ113">
            <v>0</v>
          </cell>
          <cell r="FR113">
            <v>0</v>
          </cell>
          <cell r="FS113">
            <v>0</v>
          </cell>
          <cell r="FT113">
            <v>0</v>
          </cell>
          <cell r="FU113">
            <v>0</v>
          </cell>
          <cell r="FV113">
            <v>0</v>
          </cell>
          <cell r="FW113">
            <v>0</v>
          </cell>
          <cell r="FX113">
            <v>0</v>
          </cell>
          <cell r="FY113">
            <v>0</v>
          </cell>
          <cell r="FZ113">
            <v>0</v>
          </cell>
          <cell r="GA113">
            <v>0</v>
          </cell>
          <cell r="GD113">
            <v>0</v>
          </cell>
          <cell r="GE113">
            <v>0</v>
          </cell>
          <cell r="GF113">
            <v>0</v>
          </cell>
          <cell r="GG113">
            <v>0</v>
          </cell>
          <cell r="GH113">
            <v>0</v>
          </cell>
          <cell r="GI113">
            <v>0</v>
          </cell>
          <cell r="GJ113">
            <v>0</v>
          </cell>
          <cell r="GK113">
            <v>0</v>
          </cell>
          <cell r="GL113">
            <v>0</v>
          </cell>
          <cell r="GM113">
            <v>0</v>
          </cell>
          <cell r="GN113">
            <v>0</v>
          </cell>
        </row>
        <row r="162"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P162">
            <v>0</v>
          </cell>
          <cell r="BQ162">
            <v>0</v>
          </cell>
          <cell r="BR162">
            <v>0</v>
          </cell>
          <cell r="BS162">
            <v>0</v>
          </cell>
          <cell r="BT162">
            <v>0</v>
          </cell>
          <cell r="BU162">
            <v>0</v>
          </cell>
          <cell r="BV162">
            <v>0</v>
          </cell>
          <cell r="BW162">
            <v>0</v>
          </cell>
          <cell r="BX162">
            <v>0</v>
          </cell>
          <cell r="BY162">
            <v>0</v>
          </cell>
          <cell r="BZ162">
            <v>0</v>
          </cell>
          <cell r="CA162">
            <v>0</v>
          </cell>
          <cell r="CB162">
            <v>0</v>
          </cell>
          <cell r="CC162">
            <v>0</v>
          </cell>
          <cell r="CD162">
            <v>0</v>
          </cell>
          <cell r="CE162">
            <v>0</v>
          </cell>
          <cell r="CF162">
            <v>0</v>
          </cell>
          <cell r="CG162">
            <v>0</v>
          </cell>
          <cell r="CH162">
            <v>0</v>
          </cell>
          <cell r="CI162">
            <v>0</v>
          </cell>
          <cell r="CJ162">
            <v>0</v>
          </cell>
          <cell r="CK162">
            <v>0</v>
          </cell>
          <cell r="CL162">
            <v>0</v>
          </cell>
          <cell r="CM162">
            <v>0</v>
          </cell>
          <cell r="CN162">
            <v>0</v>
          </cell>
          <cell r="CO162">
            <v>0</v>
          </cell>
          <cell r="CP162">
            <v>0</v>
          </cell>
          <cell r="CQ162">
            <v>0</v>
          </cell>
          <cell r="CR162">
            <v>0</v>
          </cell>
          <cell r="CS162">
            <v>0</v>
          </cell>
          <cell r="CV162">
            <v>0</v>
          </cell>
          <cell r="CW162">
            <v>0</v>
          </cell>
          <cell r="CX162">
            <v>0</v>
          </cell>
          <cell r="CY162">
            <v>0</v>
          </cell>
          <cell r="CZ162">
            <v>0</v>
          </cell>
          <cell r="DA162">
            <v>0</v>
          </cell>
          <cell r="DD162">
            <v>0</v>
          </cell>
          <cell r="DE162">
            <v>0</v>
          </cell>
          <cell r="DF162">
            <v>0</v>
          </cell>
          <cell r="DG162">
            <v>0</v>
          </cell>
          <cell r="DH162">
            <v>0</v>
          </cell>
          <cell r="DI162">
            <v>0</v>
          </cell>
          <cell r="DJ162">
            <v>0</v>
          </cell>
          <cell r="DK162">
            <v>0</v>
          </cell>
          <cell r="DL162">
            <v>0</v>
          </cell>
          <cell r="DM162">
            <v>0</v>
          </cell>
          <cell r="DN162">
            <v>0</v>
          </cell>
          <cell r="DQ162">
            <v>0</v>
          </cell>
          <cell r="DR162">
            <v>0</v>
          </cell>
          <cell r="DS162">
            <v>0</v>
          </cell>
          <cell r="DT162">
            <v>0</v>
          </cell>
          <cell r="DU162">
            <v>0</v>
          </cell>
          <cell r="DV162">
            <v>0</v>
          </cell>
          <cell r="DW162">
            <v>0</v>
          </cell>
          <cell r="DX162">
            <v>0</v>
          </cell>
          <cell r="DY162">
            <v>0</v>
          </cell>
          <cell r="DZ162">
            <v>0</v>
          </cell>
          <cell r="EA162">
            <v>0</v>
          </cell>
          <cell r="ED162">
            <v>0</v>
          </cell>
          <cell r="EE162">
            <v>0</v>
          </cell>
          <cell r="EF162">
            <v>0</v>
          </cell>
          <cell r="EG162">
            <v>0</v>
          </cell>
          <cell r="EH162">
            <v>0</v>
          </cell>
          <cell r="EI162">
            <v>0</v>
          </cell>
          <cell r="EJ162">
            <v>0</v>
          </cell>
          <cell r="EK162">
            <v>0</v>
          </cell>
          <cell r="EL162">
            <v>0</v>
          </cell>
          <cell r="EM162">
            <v>0</v>
          </cell>
          <cell r="EN162">
            <v>0</v>
          </cell>
          <cell r="EQ162">
            <v>0</v>
          </cell>
          <cell r="ER162">
            <v>0</v>
          </cell>
          <cell r="ES162">
            <v>0</v>
          </cell>
          <cell r="ET162">
            <v>0</v>
          </cell>
          <cell r="EU162">
            <v>0</v>
          </cell>
          <cell r="EV162">
            <v>0</v>
          </cell>
          <cell r="EW162">
            <v>0</v>
          </cell>
          <cell r="EX162">
            <v>0</v>
          </cell>
          <cell r="EY162">
            <v>0</v>
          </cell>
          <cell r="EZ162">
            <v>0</v>
          </cell>
          <cell r="FA162">
            <v>0</v>
          </cell>
          <cell r="FD162">
            <v>0</v>
          </cell>
          <cell r="FE162">
            <v>0</v>
          </cell>
          <cell r="FF162">
            <v>0</v>
          </cell>
          <cell r="FG162">
            <v>0</v>
          </cell>
          <cell r="FH162">
            <v>0</v>
          </cell>
          <cell r="FI162">
            <v>0</v>
          </cell>
          <cell r="FJ162">
            <v>0</v>
          </cell>
          <cell r="FK162">
            <v>0</v>
          </cell>
          <cell r="FL162">
            <v>0</v>
          </cell>
          <cell r="FM162">
            <v>0</v>
          </cell>
          <cell r="FN162">
            <v>0</v>
          </cell>
          <cell r="FQ162">
            <v>0</v>
          </cell>
          <cell r="FR162">
            <v>0</v>
          </cell>
          <cell r="FS162">
            <v>0</v>
          </cell>
          <cell r="FT162">
            <v>0</v>
          </cell>
          <cell r="FU162">
            <v>0</v>
          </cell>
          <cell r="FV162">
            <v>0</v>
          </cell>
          <cell r="FW162">
            <v>0</v>
          </cell>
          <cell r="FX162">
            <v>0</v>
          </cell>
          <cell r="FY162">
            <v>0</v>
          </cell>
          <cell r="FZ162">
            <v>0</v>
          </cell>
          <cell r="GA162">
            <v>0</v>
          </cell>
          <cell r="GD162">
            <v>0</v>
          </cell>
          <cell r="GE162">
            <v>0</v>
          </cell>
          <cell r="GF162">
            <v>0</v>
          </cell>
          <cell r="GG162">
            <v>0</v>
          </cell>
          <cell r="GH162">
            <v>0</v>
          </cell>
          <cell r="GI162">
            <v>0</v>
          </cell>
          <cell r="GJ162">
            <v>0</v>
          </cell>
          <cell r="GK162">
            <v>0</v>
          </cell>
          <cell r="GL162">
            <v>0</v>
          </cell>
          <cell r="GM162">
            <v>0</v>
          </cell>
          <cell r="GN162">
            <v>0</v>
          </cell>
        </row>
        <row r="163"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  <cell r="BK163">
            <v>0</v>
          </cell>
          <cell r="BL163">
            <v>0</v>
          </cell>
          <cell r="BM163">
            <v>0</v>
          </cell>
          <cell r="BN163">
            <v>0</v>
          </cell>
          <cell r="BO163">
            <v>0</v>
          </cell>
          <cell r="BP163">
            <v>0</v>
          </cell>
          <cell r="BQ163">
            <v>0</v>
          </cell>
          <cell r="BR163">
            <v>0</v>
          </cell>
          <cell r="BS163">
            <v>0</v>
          </cell>
          <cell r="BT163">
            <v>0</v>
          </cell>
          <cell r="BU163">
            <v>0</v>
          </cell>
          <cell r="BV163">
            <v>0</v>
          </cell>
          <cell r="BW163">
            <v>0</v>
          </cell>
          <cell r="BX163">
            <v>0</v>
          </cell>
          <cell r="BY163">
            <v>0</v>
          </cell>
          <cell r="BZ163">
            <v>0</v>
          </cell>
          <cell r="CA163">
            <v>0</v>
          </cell>
          <cell r="CB163">
            <v>0</v>
          </cell>
          <cell r="CC163">
            <v>0</v>
          </cell>
          <cell r="CD163">
            <v>0</v>
          </cell>
          <cell r="CE163">
            <v>0</v>
          </cell>
          <cell r="CF163">
            <v>0</v>
          </cell>
          <cell r="CG163">
            <v>0</v>
          </cell>
          <cell r="CH163">
            <v>0</v>
          </cell>
          <cell r="CI163">
            <v>0</v>
          </cell>
          <cell r="CJ163">
            <v>0</v>
          </cell>
          <cell r="CK163">
            <v>0</v>
          </cell>
          <cell r="CL163">
            <v>0</v>
          </cell>
          <cell r="CM163">
            <v>0</v>
          </cell>
          <cell r="CN163">
            <v>0</v>
          </cell>
          <cell r="CO163">
            <v>0</v>
          </cell>
          <cell r="CP163">
            <v>0</v>
          </cell>
          <cell r="CQ163">
            <v>0</v>
          </cell>
          <cell r="CR163">
            <v>0</v>
          </cell>
          <cell r="CS163">
            <v>0</v>
          </cell>
          <cell r="CV163">
            <v>0</v>
          </cell>
          <cell r="CW163">
            <v>0</v>
          </cell>
          <cell r="CX163">
            <v>0</v>
          </cell>
          <cell r="CY163">
            <v>0</v>
          </cell>
          <cell r="CZ163">
            <v>0</v>
          </cell>
          <cell r="DA163">
            <v>0</v>
          </cell>
          <cell r="DD163">
            <v>0</v>
          </cell>
          <cell r="DE163">
            <v>0</v>
          </cell>
          <cell r="DF163">
            <v>0</v>
          </cell>
          <cell r="DG163">
            <v>0</v>
          </cell>
          <cell r="DH163">
            <v>0</v>
          </cell>
          <cell r="DI163">
            <v>0</v>
          </cell>
          <cell r="DJ163">
            <v>0</v>
          </cell>
          <cell r="DK163">
            <v>0</v>
          </cell>
          <cell r="DL163">
            <v>0</v>
          </cell>
          <cell r="DM163">
            <v>0</v>
          </cell>
          <cell r="DN163">
            <v>0</v>
          </cell>
          <cell r="DQ163">
            <v>0</v>
          </cell>
          <cell r="DR163">
            <v>0</v>
          </cell>
          <cell r="DS163">
            <v>0</v>
          </cell>
          <cell r="DT163">
            <v>0</v>
          </cell>
          <cell r="DU163">
            <v>0</v>
          </cell>
          <cell r="DV163">
            <v>0</v>
          </cell>
          <cell r="DW163">
            <v>0</v>
          </cell>
          <cell r="DX163">
            <v>0</v>
          </cell>
          <cell r="DY163">
            <v>0</v>
          </cell>
          <cell r="DZ163">
            <v>0</v>
          </cell>
          <cell r="EA163">
            <v>0</v>
          </cell>
          <cell r="ED163">
            <v>0</v>
          </cell>
          <cell r="EE163">
            <v>0</v>
          </cell>
          <cell r="EF163">
            <v>0</v>
          </cell>
          <cell r="EG163">
            <v>0</v>
          </cell>
          <cell r="EH163">
            <v>0</v>
          </cell>
          <cell r="EI163">
            <v>0</v>
          </cell>
          <cell r="EJ163">
            <v>0</v>
          </cell>
          <cell r="EK163">
            <v>0</v>
          </cell>
          <cell r="EL163">
            <v>0</v>
          </cell>
          <cell r="EM163">
            <v>0</v>
          </cell>
          <cell r="EN163">
            <v>0</v>
          </cell>
          <cell r="EQ163">
            <v>0</v>
          </cell>
          <cell r="ER163">
            <v>0</v>
          </cell>
          <cell r="ES163">
            <v>0</v>
          </cell>
          <cell r="ET163">
            <v>0</v>
          </cell>
          <cell r="EU163">
            <v>0</v>
          </cell>
          <cell r="EV163">
            <v>0</v>
          </cell>
          <cell r="EW163">
            <v>0</v>
          </cell>
          <cell r="EX163">
            <v>0</v>
          </cell>
          <cell r="EY163">
            <v>0</v>
          </cell>
          <cell r="EZ163">
            <v>0</v>
          </cell>
          <cell r="FA163">
            <v>0</v>
          </cell>
          <cell r="FD163">
            <v>0</v>
          </cell>
          <cell r="FE163">
            <v>0</v>
          </cell>
          <cell r="FF163">
            <v>0</v>
          </cell>
          <cell r="FG163">
            <v>0</v>
          </cell>
          <cell r="FH163">
            <v>0</v>
          </cell>
          <cell r="FI163">
            <v>0</v>
          </cell>
          <cell r="FJ163">
            <v>0</v>
          </cell>
          <cell r="FK163">
            <v>0</v>
          </cell>
          <cell r="FL163">
            <v>0</v>
          </cell>
          <cell r="FM163">
            <v>0</v>
          </cell>
          <cell r="FN163">
            <v>0</v>
          </cell>
          <cell r="FQ163">
            <v>0</v>
          </cell>
          <cell r="FR163">
            <v>0</v>
          </cell>
          <cell r="FS163">
            <v>0</v>
          </cell>
          <cell r="FT163">
            <v>0</v>
          </cell>
          <cell r="FU163">
            <v>0</v>
          </cell>
          <cell r="FV163">
            <v>0</v>
          </cell>
          <cell r="FW163">
            <v>0</v>
          </cell>
          <cell r="FX163">
            <v>0</v>
          </cell>
          <cell r="FY163">
            <v>0</v>
          </cell>
          <cell r="FZ163">
            <v>0</v>
          </cell>
          <cell r="GA163">
            <v>0</v>
          </cell>
          <cell r="GD163">
            <v>0</v>
          </cell>
          <cell r="GE163">
            <v>0</v>
          </cell>
          <cell r="GF163">
            <v>0</v>
          </cell>
          <cell r="GG163">
            <v>0</v>
          </cell>
          <cell r="GH163">
            <v>0</v>
          </cell>
          <cell r="GI163">
            <v>0</v>
          </cell>
          <cell r="GJ163">
            <v>0</v>
          </cell>
          <cell r="GK163">
            <v>0</v>
          </cell>
          <cell r="GL163">
            <v>0</v>
          </cell>
          <cell r="GM163">
            <v>0</v>
          </cell>
          <cell r="GN163">
            <v>0</v>
          </cell>
        </row>
        <row r="165">
          <cell r="B165" t="str">
            <v>Marketown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 t="e">
            <v>#DIV/0!</v>
          </cell>
          <cell r="AG165" t="e">
            <v>#DIV/0!</v>
          </cell>
          <cell r="AH165" t="e">
            <v>#DIV/0!</v>
          </cell>
          <cell r="AI165" t="e">
            <v>#DIV/0!</v>
          </cell>
          <cell r="AJ165" t="e">
            <v>#DIV/0!</v>
          </cell>
          <cell r="AK165" t="e">
            <v>#DIV/0!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  <cell r="BK165">
            <v>0</v>
          </cell>
          <cell r="BL165">
            <v>0</v>
          </cell>
          <cell r="BM165">
            <v>0</v>
          </cell>
          <cell r="BN165">
            <v>0</v>
          </cell>
          <cell r="BO165">
            <v>0</v>
          </cell>
          <cell r="BP165">
            <v>0</v>
          </cell>
          <cell r="BQ165">
            <v>0</v>
          </cell>
          <cell r="BR165">
            <v>0</v>
          </cell>
          <cell r="BS165">
            <v>0</v>
          </cell>
          <cell r="BT165">
            <v>0</v>
          </cell>
          <cell r="BU165">
            <v>0</v>
          </cell>
          <cell r="BV165">
            <v>0</v>
          </cell>
          <cell r="BW165">
            <v>0</v>
          </cell>
          <cell r="BX165">
            <v>0</v>
          </cell>
          <cell r="BY165">
            <v>0</v>
          </cell>
          <cell r="BZ165">
            <v>0</v>
          </cell>
          <cell r="CA165">
            <v>0</v>
          </cell>
          <cell r="CB165">
            <v>0</v>
          </cell>
          <cell r="CC165">
            <v>0</v>
          </cell>
          <cell r="CD165">
            <v>0</v>
          </cell>
          <cell r="CE165">
            <v>0</v>
          </cell>
          <cell r="CF165">
            <v>0</v>
          </cell>
          <cell r="CG165">
            <v>0</v>
          </cell>
          <cell r="CH165">
            <v>0</v>
          </cell>
          <cell r="CI165">
            <v>0</v>
          </cell>
          <cell r="CJ165">
            <v>0</v>
          </cell>
          <cell r="CK165">
            <v>0</v>
          </cell>
          <cell r="CL165">
            <v>0</v>
          </cell>
          <cell r="CM165">
            <v>0</v>
          </cell>
          <cell r="CN165">
            <v>0</v>
          </cell>
          <cell r="CO165">
            <v>0</v>
          </cell>
          <cell r="CP165">
            <v>0</v>
          </cell>
          <cell r="CQ165">
            <v>0</v>
          </cell>
          <cell r="CR165">
            <v>0</v>
          </cell>
          <cell r="CS165">
            <v>0</v>
          </cell>
          <cell r="CV165">
            <v>0</v>
          </cell>
          <cell r="CW165">
            <v>0</v>
          </cell>
          <cell r="CX165">
            <v>0</v>
          </cell>
          <cell r="CY165">
            <v>0</v>
          </cell>
          <cell r="CZ165">
            <v>0</v>
          </cell>
          <cell r="DA165">
            <v>0</v>
          </cell>
          <cell r="DD165">
            <v>0</v>
          </cell>
          <cell r="DE165">
            <v>0</v>
          </cell>
          <cell r="DF165">
            <v>0</v>
          </cell>
          <cell r="DG165">
            <v>0</v>
          </cell>
          <cell r="DH165">
            <v>0</v>
          </cell>
          <cell r="DI165">
            <v>0</v>
          </cell>
          <cell r="DJ165">
            <v>0</v>
          </cell>
          <cell r="DK165">
            <v>0</v>
          </cell>
          <cell r="DL165">
            <v>0</v>
          </cell>
          <cell r="DM165">
            <v>0</v>
          </cell>
          <cell r="DN165">
            <v>0</v>
          </cell>
          <cell r="DQ165">
            <v>0</v>
          </cell>
          <cell r="DR165">
            <v>0</v>
          </cell>
          <cell r="DS165">
            <v>0</v>
          </cell>
          <cell r="DT165">
            <v>0</v>
          </cell>
          <cell r="DU165">
            <v>0</v>
          </cell>
          <cell r="DV165">
            <v>0</v>
          </cell>
          <cell r="DW165">
            <v>0</v>
          </cell>
          <cell r="DX165">
            <v>0</v>
          </cell>
          <cell r="DY165">
            <v>0</v>
          </cell>
          <cell r="DZ165">
            <v>0</v>
          </cell>
          <cell r="EA165">
            <v>0</v>
          </cell>
          <cell r="ED165">
            <v>0</v>
          </cell>
          <cell r="EE165">
            <v>0</v>
          </cell>
          <cell r="EF165">
            <v>0</v>
          </cell>
          <cell r="EG165">
            <v>0</v>
          </cell>
          <cell r="EH165">
            <v>0</v>
          </cell>
          <cell r="EI165">
            <v>0</v>
          </cell>
          <cell r="EJ165">
            <v>0</v>
          </cell>
          <cell r="EK165">
            <v>0</v>
          </cell>
          <cell r="EL165">
            <v>0</v>
          </cell>
          <cell r="EM165">
            <v>0</v>
          </cell>
          <cell r="EN165">
            <v>0</v>
          </cell>
          <cell r="EQ165">
            <v>0</v>
          </cell>
          <cell r="ER165">
            <v>0</v>
          </cell>
          <cell r="ES165">
            <v>0</v>
          </cell>
          <cell r="ET165">
            <v>0</v>
          </cell>
          <cell r="EU165">
            <v>0</v>
          </cell>
          <cell r="EV165">
            <v>0</v>
          </cell>
          <cell r="EW165">
            <v>0</v>
          </cell>
          <cell r="EX165">
            <v>0</v>
          </cell>
          <cell r="EY165">
            <v>0</v>
          </cell>
          <cell r="EZ165">
            <v>0</v>
          </cell>
          <cell r="FA165">
            <v>0</v>
          </cell>
          <cell r="FD165">
            <v>0</v>
          </cell>
          <cell r="FE165">
            <v>0</v>
          </cell>
          <cell r="FF165">
            <v>0</v>
          </cell>
          <cell r="FG165">
            <v>0</v>
          </cell>
          <cell r="FH165">
            <v>0</v>
          </cell>
          <cell r="FI165">
            <v>0</v>
          </cell>
          <cell r="FJ165">
            <v>0</v>
          </cell>
          <cell r="FK165">
            <v>0</v>
          </cell>
          <cell r="FL165">
            <v>0</v>
          </cell>
          <cell r="FM165">
            <v>0</v>
          </cell>
          <cell r="FN165">
            <v>0</v>
          </cell>
          <cell r="FQ165">
            <v>0</v>
          </cell>
          <cell r="FR165">
            <v>0</v>
          </cell>
          <cell r="FS165">
            <v>0</v>
          </cell>
          <cell r="FT165">
            <v>0</v>
          </cell>
          <cell r="FU165">
            <v>0</v>
          </cell>
          <cell r="FV165">
            <v>0</v>
          </cell>
          <cell r="FW165">
            <v>0</v>
          </cell>
          <cell r="FX165">
            <v>0</v>
          </cell>
          <cell r="FY165">
            <v>0</v>
          </cell>
          <cell r="FZ165">
            <v>0</v>
          </cell>
          <cell r="GA165">
            <v>0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</row>
        <row r="166">
          <cell r="B166" t="str">
            <v>Salamander</v>
          </cell>
          <cell r="C166">
            <v>0</v>
          </cell>
          <cell r="D166">
            <v>1</v>
          </cell>
          <cell r="E166" t="str">
            <v>Neighbourhood</v>
          </cell>
          <cell r="F166" t="str">
            <v>NSW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0.9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0.9</v>
          </cell>
          <cell r="R166">
            <v>2.8</v>
          </cell>
          <cell r="S166">
            <v>0</v>
          </cell>
          <cell r="T166">
            <v>0</v>
          </cell>
          <cell r="U166">
            <v>2.8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2.8</v>
          </cell>
          <cell r="AD166">
            <v>0</v>
          </cell>
          <cell r="AE166">
            <v>0</v>
          </cell>
          <cell r="AF166">
            <v>0.43076923076923074</v>
          </cell>
          <cell r="AG166">
            <v>0</v>
          </cell>
          <cell r="AH166">
            <v>0.13846153846153847</v>
          </cell>
          <cell r="AI166">
            <v>0.43076923076923074</v>
          </cell>
          <cell r="AJ166">
            <v>0</v>
          </cell>
          <cell r="AK166">
            <v>0</v>
          </cell>
          <cell r="AN166">
            <v>0</v>
          </cell>
          <cell r="AO166">
            <v>6.5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0.9</v>
          </cell>
          <cell r="BH166">
            <v>0</v>
          </cell>
          <cell r="BI166">
            <v>0</v>
          </cell>
          <cell r="BJ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2.8</v>
          </cell>
          <cell r="BP166">
            <v>0</v>
          </cell>
          <cell r="BQ166">
            <v>0</v>
          </cell>
          <cell r="BR166">
            <v>0</v>
          </cell>
          <cell r="BS166">
            <v>0</v>
          </cell>
          <cell r="BT166">
            <v>0</v>
          </cell>
          <cell r="BU166">
            <v>0</v>
          </cell>
          <cell r="BV166">
            <v>0</v>
          </cell>
          <cell r="BW166">
            <v>2.8</v>
          </cell>
          <cell r="BX166">
            <v>0</v>
          </cell>
          <cell r="BY166">
            <v>0</v>
          </cell>
          <cell r="BZ166">
            <v>0</v>
          </cell>
          <cell r="CA166">
            <v>0</v>
          </cell>
          <cell r="CB166">
            <v>0</v>
          </cell>
          <cell r="CC166">
            <v>0</v>
          </cell>
          <cell r="CD166">
            <v>0</v>
          </cell>
          <cell r="CE166">
            <v>0</v>
          </cell>
          <cell r="CF166">
            <v>0</v>
          </cell>
          <cell r="CG166">
            <v>0</v>
          </cell>
          <cell r="CH166">
            <v>0</v>
          </cell>
          <cell r="CI166">
            <v>0</v>
          </cell>
          <cell r="CJ166">
            <v>0</v>
          </cell>
          <cell r="CK166">
            <v>0</v>
          </cell>
          <cell r="CL166">
            <v>0</v>
          </cell>
          <cell r="CM166">
            <v>6.5</v>
          </cell>
          <cell r="CN166">
            <v>0</v>
          </cell>
          <cell r="CO166">
            <v>0</v>
          </cell>
          <cell r="CP166">
            <v>0</v>
          </cell>
          <cell r="CQ166">
            <v>0</v>
          </cell>
          <cell r="CR166">
            <v>0</v>
          </cell>
          <cell r="CS166">
            <v>0</v>
          </cell>
          <cell r="CV166">
            <v>0</v>
          </cell>
          <cell r="CW166">
            <v>0</v>
          </cell>
          <cell r="CX166">
            <v>0</v>
          </cell>
          <cell r="CY166">
            <v>0</v>
          </cell>
          <cell r="CZ166">
            <v>6.5</v>
          </cell>
          <cell r="DA166">
            <v>0</v>
          </cell>
          <cell r="DD166">
            <v>3.2500000000000001E-2</v>
          </cell>
          <cell r="DE166">
            <v>4.3480818425022362E-2</v>
          </cell>
          <cell r="DF166">
            <v>5.1403596897279767E-2</v>
          </cell>
          <cell r="DG166">
            <v>3.7359447002183042E-2</v>
          </cell>
          <cell r="DH166">
            <v>3.1271739930554508E-2</v>
          </cell>
          <cell r="DI166">
            <v>2.7488046269090145E-2</v>
          </cell>
          <cell r="DJ166">
            <v>2.6109836658996539E-2</v>
          </cell>
          <cell r="DK166">
            <v>2.5909759691511065E-2</v>
          </cell>
          <cell r="DL166">
            <v>2.7890043747624566E-2</v>
          </cell>
          <cell r="DM166">
            <v>3.29689556677197E-2</v>
          </cell>
          <cell r="DN166">
            <v>3.3977733484579185E-2</v>
          </cell>
          <cell r="DQ166">
            <v>0</v>
          </cell>
          <cell r="DR166">
            <v>0</v>
          </cell>
          <cell r="DS166">
            <v>0</v>
          </cell>
          <cell r="DT166">
            <v>0</v>
          </cell>
          <cell r="DU166">
            <v>0</v>
          </cell>
          <cell r="DV166">
            <v>0</v>
          </cell>
          <cell r="DW166">
            <v>0</v>
          </cell>
          <cell r="DX166">
            <v>0</v>
          </cell>
          <cell r="DY166">
            <v>0</v>
          </cell>
          <cell r="DZ166">
            <v>0</v>
          </cell>
          <cell r="EA166">
            <v>0</v>
          </cell>
          <cell r="ED166">
            <v>2.0769230769230769E-3</v>
          </cell>
          <cell r="EE166">
            <v>-6.9230769230769237E-4</v>
          </cell>
          <cell r="EF166">
            <v>1.3846153846153847E-3</v>
          </cell>
          <cell r="EG166">
            <v>4.8461538461538455E-3</v>
          </cell>
          <cell r="EH166">
            <v>4.8461538461538455E-3</v>
          </cell>
          <cell r="EI166">
            <v>4.8461538461538455E-3</v>
          </cell>
          <cell r="EJ166">
            <v>3.4615384615384621E-3</v>
          </cell>
          <cell r="EK166">
            <v>3.4615384615384621E-3</v>
          </cell>
          <cell r="EL166">
            <v>3.4615384615384621E-3</v>
          </cell>
          <cell r="EM166">
            <v>3.4615384615384621E-3</v>
          </cell>
          <cell r="EN166">
            <v>3.4615384615384621E-3</v>
          </cell>
          <cell r="EQ166">
            <v>1.8463067325074484E-2</v>
          </cell>
          <cell r="ER166">
            <v>1.723076923076923E-2</v>
          </cell>
          <cell r="ES166">
            <v>1.9384615384615386E-2</v>
          </cell>
          <cell r="ET166">
            <v>1.9384615384615382E-2</v>
          </cell>
          <cell r="EU166">
            <v>1.9384615384615382E-2</v>
          </cell>
          <cell r="EV166">
            <v>1.9384615384615382E-2</v>
          </cell>
          <cell r="EW166">
            <v>1.9384615384615382E-2</v>
          </cell>
          <cell r="EX166">
            <v>1.9384615384615382E-2</v>
          </cell>
          <cell r="EY166">
            <v>1.9384615384615382E-2</v>
          </cell>
          <cell r="EZ166">
            <v>1.9384615384615382E-2</v>
          </cell>
          <cell r="FA166">
            <v>1.9384615384615382E-2</v>
          </cell>
          <cell r="FD166">
            <v>0</v>
          </cell>
          <cell r="FE166">
            <v>0</v>
          </cell>
          <cell r="FF166">
            <v>0</v>
          </cell>
          <cell r="FG166">
            <v>0</v>
          </cell>
          <cell r="FH166">
            <v>0</v>
          </cell>
          <cell r="FI166">
            <v>0</v>
          </cell>
          <cell r="FJ166">
            <v>0</v>
          </cell>
          <cell r="FK166">
            <v>0</v>
          </cell>
          <cell r="FL166">
            <v>0</v>
          </cell>
          <cell r="FM166">
            <v>0</v>
          </cell>
          <cell r="FN166">
            <v>0</v>
          </cell>
          <cell r="FQ166">
            <v>2.0539990401997561E-2</v>
          </cell>
          <cell r="FR166">
            <v>1.6538461538461537E-2</v>
          </cell>
          <cell r="FS166">
            <v>2.0769230769230769E-2</v>
          </cell>
          <cell r="FT166">
            <v>2.4230769230769229E-2</v>
          </cell>
          <cell r="FU166">
            <v>2.4230769230769229E-2</v>
          </cell>
          <cell r="FV166">
            <v>2.4230769230769229E-2</v>
          </cell>
          <cell r="FW166">
            <v>2.2846153846153842E-2</v>
          </cell>
          <cell r="FX166">
            <v>2.2846153846153842E-2</v>
          </cell>
          <cell r="FY166">
            <v>2.2846153846153842E-2</v>
          </cell>
          <cell r="FZ166">
            <v>2.2846153846153842E-2</v>
          </cell>
          <cell r="GA166">
            <v>2.2846153846153842E-2</v>
          </cell>
          <cell r="GD166">
            <v>2.2931992321598052E-2</v>
          </cell>
          <cell r="GE166">
            <v>2.1926932915773703E-2</v>
          </cell>
          <cell r="GF166">
            <v>2.6896103994840569E-2</v>
          </cell>
          <cell r="GG166">
            <v>2.6856504785051995E-2</v>
          </cell>
          <cell r="GH166">
            <v>2.5638963370726287E-2</v>
          </cell>
          <cell r="GI166">
            <v>2.4882224638433415E-2</v>
          </cell>
          <cell r="GJ166">
            <v>2.3498890408722384E-2</v>
          </cell>
          <cell r="GK166">
            <v>2.345887501522529E-2</v>
          </cell>
          <cell r="GL166">
            <v>2.3854931826447989E-2</v>
          </cell>
          <cell r="GM166">
            <v>2.4870714210467017E-2</v>
          </cell>
          <cell r="GN166">
            <v>2.5072469773838913E-2</v>
          </cell>
        </row>
        <row r="167">
          <cell r="B167" t="str">
            <v>Katoomba</v>
          </cell>
          <cell r="C167">
            <v>0</v>
          </cell>
          <cell r="D167">
            <v>1</v>
          </cell>
          <cell r="E167" t="str">
            <v>Neighbourhood</v>
          </cell>
          <cell r="F167" t="str">
            <v>NSW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8.8000000000000007</v>
          </cell>
          <cell r="M167">
            <v>8.8000000000000007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1</v>
          </cell>
          <cell r="AI167">
            <v>0</v>
          </cell>
          <cell r="AJ167">
            <v>0</v>
          </cell>
          <cell r="AK167">
            <v>0</v>
          </cell>
          <cell r="AN167">
            <v>0</v>
          </cell>
          <cell r="AO167">
            <v>8.8000000000000007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8.8000000000000007</v>
          </cell>
          <cell r="BH167">
            <v>0</v>
          </cell>
          <cell r="BI167">
            <v>0</v>
          </cell>
          <cell r="BJ167">
            <v>0</v>
          </cell>
          <cell r="BK167">
            <v>0</v>
          </cell>
          <cell r="BL167">
            <v>0</v>
          </cell>
          <cell r="BM167">
            <v>0</v>
          </cell>
          <cell r="BN167">
            <v>0</v>
          </cell>
          <cell r="BO167">
            <v>0</v>
          </cell>
          <cell r="BP167">
            <v>0</v>
          </cell>
          <cell r="BQ167">
            <v>0</v>
          </cell>
          <cell r="BR167">
            <v>0</v>
          </cell>
          <cell r="BS167">
            <v>0</v>
          </cell>
          <cell r="BT167">
            <v>0</v>
          </cell>
          <cell r="BU167">
            <v>0</v>
          </cell>
          <cell r="BV167">
            <v>0</v>
          </cell>
          <cell r="BW167">
            <v>0</v>
          </cell>
          <cell r="BX167">
            <v>0</v>
          </cell>
          <cell r="BY167">
            <v>0</v>
          </cell>
          <cell r="BZ167">
            <v>0</v>
          </cell>
          <cell r="CA167">
            <v>0</v>
          </cell>
          <cell r="CB167">
            <v>0</v>
          </cell>
          <cell r="CC167">
            <v>0</v>
          </cell>
          <cell r="CD167">
            <v>0</v>
          </cell>
          <cell r="CE167">
            <v>0</v>
          </cell>
          <cell r="CF167">
            <v>0</v>
          </cell>
          <cell r="CG167">
            <v>0</v>
          </cell>
          <cell r="CH167">
            <v>0</v>
          </cell>
          <cell r="CI167">
            <v>0</v>
          </cell>
          <cell r="CJ167">
            <v>0</v>
          </cell>
          <cell r="CK167">
            <v>0</v>
          </cell>
          <cell r="CL167">
            <v>0</v>
          </cell>
          <cell r="CM167">
            <v>8.8000000000000007</v>
          </cell>
          <cell r="CN167">
            <v>0</v>
          </cell>
          <cell r="CO167">
            <v>0</v>
          </cell>
          <cell r="CP167">
            <v>0</v>
          </cell>
          <cell r="CQ167">
            <v>0</v>
          </cell>
          <cell r="CR167">
            <v>0</v>
          </cell>
          <cell r="CS167">
            <v>0</v>
          </cell>
          <cell r="CV167">
            <v>0</v>
          </cell>
          <cell r="CW167">
            <v>0</v>
          </cell>
          <cell r="CX167">
            <v>0</v>
          </cell>
          <cell r="CY167">
            <v>0</v>
          </cell>
          <cell r="CZ167">
            <v>8.8000000000000007</v>
          </cell>
          <cell r="DA167">
            <v>0</v>
          </cell>
          <cell r="DD167">
            <v>3.2500000000000001E-2</v>
          </cell>
          <cell r="DE167">
            <v>4.3480818425022362E-2</v>
          </cell>
          <cell r="DF167">
            <v>5.1403596897279767E-2</v>
          </cell>
          <cell r="DG167">
            <v>3.7359447002183042E-2</v>
          </cell>
          <cell r="DH167">
            <v>3.1271739930554508E-2</v>
          </cell>
          <cell r="DI167">
            <v>2.7488046269090145E-2</v>
          </cell>
          <cell r="DJ167">
            <v>2.6109836658996539E-2</v>
          </cell>
          <cell r="DK167">
            <v>2.5909759691511065E-2</v>
          </cell>
          <cell r="DL167">
            <v>2.7890043747624566E-2</v>
          </cell>
          <cell r="DM167">
            <v>3.29689556677197E-2</v>
          </cell>
          <cell r="DN167">
            <v>3.3977733484579185E-2</v>
          </cell>
          <cell r="DQ167">
            <v>0</v>
          </cell>
          <cell r="DR167">
            <v>0</v>
          </cell>
          <cell r="DS167">
            <v>0</v>
          </cell>
          <cell r="DT167">
            <v>0</v>
          </cell>
          <cell r="DU167">
            <v>0</v>
          </cell>
          <cell r="DV167">
            <v>0</v>
          </cell>
          <cell r="DW167">
            <v>0</v>
          </cell>
          <cell r="DX167">
            <v>0</v>
          </cell>
          <cell r="DY167">
            <v>0</v>
          </cell>
          <cell r="DZ167">
            <v>0</v>
          </cell>
          <cell r="EA167">
            <v>0</v>
          </cell>
          <cell r="ED167">
            <v>1.4999999999999999E-2</v>
          </cell>
          <cell r="EE167">
            <v>-5.0000000000000001E-3</v>
          </cell>
          <cell r="EF167">
            <v>0.01</v>
          </cell>
          <cell r="EG167">
            <v>3.4999999999999996E-2</v>
          </cell>
          <cell r="EH167">
            <v>3.4999999999999996E-2</v>
          </cell>
          <cell r="EI167">
            <v>3.4999999999999996E-2</v>
          </cell>
          <cell r="EJ167">
            <v>2.5000000000000001E-2</v>
          </cell>
          <cell r="EK167">
            <v>2.5000000000000001E-2</v>
          </cell>
          <cell r="EL167">
            <v>2.5000000000000001E-2</v>
          </cell>
          <cell r="EM167">
            <v>2.5000000000000001E-2</v>
          </cell>
          <cell r="EN167">
            <v>2.5000000000000001E-2</v>
          </cell>
          <cell r="EQ167">
            <v>0</v>
          </cell>
          <cell r="ER167">
            <v>0</v>
          </cell>
          <cell r="ES167">
            <v>0</v>
          </cell>
          <cell r="ET167">
            <v>0</v>
          </cell>
          <cell r="EU167">
            <v>0</v>
          </cell>
          <cell r="EV167">
            <v>0</v>
          </cell>
          <cell r="EW167">
            <v>0</v>
          </cell>
          <cell r="EX167">
            <v>0</v>
          </cell>
          <cell r="EY167">
            <v>0</v>
          </cell>
          <cell r="EZ167">
            <v>0</v>
          </cell>
          <cell r="FA167">
            <v>0</v>
          </cell>
          <cell r="FD167">
            <v>0</v>
          </cell>
          <cell r="FE167">
            <v>0</v>
          </cell>
          <cell r="FF167">
            <v>0</v>
          </cell>
          <cell r="FG167">
            <v>0</v>
          </cell>
          <cell r="FH167">
            <v>0</v>
          </cell>
          <cell r="FI167">
            <v>0</v>
          </cell>
          <cell r="FJ167">
            <v>0</v>
          </cell>
          <cell r="FK167">
            <v>0</v>
          </cell>
          <cell r="FL167">
            <v>0</v>
          </cell>
          <cell r="FM167">
            <v>0</v>
          </cell>
          <cell r="FN167">
            <v>0</v>
          </cell>
          <cell r="FQ167">
            <v>1.4999999999999999E-2</v>
          </cell>
          <cell r="FR167">
            <v>-5.0000000000000001E-3</v>
          </cell>
          <cell r="FS167">
            <v>0.01</v>
          </cell>
          <cell r="FT167">
            <v>3.4999999999999996E-2</v>
          </cell>
          <cell r="FU167">
            <v>3.4999999999999996E-2</v>
          </cell>
          <cell r="FV167">
            <v>3.4999999999999996E-2</v>
          </cell>
          <cell r="FW167">
            <v>2.5000000000000001E-2</v>
          </cell>
          <cell r="FX167">
            <v>2.5000000000000001E-2</v>
          </cell>
          <cell r="FY167">
            <v>2.5000000000000001E-2</v>
          </cell>
          <cell r="FZ167">
            <v>2.5000000000000001E-2</v>
          </cell>
          <cell r="GA167">
            <v>2.5000000000000001E-2</v>
          </cell>
          <cell r="GD167">
            <v>1.8500000000000003E-2</v>
          </cell>
          <cell r="GE167">
            <v>4.696163685004473E-3</v>
          </cell>
          <cell r="GF167">
            <v>1.8280719379455954E-2</v>
          </cell>
          <cell r="GG167">
            <v>3.5471889400436607E-2</v>
          </cell>
          <cell r="GH167">
            <v>3.4254347986110899E-2</v>
          </cell>
          <cell r="GI167">
            <v>3.3497609253818027E-2</v>
          </cell>
          <cell r="GJ167">
            <v>2.5221967331799312E-2</v>
          </cell>
          <cell r="GK167">
            <v>2.5181951938302218E-2</v>
          </cell>
          <cell r="GL167">
            <v>2.5578008749524917E-2</v>
          </cell>
          <cell r="GM167">
            <v>2.6593791133543945E-2</v>
          </cell>
          <cell r="GN167">
            <v>2.6795546696915841E-2</v>
          </cell>
        </row>
        <row r="168"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  <cell r="BK168">
            <v>0</v>
          </cell>
          <cell r="BL168">
            <v>0</v>
          </cell>
          <cell r="BM168">
            <v>0</v>
          </cell>
          <cell r="BN168">
            <v>0</v>
          </cell>
          <cell r="BO168">
            <v>0</v>
          </cell>
          <cell r="BP168">
            <v>0</v>
          </cell>
          <cell r="BQ168">
            <v>0</v>
          </cell>
          <cell r="BR168">
            <v>0</v>
          </cell>
          <cell r="BS168">
            <v>0</v>
          </cell>
          <cell r="BT168">
            <v>0</v>
          </cell>
          <cell r="BU168">
            <v>0</v>
          </cell>
          <cell r="BV168">
            <v>0</v>
          </cell>
          <cell r="BW168">
            <v>0</v>
          </cell>
          <cell r="BX168">
            <v>0</v>
          </cell>
          <cell r="BY168">
            <v>0</v>
          </cell>
          <cell r="BZ168">
            <v>0</v>
          </cell>
          <cell r="CA168">
            <v>0</v>
          </cell>
          <cell r="CB168">
            <v>0</v>
          </cell>
          <cell r="CC168">
            <v>0</v>
          </cell>
          <cell r="CD168">
            <v>0</v>
          </cell>
          <cell r="CE168">
            <v>0</v>
          </cell>
          <cell r="CF168">
            <v>0</v>
          </cell>
          <cell r="CG168">
            <v>0</v>
          </cell>
          <cell r="CH168">
            <v>0</v>
          </cell>
          <cell r="CI168">
            <v>0</v>
          </cell>
          <cell r="CJ168">
            <v>0</v>
          </cell>
          <cell r="CK168">
            <v>0</v>
          </cell>
          <cell r="CL168">
            <v>0</v>
          </cell>
          <cell r="CM168">
            <v>0</v>
          </cell>
          <cell r="CN168">
            <v>0</v>
          </cell>
          <cell r="CO168">
            <v>0</v>
          </cell>
          <cell r="CP168">
            <v>0</v>
          </cell>
          <cell r="CQ168">
            <v>0</v>
          </cell>
          <cell r="CR168">
            <v>0</v>
          </cell>
          <cell r="CS168">
            <v>0</v>
          </cell>
          <cell r="CV168">
            <v>0</v>
          </cell>
          <cell r="CW168">
            <v>0</v>
          </cell>
          <cell r="CX168">
            <v>0</v>
          </cell>
          <cell r="CY168">
            <v>0</v>
          </cell>
          <cell r="CZ168">
            <v>0</v>
          </cell>
          <cell r="DA168">
            <v>0</v>
          </cell>
          <cell r="DD168">
            <v>0</v>
          </cell>
          <cell r="DE168">
            <v>0</v>
          </cell>
          <cell r="DF168">
            <v>0</v>
          </cell>
          <cell r="DG168">
            <v>0</v>
          </cell>
          <cell r="DH168">
            <v>0</v>
          </cell>
          <cell r="DI168">
            <v>0</v>
          </cell>
          <cell r="DJ168">
            <v>0</v>
          </cell>
          <cell r="DK168">
            <v>0</v>
          </cell>
          <cell r="DL168">
            <v>0</v>
          </cell>
          <cell r="DM168">
            <v>0</v>
          </cell>
          <cell r="DN168">
            <v>0</v>
          </cell>
          <cell r="DQ168">
            <v>0</v>
          </cell>
          <cell r="DR168">
            <v>0</v>
          </cell>
          <cell r="DS168">
            <v>0</v>
          </cell>
          <cell r="DT168">
            <v>0</v>
          </cell>
          <cell r="DU168">
            <v>0</v>
          </cell>
          <cell r="DV168">
            <v>0</v>
          </cell>
          <cell r="DW168">
            <v>0</v>
          </cell>
          <cell r="DX168">
            <v>0</v>
          </cell>
          <cell r="DY168">
            <v>0</v>
          </cell>
          <cell r="DZ168">
            <v>0</v>
          </cell>
          <cell r="EA168">
            <v>0</v>
          </cell>
          <cell r="ED168">
            <v>0</v>
          </cell>
          <cell r="EE168">
            <v>0</v>
          </cell>
          <cell r="EF168">
            <v>0</v>
          </cell>
          <cell r="EG168">
            <v>0</v>
          </cell>
          <cell r="EH168">
            <v>0</v>
          </cell>
          <cell r="EI168">
            <v>0</v>
          </cell>
          <cell r="EJ168">
            <v>0</v>
          </cell>
          <cell r="EK168">
            <v>0</v>
          </cell>
          <cell r="EL168">
            <v>0</v>
          </cell>
          <cell r="EM168">
            <v>0</v>
          </cell>
          <cell r="EN168">
            <v>0</v>
          </cell>
          <cell r="EQ168">
            <v>0</v>
          </cell>
          <cell r="ER168">
            <v>0</v>
          </cell>
          <cell r="ES168">
            <v>0</v>
          </cell>
          <cell r="ET168">
            <v>0</v>
          </cell>
          <cell r="EU168">
            <v>0</v>
          </cell>
          <cell r="EV168">
            <v>0</v>
          </cell>
          <cell r="EW168">
            <v>0</v>
          </cell>
          <cell r="EX168">
            <v>0</v>
          </cell>
          <cell r="EY168">
            <v>0</v>
          </cell>
          <cell r="EZ168">
            <v>0</v>
          </cell>
          <cell r="FA168">
            <v>0</v>
          </cell>
          <cell r="FD168">
            <v>0</v>
          </cell>
          <cell r="FE168">
            <v>0</v>
          </cell>
          <cell r="FF168">
            <v>0</v>
          </cell>
          <cell r="FG168">
            <v>0</v>
          </cell>
          <cell r="FH168">
            <v>0</v>
          </cell>
          <cell r="FI168">
            <v>0</v>
          </cell>
          <cell r="FJ168">
            <v>0</v>
          </cell>
          <cell r="FK168">
            <v>0</v>
          </cell>
          <cell r="FL168">
            <v>0</v>
          </cell>
          <cell r="FM168">
            <v>0</v>
          </cell>
          <cell r="FN168">
            <v>0</v>
          </cell>
          <cell r="FQ168">
            <v>0</v>
          </cell>
          <cell r="FR168">
            <v>0</v>
          </cell>
          <cell r="FS168">
            <v>0</v>
          </cell>
          <cell r="FT168">
            <v>0</v>
          </cell>
          <cell r="FU168">
            <v>0</v>
          </cell>
          <cell r="FV168">
            <v>0</v>
          </cell>
          <cell r="FW168">
            <v>0</v>
          </cell>
          <cell r="FX168">
            <v>0</v>
          </cell>
          <cell r="FY168">
            <v>0</v>
          </cell>
          <cell r="FZ168">
            <v>0</v>
          </cell>
          <cell r="GA168">
            <v>0</v>
          </cell>
          <cell r="GD168">
            <v>0</v>
          </cell>
          <cell r="GE168">
            <v>0</v>
          </cell>
          <cell r="GF168">
            <v>0</v>
          </cell>
          <cell r="GG168">
            <v>0</v>
          </cell>
          <cell r="GH168">
            <v>0</v>
          </cell>
          <cell r="GI168">
            <v>0</v>
          </cell>
          <cell r="GJ168">
            <v>0</v>
          </cell>
          <cell r="GK168">
            <v>0</v>
          </cell>
          <cell r="GL168">
            <v>0</v>
          </cell>
          <cell r="GM168">
            <v>0</v>
          </cell>
          <cell r="GN168">
            <v>0</v>
          </cell>
        </row>
        <row r="169"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  <cell r="BK169">
            <v>0</v>
          </cell>
          <cell r="BL169">
            <v>0</v>
          </cell>
          <cell r="BM169">
            <v>0</v>
          </cell>
          <cell r="BN169">
            <v>0</v>
          </cell>
          <cell r="BO169">
            <v>0</v>
          </cell>
          <cell r="BP169">
            <v>0</v>
          </cell>
          <cell r="BQ169">
            <v>0</v>
          </cell>
          <cell r="BR169">
            <v>0</v>
          </cell>
          <cell r="BS169">
            <v>0</v>
          </cell>
          <cell r="BT169">
            <v>0</v>
          </cell>
          <cell r="BU169">
            <v>0</v>
          </cell>
          <cell r="BV169">
            <v>0</v>
          </cell>
          <cell r="BW169">
            <v>0</v>
          </cell>
          <cell r="BX169">
            <v>0</v>
          </cell>
          <cell r="BY169">
            <v>0</v>
          </cell>
          <cell r="BZ169">
            <v>0</v>
          </cell>
          <cell r="CA169">
            <v>0</v>
          </cell>
          <cell r="CB169">
            <v>0</v>
          </cell>
          <cell r="CC169">
            <v>0</v>
          </cell>
          <cell r="CD169">
            <v>0</v>
          </cell>
          <cell r="CE169">
            <v>0</v>
          </cell>
          <cell r="CF169">
            <v>0</v>
          </cell>
          <cell r="CG169">
            <v>0</v>
          </cell>
          <cell r="CH169">
            <v>0</v>
          </cell>
          <cell r="CI169">
            <v>0</v>
          </cell>
          <cell r="CJ169">
            <v>0</v>
          </cell>
          <cell r="CK169">
            <v>0</v>
          </cell>
          <cell r="CL169">
            <v>0</v>
          </cell>
          <cell r="CM169">
            <v>0</v>
          </cell>
          <cell r="CN169">
            <v>0</v>
          </cell>
          <cell r="CO169">
            <v>0</v>
          </cell>
          <cell r="CP169">
            <v>0</v>
          </cell>
          <cell r="CQ169">
            <v>0</v>
          </cell>
          <cell r="CR169">
            <v>0</v>
          </cell>
          <cell r="CS169">
            <v>0</v>
          </cell>
          <cell r="CV169">
            <v>0</v>
          </cell>
          <cell r="CW169">
            <v>0</v>
          </cell>
          <cell r="CX169">
            <v>0</v>
          </cell>
          <cell r="CY169">
            <v>0</v>
          </cell>
          <cell r="CZ169">
            <v>0</v>
          </cell>
          <cell r="DA169">
            <v>0</v>
          </cell>
          <cell r="DD169">
            <v>0</v>
          </cell>
          <cell r="DE169">
            <v>0</v>
          </cell>
          <cell r="DF169">
            <v>0</v>
          </cell>
          <cell r="DG169">
            <v>0</v>
          </cell>
          <cell r="DH169">
            <v>0</v>
          </cell>
          <cell r="DI169">
            <v>0</v>
          </cell>
          <cell r="DJ169">
            <v>0</v>
          </cell>
          <cell r="DK169">
            <v>0</v>
          </cell>
          <cell r="DL169">
            <v>0</v>
          </cell>
          <cell r="DM169">
            <v>0</v>
          </cell>
          <cell r="DN169">
            <v>0</v>
          </cell>
          <cell r="DQ169">
            <v>0</v>
          </cell>
          <cell r="DR169">
            <v>0</v>
          </cell>
          <cell r="DS169">
            <v>0</v>
          </cell>
          <cell r="DT169">
            <v>0</v>
          </cell>
          <cell r="DU169">
            <v>0</v>
          </cell>
          <cell r="DV169">
            <v>0</v>
          </cell>
          <cell r="DW169">
            <v>0</v>
          </cell>
          <cell r="DX169">
            <v>0</v>
          </cell>
          <cell r="DY169">
            <v>0</v>
          </cell>
          <cell r="DZ169">
            <v>0</v>
          </cell>
          <cell r="EA169">
            <v>0</v>
          </cell>
          <cell r="ED169">
            <v>0</v>
          </cell>
          <cell r="EE169">
            <v>0</v>
          </cell>
          <cell r="EF169">
            <v>0</v>
          </cell>
          <cell r="EG169">
            <v>0</v>
          </cell>
          <cell r="EH169">
            <v>0</v>
          </cell>
          <cell r="EI169">
            <v>0</v>
          </cell>
          <cell r="EJ169">
            <v>0</v>
          </cell>
          <cell r="EK169">
            <v>0</v>
          </cell>
          <cell r="EL169">
            <v>0</v>
          </cell>
          <cell r="EM169">
            <v>0</v>
          </cell>
          <cell r="EN169">
            <v>0</v>
          </cell>
          <cell r="EQ169">
            <v>0</v>
          </cell>
          <cell r="ER169">
            <v>0</v>
          </cell>
          <cell r="ES169">
            <v>0</v>
          </cell>
          <cell r="ET169">
            <v>0</v>
          </cell>
          <cell r="EU169">
            <v>0</v>
          </cell>
          <cell r="EV169">
            <v>0</v>
          </cell>
          <cell r="EW169">
            <v>0</v>
          </cell>
          <cell r="EX169">
            <v>0</v>
          </cell>
          <cell r="EY169">
            <v>0</v>
          </cell>
          <cell r="EZ169">
            <v>0</v>
          </cell>
          <cell r="FA169">
            <v>0</v>
          </cell>
          <cell r="FD169">
            <v>0</v>
          </cell>
          <cell r="FE169">
            <v>0</v>
          </cell>
          <cell r="FF169">
            <v>0</v>
          </cell>
          <cell r="FG169">
            <v>0</v>
          </cell>
          <cell r="FH169">
            <v>0</v>
          </cell>
          <cell r="FI169">
            <v>0</v>
          </cell>
          <cell r="FJ169">
            <v>0</v>
          </cell>
          <cell r="FK169">
            <v>0</v>
          </cell>
          <cell r="FL169">
            <v>0</v>
          </cell>
          <cell r="FM169">
            <v>0</v>
          </cell>
          <cell r="FN169">
            <v>0</v>
          </cell>
          <cell r="FQ169">
            <v>0</v>
          </cell>
          <cell r="FR169">
            <v>0</v>
          </cell>
          <cell r="FS169">
            <v>0</v>
          </cell>
          <cell r="FT169">
            <v>0</v>
          </cell>
          <cell r="FU169">
            <v>0</v>
          </cell>
          <cell r="FV169">
            <v>0</v>
          </cell>
          <cell r="FW169">
            <v>0</v>
          </cell>
          <cell r="FX169">
            <v>0</v>
          </cell>
          <cell r="FY169">
            <v>0</v>
          </cell>
          <cell r="FZ169">
            <v>0</v>
          </cell>
          <cell r="GA169">
            <v>0</v>
          </cell>
          <cell r="GD169">
            <v>0</v>
          </cell>
          <cell r="GE169">
            <v>0</v>
          </cell>
          <cell r="GF169">
            <v>0</v>
          </cell>
          <cell r="GG169">
            <v>0</v>
          </cell>
          <cell r="GH169">
            <v>0</v>
          </cell>
          <cell r="GI169">
            <v>0</v>
          </cell>
          <cell r="GJ169">
            <v>0</v>
          </cell>
          <cell r="GK169">
            <v>0</v>
          </cell>
          <cell r="GL169">
            <v>0</v>
          </cell>
          <cell r="GM169">
            <v>0</v>
          </cell>
          <cell r="GN169">
            <v>0</v>
          </cell>
        </row>
        <row r="170"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  <cell r="BK170">
            <v>0</v>
          </cell>
          <cell r="BL170">
            <v>0</v>
          </cell>
          <cell r="BM170">
            <v>0</v>
          </cell>
          <cell r="BN170">
            <v>0</v>
          </cell>
          <cell r="BO170">
            <v>0</v>
          </cell>
          <cell r="BP170">
            <v>0</v>
          </cell>
          <cell r="BQ170">
            <v>0</v>
          </cell>
          <cell r="BR170">
            <v>0</v>
          </cell>
          <cell r="BS170">
            <v>0</v>
          </cell>
          <cell r="BT170">
            <v>0</v>
          </cell>
          <cell r="BU170">
            <v>0</v>
          </cell>
          <cell r="BV170">
            <v>0</v>
          </cell>
          <cell r="BW170">
            <v>0</v>
          </cell>
          <cell r="BX170">
            <v>0</v>
          </cell>
          <cell r="BY170">
            <v>0</v>
          </cell>
          <cell r="BZ170">
            <v>0</v>
          </cell>
          <cell r="CA170">
            <v>0</v>
          </cell>
          <cell r="CB170">
            <v>0</v>
          </cell>
          <cell r="CC170">
            <v>0</v>
          </cell>
          <cell r="CD170">
            <v>0</v>
          </cell>
          <cell r="CE170">
            <v>0</v>
          </cell>
          <cell r="CF170">
            <v>0</v>
          </cell>
          <cell r="CG170">
            <v>0</v>
          </cell>
          <cell r="CH170">
            <v>0</v>
          </cell>
          <cell r="CI170">
            <v>0</v>
          </cell>
          <cell r="CJ170">
            <v>0</v>
          </cell>
          <cell r="CK170">
            <v>0</v>
          </cell>
          <cell r="CL170">
            <v>0</v>
          </cell>
          <cell r="CM170">
            <v>0</v>
          </cell>
          <cell r="CN170">
            <v>0</v>
          </cell>
          <cell r="CO170">
            <v>0</v>
          </cell>
          <cell r="CP170">
            <v>0</v>
          </cell>
          <cell r="CQ170">
            <v>0</v>
          </cell>
          <cell r="CR170">
            <v>0</v>
          </cell>
          <cell r="CS170">
            <v>0</v>
          </cell>
          <cell r="CV170">
            <v>0</v>
          </cell>
          <cell r="CW170">
            <v>0</v>
          </cell>
          <cell r="CX170">
            <v>0</v>
          </cell>
          <cell r="CY170">
            <v>0</v>
          </cell>
          <cell r="CZ170">
            <v>0</v>
          </cell>
          <cell r="DA170">
            <v>0</v>
          </cell>
          <cell r="DD170">
            <v>0</v>
          </cell>
          <cell r="DE170">
            <v>0</v>
          </cell>
          <cell r="DF170">
            <v>0</v>
          </cell>
          <cell r="DG170">
            <v>0</v>
          </cell>
          <cell r="DH170">
            <v>0</v>
          </cell>
          <cell r="DI170">
            <v>0</v>
          </cell>
          <cell r="DJ170">
            <v>0</v>
          </cell>
          <cell r="DK170">
            <v>0</v>
          </cell>
          <cell r="DL170">
            <v>0</v>
          </cell>
          <cell r="DM170">
            <v>0</v>
          </cell>
          <cell r="DN170">
            <v>0</v>
          </cell>
          <cell r="DQ170">
            <v>0</v>
          </cell>
          <cell r="DR170">
            <v>0</v>
          </cell>
          <cell r="DS170">
            <v>0</v>
          </cell>
          <cell r="DT170">
            <v>0</v>
          </cell>
          <cell r="DU170">
            <v>0</v>
          </cell>
          <cell r="DV170">
            <v>0</v>
          </cell>
          <cell r="DW170">
            <v>0</v>
          </cell>
          <cell r="DX170">
            <v>0</v>
          </cell>
          <cell r="DY170">
            <v>0</v>
          </cell>
          <cell r="DZ170">
            <v>0</v>
          </cell>
          <cell r="EA170">
            <v>0</v>
          </cell>
          <cell r="ED170">
            <v>0</v>
          </cell>
          <cell r="EE170">
            <v>0</v>
          </cell>
          <cell r="EF170">
            <v>0</v>
          </cell>
          <cell r="EG170">
            <v>0</v>
          </cell>
          <cell r="EH170">
            <v>0</v>
          </cell>
          <cell r="EI170">
            <v>0</v>
          </cell>
          <cell r="EJ170">
            <v>0</v>
          </cell>
          <cell r="EK170">
            <v>0</v>
          </cell>
          <cell r="EL170">
            <v>0</v>
          </cell>
          <cell r="EM170">
            <v>0</v>
          </cell>
          <cell r="EN170">
            <v>0</v>
          </cell>
          <cell r="EQ170">
            <v>0</v>
          </cell>
          <cell r="ER170">
            <v>0</v>
          </cell>
          <cell r="ES170">
            <v>0</v>
          </cell>
          <cell r="ET170">
            <v>0</v>
          </cell>
          <cell r="EU170">
            <v>0</v>
          </cell>
          <cell r="EV170">
            <v>0</v>
          </cell>
          <cell r="EW170">
            <v>0</v>
          </cell>
          <cell r="EX170">
            <v>0</v>
          </cell>
          <cell r="EY170">
            <v>0</v>
          </cell>
          <cell r="EZ170">
            <v>0</v>
          </cell>
          <cell r="FA170">
            <v>0</v>
          </cell>
          <cell r="FD170">
            <v>0</v>
          </cell>
          <cell r="FE170">
            <v>0</v>
          </cell>
          <cell r="FF170">
            <v>0</v>
          </cell>
          <cell r="FG170">
            <v>0</v>
          </cell>
          <cell r="FH170">
            <v>0</v>
          </cell>
          <cell r="FI170">
            <v>0</v>
          </cell>
          <cell r="FJ170">
            <v>0</v>
          </cell>
          <cell r="FK170">
            <v>0</v>
          </cell>
          <cell r="FL170">
            <v>0</v>
          </cell>
          <cell r="FM170">
            <v>0</v>
          </cell>
          <cell r="FN170">
            <v>0</v>
          </cell>
          <cell r="FQ170">
            <v>0</v>
          </cell>
          <cell r="FR170">
            <v>0</v>
          </cell>
          <cell r="FS170">
            <v>0</v>
          </cell>
          <cell r="FT170">
            <v>0</v>
          </cell>
          <cell r="FU170">
            <v>0</v>
          </cell>
          <cell r="FV170">
            <v>0</v>
          </cell>
          <cell r="FW170">
            <v>0</v>
          </cell>
          <cell r="FX170">
            <v>0</v>
          </cell>
          <cell r="FY170">
            <v>0</v>
          </cell>
          <cell r="FZ170">
            <v>0</v>
          </cell>
          <cell r="GA170">
            <v>0</v>
          </cell>
          <cell r="GD170">
            <v>0</v>
          </cell>
          <cell r="GE170">
            <v>0</v>
          </cell>
          <cell r="GF170">
            <v>0</v>
          </cell>
          <cell r="GG170">
            <v>0</v>
          </cell>
          <cell r="GH170">
            <v>0</v>
          </cell>
          <cell r="GI170">
            <v>0</v>
          </cell>
          <cell r="GJ170">
            <v>0</v>
          </cell>
          <cell r="GK170">
            <v>0</v>
          </cell>
          <cell r="GL170">
            <v>0</v>
          </cell>
          <cell r="GM170">
            <v>0</v>
          </cell>
          <cell r="GN170">
            <v>0</v>
          </cell>
        </row>
        <row r="171"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  <cell r="BK171">
            <v>0</v>
          </cell>
          <cell r="BL171">
            <v>0</v>
          </cell>
          <cell r="BM171">
            <v>0</v>
          </cell>
          <cell r="BN171">
            <v>0</v>
          </cell>
          <cell r="BO171">
            <v>0</v>
          </cell>
          <cell r="BP171">
            <v>0</v>
          </cell>
          <cell r="BQ171">
            <v>0</v>
          </cell>
          <cell r="BR171">
            <v>0</v>
          </cell>
          <cell r="BS171">
            <v>0</v>
          </cell>
          <cell r="BT171">
            <v>0</v>
          </cell>
          <cell r="BU171">
            <v>0</v>
          </cell>
          <cell r="BV171">
            <v>0</v>
          </cell>
          <cell r="BW171">
            <v>0</v>
          </cell>
          <cell r="BX171">
            <v>0</v>
          </cell>
          <cell r="BY171">
            <v>0</v>
          </cell>
          <cell r="BZ171">
            <v>0</v>
          </cell>
          <cell r="CA171">
            <v>0</v>
          </cell>
          <cell r="CB171">
            <v>0</v>
          </cell>
          <cell r="CC171">
            <v>0</v>
          </cell>
          <cell r="CD171">
            <v>0</v>
          </cell>
          <cell r="CE171">
            <v>0</v>
          </cell>
          <cell r="CF171">
            <v>0</v>
          </cell>
          <cell r="CG171">
            <v>0</v>
          </cell>
          <cell r="CH171">
            <v>0</v>
          </cell>
          <cell r="CI171">
            <v>0</v>
          </cell>
          <cell r="CJ171">
            <v>0</v>
          </cell>
          <cell r="CK171">
            <v>0</v>
          </cell>
          <cell r="CL171">
            <v>0</v>
          </cell>
          <cell r="CM171">
            <v>0</v>
          </cell>
          <cell r="CN171">
            <v>0</v>
          </cell>
          <cell r="CO171">
            <v>0</v>
          </cell>
          <cell r="CP171">
            <v>0</v>
          </cell>
          <cell r="CQ171">
            <v>0</v>
          </cell>
          <cell r="CR171">
            <v>0</v>
          </cell>
          <cell r="CS171">
            <v>0</v>
          </cell>
          <cell r="CV171">
            <v>0</v>
          </cell>
          <cell r="CW171">
            <v>0</v>
          </cell>
          <cell r="CX171">
            <v>0</v>
          </cell>
          <cell r="CY171">
            <v>0</v>
          </cell>
          <cell r="CZ171">
            <v>0</v>
          </cell>
          <cell r="DA171">
            <v>0</v>
          </cell>
          <cell r="DD171">
            <v>0</v>
          </cell>
          <cell r="DE171">
            <v>0</v>
          </cell>
          <cell r="DF171">
            <v>0</v>
          </cell>
          <cell r="DG171">
            <v>0</v>
          </cell>
          <cell r="DH171">
            <v>0</v>
          </cell>
          <cell r="DI171">
            <v>0</v>
          </cell>
          <cell r="DJ171">
            <v>0</v>
          </cell>
          <cell r="DK171">
            <v>0</v>
          </cell>
          <cell r="DL171">
            <v>0</v>
          </cell>
          <cell r="DM171">
            <v>0</v>
          </cell>
          <cell r="DN171">
            <v>0</v>
          </cell>
          <cell r="DQ171">
            <v>0</v>
          </cell>
          <cell r="DR171">
            <v>0</v>
          </cell>
          <cell r="DS171">
            <v>0</v>
          </cell>
          <cell r="DT171">
            <v>0</v>
          </cell>
          <cell r="DU171">
            <v>0</v>
          </cell>
          <cell r="DV171">
            <v>0</v>
          </cell>
          <cell r="DW171">
            <v>0</v>
          </cell>
          <cell r="DX171">
            <v>0</v>
          </cell>
          <cell r="DY171">
            <v>0</v>
          </cell>
          <cell r="DZ171">
            <v>0</v>
          </cell>
          <cell r="EA171">
            <v>0</v>
          </cell>
          <cell r="ED171">
            <v>0</v>
          </cell>
          <cell r="EE171">
            <v>0</v>
          </cell>
          <cell r="EF171">
            <v>0</v>
          </cell>
          <cell r="EG171">
            <v>0</v>
          </cell>
          <cell r="EH171">
            <v>0</v>
          </cell>
          <cell r="EI171">
            <v>0</v>
          </cell>
          <cell r="EJ171">
            <v>0</v>
          </cell>
          <cell r="EK171">
            <v>0</v>
          </cell>
          <cell r="EL171">
            <v>0</v>
          </cell>
          <cell r="EM171">
            <v>0</v>
          </cell>
          <cell r="EN171">
            <v>0</v>
          </cell>
          <cell r="EQ171">
            <v>0</v>
          </cell>
          <cell r="ER171">
            <v>0</v>
          </cell>
          <cell r="ES171">
            <v>0</v>
          </cell>
          <cell r="ET171">
            <v>0</v>
          </cell>
          <cell r="EU171">
            <v>0</v>
          </cell>
          <cell r="EV171">
            <v>0</v>
          </cell>
          <cell r="EW171">
            <v>0</v>
          </cell>
          <cell r="EX171">
            <v>0</v>
          </cell>
          <cell r="EY171">
            <v>0</v>
          </cell>
          <cell r="EZ171">
            <v>0</v>
          </cell>
          <cell r="FA171">
            <v>0</v>
          </cell>
          <cell r="FD171">
            <v>0</v>
          </cell>
          <cell r="FE171">
            <v>0</v>
          </cell>
          <cell r="FF171">
            <v>0</v>
          </cell>
          <cell r="FG171">
            <v>0</v>
          </cell>
          <cell r="FH171">
            <v>0</v>
          </cell>
          <cell r="FI171">
            <v>0</v>
          </cell>
          <cell r="FJ171">
            <v>0</v>
          </cell>
          <cell r="FK171">
            <v>0</v>
          </cell>
          <cell r="FL171">
            <v>0</v>
          </cell>
          <cell r="FM171">
            <v>0</v>
          </cell>
          <cell r="FN171">
            <v>0</v>
          </cell>
          <cell r="FQ171">
            <v>0</v>
          </cell>
          <cell r="FR171">
            <v>0</v>
          </cell>
          <cell r="FS171">
            <v>0</v>
          </cell>
          <cell r="FT171">
            <v>0</v>
          </cell>
          <cell r="FU171">
            <v>0</v>
          </cell>
          <cell r="FV171">
            <v>0</v>
          </cell>
          <cell r="FW171">
            <v>0</v>
          </cell>
          <cell r="FX171">
            <v>0</v>
          </cell>
          <cell r="FY171">
            <v>0</v>
          </cell>
          <cell r="FZ171">
            <v>0</v>
          </cell>
          <cell r="GA171">
            <v>0</v>
          </cell>
          <cell r="GD171">
            <v>0</v>
          </cell>
          <cell r="GE171">
            <v>0</v>
          </cell>
          <cell r="GF171">
            <v>0</v>
          </cell>
          <cell r="GG171">
            <v>0</v>
          </cell>
          <cell r="GH171">
            <v>0</v>
          </cell>
          <cell r="GI171">
            <v>0</v>
          </cell>
          <cell r="GJ171">
            <v>0</v>
          </cell>
          <cell r="GK171">
            <v>0</v>
          </cell>
          <cell r="GL171">
            <v>0</v>
          </cell>
          <cell r="GM171">
            <v>0</v>
          </cell>
          <cell r="GN171">
            <v>0</v>
          </cell>
        </row>
        <row r="177">
          <cell r="B177" t="str">
            <v>Whitfords Ave</v>
          </cell>
          <cell r="C177">
            <v>0</v>
          </cell>
          <cell r="D177">
            <v>1</v>
          </cell>
          <cell r="E177" t="str">
            <v>Neighbourhood</v>
          </cell>
          <cell r="F177" t="str">
            <v>WA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7.633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1</v>
          </cell>
          <cell r="AK177">
            <v>0</v>
          </cell>
          <cell r="AN177">
            <v>7.633</v>
          </cell>
          <cell r="AO177">
            <v>7.633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  <cell r="BK177">
            <v>0</v>
          </cell>
          <cell r="BL177">
            <v>0</v>
          </cell>
          <cell r="BM177">
            <v>0</v>
          </cell>
          <cell r="BN177">
            <v>0</v>
          </cell>
          <cell r="BO177">
            <v>0</v>
          </cell>
          <cell r="BP177">
            <v>0</v>
          </cell>
          <cell r="BQ177">
            <v>0</v>
          </cell>
          <cell r="BR177">
            <v>0</v>
          </cell>
          <cell r="BS177">
            <v>0</v>
          </cell>
          <cell r="BT177">
            <v>0</v>
          </cell>
          <cell r="BU177">
            <v>0</v>
          </cell>
          <cell r="BV177">
            <v>0</v>
          </cell>
          <cell r="BW177">
            <v>0</v>
          </cell>
          <cell r="BX177">
            <v>0</v>
          </cell>
          <cell r="BY177">
            <v>0</v>
          </cell>
          <cell r="BZ177">
            <v>0</v>
          </cell>
          <cell r="CA177">
            <v>0</v>
          </cell>
          <cell r="CB177">
            <v>0</v>
          </cell>
          <cell r="CC177">
            <v>0</v>
          </cell>
          <cell r="CD177">
            <v>0</v>
          </cell>
          <cell r="CE177">
            <v>0</v>
          </cell>
          <cell r="CF177">
            <v>0</v>
          </cell>
          <cell r="CG177">
            <v>0</v>
          </cell>
          <cell r="CH177">
            <v>0</v>
          </cell>
          <cell r="CI177">
            <v>0</v>
          </cell>
          <cell r="CJ177">
            <v>0</v>
          </cell>
          <cell r="CK177">
            <v>7.633</v>
          </cell>
          <cell r="CL177">
            <v>0</v>
          </cell>
          <cell r="CM177">
            <v>0</v>
          </cell>
          <cell r="CN177">
            <v>0</v>
          </cell>
          <cell r="CO177">
            <v>0</v>
          </cell>
          <cell r="CP177">
            <v>0</v>
          </cell>
          <cell r="CQ177">
            <v>0</v>
          </cell>
          <cell r="CR177">
            <v>0</v>
          </cell>
          <cell r="CS177">
            <v>7.633</v>
          </cell>
          <cell r="CV177">
            <v>0</v>
          </cell>
          <cell r="CW177">
            <v>0</v>
          </cell>
          <cell r="CX177">
            <v>0</v>
          </cell>
          <cell r="CY177">
            <v>0</v>
          </cell>
          <cell r="CZ177">
            <v>7.633</v>
          </cell>
          <cell r="DA177">
            <v>0</v>
          </cell>
          <cell r="DD177">
            <v>3.2500000000000001E-2</v>
          </cell>
          <cell r="DE177">
            <v>3.3480818425022367E-2</v>
          </cell>
          <cell r="DF177">
            <v>3.6403596897279768E-2</v>
          </cell>
          <cell r="DG177">
            <v>3.2359447002183045E-2</v>
          </cell>
          <cell r="DH177">
            <v>3.1271739930554508E-2</v>
          </cell>
          <cell r="DI177">
            <v>2.7488046269090145E-2</v>
          </cell>
          <cell r="DJ177">
            <v>2.6109836658996539E-2</v>
          </cell>
          <cell r="DK177">
            <v>2.5909759691511065E-2</v>
          </cell>
          <cell r="DL177">
            <v>2.7890043747624566E-2</v>
          </cell>
          <cell r="DM177">
            <v>3.29689556677197E-2</v>
          </cell>
          <cell r="DN177">
            <v>3.3977733484579185E-2</v>
          </cell>
          <cell r="DQ177">
            <v>0</v>
          </cell>
          <cell r="DR177">
            <v>0</v>
          </cell>
          <cell r="DS177">
            <v>0</v>
          </cell>
          <cell r="DT177">
            <v>0</v>
          </cell>
          <cell r="DU177">
            <v>0</v>
          </cell>
          <cell r="DV177">
            <v>0</v>
          </cell>
          <cell r="DW177">
            <v>0</v>
          </cell>
          <cell r="DX177">
            <v>0</v>
          </cell>
          <cell r="DY177">
            <v>0</v>
          </cell>
          <cell r="DZ177">
            <v>0</v>
          </cell>
          <cell r="EA177">
            <v>0</v>
          </cell>
          <cell r="ED177">
            <v>0</v>
          </cell>
          <cell r="EE177">
            <v>0</v>
          </cell>
          <cell r="EF177">
            <v>0</v>
          </cell>
          <cell r="EG177">
            <v>0</v>
          </cell>
          <cell r="EH177">
            <v>0</v>
          </cell>
          <cell r="EI177">
            <v>0</v>
          </cell>
          <cell r="EJ177">
            <v>0</v>
          </cell>
          <cell r="EK177">
            <v>0</v>
          </cell>
          <cell r="EL177">
            <v>0</v>
          </cell>
          <cell r="EM177">
            <v>0</v>
          </cell>
          <cell r="EN177">
            <v>0</v>
          </cell>
          <cell r="EQ177">
            <v>0</v>
          </cell>
          <cell r="ER177">
            <v>0</v>
          </cell>
          <cell r="ES177">
            <v>0</v>
          </cell>
          <cell r="ET177">
            <v>0</v>
          </cell>
          <cell r="EU177">
            <v>0</v>
          </cell>
          <cell r="EV177">
            <v>0</v>
          </cell>
          <cell r="EW177">
            <v>0</v>
          </cell>
          <cell r="EX177">
            <v>0</v>
          </cell>
          <cell r="EY177">
            <v>0</v>
          </cell>
          <cell r="EZ177">
            <v>0</v>
          </cell>
          <cell r="FA177">
            <v>0</v>
          </cell>
          <cell r="FD177">
            <v>1.4999999999999999E-2</v>
          </cell>
          <cell r="FE177">
            <v>-1.4999999999999999E-2</v>
          </cell>
          <cell r="FF177">
            <v>-5.0000000000000001E-3</v>
          </cell>
          <cell r="FG177">
            <v>0.03</v>
          </cell>
          <cell r="FH177">
            <v>3.4999999999999996E-2</v>
          </cell>
          <cell r="FI177">
            <v>3.4999999999999996E-2</v>
          </cell>
          <cell r="FJ177">
            <v>2.5000000000000001E-2</v>
          </cell>
          <cell r="FK177">
            <v>2.5000000000000001E-2</v>
          </cell>
          <cell r="FL177">
            <v>2.5000000000000001E-2</v>
          </cell>
          <cell r="FM177">
            <v>2.5000000000000001E-2</v>
          </cell>
          <cell r="FN177">
            <v>2.5000000000000001E-2</v>
          </cell>
          <cell r="FQ177">
            <v>1.4999999999999999E-2</v>
          </cell>
          <cell r="FR177">
            <v>-1.4999999999999999E-2</v>
          </cell>
          <cell r="FS177">
            <v>-5.0000000000000001E-3</v>
          </cell>
          <cell r="FT177">
            <v>0.03</v>
          </cell>
          <cell r="FU177">
            <v>3.4999999999999996E-2</v>
          </cell>
          <cell r="FV177">
            <v>3.4999999999999996E-2</v>
          </cell>
          <cell r="FW177">
            <v>2.5000000000000001E-2</v>
          </cell>
          <cell r="FX177">
            <v>2.5000000000000001E-2</v>
          </cell>
          <cell r="FY177">
            <v>2.5000000000000001E-2</v>
          </cell>
          <cell r="FZ177">
            <v>2.5000000000000001E-2</v>
          </cell>
          <cell r="GA177">
            <v>2.5000000000000001E-2</v>
          </cell>
          <cell r="GD177">
            <v>1.8500000000000003E-2</v>
          </cell>
          <cell r="GE177">
            <v>-5.3038363149955263E-3</v>
          </cell>
          <cell r="GF177">
            <v>3.2807193794559542E-3</v>
          </cell>
          <cell r="GG177">
            <v>3.0471889400436609E-2</v>
          </cell>
          <cell r="GH177">
            <v>3.4254347986110899E-2</v>
          </cell>
          <cell r="GI177">
            <v>3.3497609253818027E-2</v>
          </cell>
          <cell r="GJ177">
            <v>2.5221967331799312E-2</v>
          </cell>
          <cell r="GK177">
            <v>2.5181951938302218E-2</v>
          </cell>
          <cell r="GL177">
            <v>2.5578008749524917E-2</v>
          </cell>
          <cell r="GM177">
            <v>2.6593791133543945E-2</v>
          </cell>
          <cell r="GN177">
            <v>2.6795546696915841E-2</v>
          </cell>
        </row>
        <row r="178">
          <cell r="B178" t="str">
            <v>West Lakes</v>
          </cell>
          <cell r="C178">
            <v>0</v>
          </cell>
          <cell r="D178">
            <v>1</v>
          </cell>
          <cell r="E178" t="str">
            <v>Sub Regional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 t="e">
            <v>#DIV/0!</v>
          </cell>
          <cell r="AG178" t="e">
            <v>#DIV/0!</v>
          </cell>
          <cell r="AH178" t="e">
            <v>#DIV/0!</v>
          </cell>
          <cell r="AI178" t="e">
            <v>#DIV/0!</v>
          </cell>
          <cell r="AJ178" t="e">
            <v>#DIV/0!</v>
          </cell>
          <cell r="AK178" t="e">
            <v>#DIV/0!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  <cell r="BK178">
            <v>0</v>
          </cell>
          <cell r="BL178">
            <v>0</v>
          </cell>
          <cell r="BM178">
            <v>0</v>
          </cell>
          <cell r="BN178">
            <v>0</v>
          </cell>
          <cell r="BO178">
            <v>0</v>
          </cell>
          <cell r="BP178">
            <v>0</v>
          </cell>
          <cell r="BQ178">
            <v>0</v>
          </cell>
          <cell r="BR178">
            <v>0</v>
          </cell>
          <cell r="BS178">
            <v>0</v>
          </cell>
          <cell r="BT178">
            <v>0</v>
          </cell>
          <cell r="BU178">
            <v>0</v>
          </cell>
          <cell r="BV178">
            <v>0</v>
          </cell>
          <cell r="BW178">
            <v>0</v>
          </cell>
          <cell r="BX178">
            <v>0</v>
          </cell>
          <cell r="BY178">
            <v>0</v>
          </cell>
          <cell r="BZ178">
            <v>0</v>
          </cell>
          <cell r="CA178">
            <v>0</v>
          </cell>
          <cell r="CB178">
            <v>0</v>
          </cell>
          <cell r="CC178">
            <v>0</v>
          </cell>
          <cell r="CD178">
            <v>0</v>
          </cell>
          <cell r="CE178">
            <v>0</v>
          </cell>
          <cell r="CF178">
            <v>0</v>
          </cell>
          <cell r="CG178">
            <v>0</v>
          </cell>
          <cell r="CH178">
            <v>0</v>
          </cell>
          <cell r="CI178">
            <v>0</v>
          </cell>
          <cell r="CJ178">
            <v>0</v>
          </cell>
          <cell r="CK178">
            <v>0</v>
          </cell>
          <cell r="CL178">
            <v>0</v>
          </cell>
          <cell r="CM178">
            <v>0</v>
          </cell>
          <cell r="CN178">
            <v>0</v>
          </cell>
          <cell r="CO178">
            <v>0</v>
          </cell>
          <cell r="CP178">
            <v>0</v>
          </cell>
          <cell r="CQ178">
            <v>0</v>
          </cell>
          <cell r="CR178">
            <v>0</v>
          </cell>
          <cell r="CS178">
            <v>0</v>
          </cell>
          <cell r="CV178">
            <v>0</v>
          </cell>
          <cell r="CW178">
            <v>0</v>
          </cell>
          <cell r="CX178">
            <v>0</v>
          </cell>
          <cell r="CY178">
            <v>0</v>
          </cell>
          <cell r="CZ178">
            <v>0</v>
          </cell>
          <cell r="DA178">
            <v>0</v>
          </cell>
          <cell r="DD178">
            <v>0</v>
          </cell>
          <cell r="DE178">
            <v>0</v>
          </cell>
          <cell r="DF178">
            <v>0</v>
          </cell>
          <cell r="DG178">
            <v>0</v>
          </cell>
          <cell r="DH178">
            <v>0</v>
          </cell>
          <cell r="DI178">
            <v>0</v>
          </cell>
          <cell r="DJ178">
            <v>0</v>
          </cell>
          <cell r="DK178">
            <v>0</v>
          </cell>
          <cell r="DL178">
            <v>0</v>
          </cell>
          <cell r="DM178">
            <v>0</v>
          </cell>
          <cell r="DN178">
            <v>0</v>
          </cell>
          <cell r="DQ178">
            <v>0</v>
          </cell>
          <cell r="DR178">
            <v>0</v>
          </cell>
          <cell r="DS178">
            <v>0</v>
          </cell>
          <cell r="DT178">
            <v>0</v>
          </cell>
          <cell r="DU178">
            <v>0</v>
          </cell>
          <cell r="DV178">
            <v>0</v>
          </cell>
          <cell r="DW178">
            <v>0</v>
          </cell>
          <cell r="DX178">
            <v>0</v>
          </cell>
          <cell r="DY178">
            <v>0</v>
          </cell>
          <cell r="DZ178">
            <v>0</v>
          </cell>
          <cell r="EA178">
            <v>0</v>
          </cell>
          <cell r="ED178">
            <v>0</v>
          </cell>
          <cell r="EE178">
            <v>0</v>
          </cell>
          <cell r="EF178">
            <v>0</v>
          </cell>
          <cell r="EG178">
            <v>0</v>
          </cell>
          <cell r="EH178">
            <v>0</v>
          </cell>
          <cell r="EI178">
            <v>0</v>
          </cell>
          <cell r="EJ178">
            <v>0</v>
          </cell>
          <cell r="EK178">
            <v>0</v>
          </cell>
          <cell r="EL178">
            <v>0</v>
          </cell>
          <cell r="EM178">
            <v>0</v>
          </cell>
          <cell r="EN178">
            <v>0</v>
          </cell>
          <cell r="EQ178">
            <v>0</v>
          </cell>
          <cell r="ER178">
            <v>0</v>
          </cell>
          <cell r="ES178">
            <v>0</v>
          </cell>
          <cell r="ET178">
            <v>0</v>
          </cell>
          <cell r="EU178">
            <v>0</v>
          </cell>
          <cell r="EV178">
            <v>0</v>
          </cell>
          <cell r="EW178">
            <v>0</v>
          </cell>
          <cell r="EX178">
            <v>0</v>
          </cell>
          <cell r="EY178">
            <v>0</v>
          </cell>
          <cell r="EZ178">
            <v>0</v>
          </cell>
          <cell r="FA178">
            <v>0</v>
          </cell>
          <cell r="FD178">
            <v>0</v>
          </cell>
          <cell r="FE178">
            <v>0</v>
          </cell>
          <cell r="FF178">
            <v>0</v>
          </cell>
          <cell r="FG178">
            <v>0</v>
          </cell>
          <cell r="FH178">
            <v>0</v>
          </cell>
          <cell r="FI178">
            <v>0</v>
          </cell>
          <cell r="FJ178">
            <v>0</v>
          </cell>
          <cell r="FK178">
            <v>0</v>
          </cell>
          <cell r="FL178">
            <v>0</v>
          </cell>
          <cell r="FM178">
            <v>0</v>
          </cell>
          <cell r="FN178">
            <v>0</v>
          </cell>
          <cell r="FQ178">
            <v>0</v>
          </cell>
          <cell r="FR178">
            <v>0</v>
          </cell>
          <cell r="FS178">
            <v>0</v>
          </cell>
          <cell r="FT178">
            <v>0</v>
          </cell>
          <cell r="FU178">
            <v>0</v>
          </cell>
          <cell r="FV178">
            <v>0</v>
          </cell>
          <cell r="FW178">
            <v>0</v>
          </cell>
          <cell r="FX178">
            <v>0</v>
          </cell>
          <cell r="FY178">
            <v>0</v>
          </cell>
          <cell r="FZ178">
            <v>0</v>
          </cell>
          <cell r="GA178">
            <v>0</v>
          </cell>
          <cell r="GD178">
            <v>0</v>
          </cell>
          <cell r="GE178">
            <v>0</v>
          </cell>
          <cell r="GF178">
            <v>0</v>
          </cell>
          <cell r="GG178">
            <v>0</v>
          </cell>
          <cell r="GH178">
            <v>0</v>
          </cell>
          <cell r="GI178">
            <v>0</v>
          </cell>
          <cell r="GJ178">
            <v>0</v>
          </cell>
          <cell r="GK178">
            <v>0</v>
          </cell>
          <cell r="GL178">
            <v>0</v>
          </cell>
          <cell r="GM178">
            <v>0</v>
          </cell>
          <cell r="GN178">
            <v>0</v>
          </cell>
        </row>
        <row r="179"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  <cell r="BK179">
            <v>0</v>
          </cell>
          <cell r="BL179">
            <v>0</v>
          </cell>
          <cell r="BM179">
            <v>0</v>
          </cell>
          <cell r="BN179">
            <v>0</v>
          </cell>
          <cell r="BO179">
            <v>0</v>
          </cell>
          <cell r="BP179">
            <v>0</v>
          </cell>
          <cell r="BQ179">
            <v>0</v>
          </cell>
          <cell r="BR179">
            <v>0</v>
          </cell>
          <cell r="BS179">
            <v>0</v>
          </cell>
          <cell r="BT179">
            <v>0</v>
          </cell>
          <cell r="BU179">
            <v>0</v>
          </cell>
          <cell r="BV179">
            <v>0</v>
          </cell>
          <cell r="BW179">
            <v>0</v>
          </cell>
          <cell r="BX179">
            <v>0</v>
          </cell>
          <cell r="BY179">
            <v>0</v>
          </cell>
          <cell r="BZ179">
            <v>0</v>
          </cell>
          <cell r="CA179">
            <v>0</v>
          </cell>
          <cell r="CB179">
            <v>0</v>
          </cell>
          <cell r="CC179">
            <v>0</v>
          </cell>
          <cell r="CD179">
            <v>0</v>
          </cell>
          <cell r="CE179">
            <v>0</v>
          </cell>
          <cell r="CF179">
            <v>0</v>
          </cell>
          <cell r="CG179">
            <v>0</v>
          </cell>
          <cell r="CH179">
            <v>0</v>
          </cell>
          <cell r="CI179">
            <v>0</v>
          </cell>
          <cell r="CJ179">
            <v>0</v>
          </cell>
          <cell r="CK179">
            <v>0</v>
          </cell>
          <cell r="CL179">
            <v>0</v>
          </cell>
          <cell r="CM179">
            <v>0</v>
          </cell>
          <cell r="CN179">
            <v>0</v>
          </cell>
          <cell r="CO179">
            <v>0</v>
          </cell>
          <cell r="CP179">
            <v>0</v>
          </cell>
          <cell r="CQ179">
            <v>0</v>
          </cell>
          <cell r="CR179">
            <v>0</v>
          </cell>
          <cell r="CS179">
            <v>0</v>
          </cell>
          <cell r="CV179">
            <v>0</v>
          </cell>
          <cell r="CW179">
            <v>0</v>
          </cell>
          <cell r="CX179">
            <v>0</v>
          </cell>
          <cell r="CY179">
            <v>0</v>
          </cell>
          <cell r="CZ179">
            <v>0</v>
          </cell>
          <cell r="DA179">
            <v>0</v>
          </cell>
          <cell r="DD179">
            <v>0</v>
          </cell>
          <cell r="DE179">
            <v>0</v>
          </cell>
          <cell r="DF179">
            <v>0</v>
          </cell>
          <cell r="DG179">
            <v>0</v>
          </cell>
          <cell r="DH179">
            <v>0</v>
          </cell>
          <cell r="DI179">
            <v>0</v>
          </cell>
          <cell r="DJ179">
            <v>0</v>
          </cell>
          <cell r="DK179">
            <v>0</v>
          </cell>
          <cell r="DL179">
            <v>0</v>
          </cell>
          <cell r="DM179">
            <v>0</v>
          </cell>
          <cell r="DN179">
            <v>0</v>
          </cell>
          <cell r="DQ179">
            <v>0</v>
          </cell>
          <cell r="DR179">
            <v>0</v>
          </cell>
          <cell r="DS179">
            <v>0</v>
          </cell>
          <cell r="DT179">
            <v>0</v>
          </cell>
          <cell r="DU179">
            <v>0</v>
          </cell>
          <cell r="DV179">
            <v>0</v>
          </cell>
          <cell r="DW179">
            <v>0</v>
          </cell>
          <cell r="DX179">
            <v>0</v>
          </cell>
          <cell r="DY179">
            <v>0</v>
          </cell>
          <cell r="DZ179">
            <v>0</v>
          </cell>
          <cell r="EA179">
            <v>0</v>
          </cell>
          <cell r="ED179">
            <v>0</v>
          </cell>
          <cell r="EE179">
            <v>0</v>
          </cell>
          <cell r="EF179">
            <v>0</v>
          </cell>
          <cell r="EG179">
            <v>0</v>
          </cell>
          <cell r="EH179">
            <v>0</v>
          </cell>
          <cell r="EI179">
            <v>0</v>
          </cell>
          <cell r="EJ179">
            <v>0</v>
          </cell>
          <cell r="EK179">
            <v>0</v>
          </cell>
          <cell r="EL179">
            <v>0</v>
          </cell>
          <cell r="EM179">
            <v>0</v>
          </cell>
          <cell r="EN179">
            <v>0</v>
          </cell>
          <cell r="EQ179">
            <v>0</v>
          </cell>
          <cell r="ER179">
            <v>0</v>
          </cell>
          <cell r="ES179">
            <v>0</v>
          </cell>
          <cell r="ET179">
            <v>0</v>
          </cell>
          <cell r="EU179">
            <v>0</v>
          </cell>
          <cell r="EV179">
            <v>0</v>
          </cell>
          <cell r="EW179">
            <v>0</v>
          </cell>
          <cell r="EX179">
            <v>0</v>
          </cell>
          <cell r="EY179">
            <v>0</v>
          </cell>
          <cell r="EZ179">
            <v>0</v>
          </cell>
          <cell r="FA179">
            <v>0</v>
          </cell>
          <cell r="FD179">
            <v>0</v>
          </cell>
          <cell r="FE179">
            <v>0</v>
          </cell>
          <cell r="FF179">
            <v>0</v>
          </cell>
          <cell r="FG179">
            <v>0</v>
          </cell>
          <cell r="FH179">
            <v>0</v>
          </cell>
          <cell r="FI179">
            <v>0</v>
          </cell>
          <cell r="FJ179">
            <v>0</v>
          </cell>
          <cell r="FK179">
            <v>0</v>
          </cell>
          <cell r="FL179">
            <v>0</v>
          </cell>
          <cell r="FM179">
            <v>0</v>
          </cell>
          <cell r="FN179">
            <v>0</v>
          </cell>
          <cell r="FQ179">
            <v>0</v>
          </cell>
          <cell r="FR179">
            <v>0</v>
          </cell>
          <cell r="FS179">
            <v>0</v>
          </cell>
          <cell r="FT179">
            <v>0</v>
          </cell>
          <cell r="FU179">
            <v>0</v>
          </cell>
          <cell r="FV179">
            <v>0</v>
          </cell>
          <cell r="FW179">
            <v>0</v>
          </cell>
          <cell r="FX179">
            <v>0</v>
          </cell>
          <cell r="FY179">
            <v>0</v>
          </cell>
          <cell r="FZ179">
            <v>0</v>
          </cell>
          <cell r="GA179">
            <v>0</v>
          </cell>
          <cell r="GD179">
            <v>0</v>
          </cell>
          <cell r="GE179">
            <v>0</v>
          </cell>
          <cell r="GF179">
            <v>0</v>
          </cell>
          <cell r="GG179">
            <v>0</v>
          </cell>
          <cell r="GH179">
            <v>0</v>
          </cell>
          <cell r="GI179">
            <v>0</v>
          </cell>
          <cell r="GJ179">
            <v>0</v>
          </cell>
          <cell r="GK179">
            <v>0</v>
          </cell>
          <cell r="GL179">
            <v>0</v>
          </cell>
          <cell r="GM179">
            <v>0</v>
          </cell>
          <cell r="GN179">
            <v>0</v>
          </cell>
        </row>
        <row r="180"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  <cell r="BK180">
            <v>0</v>
          </cell>
          <cell r="BL180">
            <v>0</v>
          </cell>
          <cell r="BM180">
            <v>0</v>
          </cell>
          <cell r="BN180">
            <v>0</v>
          </cell>
          <cell r="BO180">
            <v>0</v>
          </cell>
          <cell r="BP180">
            <v>0</v>
          </cell>
          <cell r="BQ180">
            <v>0</v>
          </cell>
          <cell r="BR180">
            <v>0</v>
          </cell>
          <cell r="BS180">
            <v>0</v>
          </cell>
          <cell r="BT180">
            <v>0</v>
          </cell>
          <cell r="BU180">
            <v>0</v>
          </cell>
          <cell r="BV180">
            <v>0</v>
          </cell>
          <cell r="BW180">
            <v>0</v>
          </cell>
          <cell r="BX180">
            <v>0</v>
          </cell>
          <cell r="BY180">
            <v>0</v>
          </cell>
          <cell r="BZ180">
            <v>0</v>
          </cell>
          <cell r="CA180">
            <v>0</v>
          </cell>
          <cell r="CB180">
            <v>0</v>
          </cell>
          <cell r="CC180">
            <v>0</v>
          </cell>
          <cell r="CD180">
            <v>0</v>
          </cell>
          <cell r="CE180">
            <v>0</v>
          </cell>
          <cell r="CF180">
            <v>0</v>
          </cell>
          <cell r="CG180">
            <v>0</v>
          </cell>
          <cell r="CH180">
            <v>0</v>
          </cell>
          <cell r="CI180">
            <v>0</v>
          </cell>
          <cell r="CJ180">
            <v>0</v>
          </cell>
          <cell r="CK180">
            <v>0</v>
          </cell>
          <cell r="CL180">
            <v>0</v>
          </cell>
          <cell r="CM180">
            <v>0</v>
          </cell>
          <cell r="CN180">
            <v>0</v>
          </cell>
          <cell r="CO180">
            <v>0</v>
          </cell>
          <cell r="CP180">
            <v>0</v>
          </cell>
          <cell r="CQ180">
            <v>0</v>
          </cell>
          <cell r="CR180">
            <v>0</v>
          </cell>
          <cell r="CS180">
            <v>0</v>
          </cell>
          <cell r="CV180">
            <v>0</v>
          </cell>
          <cell r="CW180">
            <v>0</v>
          </cell>
          <cell r="CX180">
            <v>0</v>
          </cell>
          <cell r="CY180">
            <v>0</v>
          </cell>
          <cell r="CZ180">
            <v>0</v>
          </cell>
          <cell r="DA180">
            <v>0</v>
          </cell>
          <cell r="DD180">
            <v>0</v>
          </cell>
          <cell r="DE180">
            <v>0</v>
          </cell>
          <cell r="DF180">
            <v>0</v>
          </cell>
          <cell r="DG180">
            <v>0</v>
          </cell>
          <cell r="DH180">
            <v>0</v>
          </cell>
          <cell r="DI180">
            <v>0</v>
          </cell>
          <cell r="DJ180">
            <v>0</v>
          </cell>
          <cell r="DK180">
            <v>0</v>
          </cell>
          <cell r="DL180">
            <v>0</v>
          </cell>
          <cell r="DM180">
            <v>0</v>
          </cell>
          <cell r="DN180">
            <v>0</v>
          </cell>
          <cell r="DQ180">
            <v>0</v>
          </cell>
          <cell r="DR180">
            <v>0</v>
          </cell>
          <cell r="DS180">
            <v>0</v>
          </cell>
          <cell r="DT180">
            <v>0</v>
          </cell>
          <cell r="DU180">
            <v>0</v>
          </cell>
          <cell r="DV180">
            <v>0</v>
          </cell>
          <cell r="DW180">
            <v>0</v>
          </cell>
          <cell r="DX180">
            <v>0</v>
          </cell>
          <cell r="DY180">
            <v>0</v>
          </cell>
          <cell r="DZ180">
            <v>0</v>
          </cell>
          <cell r="EA180">
            <v>0</v>
          </cell>
          <cell r="ED180">
            <v>0</v>
          </cell>
          <cell r="EE180">
            <v>0</v>
          </cell>
          <cell r="EF180">
            <v>0</v>
          </cell>
          <cell r="EG180">
            <v>0</v>
          </cell>
          <cell r="EH180">
            <v>0</v>
          </cell>
          <cell r="EI180">
            <v>0</v>
          </cell>
          <cell r="EJ180">
            <v>0</v>
          </cell>
          <cell r="EK180">
            <v>0</v>
          </cell>
          <cell r="EL180">
            <v>0</v>
          </cell>
          <cell r="EM180">
            <v>0</v>
          </cell>
          <cell r="EN180">
            <v>0</v>
          </cell>
          <cell r="EQ180">
            <v>0</v>
          </cell>
          <cell r="ER180">
            <v>0</v>
          </cell>
          <cell r="ES180">
            <v>0</v>
          </cell>
          <cell r="ET180">
            <v>0</v>
          </cell>
          <cell r="EU180">
            <v>0</v>
          </cell>
          <cell r="EV180">
            <v>0</v>
          </cell>
          <cell r="EW180">
            <v>0</v>
          </cell>
          <cell r="EX180">
            <v>0</v>
          </cell>
          <cell r="EY180">
            <v>0</v>
          </cell>
          <cell r="EZ180">
            <v>0</v>
          </cell>
          <cell r="FA180">
            <v>0</v>
          </cell>
          <cell r="FD180">
            <v>0</v>
          </cell>
          <cell r="FE180">
            <v>0</v>
          </cell>
          <cell r="FF180">
            <v>0</v>
          </cell>
          <cell r="FG180">
            <v>0</v>
          </cell>
          <cell r="FH180">
            <v>0</v>
          </cell>
          <cell r="FI180">
            <v>0</v>
          </cell>
          <cell r="FJ180">
            <v>0</v>
          </cell>
          <cell r="FK180">
            <v>0</v>
          </cell>
          <cell r="FL180">
            <v>0</v>
          </cell>
          <cell r="FM180">
            <v>0</v>
          </cell>
          <cell r="FN180">
            <v>0</v>
          </cell>
          <cell r="FQ180">
            <v>0</v>
          </cell>
          <cell r="FR180">
            <v>0</v>
          </cell>
          <cell r="FS180">
            <v>0</v>
          </cell>
          <cell r="FT180">
            <v>0</v>
          </cell>
          <cell r="FU180">
            <v>0</v>
          </cell>
          <cell r="FV180">
            <v>0</v>
          </cell>
          <cell r="FW180">
            <v>0</v>
          </cell>
          <cell r="FX180">
            <v>0</v>
          </cell>
          <cell r="FY180">
            <v>0</v>
          </cell>
          <cell r="FZ180">
            <v>0</v>
          </cell>
          <cell r="GA180">
            <v>0</v>
          </cell>
          <cell r="GD180">
            <v>0</v>
          </cell>
          <cell r="GE180">
            <v>0</v>
          </cell>
          <cell r="GF180">
            <v>0</v>
          </cell>
          <cell r="GG180">
            <v>0</v>
          </cell>
          <cell r="GH180">
            <v>0</v>
          </cell>
          <cell r="GI180">
            <v>0</v>
          </cell>
          <cell r="GJ180">
            <v>0</v>
          </cell>
          <cell r="GK180">
            <v>0</v>
          </cell>
          <cell r="GL180">
            <v>0</v>
          </cell>
          <cell r="GM180">
            <v>0</v>
          </cell>
          <cell r="GN180">
            <v>0</v>
          </cell>
        </row>
        <row r="181"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  <cell r="BK181">
            <v>0</v>
          </cell>
          <cell r="BL181">
            <v>0</v>
          </cell>
          <cell r="BM181">
            <v>0</v>
          </cell>
          <cell r="BN181">
            <v>0</v>
          </cell>
          <cell r="BO181">
            <v>0</v>
          </cell>
          <cell r="BP181">
            <v>0</v>
          </cell>
          <cell r="BQ181">
            <v>0</v>
          </cell>
          <cell r="BR181">
            <v>0</v>
          </cell>
          <cell r="BS181">
            <v>0</v>
          </cell>
          <cell r="BT181">
            <v>0</v>
          </cell>
          <cell r="BU181">
            <v>0</v>
          </cell>
          <cell r="BV181">
            <v>0</v>
          </cell>
          <cell r="BW181">
            <v>0</v>
          </cell>
          <cell r="BX181">
            <v>0</v>
          </cell>
          <cell r="BY181">
            <v>0</v>
          </cell>
          <cell r="BZ181">
            <v>0</v>
          </cell>
          <cell r="CA181">
            <v>0</v>
          </cell>
          <cell r="CB181">
            <v>0</v>
          </cell>
          <cell r="CC181">
            <v>0</v>
          </cell>
          <cell r="CD181">
            <v>0</v>
          </cell>
          <cell r="CE181">
            <v>0</v>
          </cell>
          <cell r="CF181">
            <v>0</v>
          </cell>
          <cell r="CG181">
            <v>0</v>
          </cell>
          <cell r="CH181">
            <v>0</v>
          </cell>
          <cell r="CI181">
            <v>0</v>
          </cell>
          <cell r="CJ181">
            <v>0</v>
          </cell>
          <cell r="CK181">
            <v>0</v>
          </cell>
          <cell r="CL181">
            <v>0</v>
          </cell>
          <cell r="CM181">
            <v>0</v>
          </cell>
          <cell r="CN181">
            <v>0</v>
          </cell>
          <cell r="CO181">
            <v>0</v>
          </cell>
          <cell r="CP181">
            <v>0</v>
          </cell>
          <cell r="CQ181">
            <v>0</v>
          </cell>
          <cell r="CR181">
            <v>0</v>
          </cell>
          <cell r="CS181">
            <v>0</v>
          </cell>
          <cell r="CV181">
            <v>0</v>
          </cell>
          <cell r="CW181">
            <v>0</v>
          </cell>
          <cell r="CX181">
            <v>0</v>
          </cell>
          <cell r="CY181">
            <v>0</v>
          </cell>
          <cell r="CZ181">
            <v>0</v>
          </cell>
          <cell r="DA181">
            <v>0</v>
          </cell>
          <cell r="DD181">
            <v>0</v>
          </cell>
          <cell r="DE181">
            <v>0</v>
          </cell>
          <cell r="DF181">
            <v>0</v>
          </cell>
          <cell r="DG181">
            <v>0</v>
          </cell>
          <cell r="DH181">
            <v>0</v>
          </cell>
          <cell r="DI181">
            <v>0</v>
          </cell>
          <cell r="DJ181">
            <v>0</v>
          </cell>
          <cell r="DK181">
            <v>0</v>
          </cell>
          <cell r="DL181">
            <v>0</v>
          </cell>
          <cell r="DM181">
            <v>0</v>
          </cell>
          <cell r="DN181">
            <v>0</v>
          </cell>
          <cell r="DQ181">
            <v>0</v>
          </cell>
          <cell r="DR181">
            <v>0</v>
          </cell>
          <cell r="DS181">
            <v>0</v>
          </cell>
          <cell r="DT181">
            <v>0</v>
          </cell>
          <cell r="DU181">
            <v>0</v>
          </cell>
          <cell r="DV181">
            <v>0</v>
          </cell>
          <cell r="DW181">
            <v>0</v>
          </cell>
          <cell r="DX181">
            <v>0</v>
          </cell>
          <cell r="DY181">
            <v>0</v>
          </cell>
          <cell r="DZ181">
            <v>0</v>
          </cell>
          <cell r="EA181">
            <v>0</v>
          </cell>
          <cell r="ED181">
            <v>0</v>
          </cell>
          <cell r="EE181">
            <v>0</v>
          </cell>
          <cell r="EF181">
            <v>0</v>
          </cell>
          <cell r="EG181">
            <v>0</v>
          </cell>
          <cell r="EH181">
            <v>0</v>
          </cell>
          <cell r="EI181">
            <v>0</v>
          </cell>
          <cell r="EJ181">
            <v>0</v>
          </cell>
          <cell r="EK181">
            <v>0</v>
          </cell>
          <cell r="EL181">
            <v>0</v>
          </cell>
          <cell r="EM181">
            <v>0</v>
          </cell>
          <cell r="EN181">
            <v>0</v>
          </cell>
          <cell r="EQ181">
            <v>0</v>
          </cell>
          <cell r="ER181">
            <v>0</v>
          </cell>
          <cell r="ES181">
            <v>0</v>
          </cell>
          <cell r="ET181">
            <v>0</v>
          </cell>
          <cell r="EU181">
            <v>0</v>
          </cell>
          <cell r="EV181">
            <v>0</v>
          </cell>
          <cell r="EW181">
            <v>0</v>
          </cell>
          <cell r="EX181">
            <v>0</v>
          </cell>
          <cell r="EY181">
            <v>0</v>
          </cell>
          <cell r="EZ181">
            <v>0</v>
          </cell>
          <cell r="FA181">
            <v>0</v>
          </cell>
          <cell r="FD181">
            <v>0</v>
          </cell>
          <cell r="FE181">
            <v>0</v>
          </cell>
          <cell r="FF181">
            <v>0</v>
          </cell>
          <cell r="FG181">
            <v>0</v>
          </cell>
          <cell r="FH181">
            <v>0</v>
          </cell>
          <cell r="FI181">
            <v>0</v>
          </cell>
          <cell r="FJ181">
            <v>0</v>
          </cell>
          <cell r="FK181">
            <v>0</v>
          </cell>
          <cell r="FL181">
            <v>0</v>
          </cell>
          <cell r="FM181">
            <v>0</v>
          </cell>
          <cell r="FN181">
            <v>0</v>
          </cell>
          <cell r="FQ181">
            <v>0</v>
          </cell>
          <cell r="FR181">
            <v>0</v>
          </cell>
          <cell r="FS181">
            <v>0</v>
          </cell>
          <cell r="FT181">
            <v>0</v>
          </cell>
          <cell r="FU181">
            <v>0</v>
          </cell>
          <cell r="FV181">
            <v>0</v>
          </cell>
          <cell r="FW181">
            <v>0</v>
          </cell>
          <cell r="FX181">
            <v>0</v>
          </cell>
          <cell r="FY181">
            <v>0</v>
          </cell>
          <cell r="FZ181">
            <v>0</v>
          </cell>
          <cell r="GA181">
            <v>0</v>
          </cell>
          <cell r="GD181">
            <v>0</v>
          </cell>
          <cell r="GE181">
            <v>0</v>
          </cell>
          <cell r="GF181">
            <v>0</v>
          </cell>
          <cell r="GG181">
            <v>0</v>
          </cell>
          <cell r="GH181">
            <v>0</v>
          </cell>
          <cell r="GI181">
            <v>0</v>
          </cell>
          <cell r="GJ181">
            <v>0</v>
          </cell>
          <cell r="GK181">
            <v>0</v>
          </cell>
          <cell r="GL181">
            <v>0</v>
          </cell>
          <cell r="GM181">
            <v>0</v>
          </cell>
          <cell r="GN181">
            <v>0</v>
          </cell>
        </row>
        <row r="182"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0</v>
          </cell>
          <cell r="BM182">
            <v>0</v>
          </cell>
          <cell r="BN182">
            <v>0</v>
          </cell>
          <cell r="BO182">
            <v>0</v>
          </cell>
          <cell r="BP182">
            <v>0</v>
          </cell>
          <cell r="BQ182">
            <v>0</v>
          </cell>
          <cell r="BR182">
            <v>0</v>
          </cell>
          <cell r="BS182">
            <v>0</v>
          </cell>
          <cell r="BT182">
            <v>0</v>
          </cell>
          <cell r="BU182">
            <v>0</v>
          </cell>
          <cell r="BV182">
            <v>0</v>
          </cell>
          <cell r="BW182">
            <v>0</v>
          </cell>
          <cell r="BX182">
            <v>0</v>
          </cell>
          <cell r="BY182">
            <v>0</v>
          </cell>
          <cell r="BZ182">
            <v>0</v>
          </cell>
          <cell r="CA182">
            <v>0</v>
          </cell>
          <cell r="CB182">
            <v>0</v>
          </cell>
          <cell r="CC182">
            <v>0</v>
          </cell>
          <cell r="CD182">
            <v>0</v>
          </cell>
          <cell r="CE182">
            <v>0</v>
          </cell>
          <cell r="CF182">
            <v>0</v>
          </cell>
          <cell r="CG182">
            <v>0</v>
          </cell>
          <cell r="CH182">
            <v>0</v>
          </cell>
          <cell r="CI182">
            <v>0</v>
          </cell>
          <cell r="CJ182">
            <v>0</v>
          </cell>
          <cell r="CK182">
            <v>0</v>
          </cell>
          <cell r="CL182">
            <v>0</v>
          </cell>
          <cell r="CM182">
            <v>0</v>
          </cell>
          <cell r="CN182">
            <v>0</v>
          </cell>
          <cell r="CO182">
            <v>0</v>
          </cell>
          <cell r="CP182">
            <v>0</v>
          </cell>
          <cell r="CQ182">
            <v>0</v>
          </cell>
          <cell r="CR182">
            <v>0</v>
          </cell>
          <cell r="CS182">
            <v>0</v>
          </cell>
          <cell r="CV182">
            <v>0</v>
          </cell>
          <cell r="CW182">
            <v>0</v>
          </cell>
          <cell r="CX182">
            <v>0</v>
          </cell>
          <cell r="CY182">
            <v>0</v>
          </cell>
          <cell r="CZ182">
            <v>0</v>
          </cell>
          <cell r="DA182">
            <v>0</v>
          </cell>
          <cell r="DD182">
            <v>0</v>
          </cell>
          <cell r="DE182">
            <v>0</v>
          </cell>
          <cell r="DF182">
            <v>0</v>
          </cell>
          <cell r="DG182">
            <v>0</v>
          </cell>
          <cell r="DH182">
            <v>0</v>
          </cell>
          <cell r="DI182">
            <v>0</v>
          </cell>
          <cell r="DJ182">
            <v>0</v>
          </cell>
          <cell r="DK182">
            <v>0</v>
          </cell>
          <cell r="DL182">
            <v>0</v>
          </cell>
          <cell r="DM182">
            <v>0</v>
          </cell>
          <cell r="DN182">
            <v>0</v>
          </cell>
          <cell r="DQ182">
            <v>0</v>
          </cell>
          <cell r="DR182">
            <v>0</v>
          </cell>
          <cell r="DS182">
            <v>0</v>
          </cell>
          <cell r="DT182">
            <v>0</v>
          </cell>
          <cell r="DU182">
            <v>0</v>
          </cell>
          <cell r="DV182">
            <v>0</v>
          </cell>
          <cell r="DW182">
            <v>0</v>
          </cell>
          <cell r="DX182">
            <v>0</v>
          </cell>
          <cell r="DY182">
            <v>0</v>
          </cell>
          <cell r="DZ182">
            <v>0</v>
          </cell>
          <cell r="EA182">
            <v>0</v>
          </cell>
          <cell r="ED182">
            <v>0</v>
          </cell>
          <cell r="EE182">
            <v>0</v>
          </cell>
          <cell r="EF182">
            <v>0</v>
          </cell>
          <cell r="EG182">
            <v>0</v>
          </cell>
          <cell r="EH182">
            <v>0</v>
          </cell>
          <cell r="EI182">
            <v>0</v>
          </cell>
          <cell r="EJ182">
            <v>0</v>
          </cell>
          <cell r="EK182">
            <v>0</v>
          </cell>
          <cell r="EL182">
            <v>0</v>
          </cell>
          <cell r="EM182">
            <v>0</v>
          </cell>
          <cell r="EN182">
            <v>0</v>
          </cell>
          <cell r="EQ182">
            <v>0</v>
          </cell>
          <cell r="ER182">
            <v>0</v>
          </cell>
          <cell r="ES182">
            <v>0</v>
          </cell>
          <cell r="ET182">
            <v>0</v>
          </cell>
          <cell r="EU182">
            <v>0</v>
          </cell>
          <cell r="EV182">
            <v>0</v>
          </cell>
          <cell r="EW182">
            <v>0</v>
          </cell>
          <cell r="EX182">
            <v>0</v>
          </cell>
          <cell r="EY182">
            <v>0</v>
          </cell>
          <cell r="EZ182">
            <v>0</v>
          </cell>
          <cell r="FA182">
            <v>0</v>
          </cell>
          <cell r="FD182">
            <v>0</v>
          </cell>
          <cell r="FE182">
            <v>0</v>
          </cell>
          <cell r="FF182">
            <v>0</v>
          </cell>
          <cell r="FG182">
            <v>0</v>
          </cell>
          <cell r="FH182">
            <v>0</v>
          </cell>
          <cell r="FI182">
            <v>0</v>
          </cell>
          <cell r="FJ182">
            <v>0</v>
          </cell>
          <cell r="FK182">
            <v>0</v>
          </cell>
          <cell r="FL182">
            <v>0</v>
          </cell>
          <cell r="FM182">
            <v>0</v>
          </cell>
          <cell r="FN182">
            <v>0</v>
          </cell>
          <cell r="FQ182">
            <v>0</v>
          </cell>
          <cell r="FR182">
            <v>0</v>
          </cell>
          <cell r="FS182">
            <v>0</v>
          </cell>
          <cell r="FT182">
            <v>0</v>
          </cell>
          <cell r="FU182">
            <v>0</v>
          </cell>
          <cell r="FV182">
            <v>0</v>
          </cell>
          <cell r="FW182">
            <v>0</v>
          </cell>
          <cell r="FX182">
            <v>0</v>
          </cell>
          <cell r="FY182">
            <v>0</v>
          </cell>
          <cell r="FZ182">
            <v>0</v>
          </cell>
          <cell r="GA182">
            <v>0</v>
          </cell>
          <cell r="GD182">
            <v>0</v>
          </cell>
          <cell r="GE182">
            <v>0</v>
          </cell>
          <cell r="GF182">
            <v>0</v>
          </cell>
          <cell r="GG182">
            <v>0</v>
          </cell>
          <cell r="GH182">
            <v>0</v>
          </cell>
          <cell r="GI182">
            <v>0</v>
          </cell>
          <cell r="GJ182">
            <v>0</v>
          </cell>
          <cell r="GK182">
            <v>0</v>
          </cell>
          <cell r="GL182">
            <v>0</v>
          </cell>
          <cell r="GM182">
            <v>0</v>
          </cell>
          <cell r="GN182">
            <v>0</v>
          </cell>
        </row>
        <row r="183"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  <cell r="BK183">
            <v>0</v>
          </cell>
          <cell r="BL183">
            <v>0</v>
          </cell>
          <cell r="BM183">
            <v>0</v>
          </cell>
          <cell r="BN183">
            <v>0</v>
          </cell>
          <cell r="BO183">
            <v>0</v>
          </cell>
          <cell r="BP183">
            <v>0</v>
          </cell>
          <cell r="BQ183">
            <v>0</v>
          </cell>
          <cell r="BR183">
            <v>0</v>
          </cell>
          <cell r="BS183">
            <v>0</v>
          </cell>
          <cell r="BT183">
            <v>0</v>
          </cell>
          <cell r="BU183">
            <v>0</v>
          </cell>
          <cell r="BV183">
            <v>0</v>
          </cell>
          <cell r="BW183">
            <v>0</v>
          </cell>
          <cell r="BX183">
            <v>0</v>
          </cell>
          <cell r="BY183">
            <v>0</v>
          </cell>
          <cell r="BZ183">
            <v>0</v>
          </cell>
          <cell r="CA183">
            <v>0</v>
          </cell>
          <cell r="CB183">
            <v>0</v>
          </cell>
          <cell r="CC183">
            <v>0</v>
          </cell>
          <cell r="CD183">
            <v>0</v>
          </cell>
          <cell r="CE183">
            <v>0</v>
          </cell>
          <cell r="CF183">
            <v>0</v>
          </cell>
          <cell r="CG183">
            <v>0</v>
          </cell>
          <cell r="CH183">
            <v>0</v>
          </cell>
          <cell r="CI183">
            <v>0</v>
          </cell>
          <cell r="CJ183">
            <v>0</v>
          </cell>
          <cell r="CK183">
            <v>0</v>
          </cell>
          <cell r="CL183">
            <v>0</v>
          </cell>
          <cell r="CM183">
            <v>0</v>
          </cell>
          <cell r="CN183">
            <v>0</v>
          </cell>
          <cell r="CO183">
            <v>0</v>
          </cell>
          <cell r="CP183">
            <v>0</v>
          </cell>
          <cell r="CQ183">
            <v>0</v>
          </cell>
          <cell r="CR183">
            <v>0</v>
          </cell>
          <cell r="CS183">
            <v>0</v>
          </cell>
          <cell r="CV183">
            <v>0</v>
          </cell>
          <cell r="CW183">
            <v>0</v>
          </cell>
          <cell r="CX183">
            <v>0</v>
          </cell>
          <cell r="CY183">
            <v>0</v>
          </cell>
          <cell r="CZ183">
            <v>0</v>
          </cell>
          <cell r="DA183">
            <v>0</v>
          </cell>
          <cell r="DD183">
            <v>0</v>
          </cell>
          <cell r="DE183">
            <v>0</v>
          </cell>
          <cell r="DF183">
            <v>0</v>
          </cell>
          <cell r="DG183">
            <v>0</v>
          </cell>
          <cell r="DH183">
            <v>0</v>
          </cell>
          <cell r="DI183">
            <v>0</v>
          </cell>
          <cell r="DJ183">
            <v>0</v>
          </cell>
          <cell r="DK183">
            <v>0</v>
          </cell>
          <cell r="DL183">
            <v>0</v>
          </cell>
          <cell r="DM183">
            <v>0</v>
          </cell>
          <cell r="DN183">
            <v>0</v>
          </cell>
          <cell r="DQ183">
            <v>0</v>
          </cell>
          <cell r="DR183">
            <v>0</v>
          </cell>
          <cell r="DS183">
            <v>0</v>
          </cell>
          <cell r="DT183">
            <v>0</v>
          </cell>
          <cell r="DU183">
            <v>0</v>
          </cell>
          <cell r="DV183">
            <v>0</v>
          </cell>
          <cell r="DW183">
            <v>0</v>
          </cell>
          <cell r="DX183">
            <v>0</v>
          </cell>
          <cell r="DY183">
            <v>0</v>
          </cell>
          <cell r="DZ183">
            <v>0</v>
          </cell>
          <cell r="EA183">
            <v>0</v>
          </cell>
          <cell r="ED183">
            <v>0</v>
          </cell>
          <cell r="EE183">
            <v>0</v>
          </cell>
          <cell r="EF183">
            <v>0</v>
          </cell>
          <cell r="EG183">
            <v>0</v>
          </cell>
          <cell r="EH183">
            <v>0</v>
          </cell>
          <cell r="EI183">
            <v>0</v>
          </cell>
          <cell r="EJ183">
            <v>0</v>
          </cell>
          <cell r="EK183">
            <v>0</v>
          </cell>
          <cell r="EL183">
            <v>0</v>
          </cell>
          <cell r="EM183">
            <v>0</v>
          </cell>
          <cell r="EN183">
            <v>0</v>
          </cell>
          <cell r="EQ183">
            <v>0</v>
          </cell>
          <cell r="ER183">
            <v>0</v>
          </cell>
          <cell r="ES183">
            <v>0</v>
          </cell>
          <cell r="ET183">
            <v>0</v>
          </cell>
          <cell r="EU183">
            <v>0</v>
          </cell>
          <cell r="EV183">
            <v>0</v>
          </cell>
          <cell r="EW183">
            <v>0</v>
          </cell>
          <cell r="EX183">
            <v>0</v>
          </cell>
          <cell r="EY183">
            <v>0</v>
          </cell>
          <cell r="EZ183">
            <v>0</v>
          </cell>
          <cell r="FA183">
            <v>0</v>
          </cell>
          <cell r="FD183">
            <v>0</v>
          </cell>
          <cell r="FE183">
            <v>0</v>
          </cell>
          <cell r="FF183">
            <v>0</v>
          </cell>
          <cell r="FG183">
            <v>0</v>
          </cell>
          <cell r="FH183">
            <v>0</v>
          </cell>
          <cell r="FI183">
            <v>0</v>
          </cell>
          <cell r="FJ183">
            <v>0</v>
          </cell>
          <cell r="FK183">
            <v>0</v>
          </cell>
          <cell r="FL183">
            <v>0</v>
          </cell>
          <cell r="FM183">
            <v>0</v>
          </cell>
          <cell r="FN183">
            <v>0</v>
          </cell>
          <cell r="FQ183">
            <v>0</v>
          </cell>
          <cell r="FR183">
            <v>0</v>
          </cell>
          <cell r="FS183">
            <v>0</v>
          </cell>
          <cell r="FT183">
            <v>0</v>
          </cell>
          <cell r="FU183">
            <v>0</v>
          </cell>
          <cell r="FV183">
            <v>0</v>
          </cell>
          <cell r="FW183">
            <v>0</v>
          </cell>
          <cell r="FX183">
            <v>0</v>
          </cell>
          <cell r="FY183">
            <v>0</v>
          </cell>
          <cell r="FZ183">
            <v>0</v>
          </cell>
          <cell r="GA183">
            <v>0</v>
          </cell>
          <cell r="GD183">
            <v>0</v>
          </cell>
          <cell r="GE183">
            <v>0</v>
          </cell>
          <cell r="GF183">
            <v>0</v>
          </cell>
          <cell r="GG183">
            <v>0</v>
          </cell>
          <cell r="GH183">
            <v>0</v>
          </cell>
          <cell r="GI183">
            <v>0</v>
          </cell>
          <cell r="GJ183">
            <v>0</v>
          </cell>
          <cell r="GK183">
            <v>0</v>
          </cell>
          <cell r="GL183">
            <v>0</v>
          </cell>
          <cell r="GM183">
            <v>0</v>
          </cell>
          <cell r="GN183">
            <v>0</v>
          </cell>
        </row>
        <row r="184"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  <cell r="BK184">
            <v>0</v>
          </cell>
          <cell r="BL184">
            <v>0</v>
          </cell>
          <cell r="BM184">
            <v>0</v>
          </cell>
          <cell r="BN184">
            <v>0</v>
          </cell>
          <cell r="BO184">
            <v>0</v>
          </cell>
          <cell r="BP184">
            <v>0</v>
          </cell>
          <cell r="BQ184">
            <v>0</v>
          </cell>
          <cell r="BR184">
            <v>0</v>
          </cell>
          <cell r="BS184">
            <v>0</v>
          </cell>
          <cell r="BT184">
            <v>0</v>
          </cell>
          <cell r="BU184">
            <v>0</v>
          </cell>
          <cell r="BV184">
            <v>0</v>
          </cell>
          <cell r="BW184">
            <v>0</v>
          </cell>
          <cell r="BX184">
            <v>0</v>
          </cell>
          <cell r="BY184">
            <v>0</v>
          </cell>
          <cell r="BZ184">
            <v>0</v>
          </cell>
          <cell r="CA184">
            <v>0</v>
          </cell>
          <cell r="CB184">
            <v>0</v>
          </cell>
          <cell r="CC184">
            <v>0</v>
          </cell>
          <cell r="CD184">
            <v>0</v>
          </cell>
          <cell r="CE184">
            <v>0</v>
          </cell>
          <cell r="CF184">
            <v>0</v>
          </cell>
          <cell r="CG184">
            <v>0</v>
          </cell>
          <cell r="CH184">
            <v>0</v>
          </cell>
          <cell r="CI184">
            <v>0</v>
          </cell>
          <cell r="CJ184">
            <v>0</v>
          </cell>
          <cell r="CK184">
            <v>0</v>
          </cell>
          <cell r="CL184">
            <v>0</v>
          </cell>
          <cell r="CM184">
            <v>0</v>
          </cell>
          <cell r="CN184">
            <v>0</v>
          </cell>
          <cell r="CO184">
            <v>0</v>
          </cell>
          <cell r="CP184">
            <v>0</v>
          </cell>
          <cell r="CQ184">
            <v>0</v>
          </cell>
          <cell r="CR184">
            <v>0</v>
          </cell>
          <cell r="CS184">
            <v>0</v>
          </cell>
          <cell r="CV184">
            <v>0</v>
          </cell>
          <cell r="CW184">
            <v>0</v>
          </cell>
          <cell r="CX184">
            <v>0</v>
          </cell>
          <cell r="CY184">
            <v>0</v>
          </cell>
          <cell r="CZ184">
            <v>0</v>
          </cell>
          <cell r="DA184">
            <v>0</v>
          </cell>
          <cell r="DD184">
            <v>0</v>
          </cell>
          <cell r="DE184">
            <v>0</v>
          </cell>
          <cell r="DF184">
            <v>0</v>
          </cell>
          <cell r="DG184">
            <v>0</v>
          </cell>
          <cell r="DH184">
            <v>0</v>
          </cell>
          <cell r="DI184">
            <v>0</v>
          </cell>
          <cell r="DJ184">
            <v>0</v>
          </cell>
          <cell r="DK184">
            <v>0</v>
          </cell>
          <cell r="DL184">
            <v>0</v>
          </cell>
          <cell r="DM184">
            <v>0</v>
          </cell>
          <cell r="DN184">
            <v>0</v>
          </cell>
          <cell r="DQ184">
            <v>0</v>
          </cell>
          <cell r="DR184">
            <v>0</v>
          </cell>
          <cell r="DS184">
            <v>0</v>
          </cell>
          <cell r="DT184">
            <v>0</v>
          </cell>
          <cell r="DU184">
            <v>0</v>
          </cell>
          <cell r="DV184">
            <v>0</v>
          </cell>
          <cell r="DW184">
            <v>0</v>
          </cell>
          <cell r="DX184">
            <v>0</v>
          </cell>
          <cell r="DY184">
            <v>0</v>
          </cell>
          <cell r="DZ184">
            <v>0</v>
          </cell>
          <cell r="EA184">
            <v>0</v>
          </cell>
          <cell r="ED184">
            <v>0</v>
          </cell>
          <cell r="EE184">
            <v>0</v>
          </cell>
          <cell r="EF184">
            <v>0</v>
          </cell>
          <cell r="EG184">
            <v>0</v>
          </cell>
          <cell r="EH184">
            <v>0</v>
          </cell>
          <cell r="EI184">
            <v>0</v>
          </cell>
          <cell r="EJ184">
            <v>0</v>
          </cell>
          <cell r="EK184">
            <v>0</v>
          </cell>
          <cell r="EL184">
            <v>0</v>
          </cell>
          <cell r="EM184">
            <v>0</v>
          </cell>
          <cell r="EN184">
            <v>0</v>
          </cell>
          <cell r="EQ184">
            <v>0</v>
          </cell>
          <cell r="ER184">
            <v>0</v>
          </cell>
          <cell r="ES184">
            <v>0</v>
          </cell>
          <cell r="ET184">
            <v>0</v>
          </cell>
          <cell r="EU184">
            <v>0</v>
          </cell>
          <cell r="EV184">
            <v>0</v>
          </cell>
          <cell r="EW184">
            <v>0</v>
          </cell>
          <cell r="EX184">
            <v>0</v>
          </cell>
          <cell r="EY184">
            <v>0</v>
          </cell>
          <cell r="EZ184">
            <v>0</v>
          </cell>
          <cell r="FA184">
            <v>0</v>
          </cell>
          <cell r="FD184">
            <v>0</v>
          </cell>
          <cell r="FE184">
            <v>0</v>
          </cell>
          <cell r="FF184">
            <v>0</v>
          </cell>
          <cell r="FG184">
            <v>0</v>
          </cell>
          <cell r="FH184">
            <v>0</v>
          </cell>
          <cell r="FI184">
            <v>0</v>
          </cell>
          <cell r="FJ184">
            <v>0</v>
          </cell>
          <cell r="FK184">
            <v>0</v>
          </cell>
          <cell r="FL184">
            <v>0</v>
          </cell>
          <cell r="FM184">
            <v>0</v>
          </cell>
          <cell r="FN184">
            <v>0</v>
          </cell>
          <cell r="FQ184">
            <v>0</v>
          </cell>
          <cell r="FR184">
            <v>0</v>
          </cell>
          <cell r="FS184">
            <v>0</v>
          </cell>
          <cell r="FT184">
            <v>0</v>
          </cell>
          <cell r="FU184">
            <v>0</v>
          </cell>
          <cell r="FV184">
            <v>0</v>
          </cell>
          <cell r="FW184">
            <v>0</v>
          </cell>
          <cell r="FX184">
            <v>0</v>
          </cell>
          <cell r="FY184">
            <v>0</v>
          </cell>
          <cell r="FZ184">
            <v>0</v>
          </cell>
          <cell r="GA184">
            <v>0</v>
          </cell>
          <cell r="GD184">
            <v>0</v>
          </cell>
          <cell r="GE184">
            <v>0</v>
          </cell>
          <cell r="GF184">
            <v>0</v>
          </cell>
          <cell r="GG184">
            <v>0</v>
          </cell>
          <cell r="GH184">
            <v>0</v>
          </cell>
          <cell r="GI184">
            <v>0</v>
          </cell>
          <cell r="GJ184">
            <v>0</v>
          </cell>
          <cell r="GK184">
            <v>0</v>
          </cell>
          <cell r="GL184">
            <v>0</v>
          </cell>
          <cell r="GM184">
            <v>0</v>
          </cell>
          <cell r="GN184">
            <v>0</v>
          </cell>
        </row>
        <row r="185"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  <cell r="BK185">
            <v>0</v>
          </cell>
          <cell r="BL185">
            <v>0</v>
          </cell>
          <cell r="BM185">
            <v>0</v>
          </cell>
          <cell r="BN185">
            <v>0</v>
          </cell>
          <cell r="BO185">
            <v>0</v>
          </cell>
          <cell r="BP185">
            <v>0</v>
          </cell>
          <cell r="BQ185">
            <v>0</v>
          </cell>
          <cell r="BR185">
            <v>0</v>
          </cell>
          <cell r="BS185">
            <v>0</v>
          </cell>
          <cell r="BT185">
            <v>0</v>
          </cell>
          <cell r="BU185">
            <v>0</v>
          </cell>
          <cell r="BV185">
            <v>0</v>
          </cell>
          <cell r="BW185">
            <v>0</v>
          </cell>
          <cell r="BX185">
            <v>0</v>
          </cell>
          <cell r="BY185">
            <v>0</v>
          </cell>
          <cell r="BZ185">
            <v>0</v>
          </cell>
          <cell r="CA185">
            <v>0</v>
          </cell>
          <cell r="CB185">
            <v>0</v>
          </cell>
          <cell r="CC185">
            <v>0</v>
          </cell>
          <cell r="CD185">
            <v>0</v>
          </cell>
          <cell r="CE185">
            <v>0</v>
          </cell>
          <cell r="CF185">
            <v>0</v>
          </cell>
          <cell r="CG185">
            <v>0</v>
          </cell>
          <cell r="CH185">
            <v>0</v>
          </cell>
          <cell r="CI185">
            <v>0</v>
          </cell>
          <cell r="CJ185">
            <v>0</v>
          </cell>
          <cell r="CK185">
            <v>0</v>
          </cell>
          <cell r="CL185">
            <v>0</v>
          </cell>
          <cell r="CM185">
            <v>0</v>
          </cell>
          <cell r="CN185">
            <v>0</v>
          </cell>
          <cell r="CO185">
            <v>0</v>
          </cell>
          <cell r="CP185">
            <v>0</v>
          </cell>
          <cell r="CQ185">
            <v>0</v>
          </cell>
          <cell r="CR185">
            <v>0</v>
          </cell>
          <cell r="CS185">
            <v>0</v>
          </cell>
          <cell r="CV185">
            <v>0</v>
          </cell>
          <cell r="CW185">
            <v>0</v>
          </cell>
          <cell r="CX185">
            <v>0</v>
          </cell>
          <cell r="CY185">
            <v>0</v>
          </cell>
          <cell r="CZ185">
            <v>0</v>
          </cell>
          <cell r="DA185">
            <v>0</v>
          </cell>
          <cell r="DD185">
            <v>0</v>
          </cell>
          <cell r="DE185">
            <v>0</v>
          </cell>
          <cell r="DF185">
            <v>0</v>
          </cell>
          <cell r="DG185">
            <v>0</v>
          </cell>
          <cell r="DH185">
            <v>0</v>
          </cell>
          <cell r="DI185">
            <v>0</v>
          </cell>
          <cell r="DJ185">
            <v>0</v>
          </cell>
          <cell r="DK185">
            <v>0</v>
          </cell>
          <cell r="DL185">
            <v>0</v>
          </cell>
          <cell r="DM185">
            <v>0</v>
          </cell>
          <cell r="DN185">
            <v>0</v>
          </cell>
          <cell r="DQ185">
            <v>0</v>
          </cell>
          <cell r="DR185">
            <v>0</v>
          </cell>
          <cell r="DS185">
            <v>0</v>
          </cell>
          <cell r="DT185">
            <v>0</v>
          </cell>
          <cell r="DU185">
            <v>0</v>
          </cell>
          <cell r="DV185">
            <v>0</v>
          </cell>
          <cell r="DW185">
            <v>0</v>
          </cell>
          <cell r="DX185">
            <v>0</v>
          </cell>
          <cell r="DY185">
            <v>0</v>
          </cell>
          <cell r="DZ185">
            <v>0</v>
          </cell>
          <cell r="EA185">
            <v>0</v>
          </cell>
          <cell r="ED185">
            <v>0</v>
          </cell>
          <cell r="EE185">
            <v>0</v>
          </cell>
          <cell r="EF185">
            <v>0</v>
          </cell>
          <cell r="EG185">
            <v>0</v>
          </cell>
          <cell r="EH185">
            <v>0</v>
          </cell>
          <cell r="EI185">
            <v>0</v>
          </cell>
          <cell r="EJ185">
            <v>0</v>
          </cell>
          <cell r="EK185">
            <v>0</v>
          </cell>
          <cell r="EL185">
            <v>0</v>
          </cell>
          <cell r="EM185">
            <v>0</v>
          </cell>
          <cell r="EN185">
            <v>0</v>
          </cell>
          <cell r="EQ185">
            <v>0</v>
          </cell>
          <cell r="ER185">
            <v>0</v>
          </cell>
          <cell r="ES185">
            <v>0</v>
          </cell>
          <cell r="ET185">
            <v>0</v>
          </cell>
          <cell r="EU185">
            <v>0</v>
          </cell>
          <cell r="EV185">
            <v>0</v>
          </cell>
          <cell r="EW185">
            <v>0</v>
          </cell>
          <cell r="EX185">
            <v>0</v>
          </cell>
          <cell r="EY185">
            <v>0</v>
          </cell>
          <cell r="EZ185">
            <v>0</v>
          </cell>
          <cell r="FA185">
            <v>0</v>
          </cell>
          <cell r="FD185">
            <v>0</v>
          </cell>
          <cell r="FE185">
            <v>0</v>
          </cell>
          <cell r="FF185">
            <v>0</v>
          </cell>
          <cell r="FG185">
            <v>0</v>
          </cell>
          <cell r="FH185">
            <v>0</v>
          </cell>
          <cell r="FI185">
            <v>0</v>
          </cell>
          <cell r="FJ185">
            <v>0</v>
          </cell>
          <cell r="FK185">
            <v>0</v>
          </cell>
          <cell r="FL185">
            <v>0</v>
          </cell>
          <cell r="FM185">
            <v>0</v>
          </cell>
          <cell r="FN185">
            <v>0</v>
          </cell>
          <cell r="FQ185">
            <v>0</v>
          </cell>
          <cell r="FR185">
            <v>0</v>
          </cell>
          <cell r="FS185">
            <v>0</v>
          </cell>
          <cell r="FT185">
            <v>0</v>
          </cell>
          <cell r="FU185">
            <v>0</v>
          </cell>
          <cell r="FV185">
            <v>0</v>
          </cell>
          <cell r="FW185">
            <v>0</v>
          </cell>
          <cell r="FX185">
            <v>0</v>
          </cell>
          <cell r="FY185">
            <v>0</v>
          </cell>
          <cell r="FZ185">
            <v>0</v>
          </cell>
          <cell r="GA185">
            <v>0</v>
          </cell>
          <cell r="GD185">
            <v>0</v>
          </cell>
          <cell r="GE185">
            <v>0</v>
          </cell>
          <cell r="GF185">
            <v>0</v>
          </cell>
          <cell r="GG185">
            <v>0</v>
          </cell>
          <cell r="GH185">
            <v>0</v>
          </cell>
          <cell r="GI185">
            <v>0</v>
          </cell>
          <cell r="GJ185">
            <v>0</v>
          </cell>
          <cell r="GK185">
            <v>0</v>
          </cell>
          <cell r="GL185">
            <v>0</v>
          </cell>
          <cell r="GM185">
            <v>0</v>
          </cell>
          <cell r="GN185">
            <v>0</v>
          </cell>
        </row>
        <row r="187">
          <cell r="B187" t="str">
            <v>Bankstown Square</v>
          </cell>
          <cell r="C187">
            <v>0</v>
          </cell>
          <cell r="D187">
            <v>0.5</v>
          </cell>
          <cell r="E187" t="str">
            <v>Major Regional</v>
          </cell>
          <cell r="F187" t="str">
            <v>NSW</v>
          </cell>
          <cell r="G187">
            <v>0</v>
          </cell>
          <cell r="H187">
            <v>14.6</v>
          </cell>
          <cell r="I187">
            <v>0</v>
          </cell>
          <cell r="J187">
            <v>14.6</v>
          </cell>
          <cell r="K187">
            <v>0</v>
          </cell>
          <cell r="L187">
            <v>14.7</v>
          </cell>
          <cell r="M187">
            <v>7.8</v>
          </cell>
          <cell r="N187">
            <v>6.9</v>
          </cell>
          <cell r="O187">
            <v>0</v>
          </cell>
          <cell r="P187">
            <v>0</v>
          </cell>
          <cell r="Q187">
            <v>0</v>
          </cell>
          <cell r="R187">
            <v>7</v>
          </cell>
          <cell r="S187">
            <v>2.7</v>
          </cell>
          <cell r="T187">
            <v>2.9</v>
          </cell>
          <cell r="U187">
            <v>0</v>
          </cell>
          <cell r="V187">
            <v>1.4</v>
          </cell>
          <cell r="W187">
            <v>0</v>
          </cell>
          <cell r="X187">
            <v>0</v>
          </cell>
          <cell r="Y187">
            <v>2.9</v>
          </cell>
          <cell r="Z187">
            <v>0</v>
          </cell>
          <cell r="AA187">
            <v>0</v>
          </cell>
          <cell r="AB187">
            <v>0</v>
          </cell>
          <cell r="AC187">
            <v>27.1</v>
          </cell>
          <cell r="AD187">
            <v>0</v>
          </cell>
          <cell r="AE187">
            <v>0</v>
          </cell>
          <cell r="AF187">
            <v>0.40874811463046762</v>
          </cell>
          <cell r="AG187">
            <v>0.22021116138763197</v>
          </cell>
          <cell r="AH187">
            <v>0.22171945701357465</v>
          </cell>
          <cell r="AI187">
            <v>0.10558069381598793</v>
          </cell>
          <cell r="AJ187">
            <v>4.3740573152337855E-2</v>
          </cell>
          <cell r="AK187">
            <v>0</v>
          </cell>
          <cell r="AN187">
            <v>39.199999999999996</v>
          </cell>
          <cell r="AO187">
            <v>66.3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X187">
            <v>0</v>
          </cell>
          <cell r="AY187">
            <v>7.3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7.35</v>
          </cell>
          <cell r="BH187">
            <v>0</v>
          </cell>
          <cell r="BI187">
            <v>0</v>
          </cell>
          <cell r="BJ187">
            <v>0</v>
          </cell>
          <cell r="BK187">
            <v>0</v>
          </cell>
          <cell r="BL187">
            <v>0</v>
          </cell>
          <cell r="BM187">
            <v>0</v>
          </cell>
          <cell r="BN187">
            <v>0</v>
          </cell>
          <cell r="BO187">
            <v>3.5</v>
          </cell>
          <cell r="BP187">
            <v>0</v>
          </cell>
          <cell r="BQ187">
            <v>0</v>
          </cell>
          <cell r="BR187">
            <v>0</v>
          </cell>
          <cell r="BS187">
            <v>0</v>
          </cell>
          <cell r="BT187">
            <v>0</v>
          </cell>
          <cell r="BU187">
            <v>0</v>
          </cell>
          <cell r="BV187">
            <v>0</v>
          </cell>
          <cell r="BW187">
            <v>13.55</v>
          </cell>
          <cell r="BX187">
            <v>0</v>
          </cell>
          <cell r="BY187">
            <v>0</v>
          </cell>
          <cell r="BZ187">
            <v>0</v>
          </cell>
          <cell r="CA187">
            <v>0</v>
          </cell>
          <cell r="CB187">
            <v>0</v>
          </cell>
          <cell r="CC187">
            <v>0</v>
          </cell>
          <cell r="CD187">
            <v>0</v>
          </cell>
          <cell r="CE187">
            <v>1.45</v>
          </cell>
          <cell r="CF187">
            <v>0</v>
          </cell>
          <cell r="CG187">
            <v>0</v>
          </cell>
          <cell r="CH187">
            <v>0</v>
          </cell>
          <cell r="CI187">
            <v>0</v>
          </cell>
          <cell r="CJ187">
            <v>0</v>
          </cell>
          <cell r="CK187">
            <v>0</v>
          </cell>
          <cell r="CL187">
            <v>0</v>
          </cell>
          <cell r="CM187">
            <v>33.15</v>
          </cell>
          <cell r="CN187">
            <v>0</v>
          </cell>
          <cell r="CO187">
            <v>0</v>
          </cell>
          <cell r="CP187">
            <v>0</v>
          </cell>
          <cell r="CQ187">
            <v>0</v>
          </cell>
          <cell r="CR187">
            <v>0</v>
          </cell>
          <cell r="CS187">
            <v>0</v>
          </cell>
          <cell r="CV187">
            <v>0</v>
          </cell>
          <cell r="CW187">
            <v>33.15</v>
          </cell>
          <cell r="CX187">
            <v>0</v>
          </cell>
          <cell r="CY187">
            <v>0</v>
          </cell>
          <cell r="CZ187">
            <v>0</v>
          </cell>
          <cell r="DA187">
            <v>0</v>
          </cell>
          <cell r="DD187">
            <v>3.2500000000000001E-2</v>
          </cell>
          <cell r="DE187">
            <v>4.3480818425022362E-2</v>
          </cell>
          <cell r="DF187">
            <v>5.1403596897279767E-2</v>
          </cell>
          <cell r="DG187">
            <v>3.7359447002183042E-2</v>
          </cell>
          <cell r="DH187">
            <v>3.1271739930554508E-2</v>
          </cell>
          <cell r="DI187">
            <v>2.7488046269090145E-2</v>
          </cell>
          <cell r="DJ187">
            <v>2.6109836658996539E-2</v>
          </cell>
          <cell r="DK187">
            <v>2.5909759691511065E-2</v>
          </cell>
          <cell r="DL187">
            <v>2.7890043747624566E-2</v>
          </cell>
          <cell r="DM187">
            <v>3.29689556677197E-2</v>
          </cell>
          <cell r="DN187">
            <v>3.3977733484579185E-2</v>
          </cell>
          <cell r="DQ187">
            <v>1.431372549019608E-3</v>
          </cell>
          <cell r="DR187">
            <v>9.9095022624434391E-3</v>
          </cell>
          <cell r="DS187">
            <v>8.8084464555052786E-3</v>
          </cell>
          <cell r="DT187">
            <v>1.1010558069381598E-3</v>
          </cell>
          <cell r="DU187">
            <v>3.3031674208144793E-3</v>
          </cell>
          <cell r="DV187">
            <v>3.3031674208144793E-3</v>
          </cell>
          <cell r="DW187">
            <v>3.3031674208144793E-3</v>
          </cell>
          <cell r="DX187">
            <v>3.3031674208144793E-3</v>
          </cell>
          <cell r="DY187">
            <v>3.3031674208144793E-3</v>
          </cell>
          <cell r="DZ187">
            <v>3.3031674208144793E-3</v>
          </cell>
          <cell r="EA187">
            <v>3.3031674208144793E-3</v>
          </cell>
          <cell r="ED187">
            <v>3.3257918552036195E-3</v>
          </cell>
          <cell r="EE187">
            <v>-1.1085972850678732E-3</v>
          </cell>
          <cell r="EF187">
            <v>2.2171945701357464E-3</v>
          </cell>
          <cell r="EG187">
            <v>7.7601809954751123E-3</v>
          </cell>
          <cell r="EH187">
            <v>7.7601809954751123E-3</v>
          </cell>
          <cell r="EI187">
            <v>7.7601809954751123E-3</v>
          </cell>
          <cell r="EJ187">
            <v>5.5429864253393668E-3</v>
          </cell>
          <cell r="EK187">
            <v>5.5429864253393668E-3</v>
          </cell>
          <cell r="EL187">
            <v>5.5429864253393668E-3</v>
          </cell>
          <cell r="EM187">
            <v>5.5429864253393668E-3</v>
          </cell>
          <cell r="EN187">
            <v>5.5429864253393668E-3</v>
          </cell>
          <cell r="EQ187">
            <v>4.5252615992829618E-3</v>
          </cell>
          <cell r="ER187">
            <v>4.2232277526395171E-3</v>
          </cell>
          <cell r="ES187">
            <v>4.7511312217194575E-3</v>
          </cell>
          <cell r="ET187">
            <v>4.7511312217194566E-3</v>
          </cell>
          <cell r="EU187">
            <v>4.7511312217194566E-3</v>
          </cell>
          <cell r="EV187">
            <v>4.7511312217194566E-3</v>
          </cell>
          <cell r="EW187">
            <v>4.7511312217194566E-3</v>
          </cell>
          <cell r="EX187">
            <v>4.7511312217194566E-3</v>
          </cell>
          <cell r="EY187">
            <v>4.7511312217194566E-3</v>
          </cell>
          <cell r="EZ187">
            <v>4.7511312217194566E-3</v>
          </cell>
          <cell r="FA187">
            <v>4.7511312217194566E-3</v>
          </cell>
          <cell r="FD187">
            <v>6.5610859728506784E-4</v>
          </cell>
          <cell r="FE187">
            <v>-2.1870286576168929E-4</v>
          </cell>
          <cell r="FF187">
            <v>4.3740573152337858E-4</v>
          </cell>
          <cell r="FG187">
            <v>1.5309200603318249E-3</v>
          </cell>
          <cell r="FH187">
            <v>1.5309200603318249E-3</v>
          </cell>
          <cell r="FI187">
            <v>1.5309200603318249E-3</v>
          </cell>
          <cell r="FJ187">
            <v>1.0935143288084465E-3</v>
          </cell>
          <cell r="FK187">
            <v>1.0935143288084465E-3</v>
          </cell>
          <cell r="FL187">
            <v>1.0935143288084465E-3</v>
          </cell>
          <cell r="FM187">
            <v>1.0935143288084465E-3</v>
          </cell>
          <cell r="FN187">
            <v>1.0935143288084465E-3</v>
          </cell>
          <cell r="FQ187">
            <v>9.9385346007912559E-3</v>
          </cell>
          <cell r="FR187">
            <v>1.2805429864253395E-2</v>
          </cell>
          <cell r="FS187">
            <v>1.6214177978883859E-2</v>
          </cell>
          <cell r="FT187">
            <v>1.5143288084464555E-2</v>
          </cell>
          <cell r="FU187">
            <v>1.7345399698340872E-2</v>
          </cell>
          <cell r="FV187">
            <v>1.7345399698340872E-2</v>
          </cell>
          <cell r="FW187">
            <v>1.4690799396681747E-2</v>
          </cell>
          <cell r="FX187">
            <v>1.4690799396681747E-2</v>
          </cell>
          <cell r="FY187">
            <v>1.4690799396681747E-2</v>
          </cell>
          <cell r="FZ187">
            <v>1.4690799396681747E-2</v>
          </cell>
          <cell r="GA187">
            <v>1.4690799396681747E-2</v>
          </cell>
          <cell r="GD187">
            <v>2.5731560380237377E-2</v>
          </cell>
          <cell r="GE187">
            <v>3.4278201856791667E-2</v>
          </cell>
          <cell r="GF187">
            <v>4.0846771221760989E-2</v>
          </cell>
          <cell r="GG187">
            <v>3.0694599326867494E-2</v>
          </cell>
          <cell r="GH187">
            <v>2.7093837860890417E-2</v>
          </cell>
          <cell r="GI187">
            <v>2.4445252297865361E-2</v>
          </cell>
          <cell r="GJ187">
            <v>2.26841254803021E-2</v>
          </cell>
          <cell r="GK187">
            <v>2.2544071603062269E-2</v>
          </cell>
          <cell r="GL187">
            <v>2.3930270442341719E-2</v>
          </cell>
          <cell r="GM187">
            <v>2.7485508786408312E-2</v>
          </cell>
          <cell r="GN187">
            <v>2.8191653258209954E-2</v>
          </cell>
        </row>
        <row r="188">
          <cell r="B188" t="str">
            <v>Dandenong Plaza</v>
          </cell>
          <cell r="C188">
            <v>0</v>
          </cell>
          <cell r="D188">
            <v>0.66666666666666663</v>
          </cell>
          <cell r="E188" t="str">
            <v>Major Regional</v>
          </cell>
          <cell r="F188" t="str">
            <v>VIC</v>
          </cell>
          <cell r="G188">
            <v>0</v>
          </cell>
          <cell r="H188">
            <v>15</v>
          </cell>
          <cell r="I188">
            <v>15</v>
          </cell>
          <cell r="J188">
            <v>0</v>
          </cell>
          <cell r="K188">
            <v>0</v>
          </cell>
          <cell r="L188">
            <v>6.8</v>
          </cell>
          <cell r="M188">
            <v>0</v>
          </cell>
          <cell r="N188">
            <v>6.8</v>
          </cell>
          <cell r="O188">
            <v>0</v>
          </cell>
          <cell r="P188">
            <v>0</v>
          </cell>
          <cell r="Q188">
            <v>0</v>
          </cell>
          <cell r="R188">
            <v>6.9</v>
          </cell>
          <cell r="S188">
            <v>3</v>
          </cell>
          <cell r="T188">
            <v>3.9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26.4</v>
          </cell>
          <cell r="AD188">
            <v>0</v>
          </cell>
          <cell r="AE188">
            <v>0</v>
          </cell>
          <cell r="AF188">
            <v>0.47912885662431937</v>
          </cell>
          <cell r="AG188">
            <v>0.27223230490018147</v>
          </cell>
          <cell r="AH188">
            <v>0.1234119782214156</v>
          </cell>
          <cell r="AI188">
            <v>0.1252268602540835</v>
          </cell>
          <cell r="AJ188">
            <v>0</v>
          </cell>
          <cell r="AK188">
            <v>0</v>
          </cell>
          <cell r="AN188">
            <v>28.700000000000003</v>
          </cell>
          <cell r="AO188">
            <v>55.1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X188">
            <v>0</v>
          </cell>
          <cell r="AY188">
            <v>0</v>
          </cell>
          <cell r="AZ188">
            <v>10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4.5333333333333332</v>
          </cell>
          <cell r="BI188">
            <v>0</v>
          </cell>
          <cell r="BJ188">
            <v>0</v>
          </cell>
          <cell r="BK188">
            <v>0</v>
          </cell>
          <cell r="BL188">
            <v>0</v>
          </cell>
          <cell r="BM188">
            <v>0</v>
          </cell>
          <cell r="BN188">
            <v>0</v>
          </cell>
          <cell r="BO188">
            <v>0</v>
          </cell>
          <cell r="BP188">
            <v>4.5999999999999996</v>
          </cell>
          <cell r="BQ188">
            <v>0</v>
          </cell>
          <cell r="BR188">
            <v>0</v>
          </cell>
          <cell r="BS188">
            <v>0</v>
          </cell>
          <cell r="BT188">
            <v>0</v>
          </cell>
          <cell r="BU188">
            <v>0</v>
          </cell>
          <cell r="BV188">
            <v>0</v>
          </cell>
          <cell r="BW188">
            <v>0</v>
          </cell>
          <cell r="BX188">
            <v>17.599999999999998</v>
          </cell>
          <cell r="BY188">
            <v>0</v>
          </cell>
          <cell r="BZ188">
            <v>0</v>
          </cell>
          <cell r="CA188">
            <v>0</v>
          </cell>
          <cell r="CB188">
            <v>0</v>
          </cell>
          <cell r="CC188">
            <v>0</v>
          </cell>
          <cell r="CD188">
            <v>0</v>
          </cell>
          <cell r="CE188">
            <v>0</v>
          </cell>
          <cell r="CF188">
            <v>0</v>
          </cell>
          <cell r="CG188">
            <v>0</v>
          </cell>
          <cell r="CH188">
            <v>0</v>
          </cell>
          <cell r="CI188">
            <v>0</v>
          </cell>
          <cell r="CJ188">
            <v>0</v>
          </cell>
          <cell r="CK188">
            <v>0</v>
          </cell>
          <cell r="CL188">
            <v>0</v>
          </cell>
          <cell r="CM188">
            <v>0</v>
          </cell>
          <cell r="CN188">
            <v>36.733333333333334</v>
          </cell>
          <cell r="CO188">
            <v>0</v>
          </cell>
          <cell r="CP188">
            <v>0</v>
          </cell>
          <cell r="CQ188">
            <v>0</v>
          </cell>
          <cell r="CR188">
            <v>0</v>
          </cell>
          <cell r="CS188">
            <v>0</v>
          </cell>
          <cell r="CV188">
            <v>0</v>
          </cell>
          <cell r="CW188">
            <v>36.733333333333334</v>
          </cell>
          <cell r="CX188">
            <v>0</v>
          </cell>
          <cell r="CY188">
            <v>0</v>
          </cell>
          <cell r="CZ188">
            <v>0</v>
          </cell>
          <cell r="DA188">
            <v>0</v>
          </cell>
          <cell r="DD188">
            <v>3.5000000000000003E-2</v>
          </cell>
          <cell r="DE188">
            <v>3.8480818425022364E-2</v>
          </cell>
          <cell r="DF188">
            <v>4.1403596897279765E-2</v>
          </cell>
          <cell r="DG188">
            <v>3.2359447002183045E-2</v>
          </cell>
          <cell r="DH188">
            <v>2.6271739930554507E-2</v>
          </cell>
          <cell r="DI188">
            <v>2.2488046269090144E-2</v>
          </cell>
          <cell r="DJ188">
            <v>2.1109836658996538E-2</v>
          </cell>
          <cell r="DK188">
            <v>2.0909759691511064E-2</v>
          </cell>
          <cell r="DL188">
            <v>2.2890043747624565E-2</v>
          </cell>
          <cell r="DM188">
            <v>2.7968955667719699E-2</v>
          </cell>
          <cell r="DN188">
            <v>2.8977733484579184E-2</v>
          </cell>
          <cell r="DQ188">
            <v>2.450090744101633E-3</v>
          </cell>
          <cell r="DR188">
            <v>1.0889292196007259E-2</v>
          </cell>
          <cell r="DS188">
            <v>8.1669691470054439E-3</v>
          </cell>
          <cell r="DT188">
            <v>0</v>
          </cell>
          <cell r="DU188">
            <v>2.7223230490018148E-3</v>
          </cell>
          <cell r="DV188">
            <v>2.7223230490018148E-3</v>
          </cell>
          <cell r="DW188">
            <v>2.7223230490018148E-3</v>
          </cell>
          <cell r="DX188">
            <v>2.7223230490018148E-3</v>
          </cell>
          <cell r="DY188">
            <v>2.7223230490018148E-3</v>
          </cell>
          <cell r="DZ188">
            <v>2.7223230490018148E-3</v>
          </cell>
          <cell r="EA188">
            <v>2.7223230490018148E-3</v>
          </cell>
          <cell r="ED188">
            <v>2.1597096188747732E-3</v>
          </cell>
          <cell r="EE188">
            <v>-1.234119782214156E-3</v>
          </cell>
          <cell r="EF188">
            <v>0</v>
          </cell>
          <cell r="EG188">
            <v>3.7023593466424679E-3</v>
          </cell>
          <cell r="EH188">
            <v>3.7023593466424679E-3</v>
          </cell>
          <cell r="EI188">
            <v>3.7023593466424679E-3</v>
          </cell>
          <cell r="EJ188">
            <v>2.4682395644283119E-3</v>
          </cell>
          <cell r="EK188">
            <v>2.4682395644283119E-3</v>
          </cell>
          <cell r="EL188">
            <v>2.4682395644283119E-3</v>
          </cell>
          <cell r="EM188">
            <v>2.4682395644283119E-3</v>
          </cell>
          <cell r="EN188">
            <v>2.4682395644283119E-3</v>
          </cell>
          <cell r="EQ188">
            <v>5.6803770386932252E-3</v>
          </cell>
          <cell r="ER188">
            <v>4.3829401088929226E-3</v>
          </cell>
          <cell r="ES188">
            <v>4.3829401088929226E-3</v>
          </cell>
          <cell r="ET188">
            <v>5.0090744101633404E-3</v>
          </cell>
          <cell r="EU188">
            <v>5.0090744101633404E-3</v>
          </cell>
          <cell r="EV188">
            <v>5.0090744101633404E-3</v>
          </cell>
          <cell r="EW188">
            <v>5.0090744101633404E-3</v>
          </cell>
          <cell r="EX188">
            <v>5.0090744101633404E-3</v>
          </cell>
          <cell r="EY188">
            <v>5.0090744101633404E-3</v>
          </cell>
          <cell r="EZ188">
            <v>5.0090744101633404E-3</v>
          </cell>
          <cell r="FA188">
            <v>5.0090744101633404E-3</v>
          </cell>
          <cell r="FD188">
            <v>0</v>
          </cell>
          <cell r="FE188">
            <v>0</v>
          </cell>
          <cell r="FF188">
            <v>0</v>
          </cell>
          <cell r="FG188">
            <v>0</v>
          </cell>
          <cell r="FH188">
            <v>0</v>
          </cell>
          <cell r="FI188">
            <v>0</v>
          </cell>
          <cell r="FJ188">
            <v>0</v>
          </cell>
          <cell r="FK188">
            <v>0</v>
          </cell>
          <cell r="FL188">
            <v>0</v>
          </cell>
          <cell r="FM188">
            <v>0</v>
          </cell>
          <cell r="FN188">
            <v>0</v>
          </cell>
          <cell r="FQ188">
            <v>1.0290177401669633E-2</v>
          </cell>
          <cell r="FR188">
            <v>1.4038112522686027E-2</v>
          </cell>
          <cell r="FS188">
            <v>1.2549909255898366E-2</v>
          </cell>
          <cell r="FT188">
            <v>8.7114337568058083E-3</v>
          </cell>
          <cell r="FU188">
            <v>1.1433756805807622E-2</v>
          </cell>
          <cell r="FV188">
            <v>1.1433756805807622E-2</v>
          </cell>
          <cell r="FW188">
            <v>1.0199637023593468E-2</v>
          </cell>
          <cell r="FX188">
            <v>1.0199637023593468E-2</v>
          </cell>
          <cell r="FY188">
            <v>1.0199637023593468E-2</v>
          </cell>
          <cell r="FZ188">
            <v>1.0199637023593468E-2</v>
          </cell>
          <cell r="GA188">
            <v>1.0199637023593468E-2</v>
          </cell>
          <cell r="GD188">
            <v>2.7587053220500892E-2</v>
          </cell>
          <cell r="GE188">
            <v>3.1148006654321464E-2</v>
          </cell>
          <cell r="GF188">
            <v>3.2747490604865342E-2</v>
          </cell>
          <cell r="GG188">
            <v>2.5265043028569873E-2</v>
          </cell>
          <cell r="GH188">
            <v>2.1820344993130441E-2</v>
          </cell>
          <cell r="GI188">
            <v>1.9171759430105389E-2</v>
          </cell>
          <cell r="GJ188">
            <v>1.7836776768375615E-2</v>
          </cell>
          <cell r="GK188">
            <v>1.7696722891135785E-2</v>
          </cell>
          <cell r="GL188">
            <v>1.9082921730415234E-2</v>
          </cell>
          <cell r="GM188">
            <v>2.2638160074481828E-2</v>
          </cell>
          <cell r="GN188">
            <v>2.3344304546283466E-2</v>
          </cell>
        </row>
        <row r="189">
          <cell r="B189" t="str">
            <v>Carlingford Court</v>
          </cell>
          <cell r="C189">
            <v>0</v>
          </cell>
          <cell r="D189">
            <v>1</v>
          </cell>
          <cell r="E189" t="str">
            <v>Sub Regional</v>
          </cell>
          <cell r="F189" t="str">
            <v>NSW</v>
          </cell>
          <cell r="G189">
            <v>0</v>
          </cell>
          <cell r="H189">
            <v>12.9</v>
          </cell>
          <cell r="I189">
            <v>12.9</v>
          </cell>
          <cell r="J189">
            <v>0</v>
          </cell>
          <cell r="K189">
            <v>0</v>
          </cell>
          <cell r="L189">
            <v>3.6</v>
          </cell>
          <cell r="M189">
            <v>0</v>
          </cell>
          <cell r="N189">
            <v>3.6</v>
          </cell>
          <cell r="O189">
            <v>0</v>
          </cell>
          <cell r="P189">
            <v>0</v>
          </cell>
          <cell r="Q189">
            <v>0</v>
          </cell>
          <cell r="R189">
            <v>5.6</v>
          </cell>
          <cell r="S189">
            <v>0</v>
          </cell>
          <cell r="T189">
            <v>2.9</v>
          </cell>
          <cell r="U189">
            <v>1.2</v>
          </cell>
          <cell r="V189">
            <v>1.5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9.9</v>
          </cell>
          <cell r="AD189">
            <v>0</v>
          </cell>
          <cell r="AE189">
            <v>0</v>
          </cell>
          <cell r="AF189">
            <v>0.30937500000000001</v>
          </cell>
          <cell r="AG189">
            <v>0.40312500000000001</v>
          </cell>
          <cell r="AH189">
            <v>0.1125</v>
          </cell>
          <cell r="AI189">
            <v>0.17499999999999999</v>
          </cell>
          <cell r="AJ189">
            <v>0</v>
          </cell>
          <cell r="AK189">
            <v>0</v>
          </cell>
          <cell r="AN189">
            <v>22.1</v>
          </cell>
          <cell r="AO189">
            <v>32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X189">
            <v>0</v>
          </cell>
          <cell r="AY189">
            <v>12.9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3.6</v>
          </cell>
          <cell r="BH189">
            <v>0</v>
          </cell>
          <cell r="BI189">
            <v>0</v>
          </cell>
          <cell r="BJ189">
            <v>0</v>
          </cell>
          <cell r="BK189">
            <v>0</v>
          </cell>
          <cell r="BL189">
            <v>0</v>
          </cell>
          <cell r="BM189">
            <v>0</v>
          </cell>
          <cell r="BN189">
            <v>0</v>
          </cell>
          <cell r="BO189">
            <v>5.6</v>
          </cell>
          <cell r="BP189">
            <v>0</v>
          </cell>
          <cell r="BQ189">
            <v>0</v>
          </cell>
          <cell r="BR189">
            <v>0</v>
          </cell>
          <cell r="BS189">
            <v>0</v>
          </cell>
          <cell r="BT189">
            <v>0</v>
          </cell>
          <cell r="BU189">
            <v>0</v>
          </cell>
          <cell r="BV189">
            <v>0</v>
          </cell>
          <cell r="BW189">
            <v>9.9</v>
          </cell>
          <cell r="BX189">
            <v>0</v>
          </cell>
          <cell r="BY189">
            <v>0</v>
          </cell>
          <cell r="BZ189">
            <v>0</v>
          </cell>
          <cell r="CA189">
            <v>0</v>
          </cell>
          <cell r="CB189">
            <v>0</v>
          </cell>
          <cell r="CC189">
            <v>0</v>
          </cell>
          <cell r="CD189">
            <v>0</v>
          </cell>
          <cell r="CE189">
            <v>0</v>
          </cell>
          <cell r="CF189">
            <v>0</v>
          </cell>
          <cell r="CG189">
            <v>0</v>
          </cell>
          <cell r="CH189">
            <v>0</v>
          </cell>
          <cell r="CI189">
            <v>0</v>
          </cell>
          <cell r="CJ189">
            <v>0</v>
          </cell>
          <cell r="CK189">
            <v>0</v>
          </cell>
          <cell r="CL189">
            <v>0</v>
          </cell>
          <cell r="CM189">
            <v>32</v>
          </cell>
          <cell r="CN189">
            <v>0</v>
          </cell>
          <cell r="CO189">
            <v>0</v>
          </cell>
          <cell r="CP189">
            <v>0</v>
          </cell>
          <cell r="CQ189">
            <v>0</v>
          </cell>
          <cell r="CR189">
            <v>0</v>
          </cell>
          <cell r="CS189">
            <v>0</v>
          </cell>
          <cell r="CV189">
            <v>0</v>
          </cell>
          <cell r="CW189">
            <v>0</v>
          </cell>
          <cell r="CX189">
            <v>0</v>
          </cell>
          <cell r="CY189">
            <v>32</v>
          </cell>
          <cell r="CZ189">
            <v>0</v>
          </cell>
          <cell r="DA189">
            <v>0</v>
          </cell>
          <cell r="DD189">
            <v>3.2500000000000001E-2</v>
          </cell>
          <cell r="DE189">
            <v>4.3480818425022362E-2</v>
          </cell>
          <cell r="DF189">
            <v>5.1403596897279767E-2</v>
          </cell>
          <cell r="DG189">
            <v>3.7359447002183042E-2</v>
          </cell>
          <cell r="DH189">
            <v>3.1271739930554508E-2</v>
          </cell>
          <cell r="DI189">
            <v>2.7488046269090145E-2</v>
          </cell>
          <cell r="DJ189">
            <v>2.6109836658996539E-2</v>
          </cell>
          <cell r="DK189">
            <v>2.5909759691511065E-2</v>
          </cell>
          <cell r="DL189">
            <v>2.7890043747624566E-2</v>
          </cell>
          <cell r="DM189">
            <v>3.29689556677197E-2</v>
          </cell>
          <cell r="DN189">
            <v>3.3977733484579185E-2</v>
          </cell>
          <cell r="DQ189">
            <v>2.6203125000000002E-3</v>
          </cell>
          <cell r="DR189">
            <v>1.8140625E-2</v>
          </cell>
          <cell r="DS189">
            <v>1.6125E-2</v>
          </cell>
          <cell r="DT189">
            <v>2.0156250000000001E-3</v>
          </cell>
          <cell r="DU189">
            <v>6.0468750000000002E-3</v>
          </cell>
          <cell r="DV189">
            <v>6.0468750000000002E-3</v>
          </cell>
          <cell r="DW189">
            <v>6.0468750000000002E-3</v>
          </cell>
          <cell r="DX189">
            <v>6.0468750000000002E-3</v>
          </cell>
          <cell r="DY189">
            <v>6.0468750000000002E-3</v>
          </cell>
          <cell r="DZ189">
            <v>6.0468750000000002E-3</v>
          </cell>
          <cell r="EA189">
            <v>6.0468750000000002E-3</v>
          </cell>
          <cell r="ED189">
            <v>1.6875E-3</v>
          </cell>
          <cell r="EE189">
            <v>-5.6250000000000007E-4</v>
          </cell>
          <cell r="EF189">
            <v>1.1250000000000001E-3</v>
          </cell>
          <cell r="EG189">
            <v>3.9375E-3</v>
          </cell>
          <cell r="EH189">
            <v>3.9375E-3</v>
          </cell>
          <cell r="EI189">
            <v>3.9375E-3</v>
          </cell>
          <cell r="EJ189">
            <v>2.8125000000000003E-3</v>
          </cell>
          <cell r="EK189">
            <v>2.8125000000000003E-3</v>
          </cell>
          <cell r="EL189">
            <v>2.8125000000000003E-3</v>
          </cell>
          <cell r="EM189">
            <v>2.8125000000000003E-3</v>
          </cell>
          <cell r="EN189">
            <v>2.8125000000000003E-3</v>
          </cell>
          <cell r="EQ189">
            <v>7.5006211008115092E-3</v>
          </cell>
          <cell r="ER189">
            <v>6.9999999999999993E-3</v>
          </cell>
          <cell r="ES189">
            <v>7.8750000000000001E-3</v>
          </cell>
          <cell r="ET189">
            <v>7.8750000000000001E-3</v>
          </cell>
          <cell r="EU189">
            <v>7.8750000000000001E-3</v>
          </cell>
          <cell r="EV189">
            <v>7.8750000000000001E-3</v>
          </cell>
          <cell r="EW189">
            <v>7.8750000000000001E-3</v>
          </cell>
          <cell r="EX189">
            <v>7.8750000000000001E-3</v>
          </cell>
          <cell r="EY189">
            <v>7.8750000000000001E-3</v>
          </cell>
          <cell r="EZ189">
            <v>7.8750000000000001E-3</v>
          </cell>
          <cell r="FA189">
            <v>7.8750000000000001E-3</v>
          </cell>
          <cell r="FD189">
            <v>0</v>
          </cell>
          <cell r="FE189">
            <v>0</v>
          </cell>
          <cell r="FF189">
            <v>0</v>
          </cell>
          <cell r="FG189">
            <v>0</v>
          </cell>
          <cell r="FH189">
            <v>0</v>
          </cell>
          <cell r="FI189">
            <v>0</v>
          </cell>
          <cell r="FJ189">
            <v>0</v>
          </cell>
          <cell r="FK189">
            <v>0</v>
          </cell>
          <cell r="FL189">
            <v>0</v>
          </cell>
          <cell r="FM189">
            <v>0</v>
          </cell>
          <cell r="FN189">
            <v>0</v>
          </cell>
          <cell r="FQ189">
            <v>1.1808433600811508E-2</v>
          </cell>
          <cell r="FR189">
            <v>2.4578124999999999E-2</v>
          </cell>
          <cell r="FS189">
            <v>2.5125000000000001E-2</v>
          </cell>
          <cell r="FT189">
            <v>1.3828125E-2</v>
          </cell>
          <cell r="FU189">
            <v>1.7859375E-2</v>
          </cell>
          <cell r="FV189">
            <v>1.7859375E-2</v>
          </cell>
          <cell r="FW189">
            <v>1.6734375000000003E-2</v>
          </cell>
          <cell r="FX189">
            <v>1.6734375000000003E-2</v>
          </cell>
          <cell r="FY189">
            <v>1.6734375000000003E-2</v>
          </cell>
          <cell r="FZ189">
            <v>1.6734375000000003E-2</v>
          </cell>
          <cell r="GA189">
            <v>1.6734375000000003E-2</v>
          </cell>
          <cell r="GD189">
            <v>2.4223373440324603E-2</v>
          </cell>
          <cell r="GE189">
            <v>3.5919741055013416E-2</v>
          </cell>
          <cell r="GF189">
            <v>4.0892158138367864E-2</v>
          </cell>
          <cell r="GG189">
            <v>2.7946918201309828E-2</v>
          </cell>
          <cell r="GH189">
            <v>2.5906793958332706E-2</v>
          </cell>
          <cell r="GI189">
            <v>2.3636577761454086E-2</v>
          </cell>
          <cell r="GJ189">
            <v>2.2359651995397925E-2</v>
          </cell>
          <cell r="GK189">
            <v>2.2239605814906638E-2</v>
          </cell>
          <cell r="GL189">
            <v>2.3427776248574742E-2</v>
          </cell>
          <cell r="GM189">
            <v>2.6475123400631823E-2</v>
          </cell>
          <cell r="GN189">
            <v>2.7080390090747513E-2</v>
          </cell>
        </row>
        <row r="190">
          <cell r="B190" t="str">
            <v>Casuarina</v>
          </cell>
          <cell r="C190">
            <v>0</v>
          </cell>
          <cell r="D190">
            <v>1</v>
          </cell>
          <cell r="E190" t="str">
            <v>Regional</v>
          </cell>
          <cell r="F190" t="str">
            <v>NT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14.3</v>
          </cell>
          <cell r="M190">
            <v>7.4</v>
          </cell>
          <cell r="N190">
            <v>0</v>
          </cell>
          <cell r="O190">
            <v>6.9</v>
          </cell>
          <cell r="P190">
            <v>0</v>
          </cell>
          <cell r="Q190">
            <v>0</v>
          </cell>
          <cell r="R190">
            <v>10.199999999999999</v>
          </cell>
          <cell r="S190">
            <v>5.7</v>
          </cell>
          <cell r="T190">
            <v>4.5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11.8</v>
          </cell>
          <cell r="AD190">
            <v>0</v>
          </cell>
          <cell r="AE190">
            <v>0</v>
          </cell>
          <cell r="AF190">
            <v>0.32506887052341604</v>
          </cell>
          <cell r="AG190">
            <v>0</v>
          </cell>
          <cell r="AH190">
            <v>0.39393939393939398</v>
          </cell>
          <cell r="AI190">
            <v>0.28099173553719009</v>
          </cell>
          <cell r="AJ190">
            <v>0</v>
          </cell>
          <cell r="AK190">
            <v>0</v>
          </cell>
          <cell r="AN190">
            <v>24.5</v>
          </cell>
          <cell r="AO190">
            <v>36.299999999999997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  <cell r="BK190">
            <v>0</v>
          </cell>
          <cell r="BL190">
            <v>14.3</v>
          </cell>
          <cell r="BM190">
            <v>0</v>
          </cell>
          <cell r="BN190">
            <v>0</v>
          </cell>
          <cell r="BO190">
            <v>0</v>
          </cell>
          <cell r="BP190">
            <v>0</v>
          </cell>
          <cell r="BQ190">
            <v>0</v>
          </cell>
          <cell r="BR190">
            <v>0</v>
          </cell>
          <cell r="BS190">
            <v>0</v>
          </cell>
          <cell r="BT190">
            <v>10.199999999999999</v>
          </cell>
          <cell r="BU190">
            <v>0</v>
          </cell>
          <cell r="BV190">
            <v>0</v>
          </cell>
          <cell r="BW190">
            <v>0</v>
          </cell>
          <cell r="BX190">
            <v>0</v>
          </cell>
          <cell r="BY190">
            <v>0</v>
          </cell>
          <cell r="BZ190">
            <v>0</v>
          </cell>
          <cell r="CA190">
            <v>0</v>
          </cell>
          <cell r="CB190">
            <v>11.8</v>
          </cell>
          <cell r="CC190">
            <v>0</v>
          </cell>
          <cell r="CD190">
            <v>0</v>
          </cell>
          <cell r="CE190">
            <v>0</v>
          </cell>
          <cell r="CF190">
            <v>0</v>
          </cell>
          <cell r="CG190">
            <v>0</v>
          </cell>
          <cell r="CH190">
            <v>0</v>
          </cell>
          <cell r="CI190">
            <v>0</v>
          </cell>
          <cell r="CJ190">
            <v>0</v>
          </cell>
          <cell r="CK190">
            <v>0</v>
          </cell>
          <cell r="CL190">
            <v>0</v>
          </cell>
          <cell r="CM190">
            <v>0</v>
          </cell>
          <cell r="CN190">
            <v>0</v>
          </cell>
          <cell r="CO190">
            <v>0</v>
          </cell>
          <cell r="CP190">
            <v>0</v>
          </cell>
          <cell r="CQ190">
            <v>0</v>
          </cell>
          <cell r="CR190">
            <v>36.299999999999997</v>
          </cell>
          <cell r="CS190">
            <v>0</v>
          </cell>
          <cell r="CV190">
            <v>0</v>
          </cell>
          <cell r="CW190">
            <v>0</v>
          </cell>
          <cell r="CX190">
            <v>36.299999999999997</v>
          </cell>
          <cell r="CY190">
            <v>0</v>
          </cell>
          <cell r="CZ190">
            <v>0</v>
          </cell>
          <cell r="DA190">
            <v>0</v>
          </cell>
          <cell r="DD190">
            <v>3.2500000000000001E-2</v>
          </cell>
          <cell r="DE190">
            <v>2.8480818425022363E-2</v>
          </cell>
          <cell r="DF190">
            <v>3.1403596897279763E-2</v>
          </cell>
          <cell r="DG190">
            <v>2.2359447002183043E-2</v>
          </cell>
          <cell r="DH190">
            <v>1.6271739930554509E-2</v>
          </cell>
          <cell r="DI190">
            <v>1.2488046269090143E-2</v>
          </cell>
          <cell r="DJ190">
            <v>1.1109836658996538E-2</v>
          </cell>
          <cell r="DK190">
            <v>1.0909759691511063E-2</v>
          </cell>
          <cell r="DL190">
            <v>1.2890043747624565E-2</v>
          </cell>
          <cell r="DM190">
            <v>1.7968955667719701E-2</v>
          </cell>
          <cell r="DN190">
            <v>1.8977733484579186E-2</v>
          </cell>
          <cell r="DQ190">
            <v>0</v>
          </cell>
          <cell r="DR190">
            <v>0</v>
          </cell>
          <cell r="DS190">
            <v>0</v>
          </cell>
          <cell r="DT190">
            <v>0</v>
          </cell>
          <cell r="DU190">
            <v>0</v>
          </cell>
          <cell r="DV190">
            <v>0</v>
          </cell>
          <cell r="DW190">
            <v>0</v>
          </cell>
          <cell r="DX190">
            <v>0</v>
          </cell>
          <cell r="DY190">
            <v>0</v>
          </cell>
          <cell r="DZ190">
            <v>0</v>
          </cell>
          <cell r="EA190">
            <v>0</v>
          </cell>
          <cell r="ED190">
            <v>5.9090909090909098E-3</v>
          </cell>
          <cell r="EE190">
            <v>-7.8787878787878792E-3</v>
          </cell>
          <cell r="EF190">
            <v>-3.9393939393939396E-3</v>
          </cell>
          <cell r="EG190">
            <v>7.8787878787878792E-3</v>
          </cell>
          <cell r="EH190">
            <v>7.8787878787878792E-3</v>
          </cell>
          <cell r="EI190">
            <v>7.8787878787878792E-3</v>
          </cell>
          <cell r="EJ190">
            <v>3.9393939393939396E-3</v>
          </cell>
          <cell r="EK190">
            <v>3.9393939393939396E-3</v>
          </cell>
          <cell r="EL190">
            <v>3.9393939393939396E-3</v>
          </cell>
          <cell r="EM190">
            <v>3.9393939393939396E-3</v>
          </cell>
          <cell r="EN190">
            <v>3.9393939393939396E-3</v>
          </cell>
          <cell r="EQ190">
            <v>1.2043500232707973E-2</v>
          </cell>
          <cell r="ER190">
            <v>7.0247933884297524E-3</v>
          </cell>
          <cell r="ES190">
            <v>7.0247933884297524E-3</v>
          </cell>
          <cell r="ET190">
            <v>8.4297520661157019E-3</v>
          </cell>
          <cell r="EU190">
            <v>8.4297520661157019E-3</v>
          </cell>
          <cell r="EV190">
            <v>8.4297520661157019E-3</v>
          </cell>
          <cell r="EW190">
            <v>8.4297520661157019E-3</v>
          </cell>
          <cell r="EX190">
            <v>8.4297520661157019E-3</v>
          </cell>
          <cell r="EY190">
            <v>8.4297520661157019E-3</v>
          </cell>
          <cell r="EZ190">
            <v>8.4297520661157019E-3</v>
          </cell>
          <cell r="FA190">
            <v>8.4297520661157019E-3</v>
          </cell>
          <cell r="FD190">
            <v>0</v>
          </cell>
          <cell r="FE190">
            <v>0</v>
          </cell>
          <cell r="FF190">
            <v>0</v>
          </cell>
          <cell r="FG190">
            <v>0</v>
          </cell>
          <cell r="FH190">
            <v>0</v>
          </cell>
          <cell r="FI190">
            <v>0</v>
          </cell>
          <cell r="FJ190">
            <v>0</v>
          </cell>
          <cell r="FK190">
            <v>0</v>
          </cell>
          <cell r="FL190">
            <v>0</v>
          </cell>
          <cell r="FM190">
            <v>0</v>
          </cell>
          <cell r="FN190">
            <v>0</v>
          </cell>
          <cell r="FQ190">
            <v>1.7952591141798882E-2</v>
          </cell>
          <cell r="FR190">
            <v>-8.5399449035812678E-4</v>
          </cell>
          <cell r="FS190">
            <v>3.0853994490358128E-3</v>
          </cell>
          <cell r="FT190">
            <v>1.6308539944903583E-2</v>
          </cell>
          <cell r="FU190">
            <v>1.6308539944903583E-2</v>
          </cell>
          <cell r="FV190">
            <v>1.6308539944903583E-2</v>
          </cell>
          <cell r="FW190">
            <v>1.2369146005509642E-2</v>
          </cell>
          <cell r="FX190">
            <v>1.2369146005509642E-2</v>
          </cell>
          <cell r="FY190">
            <v>1.2369146005509642E-2</v>
          </cell>
          <cell r="FZ190">
            <v>1.2369146005509642E-2</v>
          </cell>
          <cell r="GA190">
            <v>1.2369146005509642E-2</v>
          </cell>
          <cell r="GD190">
            <v>2.8135777342539664E-2</v>
          </cell>
          <cell r="GE190">
            <v>1.9680374550408213E-2</v>
          </cell>
          <cell r="GF190">
            <v>2.2908137662806576E-2</v>
          </cell>
          <cell r="GG190">
            <v>2.0544174884999204E-2</v>
          </cell>
          <cell r="GH190">
            <v>1.6282779934859229E-2</v>
          </cell>
          <cell r="GI190">
            <v>1.3634194371834175E-2</v>
          </cell>
          <cell r="GJ190">
            <v>1.1487629462950469E-2</v>
          </cell>
          <cell r="GK190">
            <v>1.1347575585710638E-2</v>
          </cell>
          <cell r="GL190">
            <v>1.2733774424990088E-2</v>
          </cell>
          <cell r="GM190">
            <v>1.6289012769056681E-2</v>
          </cell>
          <cell r="GN190">
            <v>1.6995157240858323E-2</v>
          </cell>
        </row>
        <row r="191">
          <cell r="B191" t="str">
            <v>Charlestown Square</v>
          </cell>
          <cell r="C191">
            <v>0</v>
          </cell>
          <cell r="D191">
            <v>1</v>
          </cell>
          <cell r="E191" t="str">
            <v>Regional</v>
          </cell>
          <cell r="F191" t="str">
            <v>NSW</v>
          </cell>
          <cell r="G191">
            <v>0</v>
          </cell>
          <cell r="H191">
            <v>12.8</v>
          </cell>
          <cell r="I191">
            <v>12.8</v>
          </cell>
          <cell r="J191">
            <v>0</v>
          </cell>
          <cell r="K191">
            <v>0</v>
          </cell>
          <cell r="L191">
            <v>8.3000000000000007</v>
          </cell>
          <cell r="M191">
            <v>8.3000000000000007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2.4</v>
          </cell>
          <cell r="S191">
            <v>2.4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15.2</v>
          </cell>
          <cell r="AD191">
            <v>0</v>
          </cell>
          <cell r="AE191">
            <v>0</v>
          </cell>
          <cell r="AF191">
            <v>0.39276485788113691</v>
          </cell>
          <cell r="AG191">
            <v>0.33074935400516797</v>
          </cell>
          <cell r="AH191">
            <v>0.2144702842377261</v>
          </cell>
          <cell r="AI191">
            <v>6.2015503875968984E-2</v>
          </cell>
          <cell r="AJ191">
            <v>0</v>
          </cell>
          <cell r="AK191">
            <v>0</v>
          </cell>
          <cell r="AN191">
            <v>23.5</v>
          </cell>
          <cell r="AO191">
            <v>38.700000000000003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X191">
            <v>0</v>
          </cell>
          <cell r="AY191">
            <v>12.8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8.3000000000000007</v>
          </cell>
          <cell r="BH191">
            <v>0</v>
          </cell>
          <cell r="BI191">
            <v>0</v>
          </cell>
          <cell r="BJ191">
            <v>0</v>
          </cell>
          <cell r="BK191">
            <v>0</v>
          </cell>
          <cell r="BL191">
            <v>0</v>
          </cell>
          <cell r="BM191">
            <v>0</v>
          </cell>
          <cell r="BN191">
            <v>0</v>
          </cell>
          <cell r="BO191">
            <v>2.4</v>
          </cell>
          <cell r="BP191">
            <v>0</v>
          </cell>
          <cell r="BQ191">
            <v>0</v>
          </cell>
          <cell r="BR191">
            <v>0</v>
          </cell>
          <cell r="BS191">
            <v>0</v>
          </cell>
          <cell r="BT191">
            <v>0</v>
          </cell>
          <cell r="BU191">
            <v>0</v>
          </cell>
          <cell r="BV191">
            <v>0</v>
          </cell>
          <cell r="BW191">
            <v>15.2</v>
          </cell>
          <cell r="BX191">
            <v>0</v>
          </cell>
          <cell r="BY191">
            <v>0</v>
          </cell>
          <cell r="BZ191">
            <v>0</v>
          </cell>
          <cell r="CA191">
            <v>0</v>
          </cell>
          <cell r="CB191">
            <v>0</v>
          </cell>
          <cell r="CC191">
            <v>0</v>
          </cell>
          <cell r="CD191">
            <v>0</v>
          </cell>
          <cell r="CE191">
            <v>0</v>
          </cell>
          <cell r="CF191">
            <v>0</v>
          </cell>
          <cell r="CG191">
            <v>0</v>
          </cell>
          <cell r="CH191">
            <v>0</v>
          </cell>
          <cell r="CI191">
            <v>0</v>
          </cell>
          <cell r="CJ191">
            <v>0</v>
          </cell>
          <cell r="CK191">
            <v>0</v>
          </cell>
          <cell r="CL191">
            <v>0</v>
          </cell>
          <cell r="CM191">
            <v>38.700000000000003</v>
          </cell>
          <cell r="CN191">
            <v>0</v>
          </cell>
          <cell r="CO191">
            <v>0</v>
          </cell>
          <cell r="CP191">
            <v>0</v>
          </cell>
          <cell r="CQ191">
            <v>0</v>
          </cell>
          <cell r="CR191">
            <v>0</v>
          </cell>
          <cell r="CS191">
            <v>0</v>
          </cell>
          <cell r="CV191">
            <v>0</v>
          </cell>
          <cell r="CW191">
            <v>0</v>
          </cell>
          <cell r="CX191">
            <v>38.700000000000003</v>
          </cell>
          <cell r="CY191">
            <v>0</v>
          </cell>
          <cell r="CZ191">
            <v>0</v>
          </cell>
          <cell r="DA191">
            <v>0</v>
          </cell>
          <cell r="DD191">
            <v>3.2500000000000001E-2</v>
          </cell>
          <cell r="DE191">
            <v>4.3480818425022362E-2</v>
          </cell>
          <cell r="DF191">
            <v>5.1403596897279767E-2</v>
          </cell>
          <cell r="DG191">
            <v>3.7359447002183042E-2</v>
          </cell>
          <cell r="DH191">
            <v>3.1271739930554508E-2</v>
          </cell>
          <cell r="DI191">
            <v>2.7488046269090145E-2</v>
          </cell>
          <cell r="DJ191">
            <v>2.6109836658996539E-2</v>
          </cell>
          <cell r="DK191">
            <v>2.5909759691511065E-2</v>
          </cell>
          <cell r="DL191">
            <v>2.7890043747624566E-2</v>
          </cell>
          <cell r="DM191">
            <v>3.29689556677197E-2</v>
          </cell>
          <cell r="DN191">
            <v>3.3977733484579185E-2</v>
          </cell>
          <cell r="DQ191">
            <v>2.1498708010335918E-3</v>
          </cell>
          <cell r="DR191">
            <v>1.4883720930232559E-2</v>
          </cell>
          <cell r="DS191">
            <v>1.322997416020672E-2</v>
          </cell>
          <cell r="DT191">
            <v>1.65374677002584E-3</v>
          </cell>
          <cell r="DU191">
            <v>4.9612403100775197E-3</v>
          </cell>
          <cell r="DV191">
            <v>4.9612403100775197E-3</v>
          </cell>
          <cell r="DW191">
            <v>4.9612403100775197E-3</v>
          </cell>
          <cell r="DX191">
            <v>4.9612403100775197E-3</v>
          </cell>
          <cell r="DY191">
            <v>4.9612403100775197E-3</v>
          </cell>
          <cell r="DZ191">
            <v>4.9612403100775197E-3</v>
          </cell>
          <cell r="EA191">
            <v>4.9612403100775197E-3</v>
          </cell>
          <cell r="ED191">
            <v>3.2170542635658913E-3</v>
          </cell>
          <cell r="EE191">
            <v>-1.0723514211886304E-3</v>
          </cell>
          <cell r="EF191">
            <v>2.1447028423772609E-3</v>
          </cell>
          <cell r="EG191">
            <v>7.5064599483204127E-3</v>
          </cell>
          <cell r="EH191">
            <v>7.5064599483204127E-3</v>
          </cell>
          <cell r="EI191">
            <v>7.5064599483204127E-3</v>
          </cell>
          <cell r="EJ191">
            <v>5.3617571059431527E-3</v>
          </cell>
          <cell r="EK191">
            <v>5.3617571059431527E-3</v>
          </cell>
          <cell r="EL191">
            <v>5.3617571059431527E-3</v>
          </cell>
          <cell r="EM191">
            <v>5.3617571059431527E-3</v>
          </cell>
          <cell r="EN191">
            <v>5.3617571059431527E-3</v>
          </cell>
          <cell r="EQ191">
            <v>2.658027411140291E-3</v>
          </cell>
          <cell r="ER191">
            <v>2.4806201550387594E-3</v>
          </cell>
          <cell r="ES191">
            <v>2.7906976744186047E-3</v>
          </cell>
          <cell r="ET191">
            <v>2.7906976744186043E-3</v>
          </cell>
          <cell r="EU191">
            <v>2.7906976744186043E-3</v>
          </cell>
          <cell r="EV191">
            <v>2.7906976744186043E-3</v>
          </cell>
          <cell r="EW191">
            <v>2.7906976744186043E-3</v>
          </cell>
          <cell r="EX191">
            <v>2.7906976744186043E-3</v>
          </cell>
          <cell r="EY191">
            <v>2.7906976744186043E-3</v>
          </cell>
          <cell r="EZ191">
            <v>2.7906976744186043E-3</v>
          </cell>
          <cell r="FA191">
            <v>2.7906976744186043E-3</v>
          </cell>
          <cell r="FD191">
            <v>0</v>
          </cell>
          <cell r="FE191">
            <v>0</v>
          </cell>
          <cell r="FF191">
            <v>0</v>
          </cell>
          <cell r="FG191">
            <v>0</v>
          </cell>
          <cell r="FH191">
            <v>0</v>
          </cell>
          <cell r="FI191">
            <v>0</v>
          </cell>
          <cell r="FJ191">
            <v>0</v>
          </cell>
          <cell r="FK191">
            <v>0</v>
          </cell>
          <cell r="FL191">
            <v>0</v>
          </cell>
          <cell r="FM191">
            <v>0</v>
          </cell>
          <cell r="FN191">
            <v>0</v>
          </cell>
          <cell r="FQ191">
            <v>8.0249524757397741E-3</v>
          </cell>
          <cell r="FR191">
            <v>1.6291989664082688E-2</v>
          </cell>
          <cell r="FS191">
            <v>1.8165374677002587E-2</v>
          </cell>
          <cell r="FT191">
            <v>1.1950904392764857E-2</v>
          </cell>
          <cell r="FU191">
            <v>1.5258397932816537E-2</v>
          </cell>
          <cell r="FV191">
            <v>1.5258397932816537E-2</v>
          </cell>
          <cell r="FW191">
            <v>1.3113695090439277E-2</v>
          </cell>
          <cell r="FX191">
            <v>1.3113695090439277E-2</v>
          </cell>
          <cell r="FY191">
            <v>1.3113695090439277E-2</v>
          </cell>
          <cell r="FZ191">
            <v>1.3113695090439277E-2</v>
          </cell>
          <cell r="GA191">
            <v>1.3113695090439277E-2</v>
          </cell>
          <cell r="GD191">
            <v>2.5157485742721933E-2</v>
          </cell>
          <cell r="GE191">
            <v>3.5324169796740454E-2</v>
          </cell>
          <cell r="GF191">
            <v>4.1432130231196608E-2</v>
          </cell>
          <cell r="GG191">
            <v>2.9736884219357586E-2</v>
          </cell>
          <cell r="GH191">
            <v>2.6467737331233119E-2</v>
          </cell>
          <cell r="GI191">
            <v>2.3819151768208063E-2</v>
          </cell>
          <cell r="GJ191">
            <v>2.221099418842936E-2</v>
          </cell>
          <cell r="GK191">
            <v>2.207094031118953E-2</v>
          </cell>
          <cell r="GL191">
            <v>2.3457139150468979E-2</v>
          </cell>
          <cell r="GM191">
            <v>2.7012377494535573E-2</v>
          </cell>
          <cell r="GN191">
            <v>2.7718521966337215E-2</v>
          </cell>
        </row>
        <row r="192">
          <cell r="B192" t="str">
            <v>Chirnside</v>
          </cell>
          <cell r="C192">
            <v>0</v>
          </cell>
          <cell r="D192">
            <v>1</v>
          </cell>
          <cell r="E192" t="str">
            <v>Sub Regional</v>
          </cell>
          <cell r="F192" t="str">
            <v>VIC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12</v>
          </cell>
          <cell r="M192">
            <v>7.8</v>
          </cell>
          <cell r="N192">
            <v>0</v>
          </cell>
          <cell r="O192">
            <v>0</v>
          </cell>
          <cell r="P192">
            <v>0</v>
          </cell>
          <cell r="Q192">
            <v>4.2</v>
          </cell>
          <cell r="R192">
            <v>6.8000000000000007</v>
          </cell>
          <cell r="S192">
            <v>2.6</v>
          </cell>
          <cell r="T192">
            <v>4.2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9.9</v>
          </cell>
          <cell r="AD192">
            <v>0</v>
          </cell>
          <cell r="AE192">
            <v>0</v>
          </cell>
          <cell r="AF192">
            <v>0.34494773519163763</v>
          </cell>
          <cell r="AG192">
            <v>0</v>
          </cell>
          <cell r="AH192">
            <v>0.41811846689895465</v>
          </cell>
          <cell r="AI192">
            <v>0.23693379790940766</v>
          </cell>
          <cell r="AJ192">
            <v>0</v>
          </cell>
          <cell r="AK192">
            <v>0</v>
          </cell>
          <cell r="AN192">
            <v>18.8</v>
          </cell>
          <cell r="AO192">
            <v>28.700000000000003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12</v>
          </cell>
          <cell r="BI192">
            <v>0</v>
          </cell>
          <cell r="BJ192">
            <v>0</v>
          </cell>
          <cell r="BK192">
            <v>0</v>
          </cell>
          <cell r="BL192">
            <v>0</v>
          </cell>
          <cell r="BM192">
            <v>0</v>
          </cell>
          <cell r="BN192">
            <v>0</v>
          </cell>
          <cell r="BO192">
            <v>0</v>
          </cell>
          <cell r="BP192">
            <v>6.8000000000000007</v>
          </cell>
          <cell r="BQ192">
            <v>0</v>
          </cell>
          <cell r="BR192">
            <v>0</v>
          </cell>
          <cell r="BS192">
            <v>0</v>
          </cell>
          <cell r="BT192">
            <v>0</v>
          </cell>
          <cell r="BU192">
            <v>0</v>
          </cell>
          <cell r="BV192">
            <v>0</v>
          </cell>
          <cell r="BW192">
            <v>0</v>
          </cell>
          <cell r="BX192">
            <v>9.9</v>
          </cell>
          <cell r="BY192">
            <v>0</v>
          </cell>
          <cell r="BZ192">
            <v>0</v>
          </cell>
          <cell r="CA192">
            <v>0</v>
          </cell>
          <cell r="CB192">
            <v>0</v>
          </cell>
          <cell r="CC192">
            <v>0</v>
          </cell>
          <cell r="CD192">
            <v>0</v>
          </cell>
          <cell r="CE192">
            <v>0</v>
          </cell>
          <cell r="CF192">
            <v>0</v>
          </cell>
          <cell r="CG192">
            <v>0</v>
          </cell>
          <cell r="CH192">
            <v>0</v>
          </cell>
          <cell r="CI192">
            <v>0</v>
          </cell>
          <cell r="CJ192">
            <v>0</v>
          </cell>
          <cell r="CK192">
            <v>0</v>
          </cell>
          <cell r="CL192">
            <v>0</v>
          </cell>
          <cell r="CM192">
            <v>0</v>
          </cell>
          <cell r="CN192">
            <v>28.700000000000003</v>
          </cell>
          <cell r="CO192">
            <v>0</v>
          </cell>
          <cell r="CP192">
            <v>0</v>
          </cell>
          <cell r="CQ192">
            <v>0</v>
          </cell>
          <cell r="CR192">
            <v>0</v>
          </cell>
          <cell r="CS192">
            <v>0</v>
          </cell>
          <cell r="CV192">
            <v>0</v>
          </cell>
          <cell r="CW192">
            <v>0</v>
          </cell>
          <cell r="CX192">
            <v>0</v>
          </cell>
          <cell r="CY192">
            <v>28.700000000000003</v>
          </cell>
          <cell r="CZ192">
            <v>0</v>
          </cell>
          <cell r="DA192">
            <v>0</v>
          </cell>
          <cell r="DD192">
            <v>3.5000000000000003E-2</v>
          </cell>
          <cell r="DE192">
            <v>3.8480818425022364E-2</v>
          </cell>
          <cell r="DF192">
            <v>4.1403596897279765E-2</v>
          </cell>
          <cell r="DG192">
            <v>3.2359447002183045E-2</v>
          </cell>
          <cell r="DH192">
            <v>2.6271739930554507E-2</v>
          </cell>
          <cell r="DI192">
            <v>2.2488046269090144E-2</v>
          </cell>
          <cell r="DJ192">
            <v>2.1109836658996538E-2</v>
          </cell>
          <cell r="DK192">
            <v>2.0909759691511064E-2</v>
          </cell>
          <cell r="DL192">
            <v>2.2890043747624565E-2</v>
          </cell>
          <cell r="DM192">
            <v>2.7968955667719699E-2</v>
          </cell>
          <cell r="DN192">
            <v>2.8977733484579184E-2</v>
          </cell>
          <cell r="DQ192">
            <v>0</v>
          </cell>
          <cell r="DR192">
            <v>0</v>
          </cell>
          <cell r="DS192">
            <v>0</v>
          </cell>
          <cell r="DT192">
            <v>0</v>
          </cell>
          <cell r="DU192">
            <v>0</v>
          </cell>
          <cell r="DV192">
            <v>0</v>
          </cell>
          <cell r="DW192">
            <v>0</v>
          </cell>
          <cell r="DX192">
            <v>0</v>
          </cell>
          <cell r="DY192">
            <v>0</v>
          </cell>
          <cell r="DZ192">
            <v>0</v>
          </cell>
          <cell r="EA192">
            <v>0</v>
          </cell>
          <cell r="ED192">
            <v>7.3170731707317069E-3</v>
          </cell>
          <cell r="EE192">
            <v>-4.181184668989547E-3</v>
          </cell>
          <cell r="EF192">
            <v>0</v>
          </cell>
          <cell r="EG192">
            <v>1.2543554006968639E-2</v>
          </cell>
          <cell r="EH192">
            <v>1.2543554006968639E-2</v>
          </cell>
          <cell r="EI192">
            <v>1.2543554006968639E-2</v>
          </cell>
          <cell r="EJ192">
            <v>8.3623693379790941E-3</v>
          </cell>
          <cell r="EK192">
            <v>8.3623693379790941E-3</v>
          </cell>
          <cell r="EL192">
            <v>8.3623693379790941E-3</v>
          </cell>
          <cell r="EM192">
            <v>8.3623693379790941E-3</v>
          </cell>
          <cell r="EN192">
            <v>8.3623693379790941E-3</v>
          </cell>
          <cell r="EQ192">
            <v>1.0747481032457595E-2</v>
          </cell>
          <cell r="ER192">
            <v>8.2926829268292687E-3</v>
          </cell>
          <cell r="ES192">
            <v>8.2926829268292687E-3</v>
          </cell>
          <cell r="ET192">
            <v>9.4773519163763066E-3</v>
          </cell>
          <cell r="EU192">
            <v>9.4773519163763066E-3</v>
          </cell>
          <cell r="EV192">
            <v>9.4773519163763066E-3</v>
          </cell>
          <cell r="EW192">
            <v>9.4773519163763066E-3</v>
          </cell>
          <cell r="EX192">
            <v>9.4773519163763066E-3</v>
          </cell>
          <cell r="EY192">
            <v>9.4773519163763066E-3</v>
          </cell>
          <cell r="EZ192">
            <v>9.4773519163763066E-3</v>
          </cell>
          <cell r="FA192">
            <v>9.4773519163763066E-3</v>
          </cell>
          <cell r="FD192">
            <v>0</v>
          </cell>
          <cell r="FE192">
            <v>0</v>
          </cell>
          <cell r="FF192">
            <v>0</v>
          </cell>
          <cell r="FG192">
            <v>0</v>
          </cell>
          <cell r="FH192">
            <v>0</v>
          </cell>
          <cell r="FI192">
            <v>0</v>
          </cell>
          <cell r="FJ192">
            <v>0</v>
          </cell>
          <cell r="FK192">
            <v>0</v>
          </cell>
          <cell r="FL192">
            <v>0</v>
          </cell>
          <cell r="FM192">
            <v>0</v>
          </cell>
          <cell r="FN192">
            <v>0</v>
          </cell>
          <cell r="FQ192">
            <v>1.8064554203189302E-2</v>
          </cell>
          <cell r="FR192">
            <v>4.1114982578397217E-3</v>
          </cell>
          <cell r="FS192">
            <v>8.2926829268292687E-3</v>
          </cell>
          <cell r="FT192">
            <v>2.2020905923344946E-2</v>
          </cell>
          <cell r="FU192">
            <v>2.2020905923344946E-2</v>
          </cell>
          <cell r="FV192">
            <v>2.2020905923344946E-2</v>
          </cell>
          <cell r="FW192">
            <v>1.7839721254355401E-2</v>
          </cell>
          <cell r="FX192">
            <v>1.7839721254355401E-2</v>
          </cell>
          <cell r="FY192">
            <v>1.7839721254355401E-2</v>
          </cell>
          <cell r="FZ192">
            <v>1.7839721254355401E-2</v>
          </cell>
          <cell r="GA192">
            <v>1.7839721254355401E-2</v>
          </cell>
          <cell r="GD192">
            <v>2.8225821681275721E-2</v>
          </cell>
          <cell r="GE192">
            <v>2.4733090358149305E-2</v>
          </cell>
          <cell r="GF192">
            <v>2.8159231309099565E-2</v>
          </cell>
          <cell r="GG192">
            <v>2.8224030570647804E-2</v>
          </cell>
          <cell r="GH192">
            <v>2.4571406327670679E-2</v>
          </cell>
          <cell r="GI192">
            <v>2.2301190130792063E-2</v>
          </cell>
          <cell r="GJ192">
            <v>1.9801790497140082E-2</v>
          </cell>
          <cell r="GK192">
            <v>1.9681744316648798E-2</v>
          </cell>
          <cell r="GL192">
            <v>2.0869914750316899E-2</v>
          </cell>
          <cell r="GM192">
            <v>2.391726190237398E-2</v>
          </cell>
          <cell r="GN192">
            <v>2.452252859248967E-2</v>
          </cell>
        </row>
        <row r="193">
          <cell r="B193" t="str">
            <v>Crown Central</v>
          </cell>
          <cell r="C193">
            <v>0</v>
          </cell>
          <cell r="D193">
            <v>1</v>
          </cell>
          <cell r="E193" t="str">
            <v>Sub Regional</v>
          </cell>
          <cell r="F193" t="str">
            <v>NSW</v>
          </cell>
          <cell r="G193">
            <v>0</v>
          </cell>
          <cell r="H193">
            <v>1.8</v>
          </cell>
          <cell r="I193">
            <v>0</v>
          </cell>
          <cell r="J193">
            <v>1.8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3</v>
          </cell>
          <cell r="S193">
            <v>0</v>
          </cell>
          <cell r="T193">
            <v>0</v>
          </cell>
          <cell r="U193">
            <v>1.1000000000000001</v>
          </cell>
          <cell r="V193">
            <v>1.9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9.1</v>
          </cell>
          <cell r="AD193">
            <v>0</v>
          </cell>
          <cell r="AE193">
            <v>0</v>
          </cell>
          <cell r="AF193">
            <v>0.65467625899280579</v>
          </cell>
          <cell r="AG193">
            <v>0.12949640287769787</v>
          </cell>
          <cell r="AH193">
            <v>0</v>
          </cell>
          <cell r="AI193">
            <v>0.21582733812949642</v>
          </cell>
          <cell r="AJ193">
            <v>0</v>
          </cell>
          <cell r="AK193">
            <v>0</v>
          </cell>
          <cell r="AN193">
            <v>4.8</v>
          </cell>
          <cell r="AO193">
            <v>13.899999999999999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X193">
            <v>0</v>
          </cell>
          <cell r="AY193">
            <v>1.8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0</v>
          </cell>
          <cell r="BJ193">
            <v>0</v>
          </cell>
          <cell r="BK193">
            <v>0</v>
          </cell>
          <cell r="BL193">
            <v>0</v>
          </cell>
          <cell r="BM193">
            <v>0</v>
          </cell>
          <cell r="BN193">
            <v>0</v>
          </cell>
          <cell r="BO193">
            <v>3</v>
          </cell>
          <cell r="BP193">
            <v>0</v>
          </cell>
          <cell r="BQ193">
            <v>0</v>
          </cell>
          <cell r="BR193">
            <v>0</v>
          </cell>
          <cell r="BS193">
            <v>0</v>
          </cell>
          <cell r="BT193">
            <v>0</v>
          </cell>
          <cell r="BU193">
            <v>0</v>
          </cell>
          <cell r="BV193">
            <v>0</v>
          </cell>
          <cell r="BW193">
            <v>9.1</v>
          </cell>
          <cell r="BX193">
            <v>0</v>
          </cell>
          <cell r="BY193">
            <v>0</v>
          </cell>
          <cell r="BZ193">
            <v>0</v>
          </cell>
          <cell r="CA193">
            <v>0</v>
          </cell>
          <cell r="CB193">
            <v>0</v>
          </cell>
          <cell r="CC193">
            <v>0</v>
          </cell>
          <cell r="CD193">
            <v>0</v>
          </cell>
          <cell r="CE193">
            <v>0</v>
          </cell>
          <cell r="CF193">
            <v>0</v>
          </cell>
          <cell r="CG193">
            <v>0</v>
          </cell>
          <cell r="CH193">
            <v>0</v>
          </cell>
          <cell r="CI193">
            <v>0</v>
          </cell>
          <cell r="CJ193">
            <v>0</v>
          </cell>
          <cell r="CK193">
            <v>0</v>
          </cell>
          <cell r="CL193">
            <v>0</v>
          </cell>
          <cell r="CM193">
            <v>13.899999999999999</v>
          </cell>
          <cell r="CN193">
            <v>0</v>
          </cell>
          <cell r="CO193">
            <v>0</v>
          </cell>
          <cell r="CP193">
            <v>0</v>
          </cell>
          <cell r="CQ193">
            <v>0</v>
          </cell>
          <cell r="CR193">
            <v>0</v>
          </cell>
          <cell r="CS193">
            <v>0</v>
          </cell>
          <cell r="CV193">
            <v>0</v>
          </cell>
          <cell r="CW193">
            <v>0</v>
          </cell>
          <cell r="CX193">
            <v>0</v>
          </cell>
          <cell r="CY193">
            <v>13.899999999999999</v>
          </cell>
          <cell r="CZ193">
            <v>0</v>
          </cell>
          <cell r="DA193">
            <v>0</v>
          </cell>
          <cell r="DD193">
            <v>3.2500000000000001E-2</v>
          </cell>
          <cell r="DE193">
            <v>4.3480818425022362E-2</v>
          </cell>
          <cell r="DF193">
            <v>5.1403596897279767E-2</v>
          </cell>
          <cell r="DG193">
            <v>3.7359447002183042E-2</v>
          </cell>
          <cell r="DH193">
            <v>3.1271739930554508E-2</v>
          </cell>
          <cell r="DI193">
            <v>2.7488046269090145E-2</v>
          </cell>
          <cell r="DJ193">
            <v>2.6109836658996539E-2</v>
          </cell>
          <cell r="DK193">
            <v>2.5909759691511065E-2</v>
          </cell>
          <cell r="DL193">
            <v>2.7890043747624566E-2</v>
          </cell>
          <cell r="DM193">
            <v>3.29689556677197E-2</v>
          </cell>
          <cell r="DN193">
            <v>3.3977733484579185E-2</v>
          </cell>
          <cell r="DQ193">
            <v>8.417266187050362E-4</v>
          </cell>
          <cell r="DR193">
            <v>5.8273381294964037E-3</v>
          </cell>
          <cell r="DS193">
            <v>5.1798561151079146E-3</v>
          </cell>
          <cell r="DT193">
            <v>6.4748201438848932E-4</v>
          </cell>
          <cell r="DU193">
            <v>1.942446043165468E-3</v>
          </cell>
          <cell r="DV193">
            <v>1.942446043165468E-3</v>
          </cell>
          <cell r="DW193">
            <v>1.942446043165468E-3</v>
          </cell>
          <cell r="DX193">
            <v>1.942446043165468E-3</v>
          </cell>
          <cell r="DY193">
            <v>1.942446043165468E-3</v>
          </cell>
          <cell r="DZ193">
            <v>1.942446043165468E-3</v>
          </cell>
          <cell r="EA193">
            <v>1.942446043165468E-3</v>
          </cell>
          <cell r="ED193">
            <v>0</v>
          </cell>
          <cell r="EE193">
            <v>0</v>
          </cell>
          <cell r="EF193">
            <v>0</v>
          </cell>
          <cell r="EG193">
            <v>0</v>
          </cell>
          <cell r="EH193">
            <v>0</v>
          </cell>
          <cell r="EI193">
            <v>0</v>
          </cell>
          <cell r="EJ193">
            <v>0</v>
          </cell>
          <cell r="EK193">
            <v>0</v>
          </cell>
          <cell r="EL193">
            <v>0</v>
          </cell>
          <cell r="EM193">
            <v>0</v>
          </cell>
          <cell r="EN193">
            <v>0</v>
          </cell>
          <cell r="EQ193">
            <v>9.2505090657490369E-3</v>
          </cell>
          <cell r="ER193">
            <v>8.6330935251798576E-3</v>
          </cell>
          <cell r="ES193">
            <v>9.7122302158273409E-3</v>
          </cell>
          <cell r="ET193">
            <v>9.7122302158273392E-3</v>
          </cell>
          <cell r="EU193">
            <v>9.7122302158273392E-3</v>
          </cell>
          <cell r="EV193">
            <v>9.7122302158273392E-3</v>
          </cell>
          <cell r="EW193">
            <v>9.7122302158273392E-3</v>
          </cell>
          <cell r="EX193">
            <v>9.7122302158273392E-3</v>
          </cell>
          <cell r="EY193">
            <v>9.7122302158273392E-3</v>
          </cell>
          <cell r="EZ193">
            <v>9.7122302158273392E-3</v>
          </cell>
          <cell r="FA193">
            <v>9.7122302158273392E-3</v>
          </cell>
          <cell r="FD193">
            <v>0</v>
          </cell>
          <cell r="FE193">
            <v>0</v>
          </cell>
          <cell r="FF193">
            <v>0</v>
          </cell>
          <cell r="FG193">
            <v>0</v>
          </cell>
          <cell r="FH193">
            <v>0</v>
          </cell>
          <cell r="FI193">
            <v>0</v>
          </cell>
          <cell r="FJ193">
            <v>0</v>
          </cell>
          <cell r="FK193">
            <v>0</v>
          </cell>
          <cell r="FL193">
            <v>0</v>
          </cell>
          <cell r="FM193">
            <v>0</v>
          </cell>
          <cell r="FN193">
            <v>0</v>
          </cell>
          <cell r="FQ193">
            <v>1.0092235684454073E-2</v>
          </cell>
          <cell r="FR193">
            <v>1.446043165467626E-2</v>
          </cell>
          <cell r="FS193">
            <v>1.4892086330935255E-2</v>
          </cell>
          <cell r="FT193">
            <v>1.0359712230215829E-2</v>
          </cell>
          <cell r="FU193">
            <v>1.1654676258992807E-2</v>
          </cell>
          <cell r="FV193">
            <v>1.1654676258992807E-2</v>
          </cell>
          <cell r="FW193">
            <v>1.1654676258992807E-2</v>
          </cell>
          <cell r="FX193">
            <v>1.1654676258992807E-2</v>
          </cell>
          <cell r="FY193">
            <v>1.1654676258992807E-2</v>
          </cell>
          <cell r="FZ193">
            <v>1.1654676258992807E-2</v>
          </cell>
          <cell r="GA193">
            <v>1.1654676258992807E-2</v>
          </cell>
          <cell r="GD193">
            <v>2.3536894273781628E-2</v>
          </cell>
          <cell r="GE193">
            <v>3.1872663716883923E-2</v>
          </cell>
          <cell r="GF193">
            <v>3.6798992670741965E-2</v>
          </cell>
          <cell r="GG193">
            <v>2.6559553093396158E-2</v>
          </cell>
          <cell r="GH193">
            <v>2.3424914461929829E-2</v>
          </cell>
          <cell r="GI193">
            <v>2.115469826505121E-2</v>
          </cell>
          <cell r="GJ193">
            <v>2.0327772498995048E-2</v>
          </cell>
          <cell r="GK193">
            <v>2.020772631850376E-2</v>
          </cell>
          <cell r="GL193">
            <v>2.1395896752171864E-2</v>
          </cell>
          <cell r="GM193">
            <v>2.4443243904228945E-2</v>
          </cell>
          <cell r="GN193">
            <v>2.5048510594344636E-2</v>
          </cell>
        </row>
        <row r="194">
          <cell r="B194" t="str">
            <v>Erina Fair</v>
          </cell>
          <cell r="C194">
            <v>0</v>
          </cell>
          <cell r="D194">
            <v>0.33300000000000002</v>
          </cell>
          <cell r="E194" t="str">
            <v>Major Regional</v>
          </cell>
          <cell r="F194" t="str">
            <v>NSW</v>
          </cell>
          <cell r="G194">
            <v>0</v>
          </cell>
          <cell r="H194">
            <v>12.1</v>
          </cell>
          <cell r="I194">
            <v>12.1</v>
          </cell>
          <cell r="J194">
            <v>0</v>
          </cell>
          <cell r="K194">
            <v>0</v>
          </cell>
          <cell r="L194">
            <v>16.3</v>
          </cell>
          <cell r="M194">
            <v>0</v>
          </cell>
          <cell r="N194">
            <v>8.3000000000000007</v>
          </cell>
          <cell r="O194">
            <v>8</v>
          </cell>
          <cell r="P194">
            <v>0</v>
          </cell>
          <cell r="Q194">
            <v>0</v>
          </cell>
          <cell r="R194">
            <v>6</v>
          </cell>
          <cell r="S194">
            <v>0</v>
          </cell>
          <cell r="T194">
            <v>4</v>
          </cell>
          <cell r="U194">
            <v>0</v>
          </cell>
          <cell r="V194">
            <v>2</v>
          </cell>
          <cell r="W194">
            <v>0</v>
          </cell>
          <cell r="X194">
            <v>0</v>
          </cell>
          <cell r="Y194">
            <v>2.8</v>
          </cell>
          <cell r="Z194">
            <v>0</v>
          </cell>
          <cell r="AA194">
            <v>0</v>
          </cell>
          <cell r="AB194">
            <v>0</v>
          </cell>
          <cell r="AC194">
            <v>27.4</v>
          </cell>
          <cell r="AD194">
            <v>0</v>
          </cell>
          <cell r="AE194">
            <v>0</v>
          </cell>
          <cell r="AF194">
            <v>0.42414860681114552</v>
          </cell>
          <cell r="AG194">
            <v>0.18730650154798761</v>
          </cell>
          <cell r="AH194">
            <v>0.25232198142414863</v>
          </cell>
          <cell r="AI194">
            <v>9.2879256965944276E-2</v>
          </cell>
          <cell r="AJ194">
            <v>4.3343653250773995E-2</v>
          </cell>
          <cell r="AK194">
            <v>0</v>
          </cell>
          <cell r="AN194">
            <v>37.199999999999996</v>
          </cell>
          <cell r="AO194">
            <v>64.599999999999994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X194">
            <v>0</v>
          </cell>
          <cell r="AY194">
            <v>4.0293000000000001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5.4279000000000002</v>
          </cell>
          <cell r="BH194">
            <v>0</v>
          </cell>
          <cell r="BI194">
            <v>0</v>
          </cell>
          <cell r="BJ194">
            <v>0</v>
          </cell>
          <cell r="BK194">
            <v>0</v>
          </cell>
          <cell r="BL194">
            <v>0</v>
          </cell>
          <cell r="BM194">
            <v>0</v>
          </cell>
          <cell r="BN194">
            <v>0</v>
          </cell>
          <cell r="BO194">
            <v>1.9980000000000002</v>
          </cell>
          <cell r="BP194">
            <v>0</v>
          </cell>
          <cell r="BQ194">
            <v>0</v>
          </cell>
          <cell r="BR194">
            <v>0</v>
          </cell>
          <cell r="BS194">
            <v>0</v>
          </cell>
          <cell r="BT194">
            <v>0</v>
          </cell>
          <cell r="BU194">
            <v>0</v>
          </cell>
          <cell r="BV194">
            <v>0</v>
          </cell>
          <cell r="BW194">
            <v>9.1242000000000001</v>
          </cell>
          <cell r="BX194">
            <v>0</v>
          </cell>
          <cell r="BY194">
            <v>0</v>
          </cell>
          <cell r="BZ194">
            <v>0</v>
          </cell>
          <cell r="CA194">
            <v>0</v>
          </cell>
          <cell r="CB194">
            <v>0</v>
          </cell>
          <cell r="CC194">
            <v>0</v>
          </cell>
          <cell r="CD194">
            <v>0</v>
          </cell>
          <cell r="CE194">
            <v>0.93240000000000001</v>
          </cell>
          <cell r="CF194">
            <v>0</v>
          </cell>
          <cell r="CG194">
            <v>0</v>
          </cell>
          <cell r="CH194">
            <v>0</v>
          </cell>
          <cell r="CI194">
            <v>0</v>
          </cell>
          <cell r="CJ194">
            <v>0</v>
          </cell>
          <cell r="CK194">
            <v>0</v>
          </cell>
          <cell r="CL194">
            <v>0</v>
          </cell>
          <cell r="CM194">
            <v>21.511800000000001</v>
          </cell>
          <cell r="CN194">
            <v>0</v>
          </cell>
          <cell r="CO194">
            <v>0</v>
          </cell>
          <cell r="CP194">
            <v>0</v>
          </cell>
          <cell r="CQ194">
            <v>0</v>
          </cell>
          <cell r="CR194">
            <v>0</v>
          </cell>
          <cell r="CS194">
            <v>0</v>
          </cell>
          <cell r="CV194">
            <v>0</v>
          </cell>
          <cell r="CW194">
            <v>21.511800000000001</v>
          </cell>
          <cell r="CX194">
            <v>0</v>
          </cell>
          <cell r="CY194">
            <v>0</v>
          </cell>
          <cell r="CZ194">
            <v>0</v>
          </cell>
          <cell r="DA194">
            <v>0</v>
          </cell>
          <cell r="DD194">
            <v>3.2500000000000001E-2</v>
          </cell>
          <cell r="DE194">
            <v>4.3480818425022362E-2</v>
          </cell>
          <cell r="DF194">
            <v>5.1403596897279767E-2</v>
          </cell>
          <cell r="DG194">
            <v>3.7359447002183042E-2</v>
          </cell>
          <cell r="DH194">
            <v>3.1271739930554508E-2</v>
          </cell>
          <cell r="DI194">
            <v>2.7488046269090145E-2</v>
          </cell>
          <cell r="DJ194">
            <v>2.6109836658996539E-2</v>
          </cell>
          <cell r="DK194">
            <v>2.5909759691511065E-2</v>
          </cell>
          <cell r="DL194">
            <v>2.7890043747624566E-2</v>
          </cell>
          <cell r="DM194">
            <v>3.29689556677197E-2</v>
          </cell>
          <cell r="DN194">
            <v>3.3977733484579185E-2</v>
          </cell>
          <cell r="DQ194">
            <v>1.2174922600619196E-3</v>
          </cell>
          <cell r="DR194">
            <v>8.4287925696594421E-3</v>
          </cell>
          <cell r="DS194">
            <v>7.4922600619195048E-3</v>
          </cell>
          <cell r="DT194">
            <v>9.365325077399381E-4</v>
          </cell>
          <cell r="DU194">
            <v>2.8095975232198143E-3</v>
          </cell>
          <cell r="DV194">
            <v>2.8095975232198143E-3</v>
          </cell>
          <cell r="DW194">
            <v>2.8095975232198143E-3</v>
          </cell>
          <cell r="DX194">
            <v>2.8095975232198143E-3</v>
          </cell>
          <cell r="DY194">
            <v>2.8095975232198143E-3</v>
          </cell>
          <cell r="DZ194">
            <v>2.8095975232198143E-3</v>
          </cell>
          <cell r="EA194">
            <v>2.8095975232198143E-3</v>
          </cell>
          <cell r="ED194">
            <v>3.7848297213622295E-3</v>
          </cell>
          <cell r="EE194">
            <v>-1.2616099071207432E-3</v>
          </cell>
          <cell r="EF194">
            <v>2.5232198142414865E-3</v>
          </cell>
          <cell r="EG194">
            <v>8.8312693498452007E-3</v>
          </cell>
          <cell r="EH194">
            <v>8.8312693498452007E-3</v>
          </cell>
          <cell r="EI194">
            <v>8.8312693498452007E-3</v>
          </cell>
          <cell r="EJ194">
            <v>6.3080495356037164E-3</v>
          </cell>
          <cell r="EK194">
            <v>6.3080495356037164E-3</v>
          </cell>
          <cell r="EL194">
            <v>6.3080495356037164E-3</v>
          </cell>
          <cell r="EM194">
            <v>6.3080495356037164E-3</v>
          </cell>
          <cell r="EN194">
            <v>6.3080495356037164E-3</v>
          </cell>
          <cell r="EQ194">
            <v>3.9808692264368915E-3</v>
          </cell>
          <cell r="ER194">
            <v>3.7151702786377711E-3</v>
          </cell>
          <cell r="ES194">
            <v>4.1795665634674932E-3</v>
          </cell>
          <cell r="ET194">
            <v>4.1795665634674923E-3</v>
          </cell>
          <cell r="EU194">
            <v>4.1795665634674923E-3</v>
          </cell>
          <cell r="EV194">
            <v>4.1795665634674923E-3</v>
          </cell>
          <cell r="EW194">
            <v>4.1795665634674923E-3</v>
          </cell>
          <cell r="EX194">
            <v>4.1795665634674923E-3</v>
          </cell>
          <cell r="EY194">
            <v>4.1795665634674923E-3</v>
          </cell>
          <cell r="EZ194">
            <v>4.1795665634674923E-3</v>
          </cell>
          <cell r="FA194">
            <v>4.1795665634674923E-3</v>
          </cell>
          <cell r="FD194">
            <v>6.5015479876160992E-4</v>
          </cell>
          <cell r="FE194">
            <v>-2.1671826625386997E-4</v>
          </cell>
          <cell r="FF194">
            <v>4.3343653250773993E-4</v>
          </cell>
          <cell r="FG194">
            <v>1.5170278637770896E-3</v>
          </cell>
          <cell r="FH194">
            <v>1.5170278637770896E-3</v>
          </cell>
          <cell r="FI194">
            <v>1.5170278637770896E-3</v>
          </cell>
          <cell r="FJ194">
            <v>1.0835913312693499E-3</v>
          </cell>
          <cell r="FK194">
            <v>1.0835913312693499E-3</v>
          </cell>
          <cell r="FL194">
            <v>1.0835913312693499E-3</v>
          </cell>
          <cell r="FM194">
            <v>1.0835913312693499E-3</v>
          </cell>
          <cell r="FN194">
            <v>1.0835913312693499E-3</v>
          </cell>
          <cell r="FQ194">
            <v>9.6333460066226513E-3</v>
          </cell>
          <cell r="FR194">
            <v>1.0665634674922599E-2</v>
          </cell>
          <cell r="FS194">
            <v>1.4628482972136226E-2</v>
          </cell>
          <cell r="FT194">
            <v>1.5464396284829721E-2</v>
          </cell>
          <cell r="FU194">
            <v>1.7337461300309595E-2</v>
          </cell>
          <cell r="FV194">
            <v>1.7337461300309595E-2</v>
          </cell>
          <cell r="FW194">
            <v>1.4380804953560374E-2</v>
          </cell>
          <cell r="FX194">
            <v>1.4380804953560374E-2</v>
          </cell>
          <cell r="FY194">
            <v>1.4380804953560374E-2</v>
          </cell>
          <cell r="FZ194">
            <v>1.4380804953560374E-2</v>
          </cell>
          <cell r="GA194">
            <v>1.4380804953560374E-2</v>
          </cell>
          <cell r="GD194">
            <v>2.5640003801986794E-2</v>
          </cell>
          <cell r="GE194">
            <v>3.3636263299992433E-2</v>
          </cell>
          <cell r="GF194">
            <v>4.03710627197367E-2</v>
          </cell>
          <cell r="GG194">
            <v>3.0790931786977047E-2</v>
          </cell>
          <cell r="GH194">
            <v>2.7091456341481034E-2</v>
          </cell>
          <cell r="GI194">
            <v>2.4442870778455979E-2</v>
          </cell>
          <cell r="GJ194">
            <v>2.2591127147365688E-2</v>
          </cell>
          <cell r="GK194">
            <v>2.2451073270125858E-2</v>
          </cell>
          <cell r="GL194">
            <v>2.3837272109405307E-2</v>
          </cell>
          <cell r="GM194">
            <v>2.7392510453471901E-2</v>
          </cell>
          <cell r="GN194">
            <v>2.8098654925273542E-2</v>
          </cell>
        </row>
        <row r="195">
          <cell r="B195" t="str">
            <v>Floreat Forum</v>
          </cell>
          <cell r="C195">
            <v>0</v>
          </cell>
          <cell r="D195">
            <v>1</v>
          </cell>
          <cell r="E195" t="str">
            <v>Sub Regional</v>
          </cell>
          <cell r="F195" t="str">
            <v>WA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5.3</v>
          </cell>
          <cell r="S195">
            <v>0</v>
          </cell>
          <cell r="T195">
            <v>2.9</v>
          </cell>
          <cell r="U195">
            <v>0</v>
          </cell>
          <cell r="V195">
            <v>0</v>
          </cell>
          <cell r="W195">
            <v>0</v>
          </cell>
          <cell r="X195">
            <v>2.4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7.8</v>
          </cell>
          <cell r="AD195">
            <v>0</v>
          </cell>
          <cell r="AE195">
            <v>0</v>
          </cell>
          <cell r="AF195">
            <v>0.59541984732824427</v>
          </cell>
          <cell r="AG195">
            <v>0</v>
          </cell>
          <cell r="AH195">
            <v>0</v>
          </cell>
          <cell r="AI195">
            <v>0.40458015267175573</v>
          </cell>
          <cell r="AJ195">
            <v>0</v>
          </cell>
          <cell r="AK195">
            <v>0</v>
          </cell>
          <cell r="AN195">
            <v>5.3</v>
          </cell>
          <cell r="AO195">
            <v>13.1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0</v>
          </cell>
          <cell r="BJ195">
            <v>0</v>
          </cell>
          <cell r="BK195">
            <v>0</v>
          </cell>
          <cell r="BL195">
            <v>0</v>
          </cell>
          <cell r="BM195">
            <v>0</v>
          </cell>
          <cell r="BN195">
            <v>0</v>
          </cell>
          <cell r="BO195">
            <v>0</v>
          </cell>
          <cell r="BP195">
            <v>0</v>
          </cell>
          <cell r="BQ195">
            <v>0</v>
          </cell>
          <cell r="BR195">
            <v>0</v>
          </cell>
          <cell r="BS195">
            <v>0</v>
          </cell>
          <cell r="BT195">
            <v>0</v>
          </cell>
          <cell r="BU195">
            <v>5.3</v>
          </cell>
          <cell r="BV195">
            <v>0</v>
          </cell>
          <cell r="BW195">
            <v>0</v>
          </cell>
          <cell r="BX195">
            <v>0</v>
          </cell>
          <cell r="BY195">
            <v>0</v>
          </cell>
          <cell r="BZ195">
            <v>0</v>
          </cell>
          <cell r="CA195">
            <v>0</v>
          </cell>
          <cell r="CB195">
            <v>0</v>
          </cell>
          <cell r="CC195">
            <v>7.8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H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  <cell r="CM195">
            <v>0</v>
          </cell>
          <cell r="CN195">
            <v>0</v>
          </cell>
          <cell r="CO195">
            <v>0</v>
          </cell>
          <cell r="CP195">
            <v>0</v>
          </cell>
          <cell r="CQ195">
            <v>0</v>
          </cell>
          <cell r="CR195">
            <v>0</v>
          </cell>
          <cell r="CS195">
            <v>13.1</v>
          </cell>
          <cell r="CV195">
            <v>0</v>
          </cell>
          <cell r="CW195">
            <v>0</v>
          </cell>
          <cell r="CX195">
            <v>0</v>
          </cell>
          <cell r="CY195">
            <v>13.1</v>
          </cell>
          <cell r="CZ195">
            <v>0</v>
          </cell>
          <cell r="DA195">
            <v>0</v>
          </cell>
          <cell r="DD195">
            <v>3.2500000000000001E-2</v>
          </cell>
          <cell r="DE195">
            <v>3.3480818425022367E-2</v>
          </cell>
          <cell r="DF195">
            <v>3.6403596897279768E-2</v>
          </cell>
          <cell r="DG195">
            <v>3.2359447002183045E-2</v>
          </cell>
          <cell r="DH195">
            <v>3.1271739930554508E-2</v>
          </cell>
          <cell r="DI195">
            <v>2.7488046269090145E-2</v>
          </cell>
          <cell r="DJ195">
            <v>2.6109836658996539E-2</v>
          </cell>
          <cell r="DK195">
            <v>2.5909759691511065E-2</v>
          </cell>
          <cell r="DL195">
            <v>2.7890043747624566E-2</v>
          </cell>
          <cell r="DM195">
            <v>3.29689556677197E-2</v>
          </cell>
          <cell r="DN195">
            <v>3.3977733484579185E-2</v>
          </cell>
          <cell r="DQ195">
            <v>0</v>
          </cell>
          <cell r="DR195">
            <v>0</v>
          </cell>
          <cell r="DS195">
            <v>0</v>
          </cell>
          <cell r="DT195">
            <v>0</v>
          </cell>
          <cell r="DU195">
            <v>0</v>
          </cell>
          <cell r="DV195">
            <v>0</v>
          </cell>
          <cell r="DW195">
            <v>0</v>
          </cell>
          <cell r="DX195">
            <v>0</v>
          </cell>
          <cell r="DY195">
            <v>0</v>
          </cell>
          <cell r="DZ195">
            <v>0</v>
          </cell>
          <cell r="EA195">
            <v>0</v>
          </cell>
          <cell r="ED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J195">
            <v>0</v>
          </cell>
          <cell r="EK195">
            <v>0</v>
          </cell>
          <cell r="EL195">
            <v>0</v>
          </cell>
          <cell r="EM195">
            <v>0</v>
          </cell>
          <cell r="EN195">
            <v>0</v>
          </cell>
          <cell r="EQ195">
            <v>1.7340585314853219E-2</v>
          </cell>
          <cell r="ER195">
            <v>1.2137404580152673E-2</v>
          </cell>
          <cell r="ES195">
            <v>1.2137404580152673E-2</v>
          </cell>
          <cell r="ET195">
            <v>1.618320610687023E-2</v>
          </cell>
          <cell r="EU195">
            <v>1.8206106870229007E-2</v>
          </cell>
          <cell r="EV195">
            <v>1.8206106870229007E-2</v>
          </cell>
          <cell r="EW195">
            <v>1.8206106870229007E-2</v>
          </cell>
          <cell r="EX195">
            <v>1.8206106870229007E-2</v>
          </cell>
          <cell r="EY195">
            <v>1.8206106870229007E-2</v>
          </cell>
          <cell r="EZ195">
            <v>1.8206106870229007E-2</v>
          </cell>
          <cell r="FA195">
            <v>1.8206106870229007E-2</v>
          </cell>
          <cell r="FD195">
            <v>0</v>
          </cell>
          <cell r="FE195">
            <v>0</v>
          </cell>
          <cell r="FF195">
            <v>0</v>
          </cell>
          <cell r="FG195">
            <v>0</v>
          </cell>
          <cell r="FH195">
            <v>0</v>
          </cell>
          <cell r="FI195">
            <v>0</v>
          </cell>
          <cell r="FJ195">
            <v>0</v>
          </cell>
          <cell r="FK195">
            <v>0</v>
          </cell>
          <cell r="FL195">
            <v>0</v>
          </cell>
          <cell r="FM195">
            <v>0</v>
          </cell>
          <cell r="FN195">
            <v>0</v>
          </cell>
          <cell r="FQ195">
            <v>1.7340585314853219E-2</v>
          </cell>
          <cell r="FR195">
            <v>1.2137404580152673E-2</v>
          </cell>
          <cell r="FS195">
            <v>1.2137404580152673E-2</v>
          </cell>
          <cell r="FT195">
            <v>1.618320610687023E-2</v>
          </cell>
          <cell r="FU195">
            <v>1.8206106870229007E-2</v>
          </cell>
          <cell r="FV195">
            <v>1.8206106870229007E-2</v>
          </cell>
          <cell r="FW195">
            <v>1.8206106870229007E-2</v>
          </cell>
          <cell r="FX195">
            <v>1.8206106870229007E-2</v>
          </cell>
          <cell r="FY195">
            <v>1.8206106870229007E-2</v>
          </cell>
          <cell r="FZ195">
            <v>1.8206106870229007E-2</v>
          </cell>
          <cell r="GA195">
            <v>1.8206106870229007E-2</v>
          </cell>
          <cell r="GD195">
            <v>2.6436234125941288E-2</v>
          </cell>
          <cell r="GE195">
            <v>2.4943452887074492E-2</v>
          </cell>
          <cell r="GF195">
            <v>2.669711997042893E-2</v>
          </cell>
          <cell r="GG195">
            <v>2.5888950644057919E-2</v>
          </cell>
          <cell r="GH195">
            <v>2.6045486706424308E-2</v>
          </cell>
          <cell r="GI195">
            <v>2.3775270509545688E-2</v>
          </cell>
          <cell r="GJ195">
            <v>2.2948344743489526E-2</v>
          </cell>
          <cell r="GK195">
            <v>2.2828298562998242E-2</v>
          </cell>
          <cell r="GL195">
            <v>2.4016468996666342E-2</v>
          </cell>
          <cell r="GM195">
            <v>2.7063816148723423E-2</v>
          </cell>
          <cell r="GN195">
            <v>2.7669082838839114E-2</v>
          </cell>
        </row>
        <row r="196">
          <cell r="B196" t="str">
            <v>Forestway</v>
          </cell>
          <cell r="C196">
            <v>0</v>
          </cell>
          <cell r="D196">
            <v>1</v>
          </cell>
          <cell r="E196" t="str">
            <v>Neighbourhood</v>
          </cell>
          <cell r="F196" t="str">
            <v>NSW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3.8</v>
          </cell>
          <cell r="S196">
            <v>0</v>
          </cell>
          <cell r="T196">
            <v>2.6</v>
          </cell>
          <cell r="U196">
            <v>0</v>
          </cell>
          <cell r="V196">
            <v>1.2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5.6</v>
          </cell>
          <cell r="AD196">
            <v>0</v>
          </cell>
          <cell r="AE196">
            <v>0</v>
          </cell>
          <cell r="AF196">
            <v>0.59574468085106391</v>
          </cell>
          <cell r="AG196">
            <v>0</v>
          </cell>
          <cell r="AH196">
            <v>0</v>
          </cell>
          <cell r="AI196">
            <v>0.4042553191489362</v>
          </cell>
          <cell r="AJ196">
            <v>0</v>
          </cell>
          <cell r="AK196">
            <v>0</v>
          </cell>
          <cell r="AN196">
            <v>3.8</v>
          </cell>
          <cell r="AO196">
            <v>9.3999999999999986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0</v>
          </cell>
          <cell r="BJ196">
            <v>0</v>
          </cell>
          <cell r="BK196">
            <v>0</v>
          </cell>
          <cell r="BL196">
            <v>0</v>
          </cell>
          <cell r="BM196">
            <v>0</v>
          </cell>
          <cell r="BN196">
            <v>0</v>
          </cell>
          <cell r="BO196">
            <v>3.8</v>
          </cell>
          <cell r="BP196">
            <v>0</v>
          </cell>
          <cell r="BQ196">
            <v>0</v>
          </cell>
          <cell r="BR196">
            <v>0</v>
          </cell>
          <cell r="BS196">
            <v>0</v>
          </cell>
          <cell r="BT196">
            <v>0</v>
          </cell>
          <cell r="BU196">
            <v>0</v>
          </cell>
          <cell r="BV196">
            <v>0</v>
          </cell>
          <cell r="BW196">
            <v>5.6</v>
          </cell>
          <cell r="BX196">
            <v>0</v>
          </cell>
          <cell r="BY196">
            <v>0</v>
          </cell>
          <cell r="BZ196">
            <v>0</v>
          </cell>
          <cell r="CA196">
            <v>0</v>
          </cell>
          <cell r="CB196">
            <v>0</v>
          </cell>
          <cell r="CC196">
            <v>0</v>
          </cell>
          <cell r="CD196">
            <v>0</v>
          </cell>
          <cell r="CE196">
            <v>0</v>
          </cell>
          <cell r="CF196">
            <v>0</v>
          </cell>
          <cell r="CG196">
            <v>0</v>
          </cell>
          <cell r="CH196">
            <v>0</v>
          </cell>
          <cell r="CI196">
            <v>0</v>
          </cell>
          <cell r="CJ196">
            <v>0</v>
          </cell>
          <cell r="CK196">
            <v>0</v>
          </cell>
          <cell r="CL196">
            <v>0</v>
          </cell>
          <cell r="CM196">
            <v>9.3999999999999986</v>
          </cell>
          <cell r="CN196">
            <v>0</v>
          </cell>
          <cell r="CO196">
            <v>0</v>
          </cell>
          <cell r="CP196">
            <v>0</v>
          </cell>
          <cell r="CQ196">
            <v>0</v>
          </cell>
          <cell r="CR196">
            <v>0</v>
          </cell>
          <cell r="CS196">
            <v>0</v>
          </cell>
          <cell r="CV196">
            <v>0</v>
          </cell>
          <cell r="CW196">
            <v>0</v>
          </cell>
          <cell r="CX196">
            <v>0</v>
          </cell>
          <cell r="CY196">
            <v>0</v>
          </cell>
          <cell r="CZ196">
            <v>9.3999999999999986</v>
          </cell>
          <cell r="DA196">
            <v>0</v>
          </cell>
          <cell r="DD196">
            <v>3.2500000000000001E-2</v>
          </cell>
          <cell r="DE196">
            <v>4.3480818425022362E-2</v>
          </cell>
          <cell r="DF196">
            <v>5.1403596897279767E-2</v>
          </cell>
          <cell r="DG196">
            <v>3.7359447002183042E-2</v>
          </cell>
          <cell r="DH196">
            <v>3.1271739930554508E-2</v>
          </cell>
          <cell r="DI196">
            <v>2.7488046269090145E-2</v>
          </cell>
          <cell r="DJ196">
            <v>2.6109836658996539E-2</v>
          </cell>
          <cell r="DK196">
            <v>2.5909759691511065E-2</v>
          </cell>
          <cell r="DL196">
            <v>2.7890043747624566E-2</v>
          </cell>
          <cell r="DM196">
            <v>3.29689556677197E-2</v>
          </cell>
          <cell r="DN196">
            <v>3.3977733484579185E-2</v>
          </cell>
          <cell r="DQ196">
            <v>0</v>
          </cell>
          <cell r="DR196">
            <v>0</v>
          </cell>
          <cell r="DS196">
            <v>0</v>
          </cell>
          <cell r="DT196">
            <v>0</v>
          </cell>
          <cell r="DU196">
            <v>0</v>
          </cell>
          <cell r="DV196">
            <v>0</v>
          </cell>
          <cell r="DW196">
            <v>0</v>
          </cell>
          <cell r="DX196">
            <v>0</v>
          </cell>
          <cell r="DY196">
            <v>0</v>
          </cell>
          <cell r="DZ196">
            <v>0</v>
          </cell>
          <cell r="EA196">
            <v>0</v>
          </cell>
          <cell r="ED196">
            <v>0</v>
          </cell>
          <cell r="EE196">
            <v>0</v>
          </cell>
          <cell r="EF196">
            <v>0</v>
          </cell>
          <cell r="EG196">
            <v>0</v>
          </cell>
          <cell r="EH196">
            <v>0</v>
          </cell>
          <cell r="EI196">
            <v>0</v>
          </cell>
          <cell r="EJ196">
            <v>0</v>
          </cell>
          <cell r="EK196">
            <v>0</v>
          </cell>
          <cell r="EL196">
            <v>0</v>
          </cell>
          <cell r="EM196">
            <v>0</v>
          </cell>
          <cell r="EN196">
            <v>0</v>
          </cell>
          <cell r="EQ196">
            <v>1.7326662725278868E-2</v>
          </cell>
          <cell r="ER196">
            <v>1.6170212765957447E-2</v>
          </cell>
          <cell r="ES196">
            <v>1.8191489361702132E-2</v>
          </cell>
          <cell r="ET196">
            <v>1.8191489361702128E-2</v>
          </cell>
          <cell r="EU196">
            <v>1.8191489361702128E-2</v>
          </cell>
          <cell r="EV196">
            <v>1.8191489361702128E-2</v>
          </cell>
          <cell r="EW196">
            <v>1.8191489361702128E-2</v>
          </cell>
          <cell r="EX196">
            <v>1.8191489361702128E-2</v>
          </cell>
          <cell r="EY196">
            <v>1.8191489361702128E-2</v>
          </cell>
          <cell r="EZ196">
            <v>1.8191489361702128E-2</v>
          </cell>
          <cell r="FA196">
            <v>1.8191489361702128E-2</v>
          </cell>
          <cell r="FD196">
            <v>0</v>
          </cell>
          <cell r="FE196">
            <v>0</v>
          </cell>
          <cell r="FF196">
            <v>0</v>
          </cell>
          <cell r="FG196">
            <v>0</v>
          </cell>
          <cell r="FH196">
            <v>0</v>
          </cell>
          <cell r="FI196">
            <v>0</v>
          </cell>
          <cell r="FJ196">
            <v>0</v>
          </cell>
          <cell r="FK196">
            <v>0</v>
          </cell>
          <cell r="FL196">
            <v>0</v>
          </cell>
          <cell r="FM196">
            <v>0</v>
          </cell>
          <cell r="FN196">
            <v>0</v>
          </cell>
          <cell r="FQ196">
            <v>1.7326662725278868E-2</v>
          </cell>
          <cell r="FR196">
            <v>1.6170212765957447E-2</v>
          </cell>
          <cell r="FS196">
            <v>1.8191489361702132E-2</v>
          </cell>
          <cell r="FT196">
            <v>1.8191489361702128E-2</v>
          </cell>
          <cell r="FU196">
            <v>1.8191489361702128E-2</v>
          </cell>
          <cell r="FV196">
            <v>1.8191489361702128E-2</v>
          </cell>
          <cell r="FW196">
            <v>1.8191489361702128E-2</v>
          </cell>
          <cell r="FX196">
            <v>1.8191489361702128E-2</v>
          </cell>
          <cell r="FY196">
            <v>1.8191489361702128E-2</v>
          </cell>
          <cell r="FZ196">
            <v>1.8191489361702128E-2</v>
          </cell>
          <cell r="GA196">
            <v>1.8191489361702128E-2</v>
          </cell>
          <cell r="GD196">
            <v>2.0361330180223097E-2</v>
          </cell>
          <cell r="GE196">
            <v>2.1632333897770431E-2</v>
          </cell>
          <cell r="GF196">
            <v>2.4833910868817657E-2</v>
          </cell>
          <cell r="GG196">
            <v>2.2025080889798314E-2</v>
          </cell>
          <cell r="GH196">
            <v>2.0807539475472606E-2</v>
          </cell>
          <cell r="GI196">
            <v>2.0050800743179734E-2</v>
          </cell>
          <cell r="GJ196">
            <v>1.9775158821161012E-2</v>
          </cell>
          <cell r="GK196">
            <v>1.9735143427663918E-2</v>
          </cell>
          <cell r="GL196">
            <v>2.0131200238886617E-2</v>
          </cell>
          <cell r="GM196">
            <v>2.1146982622905645E-2</v>
          </cell>
          <cell r="GN196">
            <v>2.1348738186277541E-2</v>
          </cell>
        </row>
        <row r="197">
          <cell r="B197" t="str">
            <v>Gateway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 t="e">
            <v>#DIV/0!</v>
          </cell>
          <cell r="AG197" t="e">
            <v>#DIV/0!</v>
          </cell>
          <cell r="AH197" t="e">
            <v>#DIV/0!</v>
          </cell>
          <cell r="AI197" t="e">
            <v>#DIV/0!</v>
          </cell>
          <cell r="AJ197" t="e">
            <v>#DIV/0!</v>
          </cell>
          <cell r="AK197" t="e">
            <v>#DIV/0!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0</v>
          </cell>
          <cell r="BJ197">
            <v>0</v>
          </cell>
          <cell r="BK197">
            <v>0</v>
          </cell>
          <cell r="BL197">
            <v>0</v>
          </cell>
          <cell r="BM197">
            <v>0</v>
          </cell>
          <cell r="BN197">
            <v>0</v>
          </cell>
          <cell r="BO197">
            <v>0</v>
          </cell>
          <cell r="BP197">
            <v>0</v>
          </cell>
          <cell r="BQ197">
            <v>0</v>
          </cell>
          <cell r="BR197">
            <v>0</v>
          </cell>
          <cell r="BS197">
            <v>0</v>
          </cell>
          <cell r="BT197">
            <v>0</v>
          </cell>
          <cell r="BU197">
            <v>0</v>
          </cell>
          <cell r="BV197">
            <v>0</v>
          </cell>
          <cell r="BW197">
            <v>0</v>
          </cell>
          <cell r="BX197">
            <v>0</v>
          </cell>
          <cell r="BY197">
            <v>0</v>
          </cell>
          <cell r="BZ197">
            <v>0</v>
          </cell>
          <cell r="CA197">
            <v>0</v>
          </cell>
          <cell r="CB197">
            <v>0</v>
          </cell>
          <cell r="CC197">
            <v>0</v>
          </cell>
          <cell r="CD197">
            <v>0</v>
          </cell>
          <cell r="CE197">
            <v>0</v>
          </cell>
          <cell r="CF197">
            <v>0</v>
          </cell>
          <cell r="CG197">
            <v>0</v>
          </cell>
          <cell r="CH197">
            <v>0</v>
          </cell>
          <cell r="CI197">
            <v>0</v>
          </cell>
          <cell r="CJ197">
            <v>0</v>
          </cell>
          <cell r="CK197">
            <v>0</v>
          </cell>
          <cell r="CL197">
            <v>0</v>
          </cell>
          <cell r="CM197">
            <v>0</v>
          </cell>
          <cell r="CN197">
            <v>0</v>
          </cell>
          <cell r="CO197">
            <v>0</v>
          </cell>
          <cell r="CP197">
            <v>0</v>
          </cell>
          <cell r="CQ197">
            <v>0</v>
          </cell>
          <cell r="CR197">
            <v>0</v>
          </cell>
          <cell r="CS197">
            <v>0</v>
          </cell>
          <cell r="CV197">
            <v>0</v>
          </cell>
          <cell r="CW197">
            <v>0</v>
          </cell>
          <cell r="CX197">
            <v>0</v>
          </cell>
          <cell r="CY197">
            <v>0</v>
          </cell>
          <cell r="CZ197">
            <v>0</v>
          </cell>
          <cell r="DA197">
            <v>0</v>
          </cell>
          <cell r="DD197">
            <v>0</v>
          </cell>
          <cell r="DE197">
            <v>0</v>
          </cell>
          <cell r="DF197">
            <v>0</v>
          </cell>
          <cell r="DG197">
            <v>0</v>
          </cell>
          <cell r="DH197">
            <v>0</v>
          </cell>
          <cell r="DI197">
            <v>0</v>
          </cell>
          <cell r="DJ197">
            <v>0</v>
          </cell>
          <cell r="DK197">
            <v>0</v>
          </cell>
          <cell r="DL197">
            <v>0</v>
          </cell>
          <cell r="DM197">
            <v>0</v>
          </cell>
          <cell r="DN197">
            <v>0</v>
          </cell>
          <cell r="DQ197">
            <v>0</v>
          </cell>
          <cell r="DR197">
            <v>0</v>
          </cell>
          <cell r="DS197">
            <v>0</v>
          </cell>
          <cell r="DT197">
            <v>0</v>
          </cell>
          <cell r="DU197">
            <v>0</v>
          </cell>
          <cell r="DV197">
            <v>0</v>
          </cell>
          <cell r="DW197">
            <v>0</v>
          </cell>
          <cell r="DX197">
            <v>0</v>
          </cell>
          <cell r="DY197">
            <v>0</v>
          </cell>
          <cell r="DZ197">
            <v>0</v>
          </cell>
          <cell r="EA197">
            <v>0</v>
          </cell>
          <cell r="ED197">
            <v>0</v>
          </cell>
          <cell r="EE197">
            <v>0</v>
          </cell>
          <cell r="EF197">
            <v>0</v>
          </cell>
          <cell r="EG197">
            <v>0</v>
          </cell>
          <cell r="EH197">
            <v>0</v>
          </cell>
          <cell r="EI197">
            <v>0</v>
          </cell>
          <cell r="EJ197">
            <v>0</v>
          </cell>
          <cell r="EK197">
            <v>0</v>
          </cell>
          <cell r="EL197">
            <v>0</v>
          </cell>
          <cell r="EM197">
            <v>0</v>
          </cell>
          <cell r="EN197">
            <v>0</v>
          </cell>
          <cell r="EQ197">
            <v>0</v>
          </cell>
          <cell r="ER197">
            <v>0</v>
          </cell>
          <cell r="ES197">
            <v>0</v>
          </cell>
          <cell r="ET197">
            <v>0</v>
          </cell>
          <cell r="EU197">
            <v>0</v>
          </cell>
          <cell r="EV197">
            <v>0</v>
          </cell>
          <cell r="EW197">
            <v>0</v>
          </cell>
          <cell r="EX197">
            <v>0</v>
          </cell>
          <cell r="EY197">
            <v>0</v>
          </cell>
          <cell r="EZ197">
            <v>0</v>
          </cell>
          <cell r="FA197">
            <v>0</v>
          </cell>
          <cell r="FD197">
            <v>0</v>
          </cell>
          <cell r="FE197">
            <v>0</v>
          </cell>
          <cell r="FF197">
            <v>0</v>
          </cell>
          <cell r="FG197">
            <v>0</v>
          </cell>
          <cell r="FH197">
            <v>0</v>
          </cell>
          <cell r="FI197">
            <v>0</v>
          </cell>
          <cell r="FJ197">
            <v>0</v>
          </cell>
          <cell r="FK197">
            <v>0</v>
          </cell>
          <cell r="FL197">
            <v>0</v>
          </cell>
          <cell r="FM197">
            <v>0</v>
          </cell>
          <cell r="FN197">
            <v>0</v>
          </cell>
          <cell r="FQ197">
            <v>0</v>
          </cell>
          <cell r="FR197">
            <v>0</v>
          </cell>
          <cell r="FS197">
            <v>0</v>
          </cell>
          <cell r="FT197">
            <v>0</v>
          </cell>
          <cell r="FU197">
            <v>0</v>
          </cell>
          <cell r="FV197">
            <v>0</v>
          </cell>
          <cell r="FW197">
            <v>0</v>
          </cell>
          <cell r="FX197">
            <v>0</v>
          </cell>
          <cell r="FY197">
            <v>0</v>
          </cell>
          <cell r="FZ197">
            <v>0</v>
          </cell>
          <cell r="GA197">
            <v>0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</row>
        <row r="198">
          <cell r="B198" t="str">
            <v>Melbourne Cent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 t="e">
            <v>#DIV/0!</v>
          </cell>
          <cell r="AG198" t="e">
            <v>#DIV/0!</v>
          </cell>
          <cell r="AH198" t="e">
            <v>#DIV/0!</v>
          </cell>
          <cell r="AI198" t="e">
            <v>#DIV/0!</v>
          </cell>
          <cell r="AJ198" t="e">
            <v>#DIV/0!</v>
          </cell>
          <cell r="AK198" t="e">
            <v>#DIV/0!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  <cell r="BP198">
            <v>0</v>
          </cell>
          <cell r="BQ198">
            <v>0</v>
          </cell>
          <cell r="BR198">
            <v>0</v>
          </cell>
          <cell r="BS198">
            <v>0</v>
          </cell>
          <cell r="BT198">
            <v>0</v>
          </cell>
          <cell r="BU198">
            <v>0</v>
          </cell>
          <cell r="BV198">
            <v>0</v>
          </cell>
          <cell r="BW198">
            <v>0</v>
          </cell>
          <cell r="BX198">
            <v>0</v>
          </cell>
          <cell r="BY198">
            <v>0</v>
          </cell>
          <cell r="BZ198">
            <v>0</v>
          </cell>
          <cell r="CA198">
            <v>0</v>
          </cell>
          <cell r="CB198">
            <v>0</v>
          </cell>
          <cell r="CC198">
            <v>0</v>
          </cell>
          <cell r="CD198">
            <v>0</v>
          </cell>
          <cell r="CE198">
            <v>0</v>
          </cell>
          <cell r="CF198">
            <v>0</v>
          </cell>
          <cell r="CG198">
            <v>0</v>
          </cell>
          <cell r="CH198">
            <v>0</v>
          </cell>
          <cell r="CI198">
            <v>0</v>
          </cell>
          <cell r="CJ198">
            <v>0</v>
          </cell>
          <cell r="CK198">
            <v>0</v>
          </cell>
          <cell r="CL198">
            <v>0</v>
          </cell>
          <cell r="CM198">
            <v>0</v>
          </cell>
          <cell r="CN198">
            <v>0</v>
          </cell>
          <cell r="CO198">
            <v>0</v>
          </cell>
          <cell r="CP198">
            <v>0</v>
          </cell>
          <cell r="CQ198">
            <v>0</v>
          </cell>
          <cell r="CR198">
            <v>0</v>
          </cell>
          <cell r="CS198">
            <v>0</v>
          </cell>
          <cell r="CV198">
            <v>0</v>
          </cell>
          <cell r="CW198">
            <v>0</v>
          </cell>
          <cell r="CX198">
            <v>0</v>
          </cell>
          <cell r="CY198">
            <v>0</v>
          </cell>
          <cell r="CZ198">
            <v>0</v>
          </cell>
          <cell r="DA198">
            <v>0</v>
          </cell>
          <cell r="DD198">
            <v>0</v>
          </cell>
          <cell r="DE198">
            <v>0</v>
          </cell>
          <cell r="DF198">
            <v>0</v>
          </cell>
          <cell r="DG198">
            <v>0</v>
          </cell>
          <cell r="DH198">
            <v>0</v>
          </cell>
          <cell r="DI198">
            <v>0</v>
          </cell>
          <cell r="DJ198">
            <v>0</v>
          </cell>
          <cell r="DK198">
            <v>0</v>
          </cell>
          <cell r="DL198">
            <v>0</v>
          </cell>
          <cell r="DM198">
            <v>0</v>
          </cell>
          <cell r="DN198">
            <v>0</v>
          </cell>
          <cell r="DQ198">
            <v>0</v>
          </cell>
          <cell r="DR198">
            <v>0</v>
          </cell>
          <cell r="DS198">
            <v>0</v>
          </cell>
          <cell r="DT198">
            <v>0</v>
          </cell>
          <cell r="DU198">
            <v>0</v>
          </cell>
          <cell r="DV198">
            <v>0</v>
          </cell>
          <cell r="DW198">
            <v>0</v>
          </cell>
          <cell r="DX198">
            <v>0</v>
          </cell>
          <cell r="DY198">
            <v>0</v>
          </cell>
          <cell r="DZ198">
            <v>0</v>
          </cell>
          <cell r="EA198">
            <v>0</v>
          </cell>
          <cell r="ED198">
            <v>0</v>
          </cell>
          <cell r="EE198">
            <v>0</v>
          </cell>
          <cell r="EF198">
            <v>0</v>
          </cell>
          <cell r="EG198">
            <v>0</v>
          </cell>
          <cell r="EH198">
            <v>0</v>
          </cell>
          <cell r="EI198">
            <v>0</v>
          </cell>
          <cell r="EJ198">
            <v>0</v>
          </cell>
          <cell r="EK198">
            <v>0</v>
          </cell>
          <cell r="EL198">
            <v>0</v>
          </cell>
          <cell r="EM198">
            <v>0</v>
          </cell>
          <cell r="EN198">
            <v>0</v>
          </cell>
          <cell r="EQ198">
            <v>0</v>
          </cell>
          <cell r="ER198">
            <v>0</v>
          </cell>
          <cell r="ES198">
            <v>0</v>
          </cell>
          <cell r="ET198">
            <v>0</v>
          </cell>
          <cell r="EU198">
            <v>0</v>
          </cell>
          <cell r="EV198">
            <v>0</v>
          </cell>
          <cell r="EW198">
            <v>0</v>
          </cell>
          <cell r="EX198">
            <v>0</v>
          </cell>
          <cell r="EY198">
            <v>0</v>
          </cell>
          <cell r="EZ198">
            <v>0</v>
          </cell>
          <cell r="FA198">
            <v>0</v>
          </cell>
          <cell r="FD198">
            <v>0</v>
          </cell>
          <cell r="FE198">
            <v>0</v>
          </cell>
          <cell r="FF198">
            <v>0</v>
          </cell>
          <cell r="FG198">
            <v>0</v>
          </cell>
          <cell r="FH198">
            <v>0</v>
          </cell>
          <cell r="FI198">
            <v>0</v>
          </cell>
          <cell r="FJ198">
            <v>0</v>
          </cell>
          <cell r="FK198">
            <v>0</v>
          </cell>
          <cell r="FL198">
            <v>0</v>
          </cell>
          <cell r="FM198">
            <v>0</v>
          </cell>
          <cell r="FN198">
            <v>0</v>
          </cell>
          <cell r="FQ198">
            <v>0</v>
          </cell>
          <cell r="FR198">
            <v>0</v>
          </cell>
          <cell r="FS198">
            <v>0</v>
          </cell>
          <cell r="FT198">
            <v>0</v>
          </cell>
          <cell r="FU198">
            <v>0</v>
          </cell>
          <cell r="FV198">
            <v>0</v>
          </cell>
          <cell r="FW198">
            <v>0</v>
          </cell>
          <cell r="FX198">
            <v>0</v>
          </cell>
          <cell r="FY198">
            <v>0</v>
          </cell>
          <cell r="FZ198">
            <v>0</v>
          </cell>
          <cell r="GA198">
            <v>0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</row>
        <row r="199">
          <cell r="B199" t="str">
            <v>Parkmore</v>
          </cell>
          <cell r="C199">
            <v>0</v>
          </cell>
          <cell r="D199">
            <v>1</v>
          </cell>
          <cell r="E199" t="str">
            <v>Regional</v>
          </cell>
          <cell r="F199" t="str">
            <v>VIC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15.100000000000001</v>
          </cell>
          <cell r="M199">
            <v>8.4</v>
          </cell>
          <cell r="N199">
            <v>0</v>
          </cell>
          <cell r="O199">
            <v>6.7</v>
          </cell>
          <cell r="P199">
            <v>0</v>
          </cell>
          <cell r="Q199">
            <v>0</v>
          </cell>
          <cell r="R199">
            <v>5.9</v>
          </cell>
          <cell r="S199">
            <v>4</v>
          </cell>
          <cell r="T199">
            <v>0</v>
          </cell>
          <cell r="U199">
            <v>0</v>
          </cell>
          <cell r="V199">
            <v>1.9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14</v>
          </cell>
          <cell r="AD199">
            <v>0</v>
          </cell>
          <cell r="AE199">
            <v>0</v>
          </cell>
          <cell r="AF199">
            <v>0.4</v>
          </cell>
          <cell r="AG199">
            <v>0</v>
          </cell>
          <cell r="AH199">
            <v>0.43142857142857149</v>
          </cell>
          <cell r="AI199">
            <v>0.16857142857142859</v>
          </cell>
          <cell r="AJ199">
            <v>0</v>
          </cell>
          <cell r="AK199">
            <v>0</v>
          </cell>
          <cell r="AN199">
            <v>21</v>
          </cell>
          <cell r="AO199">
            <v>35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15.100000000000001</v>
          </cell>
          <cell r="BI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  <cell r="BP199">
            <v>5.9</v>
          </cell>
          <cell r="BQ199">
            <v>0</v>
          </cell>
          <cell r="BR199">
            <v>0</v>
          </cell>
          <cell r="BS199">
            <v>0</v>
          </cell>
          <cell r="BT199">
            <v>0</v>
          </cell>
          <cell r="BU199">
            <v>0</v>
          </cell>
          <cell r="BV199">
            <v>0</v>
          </cell>
          <cell r="BW199">
            <v>0</v>
          </cell>
          <cell r="BX199">
            <v>14</v>
          </cell>
          <cell r="BY199">
            <v>0</v>
          </cell>
          <cell r="BZ199">
            <v>0</v>
          </cell>
          <cell r="CA199">
            <v>0</v>
          </cell>
          <cell r="CB199">
            <v>0</v>
          </cell>
          <cell r="CC199">
            <v>0</v>
          </cell>
          <cell r="CD199">
            <v>0</v>
          </cell>
          <cell r="CE199">
            <v>0</v>
          </cell>
          <cell r="CF199">
            <v>0</v>
          </cell>
          <cell r="CG199">
            <v>0</v>
          </cell>
          <cell r="CH199">
            <v>0</v>
          </cell>
          <cell r="CI199">
            <v>0</v>
          </cell>
          <cell r="CJ199">
            <v>0</v>
          </cell>
          <cell r="CK199">
            <v>0</v>
          </cell>
          <cell r="CL199">
            <v>0</v>
          </cell>
          <cell r="CM199">
            <v>0</v>
          </cell>
          <cell r="CN199">
            <v>35</v>
          </cell>
          <cell r="CO199">
            <v>0</v>
          </cell>
          <cell r="CP199">
            <v>0</v>
          </cell>
          <cell r="CQ199">
            <v>0</v>
          </cell>
          <cell r="CR199">
            <v>0</v>
          </cell>
          <cell r="CS199">
            <v>0</v>
          </cell>
          <cell r="CV199">
            <v>0</v>
          </cell>
          <cell r="CW199">
            <v>0</v>
          </cell>
          <cell r="CX199">
            <v>35</v>
          </cell>
          <cell r="CY199">
            <v>0</v>
          </cell>
          <cell r="CZ199">
            <v>0</v>
          </cell>
          <cell r="DA199">
            <v>0</v>
          </cell>
          <cell r="DD199">
            <v>3.5000000000000003E-2</v>
          </cell>
          <cell r="DE199">
            <v>3.8480818425022364E-2</v>
          </cell>
          <cell r="DF199">
            <v>4.1403596897279765E-2</v>
          </cell>
          <cell r="DG199">
            <v>3.2359447002183045E-2</v>
          </cell>
          <cell r="DH199">
            <v>2.6271739930554507E-2</v>
          </cell>
          <cell r="DI199">
            <v>2.2488046269090144E-2</v>
          </cell>
          <cell r="DJ199">
            <v>2.1109836658996538E-2</v>
          </cell>
          <cell r="DK199">
            <v>2.0909759691511064E-2</v>
          </cell>
          <cell r="DL199">
            <v>2.2890043747624565E-2</v>
          </cell>
          <cell r="DM199">
            <v>2.7968955667719699E-2</v>
          </cell>
          <cell r="DN199">
            <v>2.8977733484579184E-2</v>
          </cell>
          <cell r="DQ199">
            <v>0</v>
          </cell>
          <cell r="DR199">
            <v>0</v>
          </cell>
          <cell r="DS199">
            <v>0</v>
          </cell>
          <cell r="DT199">
            <v>0</v>
          </cell>
          <cell r="DU199">
            <v>0</v>
          </cell>
          <cell r="DV199">
            <v>0</v>
          </cell>
          <cell r="DW199">
            <v>0</v>
          </cell>
          <cell r="DX199">
            <v>0</v>
          </cell>
          <cell r="DY199">
            <v>0</v>
          </cell>
          <cell r="DZ199">
            <v>0</v>
          </cell>
          <cell r="EA199">
            <v>0</v>
          </cell>
          <cell r="ED199">
            <v>7.550000000000002E-3</v>
          </cell>
          <cell r="EE199">
            <v>-4.3142857142857149E-3</v>
          </cell>
          <cell r="EF199">
            <v>0</v>
          </cell>
          <cell r="EG199">
            <v>1.2942857142857145E-2</v>
          </cell>
          <cell r="EH199">
            <v>1.2942857142857145E-2</v>
          </cell>
          <cell r="EI199">
            <v>1.2942857142857145E-2</v>
          </cell>
          <cell r="EJ199">
            <v>8.6285714285714299E-3</v>
          </cell>
          <cell r="EK199">
            <v>8.6285714285714299E-3</v>
          </cell>
          <cell r="EL199">
            <v>8.6285714285714299E-3</v>
          </cell>
          <cell r="EM199">
            <v>8.6285714285714299E-3</v>
          </cell>
          <cell r="EN199">
            <v>8.6285714285714299E-3</v>
          </cell>
          <cell r="EQ199">
            <v>7.6465166522102718E-3</v>
          </cell>
          <cell r="ER199">
            <v>5.9000000000000016E-3</v>
          </cell>
          <cell r="ES199">
            <v>5.9000000000000016E-3</v>
          </cell>
          <cell r="ET199">
            <v>6.7428571428571442E-3</v>
          </cell>
          <cell r="EU199">
            <v>6.7428571428571442E-3</v>
          </cell>
          <cell r="EV199">
            <v>6.7428571428571442E-3</v>
          </cell>
          <cell r="EW199">
            <v>6.7428571428571442E-3</v>
          </cell>
          <cell r="EX199">
            <v>6.7428571428571442E-3</v>
          </cell>
          <cell r="EY199">
            <v>6.7428571428571442E-3</v>
          </cell>
          <cell r="EZ199">
            <v>6.7428571428571442E-3</v>
          </cell>
          <cell r="FA199">
            <v>6.7428571428571442E-3</v>
          </cell>
          <cell r="FD199">
            <v>0</v>
          </cell>
          <cell r="FE199">
            <v>0</v>
          </cell>
          <cell r="FF199">
            <v>0</v>
          </cell>
          <cell r="FG199">
            <v>0</v>
          </cell>
          <cell r="FH199">
            <v>0</v>
          </cell>
          <cell r="FI199">
            <v>0</v>
          </cell>
          <cell r="FJ199">
            <v>0</v>
          </cell>
          <cell r="FK199">
            <v>0</v>
          </cell>
          <cell r="FL199">
            <v>0</v>
          </cell>
          <cell r="FM199">
            <v>0</v>
          </cell>
          <cell r="FN199">
            <v>0</v>
          </cell>
          <cell r="FQ199">
            <v>1.5196516652210274E-2</v>
          </cell>
          <cell r="FR199">
            <v>1.5857142857142867E-3</v>
          </cell>
          <cell r="FS199">
            <v>5.9000000000000016E-3</v>
          </cell>
          <cell r="FT199">
            <v>1.9685714285714289E-2</v>
          </cell>
          <cell r="FU199">
            <v>1.9685714285714289E-2</v>
          </cell>
          <cell r="FV199">
            <v>1.9685714285714289E-2</v>
          </cell>
          <cell r="FW199">
            <v>1.5371428571428574E-2</v>
          </cell>
          <cell r="FX199">
            <v>1.5371428571428574E-2</v>
          </cell>
          <cell r="FY199">
            <v>1.5371428571428574E-2</v>
          </cell>
          <cell r="FZ199">
            <v>1.5371428571428574E-2</v>
          </cell>
          <cell r="GA199">
            <v>1.5371428571428574E-2</v>
          </cell>
          <cell r="GD199">
            <v>2.9058954995663085E-2</v>
          </cell>
          <cell r="GE199">
            <v>2.7412287183229942E-2</v>
          </cell>
          <cell r="GF199">
            <v>3.0752517828095835E-2</v>
          </cell>
          <cell r="GG199">
            <v>2.855732718724242E-2</v>
          </cell>
          <cell r="GH199">
            <v>2.4295932237102441E-2</v>
          </cell>
          <cell r="GI199">
            <v>2.1647346674077389E-2</v>
          </cell>
          <cell r="GJ199">
            <v>1.9388314232726148E-2</v>
          </cell>
          <cell r="GK199">
            <v>1.9248260355486317E-2</v>
          </cell>
          <cell r="GL199">
            <v>2.0634459194765767E-2</v>
          </cell>
          <cell r="GM199">
            <v>2.418969753883236E-2</v>
          </cell>
          <cell r="GN199">
            <v>2.4895842010633999E-2</v>
          </cell>
        </row>
        <row r="200">
          <cell r="B200" t="str">
            <v>Penrith Plaza</v>
          </cell>
          <cell r="C200">
            <v>0</v>
          </cell>
          <cell r="D200">
            <v>1</v>
          </cell>
          <cell r="E200" t="str">
            <v>Major Regional</v>
          </cell>
          <cell r="F200" t="str">
            <v>NSW</v>
          </cell>
          <cell r="G200">
            <v>0</v>
          </cell>
          <cell r="H200">
            <v>20.100000000000001</v>
          </cell>
          <cell r="I200">
            <v>20.100000000000001</v>
          </cell>
          <cell r="J200">
            <v>0</v>
          </cell>
          <cell r="K200">
            <v>0</v>
          </cell>
          <cell r="L200">
            <v>15.799999999999999</v>
          </cell>
          <cell r="M200">
            <v>0</v>
          </cell>
          <cell r="N200">
            <v>7.1</v>
          </cell>
          <cell r="O200">
            <v>8.6999999999999993</v>
          </cell>
          <cell r="P200">
            <v>0</v>
          </cell>
          <cell r="Q200">
            <v>0</v>
          </cell>
          <cell r="R200">
            <v>5.8</v>
          </cell>
          <cell r="S200">
            <v>0</v>
          </cell>
          <cell r="T200">
            <v>3.8</v>
          </cell>
          <cell r="U200">
            <v>0</v>
          </cell>
          <cell r="V200">
            <v>2</v>
          </cell>
          <cell r="W200">
            <v>0</v>
          </cell>
          <cell r="X200">
            <v>0</v>
          </cell>
          <cell r="Y200">
            <v>3.5</v>
          </cell>
          <cell r="Z200">
            <v>4.7</v>
          </cell>
          <cell r="AA200">
            <v>0</v>
          </cell>
          <cell r="AB200">
            <v>0</v>
          </cell>
          <cell r="AC200">
            <v>22.9</v>
          </cell>
          <cell r="AD200">
            <v>0</v>
          </cell>
          <cell r="AE200">
            <v>3000</v>
          </cell>
          <cell r="AF200">
            <v>0.33627019089574156</v>
          </cell>
          <cell r="AG200">
            <v>0.29515418502202645</v>
          </cell>
          <cell r="AH200">
            <v>0.23201174743024963</v>
          </cell>
          <cell r="AI200">
            <v>8.5168869309838482E-2</v>
          </cell>
          <cell r="AJ200">
            <v>5.139500734214391E-2</v>
          </cell>
          <cell r="AK200">
            <v>0</v>
          </cell>
          <cell r="AN200">
            <v>45.199999999999996</v>
          </cell>
          <cell r="AO200">
            <v>68.099999999999994</v>
          </cell>
          <cell r="AP200">
            <v>0</v>
          </cell>
          <cell r="AQ200">
            <v>14.3</v>
          </cell>
          <cell r="AR200">
            <v>0</v>
          </cell>
          <cell r="AS200">
            <v>0</v>
          </cell>
          <cell r="AT200">
            <v>0</v>
          </cell>
          <cell r="AU200">
            <v>10.1</v>
          </cell>
          <cell r="AX200">
            <v>0</v>
          </cell>
          <cell r="AY200">
            <v>20.100000000000001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15.799999999999999</v>
          </cell>
          <cell r="BH200">
            <v>0</v>
          </cell>
          <cell r="BI200">
            <v>0</v>
          </cell>
          <cell r="BJ200">
            <v>0</v>
          </cell>
          <cell r="BK200">
            <v>0</v>
          </cell>
          <cell r="BL200">
            <v>0</v>
          </cell>
          <cell r="BM200">
            <v>0</v>
          </cell>
          <cell r="BN200">
            <v>0</v>
          </cell>
          <cell r="BO200">
            <v>5.8</v>
          </cell>
          <cell r="BP200">
            <v>0</v>
          </cell>
          <cell r="BQ200">
            <v>0</v>
          </cell>
          <cell r="BR200">
            <v>0</v>
          </cell>
          <cell r="BS200">
            <v>0</v>
          </cell>
          <cell r="BT200">
            <v>0</v>
          </cell>
          <cell r="BU200">
            <v>0</v>
          </cell>
          <cell r="BV200">
            <v>0</v>
          </cell>
          <cell r="BW200">
            <v>22.9</v>
          </cell>
          <cell r="BX200">
            <v>0</v>
          </cell>
          <cell r="BY200">
            <v>0</v>
          </cell>
          <cell r="BZ200">
            <v>0</v>
          </cell>
          <cell r="CA200">
            <v>0</v>
          </cell>
          <cell r="CB200">
            <v>0</v>
          </cell>
          <cell r="CC200">
            <v>0</v>
          </cell>
          <cell r="CD200">
            <v>0</v>
          </cell>
          <cell r="CE200">
            <v>3.5</v>
          </cell>
          <cell r="CF200">
            <v>0</v>
          </cell>
          <cell r="CG200">
            <v>0</v>
          </cell>
          <cell r="CH200">
            <v>0</v>
          </cell>
          <cell r="CI200">
            <v>0</v>
          </cell>
          <cell r="CJ200">
            <v>0</v>
          </cell>
          <cell r="CK200">
            <v>0</v>
          </cell>
          <cell r="CL200">
            <v>0</v>
          </cell>
          <cell r="CM200">
            <v>68.099999999999994</v>
          </cell>
          <cell r="CN200">
            <v>0</v>
          </cell>
          <cell r="CO200">
            <v>0</v>
          </cell>
          <cell r="CP200">
            <v>0</v>
          </cell>
          <cell r="CQ200">
            <v>0</v>
          </cell>
          <cell r="CR200">
            <v>0</v>
          </cell>
          <cell r="CS200">
            <v>0</v>
          </cell>
          <cell r="CV200">
            <v>0</v>
          </cell>
          <cell r="CW200">
            <v>68.099999999999994</v>
          </cell>
          <cell r="CX200">
            <v>0</v>
          </cell>
          <cell r="CY200">
            <v>0</v>
          </cell>
          <cell r="CZ200">
            <v>0</v>
          </cell>
          <cell r="DA200">
            <v>0</v>
          </cell>
          <cell r="DD200">
            <v>3.2500000000000001E-2</v>
          </cell>
          <cell r="DE200">
            <v>4.3480818425022362E-2</v>
          </cell>
          <cell r="DF200">
            <v>5.1403596897279767E-2</v>
          </cell>
          <cell r="DG200">
            <v>3.7359447002183042E-2</v>
          </cell>
          <cell r="DH200">
            <v>3.1271739930554508E-2</v>
          </cell>
          <cell r="DI200">
            <v>2.7488046269090145E-2</v>
          </cell>
          <cell r="DJ200">
            <v>2.6109836658996539E-2</v>
          </cell>
          <cell r="DK200">
            <v>2.5909759691511065E-2</v>
          </cell>
          <cell r="DL200">
            <v>2.7890043747624566E-2</v>
          </cell>
          <cell r="DM200">
            <v>3.29689556677197E-2</v>
          </cell>
          <cell r="DN200">
            <v>3.3977733484579185E-2</v>
          </cell>
          <cell r="DQ200">
            <v>1.9185022026431721E-3</v>
          </cell>
          <cell r="DR200">
            <v>1.3281938325991189E-2</v>
          </cell>
          <cell r="DS200">
            <v>1.1806167400881059E-2</v>
          </cell>
          <cell r="DT200">
            <v>1.4757709251101323E-3</v>
          </cell>
          <cell r="DU200">
            <v>4.4273127753303963E-3</v>
          </cell>
          <cell r="DV200">
            <v>4.4273127753303963E-3</v>
          </cell>
          <cell r="DW200">
            <v>4.4273127753303963E-3</v>
          </cell>
          <cell r="DX200">
            <v>4.4273127753303963E-3</v>
          </cell>
          <cell r="DY200">
            <v>4.4273127753303963E-3</v>
          </cell>
          <cell r="DZ200">
            <v>4.4273127753303963E-3</v>
          </cell>
          <cell r="EA200">
            <v>4.4273127753303963E-3</v>
          </cell>
          <cell r="ED200">
            <v>3.4801762114537445E-3</v>
          </cell>
          <cell r="EE200">
            <v>-1.1600587371512481E-3</v>
          </cell>
          <cell r="EF200">
            <v>2.3201174743024962E-3</v>
          </cell>
          <cell r="EG200">
            <v>8.1204111600587364E-3</v>
          </cell>
          <cell r="EH200">
            <v>8.1204111600587364E-3</v>
          </cell>
          <cell r="EI200">
            <v>8.1204111600587364E-3</v>
          </cell>
          <cell r="EJ200">
            <v>5.8002936857562415E-3</v>
          </cell>
          <cell r="EK200">
            <v>5.8002936857562415E-3</v>
          </cell>
          <cell r="EL200">
            <v>5.8002936857562415E-3</v>
          </cell>
          <cell r="EM200">
            <v>5.8002936857562415E-3</v>
          </cell>
          <cell r="EN200">
            <v>5.8002936857562415E-3</v>
          </cell>
          <cell r="EQ200">
            <v>3.6503966758721848E-3</v>
          </cell>
          <cell r="ER200">
            <v>3.4067547723935394E-3</v>
          </cell>
          <cell r="ES200">
            <v>3.8325991189427323E-3</v>
          </cell>
          <cell r="ET200">
            <v>3.8325991189427314E-3</v>
          </cell>
          <cell r="EU200">
            <v>3.8325991189427314E-3</v>
          </cell>
          <cell r="EV200">
            <v>3.8325991189427314E-3</v>
          </cell>
          <cell r="EW200">
            <v>3.8325991189427314E-3</v>
          </cell>
          <cell r="EX200">
            <v>3.8325991189427314E-3</v>
          </cell>
          <cell r="EY200">
            <v>3.8325991189427314E-3</v>
          </cell>
          <cell r="EZ200">
            <v>3.8325991189427314E-3</v>
          </cell>
          <cell r="FA200">
            <v>3.8325991189427314E-3</v>
          </cell>
          <cell r="FD200">
            <v>7.709251101321586E-4</v>
          </cell>
          <cell r="FE200">
            <v>-2.5697503671071953E-4</v>
          </cell>
          <cell r="FF200">
            <v>5.1395007342143906E-4</v>
          </cell>
          <cell r="FG200">
            <v>1.7988252569750367E-3</v>
          </cell>
          <cell r="FH200">
            <v>1.7988252569750367E-3</v>
          </cell>
          <cell r="FI200">
            <v>1.7988252569750367E-3</v>
          </cell>
          <cell r="FJ200">
            <v>1.2848751835535979E-3</v>
          </cell>
          <cell r="FK200">
            <v>1.2848751835535979E-3</v>
          </cell>
          <cell r="FL200">
            <v>1.2848751835535979E-3</v>
          </cell>
          <cell r="FM200">
            <v>1.2848751835535979E-3</v>
          </cell>
          <cell r="FN200">
            <v>1.2848751835535979E-3</v>
          </cell>
          <cell r="FQ200">
            <v>9.8200002001012608E-3</v>
          </cell>
          <cell r="FR200">
            <v>1.5271659324522761E-2</v>
          </cell>
          <cell r="FS200">
            <v>1.8472834067547725E-2</v>
          </cell>
          <cell r="FT200">
            <v>1.5227606461086637E-2</v>
          </cell>
          <cell r="FU200">
            <v>1.81791483113069E-2</v>
          </cell>
          <cell r="FV200">
            <v>1.81791483113069E-2</v>
          </cell>
          <cell r="FW200">
            <v>1.5345080763582966E-2</v>
          </cell>
          <cell r="FX200">
            <v>1.5345080763582966E-2</v>
          </cell>
          <cell r="FY200">
            <v>1.5345080763582966E-2</v>
          </cell>
          <cell r="FZ200">
            <v>1.5345080763582966E-2</v>
          </cell>
          <cell r="GA200">
            <v>1.5345080763582966E-2</v>
          </cell>
          <cell r="GD200">
            <v>2.5696000060030377E-2</v>
          </cell>
          <cell r="GE200">
            <v>3.5018070694872477E-2</v>
          </cell>
          <cell r="GF200">
            <v>4.1524368048360155E-2</v>
          </cell>
          <cell r="GG200">
            <v>3.0719894839854121E-2</v>
          </cell>
          <cell r="GH200">
            <v>2.7343962444780226E-2</v>
          </cell>
          <cell r="GI200">
            <v>2.469537688175517E-2</v>
          </cell>
          <cell r="GJ200">
            <v>2.2880409890372468E-2</v>
          </cell>
          <cell r="GK200">
            <v>2.2740356013132637E-2</v>
          </cell>
          <cell r="GL200">
            <v>2.4126554852412087E-2</v>
          </cell>
          <cell r="GM200">
            <v>2.7681793196478677E-2</v>
          </cell>
          <cell r="GN200">
            <v>2.8387937668280322E-2</v>
          </cell>
        </row>
        <row r="201">
          <cell r="B201" t="str">
            <v xml:space="preserve">Sunshine </v>
          </cell>
          <cell r="C201">
            <v>0</v>
          </cell>
          <cell r="D201">
            <v>0.5</v>
          </cell>
          <cell r="E201" t="str">
            <v>Major Regional</v>
          </cell>
          <cell r="F201" t="str">
            <v>QLD</v>
          </cell>
          <cell r="G201">
            <v>0</v>
          </cell>
          <cell r="H201">
            <v>12.7</v>
          </cell>
          <cell r="I201">
            <v>12.7</v>
          </cell>
          <cell r="J201">
            <v>0</v>
          </cell>
          <cell r="K201">
            <v>0</v>
          </cell>
          <cell r="L201">
            <v>13.5</v>
          </cell>
          <cell r="M201">
            <v>6.6</v>
          </cell>
          <cell r="N201">
            <v>6.9</v>
          </cell>
          <cell r="O201">
            <v>0</v>
          </cell>
          <cell r="P201">
            <v>0</v>
          </cell>
          <cell r="Q201">
            <v>0</v>
          </cell>
          <cell r="R201">
            <v>3.8</v>
          </cell>
          <cell r="S201">
            <v>3.8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0</v>
          </cell>
          <cell r="AC201">
            <v>24.7</v>
          </cell>
          <cell r="AD201">
            <v>0</v>
          </cell>
          <cell r="AE201">
            <v>3500</v>
          </cell>
          <cell r="AF201">
            <v>0.45155393053016452</v>
          </cell>
          <cell r="AG201">
            <v>0.23217550274223031</v>
          </cell>
          <cell r="AH201">
            <v>0.24680073126142596</v>
          </cell>
          <cell r="AI201">
            <v>6.9469835466179158E-2</v>
          </cell>
          <cell r="AJ201">
            <v>0</v>
          </cell>
          <cell r="AK201">
            <v>0</v>
          </cell>
          <cell r="AN201">
            <v>30</v>
          </cell>
          <cell r="AO201">
            <v>54.7</v>
          </cell>
          <cell r="AP201">
            <v>0</v>
          </cell>
          <cell r="AQ201">
            <v>16.100000000000001</v>
          </cell>
          <cell r="AR201">
            <v>0</v>
          </cell>
          <cell r="AS201">
            <v>0</v>
          </cell>
          <cell r="AT201">
            <v>0</v>
          </cell>
          <cell r="AU201">
            <v>9.8000000000000007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6.35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0</v>
          </cell>
          <cell r="BJ201">
            <v>0</v>
          </cell>
          <cell r="BK201">
            <v>6.75</v>
          </cell>
          <cell r="BL201">
            <v>0</v>
          </cell>
          <cell r="BM201">
            <v>0</v>
          </cell>
          <cell r="BN201">
            <v>0</v>
          </cell>
          <cell r="BO201">
            <v>0</v>
          </cell>
          <cell r="BP201">
            <v>0</v>
          </cell>
          <cell r="BQ201">
            <v>0</v>
          </cell>
          <cell r="BR201">
            <v>0</v>
          </cell>
          <cell r="BS201">
            <v>1.9</v>
          </cell>
          <cell r="BT201">
            <v>0</v>
          </cell>
          <cell r="BU201">
            <v>0</v>
          </cell>
          <cell r="BV201">
            <v>0</v>
          </cell>
          <cell r="BW201">
            <v>0</v>
          </cell>
          <cell r="BX201">
            <v>0</v>
          </cell>
          <cell r="BY201">
            <v>0</v>
          </cell>
          <cell r="BZ201">
            <v>0</v>
          </cell>
          <cell r="CA201">
            <v>12.35</v>
          </cell>
          <cell r="CB201">
            <v>0</v>
          </cell>
          <cell r="CC201">
            <v>0</v>
          </cell>
          <cell r="CD201">
            <v>0</v>
          </cell>
          <cell r="CE201">
            <v>0</v>
          </cell>
          <cell r="CF201">
            <v>0</v>
          </cell>
          <cell r="CG201">
            <v>0</v>
          </cell>
          <cell r="CH201">
            <v>0</v>
          </cell>
          <cell r="CI201">
            <v>0</v>
          </cell>
          <cell r="CJ201">
            <v>0</v>
          </cell>
          <cell r="CK201">
            <v>0</v>
          </cell>
          <cell r="CL201">
            <v>0</v>
          </cell>
          <cell r="CM201">
            <v>0</v>
          </cell>
          <cell r="CN201">
            <v>0</v>
          </cell>
          <cell r="CO201">
            <v>0</v>
          </cell>
          <cell r="CP201">
            <v>0</v>
          </cell>
          <cell r="CQ201">
            <v>27.35</v>
          </cell>
          <cell r="CR201">
            <v>0</v>
          </cell>
          <cell r="CS201">
            <v>0</v>
          </cell>
          <cell r="CV201">
            <v>0</v>
          </cell>
          <cell r="CW201">
            <v>27.35</v>
          </cell>
          <cell r="CX201">
            <v>0</v>
          </cell>
          <cell r="CY201">
            <v>0</v>
          </cell>
          <cell r="CZ201">
            <v>0</v>
          </cell>
          <cell r="DA201">
            <v>0</v>
          </cell>
          <cell r="DD201">
            <v>3.5000000000000003E-2</v>
          </cell>
          <cell r="DE201">
            <v>3.8480818425022364E-2</v>
          </cell>
          <cell r="DF201">
            <v>4.3903596897279767E-2</v>
          </cell>
          <cell r="DG201">
            <v>3.4859447002183047E-2</v>
          </cell>
          <cell r="DH201">
            <v>2.8771739930554506E-2</v>
          </cell>
          <cell r="DI201">
            <v>2.4988046269090142E-2</v>
          </cell>
          <cell r="DJ201">
            <v>2.3609836658996537E-2</v>
          </cell>
          <cell r="DK201">
            <v>2.3409759691511062E-2</v>
          </cell>
          <cell r="DL201">
            <v>2.5390043747624564E-2</v>
          </cell>
          <cell r="DM201">
            <v>3.0468955667719698E-2</v>
          </cell>
          <cell r="DN201">
            <v>3.1477733484579183E-2</v>
          </cell>
          <cell r="DQ201">
            <v>2.0895795246800727E-3</v>
          </cell>
          <cell r="DR201">
            <v>9.2870201096892126E-3</v>
          </cell>
          <cell r="DS201">
            <v>7.545703839122485E-3</v>
          </cell>
          <cell r="DT201">
            <v>5.8043875685557579E-4</v>
          </cell>
          <cell r="DU201">
            <v>2.9021937842778791E-3</v>
          </cell>
          <cell r="DV201">
            <v>2.9021937842778791E-3</v>
          </cell>
          <cell r="DW201">
            <v>2.9021937842778791E-3</v>
          </cell>
          <cell r="DX201">
            <v>2.9021937842778791E-3</v>
          </cell>
          <cell r="DY201">
            <v>2.9021937842778791E-3</v>
          </cell>
          <cell r="DZ201">
            <v>2.9021937842778791E-3</v>
          </cell>
          <cell r="EA201">
            <v>2.9021937842778791E-3</v>
          </cell>
          <cell r="ED201">
            <v>4.3190127970749543E-3</v>
          </cell>
          <cell r="EE201">
            <v>-2.4680073126142595E-3</v>
          </cell>
          <cell r="EF201">
            <v>6.1700182815356487E-4</v>
          </cell>
          <cell r="EG201">
            <v>8.0210237659963431E-3</v>
          </cell>
          <cell r="EH201">
            <v>8.0210237659963431E-3</v>
          </cell>
          <cell r="EI201">
            <v>8.0210237659963431E-3</v>
          </cell>
          <cell r="EJ201">
            <v>5.5530164533820836E-3</v>
          </cell>
          <cell r="EK201">
            <v>5.5530164533820836E-3</v>
          </cell>
          <cell r="EL201">
            <v>5.5530164533820836E-3</v>
          </cell>
          <cell r="EM201">
            <v>5.5530164533820836E-3</v>
          </cell>
          <cell r="EN201">
            <v>5.5530164533820836E-3</v>
          </cell>
          <cell r="EQ201">
            <v>3.1511998101941747E-3</v>
          </cell>
          <cell r="ER201">
            <v>2.4314442413162708E-3</v>
          </cell>
          <cell r="ES201">
            <v>2.6051188299817188E-3</v>
          </cell>
          <cell r="ET201">
            <v>2.9524680073126142E-3</v>
          </cell>
          <cell r="EU201">
            <v>2.9524680073126142E-3</v>
          </cell>
          <cell r="EV201">
            <v>2.9524680073126142E-3</v>
          </cell>
          <cell r="EW201">
            <v>2.9524680073126142E-3</v>
          </cell>
          <cell r="EX201">
            <v>2.9524680073126142E-3</v>
          </cell>
          <cell r="EY201">
            <v>2.9524680073126142E-3</v>
          </cell>
          <cell r="EZ201">
            <v>2.9524680073126142E-3</v>
          </cell>
          <cell r="FA201">
            <v>2.9524680073126142E-3</v>
          </cell>
          <cell r="FD201">
            <v>0</v>
          </cell>
          <cell r="FE201">
            <v>0</v>
          </cell>
          <cell r="FF201">
            <v>0</v>
          </cell>
          <cell r="FG201">
            <v>0</v>
          </cell>
          <cell r="FH201">
            <v>0</v>
          </cell>
          <cell r="FI201">
            <v>0</v>
          </cell>
          <cell r="FJ201">
            <v>0</v>
          </cell>
          <cell r="FK201">
            <v>0</v>
          </cell>
          <cell r="FL201">
            <v>0</v>
          </cell>
          <cell r="FM201">
            <v>0</v>
          </cell>
          <cell r="FN201">
            <v>0</v>
          </cell>
          <cell r="FQ201">
            <v>9.5597921319492008E-3</v>
          </cell>
          <cell r="FR201">
            <v>9.2504570383912244E-3</v>
          </cell>
          <cell r="FS201">
            <v>1.0767824497257768E-2</v>
          </cell>
          <cell r="FT201">
            <v>1.1553930530164533E-2</v>
          </cell>
          <cell r="FU201">
            <v>1.3875685557586837E-2</v>
          </cell>
          <cell r="FV201">
            <v>1.3875685557586837E-2</v>
          </cell>
          <cell r="FW201">
            <v>1.1407678244972576E-2</v>
          </cell>
          <cell r="FX201">
            <v>1.1407678244972576E-2</v>
          </cell>
          <cell r="FY201">
            <v>1.1407678244972576E-2</v>
          </cell>
          <cell r="FZ201">
            <v>1.1407678244972576E-2</v>
          </cell>
          <cell r="GA201">
            <v>1.1407678244972576E-2</v>
          </cell>
          <cell r="GD201">
            <v>2.7367937639584762E-2</v>
          </cell>
          <cell r="GE201">
            <v>2.9711710009033023E-2</v>
          </cell>
          <cell r="GF201">
            <v>3.3962865177273163E-2</v>
          </cell>
          <cell r="GG201">
            <v>2.7867792060577493E-2</v>
          </cell>
          <cell r="GH201">
            <v>2.4302923618664207E-2</v>
          </cell>
          <cell r="GI201">
            <v>2.1654338055639148E-2</v>
          </cell>
          <cell r="GJ201">
            <v>1.9949189134789345E-2</v>
          </cell>
          <cell r="GK201">
            <v>1.9809135257549515E-2</v>
          </cell>
          <cell r="GL201">
            <v>2.1195334096828965E-2</v>
          </cell>
          <cell r="GM201">
            <v>2.4750572440895562E-2</v>
          </cell>
          <cell r="GN201">
            <v>2.54567169126972E-2</v>
          </cell>
        </row>
        <row r="202">
          <cell r="B202" t="str">
            <v>Warwick</v>
          </cell>
          <cell r="C202" t="e">
            <v>#NAME?</v>
          </cell>
          <cell r="D202" t="e">
            <v>#NAME?</v>
          </cell>
          <cell r="E202" t="e">
            <v>#NAME?</v>
          </cell>
          <cell r="F202" t="e">
            <v>#NAME?</v>
          </cell>
          <cell r="G202" t="e">
            <v>#NAME?</v>
          </cell>
          <cell r="H202" t="e">
            <v>#NAME?</v>
          </cell>
          <cell r="I202" t="e">
            <v>#NAME?</v>
          </cell>
          <cell r="J202" t="e">
            <v>#NAME?</v>
          </cell>
          <cell r="K202" t="e">
            <v>#NAME?</v>
          </cell>
          <cell r="L202" t="e">
            <v>#NAME?</v>
          </cell>
          <cell r="M202" t="e">
            <v>#NAME?</v>
          </cell>
          <cell r="N202" t="e">
            <v>#NAME?</v>
          </cell>
          <cell r="O202" t="e">
            <v>#NAME?</v>
          </cell>
          <cell r="P202" t="e">
            <v>#NAME?</v>
          </cell>
          <cell r="Q202" t="e">
            <v>#NAME?</v>
          </cell>
          <cell r="R202" t="e">
            <v>#NAME?</v>
          </cell>
          <cell r="S202" t="e">
            <v>#NAME?</v>
          </cell>
          <cell r="T202" t="e">
            <v>#NAME?</v>
          </cell>
          <cell r="U202" t="e">
            <v>#NAME?</v>
          </cell>
          <cell r="V202" t="e">
            <v>#NAME?</v>
          </cell>
          <cell r="W202" t="e">
            <v>#NAME?</v>
          </cell>
          <cell r="X202" t="e">
            <v>#NAME?</v>
          </cell>
          <cell r="Y202" t="e">
            <v>#NAME?</v>
          </cell>
          <cell r="Z202" t="e">
            <v>#NAME?</v>
          </cell>
          <cell r="AA202" t="e">
            <v>#NAME?</v>
          </cell>
          <cell r="AB202" t="e">
            <v>#NAME?</v>
          </cell>
          <cell r="AC202" t="e">
            <v>#NAME?</v>
          </cell>
          <cell r="AD202" t="e">
            <v>#NAME?</v>
          </cell>
          <cell r="AE202" t="e">
            <v>#NAME?</v>
          </cell>
          <cell r="AF202" t="e">
            <v>#NAME?</v>
          </cell>
          <cell r="AG202" t="e">
            <v>#NAME?</v>
          </cell>
          <cell r="AH202" t="e">
            <v>#NAME?</v>
          </cell>
          <cell r="AI202" t="e">
            <v>#NAME?</v>
          </cell>
          <cell r="AJ202" t="e">
            <v>#NAME?</v>
          </cell>
          <cell r="AK202" t="e">
            <v>#NAME?</v>
          </cell>
          <cell r="AN202" t="e">
            <v>#NAME?</v>
          </cell>
          <cell r="AO202" t="e">
            <v>#NAME?</v>
          </cell>
          <cell r="AP202" t="e">
            <v>#NAME?</v>
          </cell>
          <cell r="AQ202" t="e">
            <v>#NAME?</v>
          </cell>
          <cell r="AR202" t="e">
            <v>#NAME?</v>
          </cell>
          <cell r="AS202" t="e">
            <v>#NAME?</v>
          </cell>
          <cell r="AT202" t="e">
            <v>#NAME?</v>
          </cell>
          <cell r="AU202" t="e">
            <v>#NAME?</v>
          </cell>
          <cell r="AX202" t="e">
            <v>#NAME?</v>
          </cell>
          <cell r="AY202" t="e">
            <v>#NAME?</v>
          </cell>
          <cell r="AZ202" t="e">
            <v>#NAME?</v>
          </cell>
          <cell r="BA202" t="e">
            <v>#NAME?</v>
          </cell>
          <cell r="BB202" t="e">
            <v>#NAME?</v>
          </cell>
          <cell r="BC202" t="e">
            <v>#NAME?</v>
          </cell>
          <cell r="BD202" t="e">
            <v>#NAME?</v>
          </cell>
          <cell r="BE202" t="e">
            <v>#NAME?</v>
          </cell>
          <cell r="BF202" t="e">
            <v>#NAME?</v>
          </cell>
          <cell r="BG202" t="e">
            <v>#NAME?</v>
          </cell>
          <cell r="BH202" t="e">
            <v>#NAME?</v>
          </cell>
          <cell r="BI202" t="e">
            <v>#NAME?</v>
          </cell>
          <cell r="BJ202" t="e">
            <v>#NAME?</v>
          </cell>
          <cell r="BK202" t="e">
            <v>#NAME?</v>
          </cell>
          <cell r="BL202" t="e">
            <v>#NAME?</v>
          </cell>
          <cell r="BM202" t="e">
            <v>#NAME?</v>
          </cell>
          <cell r="BN202" t="e">
            <v>#NAME?</v>
          </cell>
          <cell r="BO202" t="e">
            <v>#NAME?</v>
          </cell>
          <cell r="BP202" t="e">
            <v>#NAME?</v>
          </cell>
          <cell r="BQ202" t="e">
            <v>#NAME?</v>
          </cell>
          <cell r="BR202" t="e">
            <v>#NAME?</v>
          </cell>
          <cell r="BS202" t="e">
            <v>#NAME?</v>
          </cell>
          <cell r="BT202" t="e">
            <v>#NAME?</v>
          </cell>
          <cell r="BU202" t="e">
            <v>#NAME?</v>
          </cell>
          <cell r="BV202" t="e">
            <v>#NAME?</v>
          </cell>
          <cell r="BW202" t="e">
            <v>#NAME?</v>
          </cell>
          <cell r="BX202" t="e">
            <v>#NAME?</v>
          </cell>
          <cell r="BY202" t="e">
            <v>#NAME?</v>
          </cell>
          <cell r="BZ202" t="e">
            <v>#NAME?</v>
          </cell>
          <cell r="CA202" t="e">
            <v>#NAME?</v>
          </cell>
          <cell r="CB202" t="e">
            <v>#NAME?</v>
          </cell>
          <cell r="CC202" t="e">
            <v>#NAME?</v>
          </cell>
          <cell r="CD202" t="e">
            <v>#NAME?</v>
          </cell>
          <cell r="CE202" t="e">
            <v>#NAME?</v>
          </cell>
          <cell r="CF202" t="e">
            <v>#NAME?</v>
          </cell>
          <cell r="CG202" t="e">
            <v>#NAME?</v>
          </cell>
          <cell r="CH202" t="e">
            <v>#NAME?</v>
          </cell>
          <cell r="CI202" t="e">
            <v>#NAME?</v>
          </cell>
          <cell r="CJ202" t="e">
            <v>#NAME?</v>
          </cell>
          <cell r="CK202" t="e">
            <v>#NAME?</v>
          </cell>
          <cell r="CL202" t="e">
            <v>#NAME?</v>
          </cell>
          <cell r="CM202" t="e">
            <v>#NAME?</v>
          </cell>
          <cell r="CN202" t="e">
            <v>#NAME?</v>
          </cell>
          <cell r="CO202" t="e">
            <v>#NAME?</v>
          </cell>
          <cell r="CP202" t="e">
            <v>#NAME?</v>
          </cell>
          <cell r="CQ202" t="e">
            <v>#NAME?</v>
          </cell>
          <cell r="CR202" t="e">
            <v>#NAME?</v>
          </cell>
          <cell r="CS202" t="e">
            <v>#NAME?</v>
          </cell>
          <cell r="CV202" t="e">
            <v>#NAME?</v>
          </cell>
          <cell r="CW202" t="e">
            <v>#NAME?</v>
          </cell>
          <cell r="CX202" t="e">
            <v>#NAME?</v>
          </cell>
          <cell r="CY202" t="e">
            <v>#NAME?</v>
          </cell>
          <cell r="CZ202" t="e">
            <v>#NAME?</v>
          </cell>
          <cell r="DA202" t="e">
            <v>#NAME?</v>
          </cell>
          <cell r="DD202">
            <v>0</v>
          </cell>
          <cell r="DE202">
            <v>0</v>
          </cell>
          <cell r="DF202">
            <v>0</v>
          </cell>
          <cell r="DG202">
            <v>0</v>
          </cell>
          <cell r="DH202">
            <v>0</v>
          </cell>
          <cell r="DI202">
            <v>0</v>
          </cell>
          <cell r="DJ202">
            <v>0</v>
          </cell>
          <cell r="DK202">
            <v>0</v>
          </cell>
          <cell r="DL202">
            <v>0</v>
          </cell>
          <cell r="DM202">
            <v>0</v>
          </cell>
          <cell r="DN202">
            <v>0</v>
          </cell>
          <cell r="DQ202">
            <v>0</v>
          </cell>
          <cell r="DR202">
            <v>0</v>
          </cell>
          <cell r="DS202">
            <v>0</v>
          </cell>
          <cell r="DT202">
            <v>0</v>
          </cell>
          <cell r="DU202">
            <v>0</v>
          </cell>
          <cell r="DV202">
            <v>0</v>
          </cell>
          <cell r="DW202">
            <v>0</v>
          </cell>
          <cell r="DX202">
            <v>0</v>
          </cell>
          <cell r="DY202">
            <v>0</v>
          </cell>
          <cell r="DZ202">
            <v>0</v>
          </cell>
          <cell r="EA202">
            <v>0</v>
          </cell>
          <cell r="ED202">
            <v>0</v>
          </cell>
          <cell r="EE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J202">
            <v>0</v>
          </cell>
          <cell r="EK202">
            <v>0</v>
          </cell>
          <cell r="EL202">
            <v>0</v>
          </cell>
          <cell r="EM202">
            <v>0</v>
          </cell>
          <cell r="EN202">
            <v>0</v>
          </cell>
          <cell r="EQ202">
            <v>0</v>
          </cell>
          <cell r="ER202">
            <v>0</v>
          </cell>
          <cell r="ES202">
            <v>0</v>
          </cell>
          <cell r="ET202">
            <v>0</v>
          </cell>
          <cell r="EU202">
            <v>0</v>
          </cell>
          <cell r="EV202">
            <v>0</v>
          </cell>
          <cell r="EW202">
            <v>0</v>
          </cell>
          <cell r="EX202">
            <v>0</v>
          </cell>
          <cell r="EY202">
            <v>0</v>
          </cell>
          <cell r="EZ202">
            <v>0</v>
          </cell>
          <cell r="FA202">
            <v>0</v>
          </cell>
          <cell r="FD202">
            <v>0</v>
          </cell>
          <cell r="FE202">
            <v>0</v>
          </cell>
          <cell r="FF202">
            <v>0</v>
          </cell>
          <cell r="FG202">
            <v>0</v>
          </cell>
          <cell r="FH202">
            <v>0</v>
          </cell>
          <cell r="FI202">
            <v>0</v>
          </cell>
          <cell r="FJ202">
            <v>0</v>
          </cell>
          <cell r="FK202">
            <v>0</v>
          </cell>
          <cell r="FL202">
            <v>0</v>
          </cell>
          <cell r="FM202">
            <v>0</v>
          </cell>
          <cell r="FN202">
            <v>0</v>
          </cell>
          <cell r="FQ202">
            <v>0</v>
          </cell>
          <cell r="FR202">
            <v>0</v>
          </cell>
          <cell r="FS202">
            <v>0</v>
          </cell>
          <cell r="FT202">
            <v>0</v>
          </cell>
          <cell r="FU202">
            <v>0</v>
          </cell>
          <cell r="FV202">
            <v>0</v>
          </cell>
          <cell r="FW202">
            <v>0</v>
          </cell>
          <cell r="FX202">
            <v>0</v>
          </cell>
          <cell r="FY202">
            <v>0</v>
          </cell>
          <cell r="FZ202">
            <v>0</v>
          </cell>
          <cell r="GA202">
            <v>0</v>
          </cell>
          <cell r="GD202" t="e">
            <v>#NAME?</v>
          </cell>
          <cell r="GE202" t="e">
            <v>#NAME?</v>
          </cell>
          <cell r="GF202" t="e">
            <v>#NAME?</v>
          </cell>
          <cell r="GG202" t="e">
            <v>#NAME?</v>
          </cell>
          <cell r="GH202" t="e">
            <v>#NAME?</v>
          </cell>
          <cell r="GI202" t="e">
            <v>#NAME?</v>
          </cell>
          <cell r="GJ202" t="e">
            <v>#NAME?</v>
          </cell>
          <cell r="GK202" t="e">
            <v>#NAME?</v>
          </cell>
          <cell r="GL202" t="e">
            <v>#NAME?</v>
          </cell>
          <cell r="GM202" t="e">
            <v>#NAME?</v>
          </cell>
          <cell r="GN202" t="e">
            <v>#NAME?</v>
          </cell>
        </row>
        <row r="203">
          <cell r="B203" t="str">
            <v>Woden Plaza</v>
          </cell>
          <cell r="C203">
            <v>0</v>
          </cell>
          <cell r="D203">
            <v>1</v>
          </cell>
          <cell r="E203" t="str">
            <v>Regional</v>
          </cell>
          <cell r="F203" t="str">
            <v>ACT</v>
          </cell>
          <cell r="G203">
            <v>0</v>
          </cell>
          <cell r="H203">
            <v>14.2</v>
          </cell>
          <cell r="I203">
            <v>0</v>
          </cell>
          <cell r="J203">
            <v>14.2</v>
          </cell>
          <cell r="K203">
            <v>0</v>
          </cell>
          <cell r="L203">
            <v>7.7</v>
          </cell>
          <cell r="M203">
            <v>0</v>
          </cell>
          <cell r="N203">
            <v>0</v>
          </cell>
          <cell r="O203">
            <v>7.7</v>
          </cell>
          <cell r="P203">
            <v>0</v>
          </cell>
          <cell r="Q203">
            <v>0</v>
          </cell>
          <cell r="R203">
            <v>4.5</v>
          </cell>
          <cell r="S203">
            <v>0</v>
          </cell>
          <cell r="T203">
            <v>2.7</v>
          </cell>
          <cell r="U203">
            <v>0</v>
          </cell>
          <cell r="V203">
            <v>1.8</v>
          </cell>
          <cell r="W203">
            <v>0</v>
          </cell>
          <cell r="X203">
            <v>0</v>
          </cell>
          <cell r="Y203">
            <v>4.0999999999999996</v>
          </cell>
          <cell r="Z203">
            <v>0</v>
          </cell>
          <cell r="AA203">
            <v>0</v>
          </cell>
          <cell r="AB203">
            <v>0</v>
          </cell>
          <cell r="AC203">
            <v>16.899999999999999</v>
          </cell>
          <cell r="AD203">
            <v>0</v>
          </cell>
          <cell r="AE203">
            <v>0</v>
          </cell>
          <cell r="AF203">
            <v>0.35654008438818563</v>
          </cell>
          <cell r="AG203">
            <v>0.29957805907172996</v>
          </cell>
          <cell r="AH203">
            <v>0.16244725738396626</v>
          </cell>
          <cell r="AI203">
            <v>9.49367088607595E-2</v>
          </cell>
          <cell r="AJ203">
            <v>8.6497890295358648E-2</v>
          </cell>
          <cell r="AK203">
            <v>0</v>
          </cell>
          <cell r="AN203">
            <v>30.5</v>
          </cell>
          <cell r="AO203">
            <v>47.4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X203">
            <v>14.2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7.7</v>
          </cell>
          <cell r="BG203">
            <v>0</v>
          </cell>
          <cell r="BH203">
            <v>0</v>
          </cell>
          <cell r="BI203">
            <v>0</v>
          </cell>
          <cell r="BJ203">
            <v>0</v>
          </cell>
          <cell r="BK203">
            <v>0</v>
          </cell>
          <cell r="BL203">
            <v>0</v>
          </cell>
          <cell r="BM203">
            <v>0</v>
          </cell>
          <cell r="BN203">
            <v>4.5</v>
          </cell>
          <cell r="BO203">
            <v>0</v>
          </cell>
          <cell r="BP203">
            <v>0</v>
          </cell>
          <cell r="BQ203">
            <v>0</v>
          </cell>
          <cell r="BR203">
            <v>0</v>
          </cell>
          <cell r="BS203">
            <v>0</v>
          </cell>
          <cell r="BT203">
            <v>0</v>
          </cell>
          <cell r="BU203">
            <v>0</v>
          </cell>
          <cell r="BV203">
            <v>16.899999999999999</v>
          </cell>
          <cell r="BW203">
            <v>0</v>
          </cell>
          <cell r="BX203">
            <v>0</v>
          </cell>
          <cell r="BY203">
            <v>0</v>
          </cell>
          <cell r="BZ203">
            <v>0</v>
          </cell>
          <cell r="CA203">
            <v>0</v>
          </cell>
          <cell r="CB203">
            <v>0</v>
          </cell>
          <cell r="CC203">
            <v>0</v>
          </cell>
          <cell r="CD203">
            <v>4.0999999999999996</v>
          </cell>
          <cell r="CE203">
            <v>0</v>
          </cell>
          <cell r="CF203">
            <v>0</v>
          </cell>
          <cell r="CG203">
            <v>0</v>
          </cell>
          <cell r="CH203">
            <v>0</v>
          </cell>
          <cell r="CI203">
            <v>0</v>
          </cell>
          <cell r="CJ203">
            <v>0</v>
          </cell>
          <cell r="CK203">
            <v>0</v>
          </cell>
          <cell r="CL203">
            <v>47.4</v>
          </cell>
          <cell r="CM203">
            <v>0</v>
          </cell>
          <cell r="CN203">
            <v>0</v>
          </cell>
          <cell r="CO203">
            <v>0</v>
          </cell>
          <cell r="CP203">
            <v>0</v>
          </cell>
          <cell r="CQ203">
            <v>0</v>
          </cell>
          <cell r="CR203">
            <v>0</v>
          </cell>
          <cell r="CS203">
            <v>0</v>
          </cell>
          <cell r="CV203">
            <v>0</v>
          </cell>
          <cell r="CW203">
            <v>0</v>
          </cell>
          <cell r="CX203">
            <v>47.4</v>
          </cell>
          <cell r="CY203">
            <v>0</v>
          </cell>
          <cell r="CZ203">
            <v>0</v>
          </cell>
          <cell r="DA203">
            <v>0</v>
          </cell>
          <cell r="DD203">
            <v>1.7500000000000002E-2</v>
          </cell>
          <cell r="DE203">
            <v>3.3480818425022367E-2</v>
          </cell>
          <cell r="DF203">
            <v>3.6403596897279768E-2</v>
          </cell>
          <cell r="DG203">
            <v>2.7359447002183044E-2</v>
          </cell>
          <cell r="DH203">
            <v>2.1271739930554506E-2</v>
          </cell>
          <cell r="DI203">
            <v>1.7488046269090143E-2</v>
          </cell>
          <cell r="DJ203">
            <v>1.6109836658996537E-2</v>
          </cell>
          <cell r="DK203">
            <v>1.5909759691511063E-2</v>
          </cell>
          <cell r="DL203">
            <v>1.7890043747624564E-2</v>
          </cell>
          <cell r="DM203">
            <v>2.2968955667719698E-2</v>
          </cell>
          <cell r="DN203">
            <v>2.3977733484579183E-2</v>
          </cell>
          <cell r="DQ203">
            <v>-2.5464135021097049E-3</v>
          </cell>
          <cell r="DR203">
            <v>1.048523206751055E-2</v>
          </cell>
          <cell r="DS203">
            <v>7.4894514767932484E-3</v>
          </cell>
          <cell r="DT203">
            <v>-1.4978902953586498E-3</v>
          </cell>
          <cell r="DU203">
            <v>1.4978902953586498E-3</v>
          </cell>
          <cell r="DV203">
            <v>1.4978902953586498E-3</v>
          </cell>
          <cell r="DW203">
            <v>1.4978902953586498E-3</v>
          </cell>
          <cell r="DX203">
            <v>1.4978902953586498E-3</v>
          </cell>
          <cell r="DY203">
            <v>1.4978902953586498E-3</v>
          </cell>
          <cell r="DZ203">
            <v>1.4978902953586498E-3</v>
          </cell>
          <cell r="EA203">
            <v>1.4978902953586498E-3</v>
          </cell>
          <cell r="ED203">
            <v>0</v>
          </cell>
          <cell r="EE203">
            <v>-2.4367088607594937E-3</v>
          </cell>
          <cell r="EF203">
            <v>-8.1223628691983135E-4</v>
          </cell>
          <cell r="EG203">
            <v>4.0611814345991558E-3</v>
          </cell>
          <cell r="EH203">
            <v>4.0611814345991558E-3</v>
          </cell>
          <cell r="EI203">
            <v>4.0611814345991558E-3</v>
          </cell>
          <cell r="EJ203">
            <v>2.4367088607594937E-3</v>
          </cell>
          <cell r="EK203">
            <v>2.4367088607594937E-3</v>
          </cell>
          <cell r="EL203">
            <v>2.4367088607594937E-3</v>
          </cell>
          <cell r="EM203">
            <v>2.4367088607594937E-3</v>
          </cell>
          <cell r="EN203">
            <v>2.4367088607594937E-3</v>
          </cell>
          <cell r="EQ203">
            <v>2.6450024055035318E-3</v>
          </cell>
          <cell r="ER203">
            <v>2.8481012658227852E-3</v>
          </cell>
          <cell r="ES203">
            <v>2.8481012658227852E-3</v>
          </cell>
          <cell r="ET203">
            <v>3.3227848101265826E-3</v>
          </cell>
          <cell r="EU203">
            <v>3.3227848101265826E-3</v>
          </cell>
          <cell r="EV203">
            <v>3.3227848101265826E-3</v>
          </cell>
          <cell r="EW203">
            <v>3.3227848101265826E-3</v>
          </cell>
          <cell r="EX203">
            <v>3.3227848101265826E-3</v>
          </cell>
          <cell r="EY203">
            <v>3.3227848101265826E-3</v>
          </cell>
          <cell r="EZ203">
            <v>3.3227848101265826E-3</v>
          </cell>
          <cell r="FA203">
            <v>3.3227848101265826E-3</v>
          </cell>
          <cell r="FD203">
            <v>0</v>
          </cell>
          <cell r="FE203">
            <v>-1.2974683544303798E-3</v>
          </cell>
          <cell r="FF203">
            <v>-4.3248945147679327E-4</v>
          </cell>
          <cell r="FG203">
            <v>2.1624472573839662E-3</v>
          </cell>
          <cell r="FH203">
            <v>2.1624472573839662E-3</v>
          </cell>
          <cell r="FI203">
            <v>2.1624472573839662E-3</v>
          </cell>
          <cell r="FJ203">
            <v>1.2974683544303798E-3</v>
          </cell>
          <cell r="FK203">
            <v>1.2974683544303798E-3</v>
          </cell>
          <cell r="FL203">
            <v>1.2974683544303798E-3</v>
          </cell>
          <cell r="FM203">
            <v>1.2974683544303798E-3</v>
          </cell>
          <cell r="FN203">
            <v>1.2974683544303798E-3</v>
          </cell>
          <cell r="FQ203">
            <v>9.8588903393826907E-5</v>
          </cell>
          <cell r="FR203">
            <v>9.5991561181434613E-3</v>
          </cell>
          <cell r="FS203">
            <v>9.0928270042194091E-3</v>
          </cell>
          <cell r="FT203">
            <v>8.0485232067510556E-3</v>
          </cell>
          <cell r="FU203">
            <v>1.1044303797468354E-2</v>
          </cell>
          <cell r="FV203">
            <v>1.1044303797468354E-2</v>
          </cell>
          <cell r="FW203">
            <v>8.5548523206751062E-3</v>
          </cell>
          <cell r="FX203">
            <v>8.5548523206751062E-3</v>
          </cell>
          <cell r="FY203">
            <v>8.5548523206751062E-3</v>
          </cell>
          <cell r="FZ203">
            <v>8.5548523206751062E-3</v>
          </cell>
          <cell r="GA203">
            <v>8.5548523206751062E-3</v>
          </cell>
          <cell r="GD203">
            <v>1.2279576671018149E-2</v>
          </cell>
          <cell r="GE203">
            <v>2.6316319732958695E-2</v>
          </cell>
          <cell r="GF203">
            <v>2.8210365929361658E-2</v>
          </cell>
          <cell r="GG203">
            <v>2.1566169863553447E-2</v>
          </cell>
          <cell r="GH203">
            <v>1.820350909062866E-2</v>
          </cell>
          <cell r="GI203">
            <v>1.5554923527603605E-2</v>
          </cell>
          <cell r="GJ203">
            <v>1.3843341357500106E-2</v>
          </cell>
          <cell r="GK203">
            <v>1.3703287480260276E-2</v>
          </cell>
          <cell r="GL203">
            <v>1.5089486319539725E-2</v>
          </cell>
          <cell r="GM203">
            <v>1.8644724663606321E-2</v>
          </cell>
          <cell r="GN203">
            <v>1.9350869135407959E-2</v>
          </cell>
        </row>
        <row r="204">
          <cell r="B204" t="str">
            <v>Jesmond</v>
          </cell>
          <cell r="C204" t="str">
            <v>31/6/2001</v>
          </cell>
          <cell r="D204">
            <v>1</v>
          </cell>
          <cell r="E204" t="str">
            <v>Sub Regional</v>
          </cell>
          <cell r="F204" t="str">
            <v>NSW</v>
          </cell>
          <cell r="G204">
            <v>46.5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7.944</v>
          </cell>
          <cell r="M204">
            <v>0</v>
          </cell>
          <cell r="N204">
            <v>0</v>
          </cell>
          <cell r="O204">
            <v>7.944</v>
          </cell>
          <cell r="P204">
            <v>0</v>
          </cell>
          <cell r="Q204">
            <v>0</v>
          </cell>
          <cell r="R204">
            <v>5.0220000000000002</v>
          </cell>
          <cell r="S204">
            <v>0</v>
          </cell>
          <cell r="T204">
            <v>3.0529999999999999</v>
          </cell>
          <cell r="U204">
            <v>0</v>
          </cell>
          <cell r="V204">
            <v>1.9690000000000001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8.4340000000000011</v>
          </cell>
          <cell r="AD204">
            <v>0</v>
          </cell>
          <cell r="AE204">
            <v>911</v>
          </cell>
          <cell r="AF204">
            <v>0.39411214953271029</v>
          </cell>
          <cell r="AG204">
            <v>0</v>
          </cell>
          <cell r="AH204">
            <v>0.37121495327102799</v>
          </cell>
          <cell r="AI204">
            <v>0.23467289719626166</v>
          </cell>
          <cell r="AJ204">
            <v>0</v>
          </cell>
          <cell r="AK204">
            <v>0</v>
          </cell>
          <cell r="AN204">
            <v>12.966000000000001</v>
          </cell>
          <cell r="AO204">
            <v>21.400000000000002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  <cell r="BP204">
            <v>0</v>
          </cell>
          <cell r="BQ204">
            <v>0</v>
          </cell>
          <cell r="BR204">
            <v>0</v>
          </cell>
          <cell r="BS204">
            <v>0</v>
          </cell>
          <cell r="BT204">
            <v>0</v>
          </cell>
          <cell r="BU204">
            <v>0</v>
          </cell>
          <cell r="BV204">
            <v>0</v>
          </cell>
          <cell r="BW204">
            <v>0</v>
          </cell>
          <cell r="BX204">
            <v>0</v>
          </cell>
          <cell r="BY204">
            <v>0</v>
          </cell>
          <cell r="BZ204">
            <v>0</v>
          </cell>
          <cell r="CA204">
            <v>0</v>
          </cell>
          <cell r="CB204">
            <v>0</v>
          </cell>
          <cell r="CC204">
            <v>0</v>
          </cell>
          <cell r="CD204">
            <v>0</v>
          </cell>
          <cell r="CE204">
            <v>0</v>
          </cell>
          <cell r="CF204">
            <v>0</v>
          </cell>
          <cell r="CG204">
            <v>0</v>
          </cell>
          <cell r="CH204">
            <v>0</v>
          </cell>
          <cell r="CI204">
            <v>0</v>
          </cell>
          <cell r="CJ204">
            <v>0</v>
          </cell>
          <cell r="CK204">
            <v>0</v>
          </cell>
          <cell r="CL204">
            <v>0</v>
          </cell>
          <cell r="CM204">
            <v>0</v>
          </cell>
          <cell r="CN204">
            <v>0</v>
          </cell>
          <cell r="CO204">
            <v>0</v>
          </cell>
          <cell r="CP204">
            <v>0</v>
          </cell>
          <cell r="CQ204">
            <v>0</v>
          </cell>
          <cell r="CR204">
            <v>0</v>
          </cell>
          <cell r="CS204">
            <v>0</v>
          </cell>
          <cell r="CV204">
            <v>0</v>
          </cell>
          <cell r="CW204">
            <v>0</v>
          </cell>
          <cell r="CX204">
            <v>0</v>
          </cell>
          <cell r="CY204">
            <v>0</v>
          </cell>
          <cell r="CZ204">
            <v>0</v>
          </cell>
          <cell r="DA204">
            <v>0</v>
          </cell>
          <cell r="DD204">
            <v>0</v>
          </cell>
          <cell r="DE204">
            <v>0</v>
          </cell>
          <cell r="DF204">
            <v>0</v>
          </cell>
          <cell r="DG204">
            <v>0</v>
          </cell>
          <cell r="DH204">
            <v>0</v>
          </cell>
          <cell r="DI204">
            <v>0</v>
          </cell>
          <cell r="DJ204">
            <v>0</v>
          </cell>
          <cell r="DK204">
            <v>0</v>
          </cell>
          <cell r="DL204">
            <v>0</v>
          </cell>
          <cell r="DM204">
            <v>0</v>
          </cell>
          <cell r="DN204">
            <v>0</v>
          </cell>
          <cell r="DQ204">
            <v>0</v>
          </cell>
          <cell r="DR204">
            <v>0</v>
          </cell>
          <cell r="DS204">
            <v>0</v>
          </cell>
          <cell r="DT204">
            <v>0</v>
          </cell>
          <cell r="DU204">
            <v>0</v>
          </cell>
          <cell r="DV204">
            <v>0</v>
          </cell>
          <cell r="DW204">
            <v>0</v>
          </cell>
          <cell r="DX204">
            <v>0</v>
          </cell>
          <cell r="DY204">
            <v>0</v>
          </cell>
          <cell r="DZ204">
            <v>0</v>
          </cell>
          <cell r="EA204">
            <v>0</v>
          </cell>
          <cell r="ED204">
            <v>0</v>
          </cell>
          <cell r="EE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J204">
            <v>0</v>
          </cell>
          <cell r="EK204">
            <v>0</v>
          </cell>
          <cell r="EL204">
            <v>0</v>
          </cell>
          <cell r="EM204">
            <v>0</v>
          </cell>
          <cell r="EN204">
            <v>0</v>
          </cell>
          <cell r="EQ204">
            <v>0</v>
          </cell>
          <cell r="ER204">
            <v>0</v>
          </cell>
          <cell r="ES204">
            <v>0</v>
          </cell>
          <cell r="ET204">
            <v>0</v>
          </cell>
          <cell r="EU204">
            <v>0</v>
          </cell>
          <cell r="EV204">
            <v>0</v>
          </cell>
          <cell r="EW204">
            <v>0</v>
          </cell>
          <cell r="EX204">
            <v>0</v>
          </cell>
          <cell r="EY204">
            <v>0</v>
          </cell>
          <cell r="EZ204">
            <v>0</v>
          </cell>
          <cell r="FA204">
            <v>0</v>
          </cell>
          <cell r="FD204">
            <v>0</v>
          </cell>
          <cell r="FE204">
            <v>0</v>
          </cell>
          <cell r="FF204">
            <v>0</v>
          </cell>
          <cell r="FG204">
            <v>0</v>
          </cell>
          <cell r="FH204">
            <v>0</v>
          </cell>
          <cell r="FI204">
            <v>0</v>
          </cell>
          <cell r="FJ204">
            <v>0</v>
          </cell>
          <cell r="FK204">
            <v>0</v>
          </cell>
          <cell r="FL204">
            <v>0</v>
          </cell>
          <cell r="FM204">
            <v>0</v>
          </cell>
          <cell r="FN204">
            <v>0</v>
          </cell>
          <cell r="FQ204">
            <v>0</v>
          </cell>
          <cell r="FR204">
            <v>0</v>
          </cell>
          <cell r="FS204">
            <v>0</v>
          </cell>
          <cell r="FT204">
            <v>0</v>
          </cell>
          <cell r="FU204">
            <v>0</v>
          </cell>
          <cell r="FV204">
            <v>0</v>
          </cell>
          <cell r="FW204">
            <v>0</v>
          </cell>
          <cell r="FX204">
            <v>0</v>
          </cell>
          <cell r="FY204">
            <v>0</v>
          </cell>
          <cell r="FZ204">
            <v>0</v>
          </cell>
          <cell r="GA204">
            <v>0</v>
          </cell>
          <cell r="GD204">
            <v>0</v>
          </cell>
          <cell r="GE204">
            <v>0</v>
          </cell>
          <cell r="GF204">
            <v>0</v>
          </cell>
          <cell r="GG204">
            <v>0</v>
          </cell>
          <cell r="GH204">
            <v>0</v>
          </cell>
          <cell r="GI204">
            <v>0</v>
          </cell>
          <cell r="GJ204">
            <v>0</v>
          </cell>
          <cell r="GK204">
            <v>0</v>
          </cell>
          <cell r="GL204">
            <v>0</v>
          </cell>
          <cell r="GM204">
            <v>0</v>
          </cell>
          <cell r="GN204">
            <v>0</v>
          </cell>
        </row>
        <row r="205">
          <cell r="B205" t="str">
            <v>Glendale</v>
          </cell>
          <cell r="C205" t="str">
            <v>31/6/2001</v>
          </cell>
          <cell r="D205">
            <v>1</v>
          </cell>
          <cell r="E205" t="str">
            <v>Regional</v>
          </cell>
          <cell r="F205" t="str">
            <v>NSW</v>
          </cell>
          <cell r="G205">
            <v>196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12.159000000000001</v>
          </cell>
          <cell r="M205">
            <v>0</v>
          </cell>
          <cell r="N205">
            <v>10.972000000000001</v>
          </cell>
          <cell r="O205">
            <v>0</v>
          </cell>
          <cell r="P205">
            <v>0</v>
          </cell>
          <cell r="Q205">
            <v>1.1870000000000001</v>
          </cell>
          <cell r="R205">
            <v>10.061</v>
          </cell>
          <cell r="S205">
            <v>5.109</v>
          </cell>
          <cell r="T205">
            <v>4.952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3</v>
          </cell>
          <cell r="Z205">
            <v>0</v>
          </cell>
          <cell r="AA205">
            <v>0</v>
          </cell>
          <cell r="AB205">
            <v>0</v>
          </cell>
          <cell r="AC205">
            <v>15.49</v>
          </cell>
          <cell r="AD205">
            <v>0</v>
          </cell>
          <cell r="AE205">
            <v>2200</v>
          </cell>
          <cell r="AF205">
            <v>0.38049619258167527</v>
          </cell>
          <cell r="AG205">
            <v>0</v>
          </cell>
          <cell r="AH205">
            <v>0.29867354458364037</v>
          </cell>
          <cell r="AI205">
            <v>0.24713829525915007</v>
          </cell>
          <cell r="AJ205">
            <v>7.369196757553427E-2</v>
          </cell>
          <cell r="AK205">
            <v>0</v>
          </cell>
          <cell r="AN205">
            <v>25.22</v>
          </cell>
          <cell r="AO205">
            <v>40.71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0</v>
          </cell>
          <cell r="BJ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P205">
            <v>0</v>
          </cell>
          <cell r="BQ205">
            <v>0</v>
          </cell>
          <cell r="BR205">
            <v>0</v>
          </cell>
          <cell r="BS205">
            <v>0</v>
          </cell>
          <cell r="BT205">
            <v>0</v>
          </cell>
          <cell r="BU205">
            <v>0</v>
          </cell>
          <cell r="BV205">
            <v>0</v>
          </cell>
          <cell r="BW205">
            <v>0</v>
          </cell>
          <cell r="BX205">
            <v>0</v>
          </cell>
          <cell r="BY205">
            <v>0</v>
          </cell>
          <cell r="BZ205">
            <v>0</v>
          </cell>
          <cell r="CA205">
            <v>0</v>
          </cell>
          <cell r="CB205">
            <v>0</v>
          </cell>
          <cell r="CC205">
            <v>0</v>
          </cell>
          <cell r="CD205">
            <v>0</v>
          </cell>
          <cell r="CE205">
            <v>0</v>
          </cell>
          <cell r="CF205">
            <v>0</v>
          </cell>
          <cell r="CG205">
            <v>0</v>
          </cell>
          <cell r="CH205">
            <v>0</v>
          </cell>
          <cell r="CI205">
            <v>0</v>
          </cell>
          <cell r="CJ205">
            <v>0</v>
          </cell>
          <cell r="CK205">
            <v>0</v>
          </cell>
          <cell r="CL205">
            <v>0</v>
          </cell>
          <cell r="CM205">
            <v>0</v>
          </cell>
          <cell r="CN205">
            <v>0</v>
          </cell>
          <cell r="CO205">
            <v>0</v>
          </cell>
          <cell r="CP205">
            <v>0</v>
          </cell>
          <cell r="CQ205">
            <v>0</v>
          </cell>
          <cell r="CR205">
            <v>0</v>
          </cell>
          <cell r="CS205">
            <v>0</v>
          </cell>
          <cell r="CV205">
            <v>0</v>
          </cell>
          <cell r="CW205">
            <v>0</v>
          </cell>
          <cell r="CX205">
            <v>0</v>
          </cell>
          <cell r="CY205">
            <v>0</v>
          </cell>
          <cell r="CZ205">
            <v>0</v>
          </cell>
          <cell r="DA205">
            <v>0</v>
          </cell>
          <cell r="DD205">
            <v>0</v>
          </cell>
          <cell r="DE205">
            <v>0</v>
          </cell>
          <cell r="DF205">
            <v>0</v>
          </cell>
          <cell r="DG205">
            <v>0</v>
          </cell>
          <cell r="DH205">
            <v>0</v>
          </cell>
          <cell r="DI205">
            <v>0</v>
          </cell>
          <cell r="DJ205">
            <v>0</v>
          </cell>
          <cell r="DK205">
            <v>0</v>
          </cell>
          <cell r="DL205">
            <v>0</v>
          </cell>
          <cell r="DM205">
            <v>0</v>
          </cell>
          <cell r="DN205">
            <v>0</v>
          </cell>
          <cell r="DQ205">
            <v>0</v>
          </cell>
          <cell r="DR205">
            <v>0</v>
          </cell>
          <cell r="DS205">
            <v>0</v>
          </cell>
          <cell r="DT205">
            <v>0</v>
          </cell>
          <cell r="DU205">
            <v>0</v>
          </cell>
          <cell r="DV205">
            <v>0</v>
          </cell>
          <cell r="DW205">
            <v>0</v>
          </cell>
          <cell r="DX205">
            <v>0</v>
          </cell>
          <cell r="DY205">
            <v>0</v>
          </cell>
          <cell r="DZ205">
            <v>0</v>
          </cell>
          <cell r="EA205">
            <v>0</v>
          </cell>
          <cell r="ED205">
            <v>0</v>
          </cell>
          <cell r="EE205">
            <v>0</v>
          </cell>
          <cell r="EF205">
            <v>0</v>
          </cell>
          <cell r="EG205">
            <v>0</v>
          </cell>
          <cell r="EH205">
            <v>0</v>
          </cell>
          <cell r="EI205">
            <v>0</v>
          </cell>
          <cell r="EJ205">
            <v>0</v>
          </cell>
          <cell r="EK205">
            <v>0</v>
          </cell>
          <cell r="EL205">
            <v>0</v>
          </cell>
          <cell r="EM205">
            <v>0</v>
          </cell>
          <cell r="EN205">
            <v>0</v>
          </cell>
          <cell r="EQ205">
            <v>0</v>
          </cell>
          <cell r="ER205">
            <v>0</v>
          </cell>
          <cell r="ES205">
            <v>0</v>
          </cell>
          <cell r="ET205">
            <v>0</v>
          </cell>
          <cell r="EU205">
            <v>0</v>
          </cell>
          <cell r="EV205">
            <v>0</v>
          </cell>
          <cell r="EW205">
            <v>0</v>
          </cell>
          <cell r="EX205">
            <v>0</v>
          </cell>
          <cell r="EY205">
            <v>0</v>
          </cell>
          <cell r="EZ205">
            <v>0</v>
          </cell>
          <cell r="FA205">
            <v>0</v>
          </cell>
          <cell r="FD205">
            <v>0</v>
          </cell>
          <cell r="FE205">
            <v>0</v>
          </cell>
          <cell r="FF205">
            <v>0</v>
          </cell>
          <cell r="FG205">
            <v>0</v>
          </cell>
          <cell r="FH205">
            <v>0</v>
          </cell>
          <cell r="FI205">
            <v>0</v>
          </cell>
          <cell r="FJ205">
            <v>0</v>
          </cell>
          <cell r="FK205">
            <v>0</v>
          </cell>
          <cell r="FL205">
            <v>0</v>
          </cell>
          <cell r="FM205">
            <v>0</v>
          </cell>
          <cell r="FN205">
            <v>0</v>
          </cell>
          <cell r="FQ205">
            <v>0</v>
          </cell>
          <cell r="FR205">
            <v>0</v>
          </cell>
          <cell r="FS205">
            <v>0</v>
          </cell>
          <cell r="FT205">
            <v>0</v>
          </cell>
          <cell r="FU205">
            <v>0</v>
          </cell>
          <cell r="FV205">
            <v>0</v>
          </cell>
          <cell r="FW205">
            <v>0</v>
          </cell>
          <cell r="FX205">
            <v>0</v>
          </cell>
          <cell r="FY205">
            <v>0</v>
          </cell>
          <cell r="FZ205">
            <v>0</v>
          </cell>
          <cell r="GA205">
            <v>0</v>
          </cell>
          <cell r="GD205">
            <v>0</v>
          </cell>
          <cell r="GE205">
            <v>0</v>
          </cell>
          <cell r="GF205">
            <v>0</v>
          </cell>
          <cell r="GG205">
            <v>0</v>
          </cell>
          <cell r="GH205">
            <v>0</v>
          </cell>
          <cell r="GI205">
            <v>0</v>
          </cell>
          <cell r="GJ205">
            <v>0</v>
          </cell>
          <cell r="GK205">
            <v>0</v>
          </cell>
          <cell r="GL205">
            <v>0</v>
          </cell>
          <cell r="GM205">
            <v>0</v>
          </cell>
          <cell r="GN205">
            <v>0</v>
          </cell>
        </row>
        <row r="206">
          <cell r="B206" t="str">
            <v>Imperial Arcade</v>
          </cell>
          <cell r="C206" t="str">
            <v>31/6/2001</v>
          </cell>
          <cell r="D206">
            <v>1</v>
          </cell>
          <cell r="E206" t="str">
            <v>Neighbourhood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3.2560000000000002</v>
          </cell>
          <cell r="Z206">
            <v>0</v>
          </cell>
          <cell r="AA206">
            <v>0</v>
          </cell>
          <cell r="AB206">
            <v>0</v>
          </cell>
          <cell r="AC206">
            <v>3.444</v>
          </cell>
          <cell r="AD206">
            <v>0</v>
          </cell>
          <cell r="AE206">
            <v>0</v>
          </cell>
          <cell r="AF206">
            <v>0.51402985074626861</v>
          </cell>
          <cell r="AG206">
            <v>0</v>
          </cell>
          <cell r="AH206">
            <v>0</v>
          </cell>
          <cell r="AI206">
            <v>0</v>
          </cell>
          <cell r="AJ206">
            <v>0.48597014925373139</v>
          </cell>
          <cell r="AK206">
            <v>0</v>
          </cell>
          <cell r="AN206">
            <v>3.2560000000000002</v>
          </cell>
          <cell r="AO206">
            <v>6.7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0</v>
          </cell>
          <cell r="BJ206">
            <v>0</v>
          </cell>
          <cell r="BK206">
            <v>0</v>
          </cell>
          <cell r="BL206">
            <v>0</v>
          </cell>
          <cell r="BM206">
            <v>0</v>
          </cell>
          <cell r="BN206">
            <v>0</v>
          </cell>
          <cell r="BO206">
            <v>0</v>
          </cell>
          <cell r="BP206">
            <v>0</v>
          </cell>
          <cell r="BQ206">
            <v>0</v>
          </cell>
          <cell r="BR206">
            <v>0</v>
          </cell>
          <cell r="BS206">
            <v>0</v>
          </cell>
          <cell r="BT206">
            <v>0</v>
          </cell>
          <cell r="BU206">
            <v>0</v>
          </cell>
          <cell r="BV206">
            <v>0</v>
          </cell>
          <cell r="BW206">
            <v>0</v>
          </cell>
          <cell r="BX206">
            <v>0</v>
          </cell>
          <cell r="BY206">
            <v>0</v>
          </cell>
          <cell r="BZ206">
            <v>0</v>
          </cell>
          <cell r="CA206">
            <v>0</v>
          </cell>
          <cell r="CB206">
            <v>0</v>
          </cell>
          <cell r="CC206">
            <v>0</v>
          </cell>
          <cell r="CD206">
            <v>0</v>
          </cell>
          <cell r="CE206">
            <v>0</v>
          </cell>
          <cell r="CF206">
            <v>0</v>
          </cell>
          <cell r="CG206">
            <v>0</v>
          </cell>
          <cell r="CH206">
            <v>0</v>
          </cell>
          <cell r="CI206">
            <v>0</v>
          </cell>
          <cell r="CJ206">
            <v>0</v>
          </cell>
          <cell r="CK206">
            <v>0</v>
          </cell>
          <cell r="CL206">
            <v>0</v>
          </cell>
          <cell r="CM206">
            <v>0</v>
          </cell>
          <cell r="CN206">
            <v>0</v>
          </cell>
          <cell r="CO206">
            <v>0</v>
          </cell>
          <cell r="CP206">
            <v>0</v>
          </cell>
          <cell r="CQ206">
            <v>0</v>
          </cell>
          <cell r="CR206">
            <v>0</v>
          </cell>
          <cell r="CS206">
            <v>0</v>
          </cell>
          <cell r="CV206">
            <v>0</v>
          </cell>
          <cell r="CW206">
            <v>0</v>
          </cell>
          <cell r="CX206">
            <v>0</v>
          </cell>
          <cell r="CY206">
            <v>0</v>
          </cell>
          <cell r="CZ206">
            <v>0</v>
          </cell>
          <cell r="DA206">
            <v>0</v>
          </cell>
          <cell r="DD206">
            <v>0</v>
          </cell>
          <cell r="DE206">
            <v>0</v>
          </cell>
          <cell r="DF206">
            <v>0</v>
          </cell>
          <cell r="DG206">
            <v>0</v>
          </cell>
          <cell r="DH206">
            <v>0</v>
          </cell>
          <cell r="DI206">
            <v>0</v>
          </cell>
          <cell r="DJ206">
            <v>0</v>
          </cell>
          <cell r="DK206">
            <v>0</v>
          </cell>
          <cell r="DL206">
            <v>0</v>
          </cell>
          <cell r="DM206">
            <v>0</v>
          </cell>
          <cell r="DN206">
            <v>0</v>
          </cell>
          <cell r="DQ206">
            <v>0</v>
          </cell>
          <cell r="DR206">
            <v>0</v>
          </cell>
          <cell r="DS206">
            <v>0</v>
          </cell>
          <cell r="DT206">
            <v>0</v>
          </cell>
          <cell r="DU206">
            <v>0</v>
          </cell>
          <cell r="DV206">
            <v>0</v>
          </cell>
          <cell r="DW206">
            <v>0</v>
          </cell>
          <cell r="DX206">
            <v>0</v>
          </cell>
          <cell r="DY206">
            <v>0</v>
          </cell>
          <cell r="DZ206">
            <v>0</v>
          </cell>
          <cell r="EA206">
            <v>0</v>
          </cell>
          <cell r="ED206">
            <v>0</v>
          </cell>
          <cell r="EE206">
            <v>0</v>
          </cell>
          <cell r="EF206">
            <v>0</v>
          </cell>
          <cell r="EG206">
            <v>0</v>
          </cell>
          <cell r="EH206">
            <v>0</v>
          </cell>
          <cell r="EI206">
            <v>0</v>
          </cell>
          <cell r="EJ206">
            <v>0</v>
          </cell>
          <cell r="EK206">
            <v>0</v>
          </cell>
          <cell r="EL206">
            <v>0</v>
          </cell>
          <cell r="EM206">
            <v>0</v>
          </cell>
          <cell r="EN206">
            <v>0</v>
          </cell>
          <cell r="EQ206">
            <v>0</v>
          </cell>
          <cell r="ER206">
            <v>0</v>
          </cell>
          <cell r="ES206">
            <v>0</v>
          </cell>
          <cell r="ET206">
            <v>0</v>
          </cell>
          <cell r="EU206">
            <v>0</v>
          </cell>
          <cell r="EV206">
            <v>0</v>
          </cell>
          <cell r="EW206">
            <v>0</v>
          </cell>
          <cell r="EX206">
            <v>0</v>
          </cell>
          <cell r="EY206">
            <v>0</v>
          </cell>
          <cell r="EZ206">
            <v>0</v>
          </cell>
          <cell r="FA206">
            <v>0</v>
          </cell>
          <cell r="FD206">
            <v>0</v>
          </cell>
          <cell r="FE206">
            <v>0</v>
          </cell>
          <cell r="FF206">
            <v>0</v>
          </cell>
          <cell r="FG206">
            <v>0</v>
          </cell>
          <cell r="FH206">
            <v>0</v>
          </cell>
          <cell r="FI206">
            <v>0</v>
          </cell>
          <cell r="FJ206">
            <v>0</v>
          </cell>
          <cell r="FK206">
            <v>0</v>
          </cell>
          <cell r="FL206">
            <v>0</v>
          </cell>
          <cell r="FM206">
            <v>0</v>
          </cell>
          <cell r="FN206">
            <v>0</v>
          </cell>
          <cell r="FQ206">
            <v>0</v>
          </cell>
          <cell r="FR206">
            <v>0</v>
          </cell>
          <cell r="FS206">
            <v>0</v>
          </cell>
          <cell r="FT206">
            <v>0</v>
          </cell>
          <cell r="FU206">
            <v>0</v>
          </cell>
          <cell r="FV206">
            <v>0</v>
          </cell>
          <cell r="FW206">
            <v>0</v>
          </cell>
          <cell r="FX206">
            <v>0</v>
          </cell>
          <cell r="FY206">
            <v>0</v>
          </cell>
          <cell r="FZ206">
            <v>0</v>
          </cell>
          <cell r="GA206">
            <v>0</v>
          </cell>
          <cell r="GD206">
            <v>0</v>
          </cell>
          <cell r="GE206">
            <v>0</v>
          </cell>
          <cell r="GF206">
            <v>0</v>
          </cell>
          <cell r="GG206">
            <v>0</v>
          </cell>
          <cell r="GH206">
            <v>0</v>
          </cell>
          <cell r="GI206">
            <v>0</v>
          </cell>
          <cell r="GJ206">
            <v>0</v>
          </cell>
          <cell r="GK206">
            <v>0</v>
          </cell>
          <cell r="GL206">
            <v>0</v>
          </cell>
          <cell r="GM206">
            <v>0</v>
          </cell>
          <cell r="GN206">
            <v>0</v>
          </cell>
        </row>
        <row r="212">
          <cell r="B212" t="str">
            <v>Baulkham Hills</v>
          </cell>
          <cell r="C212" t="str">
            <v>31/6/2001</v>
          </cell>
          <cell r="D212">
            <v>1</v>
          </cell>
          <cell r="E212" t="str">
            <v>Sub Regional</v>
          </cell>
          <cell r="F212" t="str">
            <v>NSW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4.9720000000000004</v>
          </cell>
          <cell r="S212">
            <v>0</v>
          </cell>
          <cell r="T212">
            <v>3.3170000000000002</v>
          </cell>
          <cell r="U212">
            <v>0</v>
          </cell>
          <cell r="V212">
            <v>1.655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6.6979999999999995</v>
          </cell>
          <cell r="AD212">
            <v>0</v>
          </cell>
          <cell r="AE212">
            <v>550</v>
          </cell>
          <cell r="AF212">
            <v>0.57395029991431012</v>
          </cell>
          <cell r="AG212">
            <v>0</v>
          </cell>
          <cell r="AH212">
            <v>0</v>
          </cell>
          <cell r="AI212">
            <v>0.42604970008568982</v>
          </cell>
          <cell r="AJ212">
            <v>0</v>
          </cell>
          <cell r="AK212">
            <v>0</v>
          </cell>
          <cell r="AN212">
            <v>4.9720000000000004</v>
          </cell>
          <cell r="AO212">
            <v>11.67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0</v>
          </cell>
          <cell r="BJ212">
            <v>0</v>
          </cell>
          <cell r="BK212">
            <v>0</v>
          </cell>
          <cell r="BL212">
            <v>0</v>
          </cell>
          <cell r="BM212">
            <v>0</v>
          </cell>
          <cell r="BN212">
            <v>0</v>
          </cell>
          <cell r="BO212">
            <v>4.9720000000000004</v>
          </cell>
          <cell r="BP212">
            <v>0</v>
          </cell>
          <cell r="BQ212">
            <v>0</v>
          </cell>
          <cell r="BR212">
            <v>0</v>
          </cell>
          <cell r="BS212">
            <v>0</v>
          </cell>
          <cell r="BT212">
            <v>0</v>
          </cell>
          <cell r="BU212">
            <v>0</v>
          </cell>
          <cell r="BV212">
            <v>0</v>
          </cell>
          <cell r="BW212">
            <v>6.6979999999999995</v>
          </cell>
          <cell r="BX212">
            <v>0</v>
          </cell>
          <cell r="BY212">
            <v>0</v>
          </cell>
          <cell r="BZ212">
            <v>0</v>
          </cell>
          <cell r="CA212">
            <v>0</v>
          </cell>
          <cell r="CB212">
            <v>0</v>
          </cell>
          <cell r="CC212">
            <v>0</v>
          </cell>
          <cell r="CD212">
            <v>0</v>
          </cell>
          <cell r="CE212">
            <v>0</v>
          </cell>
          <cell r="CF212">
            <v>0</v>
          </cell>
          <cell r="CG212">
            <v>0</v>
          </cell>
          <cell r="CH212">
            <v>0</v>
          </cell>
          <cell r="CI212">
            <v>0</v>
          </cell>
          <cell r="CJ212">
            <v>0</v>
          </cell>
          <cell r="CK212">
            <v>0</v>
          </cell>
          <cell r="CL212">
            <v>0</v>
          </cell>
          <cell r="CM212">
            <v>11.67</v>
          </cell>
          <cell r="CN212">
            <v>0</v>
          </cell>
          <cell r="CO212">
            <v>0</v>
          </cell>
          <cell r="CP212">
            <v>0</v>
          </cell>
          <cell r="CQ212">
            <v>0</v>
          </cell>
          <cell r="CR212">
            <v>0</v>
          </cell>
          <cell r="CS212">
            <v>0</v>
          </cell>
          <cell r="CV212">
            <v>0</v>
          </cell>
          <cell r="CW212">
            <v>0</v>
          </cell>
          <cell r="CX212">
            <v>0</v>
          </cell>
          <cell r="CY212">
            <v>11.67</v>
          </cell>
          <cell r="CZ212">
            <v>0</v>
          </cell>
          <cell r="DA212">
            <v>0</v>
          </cell>
          <cell r="DD212">
            <v>3.2500000000000001E-2</v>
          </cell>
          <cell r="DE212">
            <v>4.3480818425022362E-2</v>
          </cell>
          <cell r="DF212">
            <v>5.1403596897279767E-2</v>
          </cell>
          <cell r="DG212">
            <v>3.7359447002183042E-2</v>
          </cell>
          <cell r="DH212">
            <v>3.1271739930554508E-2</v>
          </cell>
          <cell r="DI212">
            <v>2.7488046269090145E-2</v>
          </cell>
          <cell r="DJ212">
            <v>2.6109836658996539E-2</v>
          </cell>
          <cell r="DK212">
            <v>2.5909759691511065E-2</v>
          </cell>
          <cell r="DL212">
            <v>2.7890043747624566E-2</v>
          </cell>
          <cell r="DM212">
            <v>3.29689556677197E-2</v>
          </cell>
          <cell r="DN212">
            <v>3.3977733484579185E-2</v>
          </cell>
          <cell r="DQ212">
            <v>0</v>
          </cell>
          <cell r="DR212">
            <v>0</v>
          </cell>
          <cell r="DS212">
            <v>0</v>
          </cell>
          <cell r="DT212">
            <v>0</v>
          </cell>
          <cell r="DU212">
            <v>0</v>
          </cell>
          <cell r="DV212">
            <v>0</v>
          </cell>
          <cell r="DW212">
            <v>0</v>
          </cell>
          <cell r="DX212">
            <v>0</v>
          </cell>
          <cell r="DY212">
            <v>0</v>
          </cell>
          <cell r="DZ212">
            <v>0</v>
          </cell>
          <cell r="EA212">
            <v>0</v>
          </cell>
          <cell r="ED212">
            <v>0</v>
          </cell>
          <cell r="EE212">
            <v>0</v>
          </cell>
          <cell r="EF212">
            <v>0</v>
          </cell>
          <cell r="EG212">
            <v>0</v>
          </cell>
          <cell r="EH212">
            <v>0</v>
          </cell>
          <cell r="EI212">
            <v>0</v>
          </cell>
          <cell r="EJ212">
            <v>0</v>
          </cell>
          <cell r="EK212">
            <v>0</v>
          </cell>
          <cell r="EL212">
            <v>0</v>
          </cell>
          <cell r="EM212">
            <v>0</v>
          </cell>
          <cell r="EN212">
            <v>0</v>
          </cell>
          <cell r="EQ212">
            <v>1.8260784974040802E-2</v>
          </cell>
          <cell r="ER212">
            <v>1.7041988003427593E-2</v>
          </cell>
          <cell r="ES212">
            <v>1.9172236503856042E-2</v>
          </cell>
          <cell r="ET212">
            <v>1.9172236503856042E-2</v>
          </cell>
          <cell r="EU212">
            <v>1.9172236503856042E-2</v>
          </cell>
          <cell r="EV212">
            <v>1.9172236503856042E-2</v>
          </cell>
          <cell r="EW212">
            <v>1.9172236503856042E-2</v>
          </cell>
          <cell r="EX212">
            <v>1.9172236503856042E-2</v>
          </cell>
          <cell r="EY212">
            <v>1.9172236503856042E-2</v>
          </cell>
          <cell r="EZ212">
            <v>1.9172236503856042E-2</v>
          </cell>
          <cell r="FA212">
            <v>1.9172236503856042E-2</v>
          </cell>
          <cell r="FD212">
            <v>0</v>
          </cell>
          <cell r="FE212">
            <v>0</v>
          </cell>
          <cell r="FF212">
            <v>0</v>
          </cell>
          <cell r="FG212">
            <v>0</v>
          </cell>
          <cell r="FH212">
            <v>0</v>
          </cell>
          <cell r="FI212">
            <v>0</v>
          </cell>
          <cell r="FJ212">
            <v>0</v>
          </cell>
          <cell r="FK212">
            <v>0</v>
          </cell>
          <cell r="FL212">
            <v>0</v>
          </cell>
          <cell r="FM212">
            <v>0</v>
          </cell>
          <cell r="FN212">
            <v>0</v>
          </cell>
          <cell r="FQ212">
            <v>1.8260784974040802E-2</v>
          </cell>
          <cell r="FR212">
            <v>1.7041988003427593E-2</v>
          </cell>
          <cell r="FS212">
            <v>1.9172236503856042E-2</v>
          </cell>
          <cell r="FT212">
            <v>1.9172236503856042E-2</v>
          </cell>
          <cell r="FU212">
            <v>1.9172236503856042E-2</v>
          </cell>
          <cell r="FV212">
            <v>1.9172236503856042E-2</v>
          </cell>
          <cell r="FW212">
            <v>1.9172236503856042E-2</v>
          </cell>
          <cell r="FX212">
            <v>1.9172236503856042E-2</v>
          </cell>
          <cell r="FY212">
            <v>1.9172236503856042E-2</v>
          </cell>
          <cell r="FZ212">
            <v>1.9172236503856042E-2</v>
          </cell>
          <cell r="GA212">
            <v>1.9172236503856042E-2</v>
          </cell>
          <cell r="GD212">
            <v>2.6804313989616323E-2</v>
          </cell>
          <cell r="GE212">
            <v>3.2905286256384454E-2</v>
          </cell>
          <cell r="GF212">
            <v>3.8511052739910276E-2</v>
          </cell>
          <cell r="GG212">
            <v>3.0084562802852245E-2</v>
          </cell>
          <cell r="GH212">
            <v>2.6431938559875121E-2</v>
          </cell>
          <cell r="GI212">
            <v>2.4161722362996504E-2</v>
          </cell>
          <cell r="GJ212">
            <v>2.3334796596940342E-2</v>
          </cell>
          <cell r="GK212">
            <v>2.3214750416449055E-2</v>
          </cell>
          <cell r="GL212">
            <v>2.4402920850117159E-2</v>
          </cell>
          <cell r="GM212">
            <v>2.745026800217424E-2</v>
          </cell>
          <cell r="GN212">
            <v>2.8055534692289927E-2</v>
          </cell>
        </row>
        <row r="213">
          <cell r="B213" t="str">
            <v>Maroubra</v>
          </cell>
          <cell r="C213" t="e">
            <v>#NAME?</v>
          </cell>
          <cell r="D213" t="e">
            <v>#NAME?</v>
          </cell>
          <cell r="E213" t="e">
            <v>#NAME?</v>
          </cell>
          <cell r="F213" t="e">
            <v>#NAME?</v>
          </cell>
          <cell r="G213" t="e">
            <v>#NAME?</v>
          </cell>
          <cell r="H213" t="e">
            <v>#NAME?</v>
          </cell>
          <cell r="I213" t="e">
            <v>#NAME?</v>
          </cell>
          <cell r="J213" t="e">
            <v>#NAME?</v>
          </cell>
          <cell r="K213" t="e">
            <v>#NAME?</v>
          </cell>
          <cell r="L213" t="e">
            <v>#NAME?</v>
          </cell>
          <cell r="M213" t="e">
            <v>#NAME?</v>
          </cell>
          <cell r="N213" t="e">
            <v>#NAME?</v>
          </cell>
          <cell r="O213" t="e">
            <v>#NAME?</v>
          </cell>
          <cell r="P213" t="e">
            <v>#NAME?</v>
          </cell>
          <cell r="Q213" t="e">
            <v>#NAME?</v>
          </cell>
          <cell r="R213" t="e">
            <v>#NAME?</v>
          </cell>
          <cell r="S213" t="e">
            <v>#NAME?</v>
          </cell>
          <cell r="T213" t="e">
            <v>#NAME?</v>
          </cell>
          <cell r="U213" t="e">
            <v>#NAME?</v>
          </cell>
          <cell r="V213" t="e">
            <v>#NAME?</v>
          </cell>
          <cell r="W213" t="e">
            <v>#NAME?</v>
          </cell>
          <cell r="X213" t="e">
            <v>#NAME?</v>
          </cell>
          <cell r="Y213" t="e">
            <v>#NAME?</v>
          </cell>
          <cell r="Z213" t="e">
            <v>#NAME?</v>
          </cell>
          <cell r="AA213" t="e">
            <v>#NAME?</v>
          </cell>
          <cell r="AB213" t="e">
            <v>#NAME?</v>
          </cell>
          <cell r="AC213" t="e">
            <v>#NAME?</v>
          </cell>
          <cell r="AD213" t="e">
            <v>#NAME?</v>
          </cell>
          <cell r="AE213" t="e">
            <v>#NAME?</v>
          </cell>
          <cell r="AF213" t="e">
            <v>#NAME?</v>
          </cell>
          <cell r="AG213" t="e">
            <v>#NAME?</v>
          </cell>
          <cell r="AH213" t="e">
            <v>#NAME?</v>
          </cell>
          <cell r="AI213" t="e">
            <v>#NAME?</v>
          </cell>
          <cell r="AJ213" t="e">
            <v>#NAME?</v>
          </cell>
          <cell r="AK213" t="e">
            <v>#NAME?</v>
          </cell>
          <cell r="AN213" t="e">
            <v>#NAME?</v>
          </cell>
          <cell r="AO213" t="e">
            <v>#NAME?</v>
          </cell>
          <cell r="AP213" t="e">
            <v>#NAME?</v>
          </cell>
          <cell r="AQ213" t="e">
            <v>#NAME?</v>
          </cell>
          <cell r="AR213" t="e">
            <v>#NAME?</v>
          </cell>
          <cell r="AS213" t="e">
            <v>#NAME?</v>
          </cell>
          <cell r="AT213" t="e">
            <v>#NAME?</v>
          </cell>
          <cell r="AU213" t="e">
            <v>#NAME?</v>
          </cell>
          <cell r="AX213" t="e">
            <v>#NAME?</v>
          </cell>
          <cell r="AY213" t="e">
            <v>#NAME?</v>
          </cell>
          <cell r="AZ213" t="e">
            <v>#NAME?</v>
          </cell>
          <cell r="BA213" t="e">
            <v>#NAME?</v>
          </cell>
          <cell r="BB213" t="e">
            <v>#NAME?</v>
          </cell>
          <cell r="BC213" t="e">
            <v>#NAME?</v>
          </cell>
          <cell r="BD213" t="e">
            <v>#NAME?</v>
          </cell>
          <cell r="BE213" t="e">
            <v>#NAME?</v>
          </cell>
          <cell r="BF213" t="e">
            <v>#NAME?</v>
          </cell>
          <cell r="BG213" t="e">
            <v>#NAME?</v>
          </cell>
          <cell r="BH213" t="e">
            <v>#NAME?</v>
          </cell>
          <cell r="BI213" t="e">
            <v>#NAME?</v>
          </cell>
          <cell r="BJ213" t="e">
            <v>#NAME?</v>
          </cell>
          <cell r="BK213" t="e">
            <v>#NAME?</v>
          </cell>
          <cell r="BL213" t="e">
            <v>#NAME?</v>
          </cell>
          <cell r="BM213" t="e">
            <v>#NAME?</v>
          </cell>
          <cell r="BN213" t="e">
            <v>#NAME?</v>
          </cell>
          <cell r="BO213" t="e">
            <v>#NAME?</v>
          </cell>
          <cell r="BP213" t="e">
            <v>#NAME?</v>
          </cell>
          <cell r="BQ213" t="e">
            <v>#NAME?</v>
          </cell>
          <cell r="BR213" t="e">
            <v>#NAME?</v>
          </cell>
          <cell r="BS213" t="e">
            <v>#NAME?</v>
          </cell>
          <cell r="BT213" t="e">
            <v>#NAME?</v>
          </cell>
          <cell r="BU213" t="e">
            <v>#NAME?</v>
          </cell>
          <cell r="BV213" t="e">
            <v>#NAME?</v>
          </cell>
          <cell r="BW213" t="e">
            <v>#NAME?</v>
          </cell>
          <cell r="BX213" t="e">
            <v>#NAME?</v>
          </cell>
          <cell r="BY213" t="e">
            <v>#NAME?</v>
          </cell>
          <cell r="BZ213" t="e">
            <v>#NAME?</v>
          </cell>
          <cell r="CA213" t="e">
            <v>#NAME?</v>
          </cell>
          <cell r="CB213" t="e">
            <v>#NAME?</v>
          </cell>
          <cell r="CC213" t="e">
            <v>#NAME?</v>
          </cell>
          <cell r="CD213" t="e">
            <v>#NAME?</v>
          </cell>
          <cell r="CE213" t="e">
            <v>#NAME?</v>
          </cell>
          <cell r="CF213" t="e">
            <v>#NAME?</v>
          </cell>
          <cell r="CG213" t="e">
            <v>#NAME?</v>
          </cell>
          <cell r="CH213" t="e">
            <v>#NAME?</v>
          </cell>
          <cell r="CI213" t="e">
            <v>#NAME?</v>
          </cell>
          <cell r="CJ213" t="e">
            <v>#NAME?</v>
          </cell>
          <cell r="CK213" t="e">
            <v>#NAME?</v>
          </cell>
          <cell r="CL213" t="e">
            <v>#NAME?</v>
          </cell>
          <cell r="CM213" t="e">
            <v>#NAME?</v>
          </cell>
          <cell r="CN213" t="e">
            <v>#NAME?</v>
          </cell>
          <cell r="CO213" t="e">
            <v>#NAME?</v>
          </cell>
          <cell r="CP213" t="e">
            <v>#NAME?</v>
          </cell>
          <cell r="CQ213" t="e">
            <v>#NAME?</v>
          </cell>
          <cell r="CR213" t="e">
            <v>#NAME?</v>
          </cell>
          <cell r="CS213" t="e">
            <v>#NAME?</v>
          </cell>
          <cell r="CV213" t="e">
            <v>#NAME?</v>
          </cell>
          <cell r="CW213" t="e">
            <v>#NAME?</v>
          </cell>
          <cell r="CX213" t="e">
            <v>#NAME?</v>
          </cell>
          <cell r="CY213" t="e">
            <v>#NAME?</v>
          </cell>
          <cell r="CZ213" t="e">
            <v>#NAME?</v>
          </cell>
          <cell r="DA213" t="e">
            <v>#NAME?</v>
          </cell>
          <cell r="DD213">
            <v>0</v>
          </cell>
          <cell r="DE213">
            <v>0</v>
          </cell>
          <cell r="DF213">
            <v>0</v>
          </cell>
          <cell r="DG213">
            <v>0</v>
          </cell>
          <cell r="DH213">
            <v>0</v>
          </cell>
          <cell r="DI213">
            <v>0</v>
          </cell>
          <cell r="DJ213">
            <v>0</v>
          </cell>
          <cell r="DK213">
            <v>0</v>
          </cell>
          <cell r="DL213">
            <v>0</v>
          </cell>
          <cell r="DM213">
            <v>0</v>
          </cell>
          <cell r="DN213">
            <v>0</v>
          </cell>
          <cell r="DQ213">
            <v>0</v>
          </cell>
          <cell r="DR213">
            <v>0</v>
          </cell>
          <cell r="DS213">
            <v>0</v>
          </cell>
          <cell r="DT213">
            <v>0</v>
          </cell>
          <cell r="DU213">
            <v>0</v>
          </cell>
          <cell r="DV213">
            <v>0</v>
          </cell>
          <cell r="DW213">
            <v>0</v>
          </cell>
          <cell r="DX213">
            <v>0</v>
          </cell>
          <cell r="DY213">
            <v>0</v>
          </cell>
          <cell r="DZ213">
            <v>0</v>
          </cell>
          <cell r="EA213">
            <v>0</v>
          </cell>
          <cell r="ED213">
            <v>0</v>
          </cell>
          <cell r="EE213">
            <v>0</v>
          </cell>
          <cell r="EF213">
            <v>0</v>
          </cell>
          <cell r="EG213">
            <v>0</v>
          </cell>
          <cell r="EH213">
            <v>0</v>
          </cell>
          <cell r="EI213">
            <v>0</v>
          </cell>
          <cell r="EJ213">
            <v>0</v>
          </cell>
          <cell r="EK213">
            <v>0</v>
          </cell>
          <cell r="EL213">
            <v>0</v>
          </cell>
          <cell r="EM213">
            <v>0</v>
          </cell>
          <cell r="EN213">
            <v>0</v>
          </cell>
          <cell r="EQ213">
            <v>0</v>
          </cell>
          <cell r="ER213">
            <v>0</v>
          </cell>
          <cell r="ES213">
            <v>0</v>
          </cell>
          <cell r="ET213">
            <v>0</v>
          </cell>
          <cell r="EU213">
            <v>0</v>
          </cell>
          <cell r="EV213">
            <v>0</v>
          </cell>
          <cell r="EW213">
            <v>0</v>
          </cell>
          <cell r="EX213">
            <v>0</v>
          </cell>
          <cell r="EY213">
            <v>0</v>
          </cell>
          <cell r="EZ213">
            <v>0</v>
          </cell>
          <cell r="FA213">
            <v>0</v>
          </cell>
          <cell r="FD213">
            <v>0</v>
          </cell>
          <cell r="FE213">
            <v>0</v>
          </cell>
          <cell r="FF213">
            <v>0</v>
          </cell>
          <cell r="FG213">
            <v>0</v>
          </cell>
          <cell r="FH213">
            <v>0</v>
          </cell>
          <cell r="FI213">
            <v>0</v>
          </cell>
          <cell r="FJ213">
            <v>0</v>
          </cell>
          <cell r="FK213">
            <v>0</v>
          </cell>
          <cell r="FL213">
            <v>0</v>
          </cell>
          <cell r="FM213">
            <v>0</v>
          </cell>
          <cell r="FN213">
            <v>0</v>
          </cell>
          <cell r="FQ213">
            <v>0</v>
          </cell>
          <cell r="FR213">
            <v>0</v>
          </cell>
          <cell r="FS213">
            <v>0</v>
          </cell>
          <cell r="FT213">
            <v>0</v>
          </cell>
          <cell r="FU213">
            <v>0</v>
          </cell>
          <cell r="FV213">
            <v>0</v>
          </cell>
          <cell r="FW213">
            <v>0</v>
          </cell>
          <cell r="FX213">
            <v>0</v>
          </cell>
          <cell r="FY213">
            <v>0</v>
          </cell>
          <cell r="FZ213">
            <v>0</v>
          </cell>
          <cell r="GA213">
            <v>0</v>
          </cell>
          <cell r="GD213" t="e">
            <v>#NAME?</v>
          </cell>
          <cell r="GE213" t="e">
            <v>#NAME?</v>
          </cell>
          <cell r="GF213" t="e">
            <v>#NAME?</v>
          </cell>
          <cell r="GG213" t="e">
            <v>#NAME?</v>
          </cell>
          <cell r="GH213" t="e">
            <v>#NAME?</v>
          </cell>
          <cell r="GI213" t="e">
            <v>#NAME?</v>
          </cell>
          <cell r="GJ213" t="e">
            <v>#NAME?</v>
          </cell>
          <cell r="GK213" t="e">
            <v>#NAME?</v>
          </cell>
          <cell r="GL213" t="e">
            <v>#NAME?</v>
          </cell>
          <cell r="GM213" t="e">
            <v>#NAME?</v>
          </cell>
          <cell r="GN213" t="e">
            <v>#NAME?</v>
          </cell>
        </row>
        <row r="214">
          <cell r="B214" t="str">
            <v>Jesmond</v>
          </cell>
          <cell r="C214" t="str">
            <v>31/6/2001</v>
          </cell>
          <cell r="D214">
            <v>1</v>
          </cell>
          <cell r="E214" t="str">
            <v>Sub Regional</v>
          </cell>
          <cell r="F214" t="str">
            <v>NSW</v>
          </cell>
          <cell r="G214">
            <v>46.5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7.944</v>
          </cell>
          <cell r="M214">
            <v>0</v>
          </cell>
          <cell r="N214">
            <v>0</v>
          </cell>
          <cell r="O214">
            <v>7.944</v>
          </cell>
          <cell r="P214">
            <v>0</v>
          </cell>
          <cell r="Q214">
            <v>0</v>
          </cell>
          <cell r="R214">
            <v>5.0220000000000002</v>
          </cell>
          <cell r="S214">
            <v>0</v>
          </cell>
          <cell r="T214">
            <v>3.0529999999999999</v>
          </cell>
          <cell r="U214">
            <v>0</v>
          </cell>
          <cell r="V214">
            <v>1.9690000000000001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8.4340000000000011</v>
          </cell>
          <cell r="AD214">
            <v>0</v>
          </cell>
          <cell r="AE214">
            <v>911</v>
          </cell>
          <cell r="AF214">
            <v>0.39411214953271029</v>
          </cell>
          <cell r="AG214">
            <v>0</v>
          </cell>
          <cell r="AH214">
            <v>0.37121495327102799</v>
          </cell>
          <cell r="AI214">
            <v>0.23467289719626166</v>
          </cell>
          <cell r="AJ214">
            <v>0</v>
          </cell>
          <cell r="AK214">
            <v>0</v>
          </cell>
          <cell r="AN214">
            <v>12.966000000000001</v>
          </cell>
          <cell r="AO214">
            <v>21.400000000000002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7.944</v>
          </cell>
          <cell r="BH214">
            <v>0</v>
          </cell>
          <cell r="BI214">
            <v>0</v>
          </cell>
          <cell r="BJ214">
            <v>0</v>
          </cell>
          <cell r="BK214">
            <v>0</v>
          </cell>
          <cell r="BL214">
            <v>0</v>
          </cell>
          <cell r="BM214">
            <v>0</v>
          </cell>
          <cell r="BN214">
            <v>0</v>
          </cell>
          <cell r="BO214">
            <v>5.0220000000000002</v>
          </cell>
          <cell r="BP214">
            <v>0</v>
          </cell>
          <cell r="BQ214">
            <v>0</v>
          </cell>
          <cell r="BR214">
            <v>0</v>
          </cell>
          <cell r="BS214">
            <v>0</v>
          </cell>
          <cell r="BT214">
            <v>0</v>
          </cell>
          <cell r="BU214">
            <v>0</v>
          </cell>
          <cell r="BV214">
            <v>0</v>
          </cell>
          <cell r="BW214">
            <v>8.4340000000000011</v>
          </cell>
          <cell r="BX214">
            <v>0</v>
          </cell>
          <cell r="BY214">
            <v>0</v>
          </cell>
          <cell r="BZ214">
            <v>0</v>
          </cell>
          <cell r="CA214">
            <v>0</v>
          </cell>
          <cell r="CB214">
            <v>0</v>
          </cell>
          <cell r="CC214">
            <v>0</v>
          </cell>
          <cell r="CD214">
            <v>0</v>
          </cell>
          <cell r="CE214">
            <v>0</v>
          </cell>
          <cell r="CF214">
            <v>0</v>
          </cell>
          <cell r="CG214">
            <v>0</v>
          </cell>
          <cell r="CH214">
            <v>0</v>
          </cell>
          <cell r="CI214">
            <v>0</v>
          </cell>
          <cell r="CJ214">
            <v>0</v>
          </cell>
          <cell r="CK214">
            <v>0</v>
          </cell>
          <cell r="CL214">
            <v>0</v>
          </cell>
          <cell r="CM214">
            <v>21.400000000000002</v>
          </cell>
          <cell r="CN214">
            <v>0</v>
          </cell>
          <cell r="CO214">
            <v>0</v>
          </cell>
          <cell r="CP214">
            <v>0</v>
          </cell>
          <cell r="CQ214">
            <v>0</v>
          </cell>
          <cell r="CR214">
            <v>0</v>
          </cell>
          <cell r="CS214">
            <v>0</v>
          </cell>
          <cell r="CV214">
            <v>0</v>
          </cell>
          <cell r="CW214">
            <v>0</v>
          </cell>
          <cell r="CX214">
            <v>0</v>
          </cell>
          <cell r="CY214">
            <v>21.400000000000002</v>
          </cell>
          <cell r="CZ214">
            <v>0</v>
          </cell>
          <cell r="DA214">
            <v>0</v>
          </cell>
          <cell r="DD214">
            <v>3.2500000000000001E-2</v>
          </cell>
          <cell r="DE214">
            <v>4.3480818425022362E-2</v>
          </cell>
          <cell r="DF214">
            <v>5.1403596897279767E-2</v>
          </cell>
          <cell r="DG214">
            <v>3.7359447002183042E-2</v>
          </cell>
          <cell r="DH214">
            <v>3.1271739930554508E-2</v>
          </cell>
          <cell r="DI214">
            <v>2.7488046269090145E-2</v>
          </cell>
          <cell r="DJ214">
            <v>2.6109836658996539E-2</v>
          </cell>
          <cell r="DK214">
            <v>2.5909759691511065E-2</v>
          </cell>
          <cell r="DL214">
            <v>2.7890043747624566E-2</v>
          </cell>
          <cell r="DM214">
            <v>3.29689556677197E-2</v>
          </cell>
          <cell r="DN214">
            <v>3.3977733484579185E-2</v>
          </cell>
          <cell r="DQ214">
            <v>0</v>
          </cell>
          <cell r="DR214">
            <v>0</v>
          </cell>
          <cell r="DS214">
            <v>0</v>
          </cell>
          <cell r="DT214">
            <v>0</v>
          </cell>
          <cell r="DU214">
            <v>0</v>
          </cell>
          <cell r="DV214">
            <v>0</v>
          </cell>
          <cell r="DW214">
            <v>0</v>
          </cell>
          <cell r="DX214">
            <v>0</v>
          </cell>
          <cell r="DY214">
            <v>0</v>
          </cell>
          <cell r="DZ214">
            <v>0</v>
          </cell>
          <cell r="EA214">
            <v>0</v>
          </cell>
          <cell r="ED214">
            <v>5.5682242990654201E-3</v>
          </cell>
          <cell r="EE214">
            <v>-1.85607476635514E-3</v>
          </cell>
          <cell r="EF214">
            <v>3.7121495327102801E-3</v>
          </cell>
          <cell r="EG214">
            <v>1.2992523364485978E-2</v>
          </cell>
          <cell r="EH214">
            <v>1.2992523364485978E-2</v>
          </cell>
          <cell r="EI214">
            <v>1.2992523364485978E-2</v>
          </cell>
          <cell r="EJ214">
            <v>9.2803738317757001E-3</v>
          </cell>
          <cell r="EK214">
            <v>9.2803738317757001E-3</v>
          </cell>
          <cell r="EL214">
            <v>9.2803738317757001E-3</v>
          </cell>
          <cell r="EM214">
            <v>9.2803738317757001E-3</v>
          </cell>
          <cell r="EN214">
            <v>9.2803738317757001E-3</v>
          </cell>
          <cell r="EQ214">
            <v>1.005824276856486E-2</v>
          </cell>
          <cell r="ER214">
            <v>9.3869158878504676E-3</v>
          </cell>
          <cell r="ES214">
            <v>1.0560280373831776E-2</v>
          </cell>
          <cell r="ET214">
            <v>1.0560280373831775E-2</v>
          </cell>
          <cell r="EU214">
            <v>1.0560280373831775E-2</v>
          </cell>
          <cell r="EV214">
            <v>1.0560280373831775E-2</v>
          </cell>
          <cell r="EW214">
            <v>1.0560280373831775E-2</v>
          </cell>
          <cell r="EX214">
            <v>1.0560280373831775E-2</v>
          </cell>
          <cell r="EY214">
            <v>1.0560280373831775E-2</v>
          </cell>
          <cell r="EZ214">
            <v>1.0560280373831775E-2</v>
          </cell>
          <cell r="FA214">
            <v>1.0560280373831775E-2</v>
          </cell>
          <cell r="FD214">
            <v>0</v>
          </cell>
          <cell r="FE214">
            <v>0</v>
          </cell>
          <cell r="FF214">
            <v>0</v>
          </cell>
          <cell r="FG214">
            <v>0</v>
          </cell>
          <cell r="FH214">
            <v>0</v>
          </cell>
          <cell r="FI214">
            <v>0</v>
          </cell>
          <cell r="FJ214">
            <v>0</v>
          </cell>
          <cell r="FK214">
            <v>0</v>
          </cell>
          <cell r="FL214">
            <v>0</v>
          </cell>
          <cell r="FM214">
            <v>0</v>
          </cell>
          <cell r="FN214">
            <v>0</v>
          </cell>
          <cell r="FQ214">
            <v>1.5626467067630281E-2</v>
          </cell>
          <cell r="FR214">
            <v>7.5308411214953276E-3</v>
          </cell>
          <cell r="FS214">
            <v>1.4272429906542056E-2</v>
          </cell>
          <cell r="FT214">
            <v>2.3552803738317751E-2</v>
          </cell>
          <cell r="FU214">
            <v>2.3552803738317751E-2</v>
          </cell>
          <cell r="FV214">
            <v>2.3552803738317751E-2</v>
          </cell>
          <cell r="FW214">
            <v>1.9840654205607475E-2</v>
          </cell>
          <cell r="FX214">
            <v>1.9840654205607475E-2</v>
          </cell>
          <cell r="FY214">
            <v>1.9840654205607475E-2</v>
          </cell>
          <cell r="FZ214">
            <v>1.9840654205607475E-2</v>
          </cell>
          <cell r="GA214">
            <v>1.9840654205607475E-2</v>
          </cell>
          <cell r="GD214">
            <v>2.5750586827052113E-2</v>
          </cell>
          <cell r="GE214">
            <v>2.9100827503611548E-2</v>
          </cell>
          <cell r="GF214">
            <v>3.655113010098468E-2</v>
          </cell>
          <cell r="GG214">
            <v>3.1836789696636926E-2</v>
          </cell>
          <cell r="GH214">
            <v>2.8184165453659808E-2</v>
          </cell>
          <cell r="GI214">
            <v>2.5913949256781185E-2</v>
          </cell>
          <cell r="GJ214">
            <v>2.3602163677640911E-2</v>
          </cell>
          <cell r="GK214">
            <v>2.3482117497149627E-2</v>
          </cell>
          <cell r="GL214">
            <v>2.4670287930817728E-2</v>
          </cell>
          <cell r="GM214">
            <v>2.7717635082874809E-2</v>
          </cell>
          <cell r="GN214">
            <v>2.8322901772990502E-2</v>
          </cell>
        </row>
        <row r="215">
          <cell r="B215" t="str">
            <v>Glendale</v>
          </cell>
          <cell r="C215" t="str">
            <v>31/6/2001</v>
          </cell>
          <cell r="D215">
            <v>1</v>
          </cell>
          <cell r="E215" t="str">
            <v>Regional</v>
          </cell>
          <cell r="F215" t="str">
            <v>NSW</v>
          </cell>
          <cell r="G215">
            <v>196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12.159000000000001</v>
          </cell>
          <cell r="M215">
            <v>0</v>
          </cell>
          <cell r="N215">
            <v>10.972000000000001</v>
          </cell>
          <cell r="O215">
            <v>0</v>
          </cell>
          <cell r="P215">
            <v>0</v>
          </cell>
          <cell r="Q215">
            <v>1.1870000000000001</v>
          </cell>
          <cell r="R215">
            <v>10.061</v>
          </cell>
          <cell r="S215">
            <v>5.109</v>
          </cell>
          <cell r="T215">
            <v>4.952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3</v>
          </cell>
          <cell r="Z215">
            <v>0</v>
          </cell>
          <cell r="AA215">
            <v>0</v>
          </cell>
          <cell r="AB215">
            <v>0</v>
          </cell>
          <cell r="AC215">
            <v>15.49</v>
          </cell>
          <cell r="AD215">
            <v>0</v>
          </cell>
          <cell r="AE215">
            <v>2200</v>
          </cell>
          <cell r="AF215">
            <v>0.38049619258167527</v>
          </cell>
          <cell r="AG215">
            <v>0</v>
          </cell>
          <cell r="AH215">
            <v>0.29867354458364037</v>
          </cell>
          <cell r="AI215">
            <v>0.24713829525915007</v>
          </cell>
          <cell r="AJ215">
            <v>7.369196757553427E-2</v>
          </cell>
          <cell r="AK215">
            <v>0</v>
          </cell>
          <cell r="AN215">
            <v>25.22</v>
          </cell>
          <cell r="AO215">
            <v>40.71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12.159000000000001</v>
          </cell>
          <cell r="BH215">
            <v>0</v>
          </cell>
          <cell r="BI215">
            <v>0</v>
          </cell>
          <cell r="BJ215">
            <v>0</v>
          </cell>
          <cell r="BK215">
            <v>0</v>
          </cell>
          <cell r="BL215">
            <v>0</v>
          </cell>
          <cell r="BM215">
            <v>0</v>
          </cell>
          <cell r="BN215">
            <v>0</v>
          </cell>
          <cell r="BO215">
            <v>10.061</v>
          </cell>
          <cell r="BP215">
            <v>0</v>
          </cell>
          <cell r="BQ215">
            <v>0</v>
          </cell>
          <cell r="BR215">
            <v>0</v>
          </cell>
          <cell r="BS215">
            <v>0</v>
          </cell>
          <cell r="BT215">
            <v>0</v>
          </cell>
          <cell r="BU215">
            <v>0</v>
          </cell>
          <cell r="BV215">
            <v>0</v>
          </cell>
          <cell r="BW215">
            <v>15.49</v>
          </cell>
          <cell r="BX215">
            <v>0</v>
          </cell>
          <cell r="BY215">
            <v>0</v>
          </cell>
          <cell r="BZ215">
            <v>0</v>
          </cell>
          <cell r="CA215">
            <v>0</v>
          </cell>
          <cell r="CB215">
            <v>0</v>
          </cell>
          <cell r="CC215">
            <v>0</v>
          </cell>
          <cell r="CD215">
            <v>0</v>
          </cell>
          <cell r="CE215">
            <v>3</v>
          </cell>
          <cell r="CF215">
            <v>0</v>
          </cell>
          <cell r="CG215">
            <v>0</v>
          </cell>
          <cell r="CH215">
            <v>0</v>
          </cell>
          <cell r="CI215">
            <v>0</v>
          </cell>
          <cell r="CJ215">
            <v>0</v>
          </cell>
          <cell r="CK215">
            <v>0</v>
          </cell>
          <cell r="CL215">
            <v>0</v>
          </cell>
          <cell r="CM215">
            <v>40.71</v>
          </cell>
          <cell r="CN215">
            <v>0</v>
          </cell>
          <cell r="CO215">
            <v>0</v>
          </cell>
          <cell r="CP215">
            <v>0</v>
          </cell>
          <cell r="CQ215">
            <v>0</v>
          </cell>
          <cell r="CR215">
            <v>0</v>
          </cell>
          <cell r="CS215">
            <v>0</v>
          </cell>
          <cell r="CV215">
            <v>0</v>
          </cell>
          <cell r="CW215">
            <v>0</v>
          </cell>
          <cell r="CX215">
            <v>40.71</v>
          </cell>
          <cell r="CY215">
            <v>0</v>
          </cell>
          <cell r="CZ215">
            <v>0</v>
          </cell>
          <cell r="DA215">
            <v>0</v>
          </cell>
          <cell r="DD215">
            <v>3.2500000000000001E-2</v>
          </cell>
          <cell r="DE215">
            <v>4.3480818425022362E-2</v>
          </cell>
          <cell r="DF215">
            <v>5.1403596897279767E-2</v>
          </cell>
          <cell r="DG215">
            <v>3.7359447002183042E-2</v>
          </cell>
          <cell r="DH215">
            <v>3.1271739930554508E-2</v>
          </cell>
          <cell r="DI215">
            <v>2.7488046269090145E-2</v>
          </cell>
          <cell r="DJ215">
            <v>2.6109836658996539E-2</v>
          </cell>
          <cell r="DK215">
            <v>2.5909759691511065E-2</v>
          </cell>
          <cell r="DL215">
            <v>2.7890043747624566E-2</v>
          </cell>
          <cell r="DM215">
            <v>3.29689556677197E-2</v>
          </cell>
          <cell r="DN215">
            <v>3.3977733484579185E-2</v>
          </cell>
          <cell r="DQ215">
            <v>0</v>
          </cell>
          <cell r="DR215">
            <v>0</v>
          </cell>
          <cell r="DS215">
            <v>0</v>
          </cell>
          <cell r="DT215">
            <v>0</v>
          </cell>
          <cell r="DU215">
            <v>0</v>
          </cell>
          <cell r="DV215">
            <v>0</v>
          </cell>
          <cell r="DW215">
            <v>0</v>
          </cell>
          <cell r="DX215">
            <v>0</v>
          </cell>
          <cell r="DY215">
            <v>0</v>
          </cell>
          <cell r="DZ215">
            <v>0</v>
          </cell>
          <cell r="EA215">
            <v>0</v>
          </cell>
          <cell r="ED215">
            <v>4.4801031687546058E-3</v>
          </cell>
          <cell r="EE215">
            <v>-1.4933677229182019E-3</v>
          </cell>
          <cell r="EF215">
            <v>2.9867354458364037E-3</v>
          </cell>
          <cell r="EG215">
            <v>1.0453574060427412E-2</v>
          </cell>
          <cell r="EH215">
            <v>1.0453574060427412E-2</v>
          </cell>
          <cell r="EI215">
            <v>1.0453574060427412E-2</v>
          </cell>
          <cell r="EJ215">
            <v>7.46683861459101E-3</v>
          </cell>
          <cell r="EK215">
            <v>7.46683861459101E-3</v>
          </cell>
          <cell r="EL215">
            <v>7.46683861459101E-3</v>
          </cell>
          <cell r="EM215">
            <v>7.46683861459101E-3</v>
          </cell>
          <cell r="EN215">
            <v>7.46683861459101E-3</v>
          </cell>
          <cell r="EQ215">
            <v>1.0592518355653521E-2</v>
          </cell>
          <cell r="ER215">
            <v>9.885531810366003E-3</v>
          </cell>
          <cell r="ES215">
            <v>1.1121223286661755E-2</v>
          </cell>
          <cell r="ET215">
            <v>1.1121223286661753E-2</v>
          </cell>
          <cell r="EU215">
            <v>1.1121223286661753E-2</v>
          </cell>
          <cell r="EV215">
            <v>1.1121223286661753E-2</v>
          </cell>
          <cell r="EW215">
            <v>1.1121223286661753E-2</v>
          </cell>
          <cell r="EX215">
            <v>1.1121223286661753E-2</v>
          </cell>
          <cell r="EY215">
            <v>1.1121223286661753E-2</v>
          </cell>
          <cell r="EZ215">
            <v>1.1121223286661753E-2</v>
          </cell>
          <cell r="FA215">
            <v>1.1121223286661753E-2</v>
          </cell>
          <cell r="FD215">
            <v>1.105379513633014E-3</v>
          </cell>
          <cell r="FE215">
            <v>-3.6845983787767134E-4</v>
          </cell>
          <cell r="FF215">
            <v>7.3691967575534268E-4</v>
          </cell>
          <cell r="FG215">
            <v>2.5792188651436992E-3</v>
          </cell>
          <cell r="FH215">
            <v>2.5792188651436992E-3</v>
          </cell>
          <cell r="FI215">
            <v>2.5792188651436992E-3</v>
          </cell>
          <cell r="FJ215">
            <v>1.8422991893883569E-3</v>
          </cell>
          <cell r="FK215">
            <v>1.8422991893883569E-3</v>
          </cell>
          <cell r="FL215">
            <v>1.8422991893883569E-3</v>
          </cell>
          <cell r="FM215">
            <v>1.8422991893883569E-3</v>
          </cell>
          <cell r="FN215">
            <v>1.8422991893883569E-3</v>
          </cell>
          <cell r="FQ215">
            <v>1.6178001038041141E-2</v>
          </cell>
          <cell r="FR215">
            <v>8.0237042495701297E-3</v>
          </cell>
          <cell r="FS215">
            <v>1.4844878408253501E-2</v>
          </cell>
          <cell r="FT215">
            <v>2.4154016212232864E-2</v>
          </cell>
          <cell r="FU215">
            <v>2.4154016212232864E-2</v>
          </cell>
          <cell r="FV215">
            <v>2.4154016212232864E-2</v>
          </cell>
          <cell r="FW215">
            <v>2.0430361090641121E-2</v>
          </cell>
          <cell r="FX215">
            <v>2.0430361090641121E-2</v>
          </cell>
          <cell r="FY215">
            <v>2.0430361090641121E-2</v>
          </cell>
          <cell r="FZ215">
            <v>2.0430361090641121E-2</v>
          </cell>
          <cell r="GA215">
            <v>2.0430361090641121E-2</v>
          </cell>
          <cell r="GD215">
            <v>2.7603400311412341E-2</v>
          </cell>
          <cell r="GE215">
            <v>3.2843684172386686E-2</v>
          </cell>
          <cell r="GF215">
            <v>4.0435981350571887E-2</v>
          </cell>
          <cell r="GG215">
            <v>3.3397817765197985E-2</v>
          </cell>
          <cell r="GH215">
            <v>2.9136422815058016E-2</v>
          </cell>
          <cell r="GI215">
            <v>2.6487837252032961E-2</v>
          </cell>
          <cell r="GJ215">
            <v>2.4405993988489912E-2</v>
          </cell>
          <cell r="GK215">
            <v>2.4265940111250082E-2</v>
          </cell>
          <cell r="GL215">
            <v>2.5652138950529531E-2</v>
          </cell>
          <cell r="GM215">
            <v>2.9207377294596125E-2</v>
          </cell>
          <cell r="GN215">
            <v>2.9913521766397767E-2</v>
          </cell>
        </row>
        <row r="216">
          <cell r="B216" t="str">
            <v>Imperial Arcade</v>
          </cell>
          <cell r="C216" t="str">
            <v>31/6/2001</v>
          </cell>
          <cell r="D216">
            <v>1</v>
          </cell>
          <cell r="E216" t="str">
            <v>Neighbourhood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3.2560000000000002</v>
          </cell>
          <cell r="Z216">
            <v>0</v>
          </cell>
          <cell r="AA216">
            <v>0</v>
          </cell>
          <cell r="AB216">
            <v>0</v>
          </cell>
          <cell r="AC216">
            <v>3.444</v>
          </cell>
          <cell r="AD216">
            <v>0</v>
          </cell>
          <cell r="AE216">
            <v>0</v>
          </cell>
          <cell r="AF216">
            <v>0.51402985074626861</v>
          </cell>
          <cell r="AG216">
            <v>0</v>
          </cell>
          <cell r="AH216">
            <v>0</v>
          </cell>
          <cell r="AI216">
            <v>0</v>
          </cell>
          <cell r="AJ216">
            <v>0.48597014925373139</v>
          </cell>
          <cell r="AK216">
            <v>0</v>
          </cell>
          <cell r="AN216">
            <v>3.2560000000000002</v>
          </cell>
          <cell r="AO216">
            <v>6.7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0</v>
          </cell>
          <cell r="BJ216">
            <v>0</v>
          </cell>
          <cell r="BK216">
            <v>0</v>
          </cell>
          <cell r="BL216">
            <v>0</v>
          </cell>
          <cell r="BM216">
            <v>0</v>
          </cell>
          <cell r="BN216">
            <v>0</v>
          </cell>
          <cell r="BO216">
            <v>0</v>
          </cell>
          <cell r="BP216">
            <v>0</v>
          </cell>
          <cell r="BQ216">
            <v>0</v>
          </cell>
          <cell r="BR216">
            <v>0</v>
          </cell>
          <cell r="BS216">
            <v>0</v>
          </cell>
          <cell r="BT216">
            <v>0</v>
          </cell>
          <cell r="BU216">
            <v>0</v>
          </cell>
          <cell r="BV216">
            <v>0</v>
          </cell>
          <cell r="BW216">
            <v>0</v>
          </cell>
          <cell r="BX216">
            <v>0</v>
          </cell>
          <cell r="BY216">
            <v>0</v>
          </cell>
          <cell r="BZ216">
            <v>0</v>
          </cell>
          <cell r="CA216">
            <v>0</v>
          </cell>
          <cell r="CB216">
            <v>0</v>
          </cell>
          <cell r="CC216">
            <v>0</v>
          </cell>
          <cell r="CD216">
            <v>0</v>
          </cell>
          <cell r="CE216">
            <v>0</v>
          </cell>
          <cell r="CF216">
            <v>0</v>
          </cell>
          <cell r="CG216">
            <v>0</v>
          </cell>
          <cell r="CH216">
            <v>0</v>
          </cell>
          <cell r="CI216">
            <v>0</v>
          </cell>
          <cell r="CJ216">
            <v>0</v>
          </cell>
          <cell r="CK216">
            <v>0</v>
          </cell>
          <cell r="CL216">
            <v>0</v>
          </cell>
          <cell r="CM216">
            <v>0</v>
          </cell>
          <cell r="CN216">
            <v>0</v>
          </cell>
          <cell r="CO216">
            <v>0</v>
          </cell>
          <cell r="CP216">
            <v>0</v>
          </cell>
          <cell r="CQ216">
            <v>0</v>
          </cell>
          <cell r="CR216">
            <v>0</v>
          </cell>
          <cell r="CS216">
            <v>0</v>
          </cell>
          <cell r="CV216">
            <v>0</v>
          </cell>
          <cell r="CW216">
            <v>0</v>
          </cell>
          <cell r="CX216">
            <v>0</v>
          </cell>
          <cell r="CY216">
            <v>0</v>
          </cell>
          <cell r="CZ216">
            <v>6.7</v>
          </cell>
          <cell r="DA216">
            <v>0</v>
          </cell>
          <cell r="DD216">
            <v>0</v>
          </cell>
          <cell r="DE216">
            <v>0</v>
          </cell>
          <cell r="DF216">
            <v>0</v>
          </cell>
          <cell r="DG216">
            <v>0</v>
          </cell>
          <cell r="DH216">
            <v>0</v>
          </cell>
          <cell r="DI216">
            <v>0</v>
          </cell>
          <cell r="DJ216">
            <v>0</v>
          </cell>
          <cell r="DK216">
            <v>0</v>
          </cell>
          <cell r="DL216">
            <v>0</v>
          </cell>
          <cell r="DM216">
            <v>0</v>
          </cell>
          <cell r="DN216">
            <v>0</v>
          </cell>
          <cell r="DQ216">
            <v>0</v>
          </cell>
          <cell r="DR216">
            <v>0</v>
          </cell>
          <cell r="DS216">
            <v>0</v>
          </cell>
          <cell r="DT216">
            <v>0</v>
          </cell>
          <cell r="DU216">
            <v>0</v>
          </cell>
          <cell r="DV216">
            <v>0</v>
          </cell>
          <cell r="DW216">
            <v>0</v>
          </cell>
          <cell r="DX216">
            <v>0</v>
          </cell>
          <cell r="DY216">
            <v>0</v>
          </cell>
          <cell r="DZ216">
            <v>0</v>
          </cell>
          <cell r="EA216">
            <v>0</v>
          </cell>
          <cell r="ED216">
            <v>0</v>
          </cell>
          <cell r="EE216">
            <v>0</v>
          </cell>
          <cell r="EF216">
            <v>0</v>
          </cell>
          <cell r="EG216">
            <v>0</v>
          </cell>
          <cell r="EH216">
            <v>0</v>
          </cell>
          <cell r="EI216">
            <v>0</v>
          </cell>
          <cell r="EJ216">
            <v>0</v>
          </cell>
          <cell r="EK216">
            <v>0</v>
          </cell>
          <cell r="EL216">
            <v>0</v>
          </cell>
          <cell r="EM216">
            <v>0</v>
          </cell>
          <cell r="EN216">
            <v>0</v>
          </cell>
          <cell r="EQ216">
            <v>0</v>
          </cell>
          <cell r="ER216">
            <v>0</v>
          </cell>
          <cell r="ES216">
            <v>0</v>
          </cell>
          <cell r="ET216">
            <v>0</v>
          </cell>
          <cell r="EU216">
            <v>0</v>
          </cell>
          <cell r="EV216">
            <v>0</v>
          </cell>
          <cell r="EW216">
            <v>0</v>
          </cell>
          <cell r="EX216">
            <v>0</v>
          </cell>
          <cell r="EY216">
            <v>0</v>
          </cell>
          <cell r="EZ216">
            <v>0</v>
          </cell>
          <cell r="FA216">
            <v>0</v>
          </cell>
          <cell r="FD216">
            <v>0</v>
          </cell>
          <cell r="FE216">
            <v>0</v>
          </cell>
          <cell r="FF216">
            <v>0</v>
          </cell>
          <cell r="FG216">
            <v>0</v>
          </cell>
          <cell r="FH216">
            <v>0</v>
          </cell>
          <cell r="FI216">
            <v>0</v>
          </cell>
          <cell r="FJ216">
            <v>0</v>
          </cell>
          <cell r="FK216">
            <v>0</v>
          </cell>
          <cell r="FL216">
            <v>0</v>
          </cell>
          <cell r="FM216">
            <v>0</v>
          </cell>
          <cell r="FN216">
            <v>0</v>
          </cell>
          <cell r="FQ216">
            <v>0</v>
          </cell>
          <cell r="FR216">
            <v>0</v>
          </cell>
          <cell r="FS216">
            <v>0</v>
          </cell>
          <cell r="FT216">
            <v>0</v>
          </cell>
          <cell r="FU216">
            <v>0</v>
          </cell>
          <cell r="FV216">
            <v>0</v>
          </cell>
          <cell r="FW216">
            <v>0</v>
          </cell>
          <cell r="FX216">
            <v>0</v>
          </cell>
          <cell r="FY216">
            <v>0</v>
          </cell>
          <cell r="FZ216">
            <v>0</v>
          </cell>
          <cell r="GA216">
            <v>0</v>
          </cell>
          <cell r="GD216">
            <v>0</v>
          </cell>
          <cell r="GE216">
            <v>0</v>
          </cell>
          <cell r="GF216">
            <v>0</v>
          </cell>
          <cell r="GG216">
            <v>0</v>
          </cell>
          <cell r="GH216">
            <v>0</v>
          </cell>
          <cell r="GI216">
            <v>0</v>
          </cell>
          <cell r="GJ216">
            <v>0</v>
          </cell>
          <cell r="GK216">
            <v>0</v>
          </cell>
          <cell r="GL216">
            <v>0</v>
          </cell>
          <cell r="GM216">
            <v>0</v>
          </cell>
          <cell r="GN216">
            <v>0</v>
          </cell>
        </row>
        <row r="217">
          <cell r="B217" t="str">
            <v>BateauBayVilliage</v>
          </cell>
          <cell r="C217" t="str">
            <v>31/6/2001</v>
          </cell>
          <cell r="D217">
            <v>1</v>
          </cell>
          <cell r="E217" t="str">
            <v>Sub Regional</v>
          </cell>
          <cell r="F217" t="str">
            <v>NSW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8.6999999999999993</v>
          </cell>
          <cell r="M217">
            <v>8.6999999999999993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6.5649999999999995</v>
          </cell>
          <cell r="S217">
            <v>4.3</v>
          </cell>
          <cell r="T217">
            <v>2.2650000000000001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6.8170000000000019</v>
          </cell>
          <cell r="AD217">
            <v>0</v>
          </cell>
          <cell r="AE217">
            <v>1247</v>
          </cell>
          <cell r="AF217">
            <v>0.30871297889683913</v>
          </cell>
          <cell r="AG217">
            <v>0</v>
          </cell>
          <cell r="AH217">
            <v>0.39398605198804454</v>
          </cell>
          <cell r="AI217">
            <v>0.29730096911511633</v>
          </cell>
          <cell r="AJ217">
            <v>0</v>
          </cell>
          <cell r="AK217">
            <v>0</v>
          </cell>
          <cell r="AN217">
            <v>15.264999999999999</v>
          </cell>
          <cell r="AO217">
            <v>22.082000000000001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8.6999999999999993</v>
          </cell>
          <cell r="BH217">
            <v>0</v>
          </cell>
          <cell r="BI217">
            <v>0</v>
          </cell>
          <cell r="BJ217">
            <v>0</v>
          </cell>
          <cell r="BK217">
            <v>0</v>
          </cell>
          <cell r="BL217">
            <v>0</v>
          </cell>
          <cell r="BM217">
            <v>0</v>
          </cell>
          <cell r="BN217">
            <v>0</v>
          </cell>
          <cell r="BO217">
            <v>6.5649999999999995</v>
          </cell>
          <cell r="BP217">
            <v>0</v>
          </cell>
          <cell r="BQ217">
            <v>0</v>
          </cell>
          <cell r="BR217">
            <v>0</v>
          </cell>
          <cell r="BS217">
            <v>0</v>
          </cell>
          <cell r="BT217">
            <v>0</v>
          </cell>
          <cell r="BU217">
            <v>0</v>
          </cell>
          <cell r="BV217">
            <v>0</v>
          </cell>
          <cell r="BW217">
            <v>6.8170000000000019</v>
          </cell>
          <cell r="BX217">
            <v>0</v>
          </cell>
          <cell r="BY217">
            <v>0</v>
          </cell>
          <cell r="BZ217">
            <v>0</v>
          </cell>
          <cell r="CA217">
            <v>0</v>
          </cell>
          <cell r="CB217">
            <v>0</v>
          </cell>
          <cell r="CC217">
            <v>0</v>
          </cell>
          <cell r="CD217">
            <v>0</v>
          </cell>
          <cell r="CE217">
            <v>0</v>
          </cell>
          <cell r="CF217">
            <v>0</v>
          </cell>
          <cell r="CG217">
            <v>0</v>
          </cell>
          <cell r="CH217">
            <v>0</v>
          </cell>
          <cell r="CI217">
            <v>0</v>
          </cell>
          <cell r="CJ217">
            <v>0</v>
          </cell>
          <cell r="CK217">
            <v>0</v>
          </cell>
          <cell r="CL217">
            <v>0</v>
          </cell>
          <cell r="CM217">
            <v>22.082000000000001</v>
          </cell>
          <cell r="CN217">
            <v>0</v>
          </cell>
          <cell r="CO217">
            <v>0</v>
          </cell>
          <cell r="CP217">
            <v>0</v>
          </cell>
          <cell r="CQ217">
            <v>0</v>
          </cell>
          <cell r="CR217">
            <v>0</v>
          </cell>
          <cell r="CS217">
            <v>0</v>
          </cell>
          <cell r="CV217">
            <v>0</v>
          </cell>
          <cell r="CW217">
            <v>0</v>
          </cell>
          <cell r="CX217">
            <v>0</v>
          </cell>
          <cell r="CY217">
            <v>22.082000000000001</v>
          </cell>
          <cell r="CZ217">
            <v>0</v>
          </cell>
          <cell r="DA217">
            <v>0</v>
          </cell>
          <cell r="DD217">
            <v>3.2500000000000001E-2</v>
          </cell>
          <cell r="DE217">
            <v>4.3480818425022362E-2</v>
          </cell>
          <cell r="DF217">
            <v>5.1403596897279767E-2</v>
          </cell>
          <cell r="DG217">
            <v>3.7359447002183042E-2</v>
          </cell>
          <cell r="DH217">
            <v>3.1271739930554508E-2</v>
          </cell>
          <cell r="DI217">
            <v>2.7488046269090145E-2</v>
          </cell>
          <cell r="DJ217">
            <v>2.6109836658996539E-2</v>
          </cell>
          <cell r="DK217">
            <v>2.5909759691511065E-2</v>
          </cell>
          <cell r="DL217">
            <v>2.7890043747624566E-2</v>
          </cell>
          <cell r="DM217">
            <v>3.29689556677197E-2</v>
          </cell>
          <cell r="DN217">
            <v>3.3977733484579185E-2</v>
          </cell>
          <cell r="DQ217">
            <v>0</v>
          </cell>
          <cell r="DR217">
            <v>0</v>
          </cell>
          <cell r="DS217">
            <v>0</v>
          </cell>
          <cell r="DT217">
            <v>0</v>
          </cell>
          <cell r="DU217">
            <v>0</v>
          </cell>
          <cell r="DV217">
            <v>0</v>
          </cell>
          <cell r="DW217">
            <v>0</v>
          </cell>
          <cell r="DX217">
            <v>0</v>
          </cell>
          <cell r="DY217">
            <v>0</v>
          </cell>
          <cell r="DZ217">
            <v>0</v>
          </cell>
          <cell r="EA217">
            <v>0</v>
          </cell>
          <cell r="ED217">
            <v>5.9097907798206679E-3</v>
          </cell>
          <cell r="EE217">
            <v>-1.9699302599402229E-3</v>
          </cell>
          <cell r="EF217">
            <v>3.9398605198804459E-3</v>
          </cell>
          <cell r="EG217">
            <v>1.3789511819581558E-2</v>
          </cell>
          <cell r="EH217">
            <v>1.3789511819581558E-2</v>
          </cell>
          <cell r="EI217">
            <v>1.3789511819581558E-2</v>
          </cell>
          <cell r="EJ217">
            <v>9.8496512997011138E-3</v>
          </cell>
          <cell r="EK217">
            <v>9.8496512997011138E-3</v>
          </cell>
          <cell r="EL217">
            <v>9.8496512997011138E-3</v>
          </cell>
          <cell r="EM217">
            <v>9.8496512997011138E-3</v>
          </cell>
          <cell r="EN217">
            <v>9.8496512997011138E-3</v>
          </cell>
          <cell r="EQ217">
            <v>1.2742525269923158E-2</v>
          </cell>
          <cell r="ER217">
            <v>1.1892038764604653E-2</v>
          </cell>
          <cell r="ES217">
            <v>1.3378543610180236E-2</v>
          </cell>
          <cell r="ET217">
            <v>1.3378543610180234E-2</v>
          </cell>
          <cell r="EU217">
            <v>1.3378543610180234E-2</v>
          </cell>
          <cell r="EV217">
            <v>1.3378543610180234E-2</v>
          </cell>
          <cell r="EW217">
            <v>1.3378543610180234E-2</v>
          </cell>
          <cell r="EX217">
            <v>1.3378543610180234E-2</v>
          </cell>
          <cell r="EY217">
            <v>1.3378543610180234E-2</v>
          </cell>
          <cell r="EZ217">
            <v>1.3378543610180234E-2</v>
          </cell>
          <cell r="FA217">
            <v>1.3378543610180234E-2</v>
          </cell>
          <cell r="FD217">
            <v>0</v>
          </cell>
          <cell r="FE217">
            <v>0</v>
          </cell>
          <cell r="FF217">
            <v>0</v>
          </cell>
          <cell r="FG217">
            <v>0</v>
          </cell>
          <cell r="FH217">
            <v>0</v>
          </cell>
          <cell r="FI217">
            <v>0</v>
          </cell>
          <cell r="FJ217">
            <v>0</v>
          </cell>
          <cell r="FK217">
            <v>0</v>
          </cell>
          <cell r="FL217">
            <v>0</v>
          </cell>
          <cell r="FM217">
            <v>0</v>
          </cell>
          <cell r="FN217">
            <v>0</v>
          </cell>
          <cell r="FQ217">
            <v>1.8652316049743826E-2</v>
          </cell>
          <cell r="FR217">
            <v>9.9221085046644307E-3</v>
          </cell>
          <cell r="FS217">
            <v>1.731840413006068E-2</v>
          </cell>
          <cell r="FT217">
            <v>2.7168055429761792E-2</v>
          </cell>
          <cell r="FU217">
            <v>2.7168055429761792E-2</v>
          </cell>
          <cell r="FV217">
            <v>2.7168055429761792E-2</v>
          </cell>
          <cell r="FW217">
            <v>2.3228194909881348E-2</v>
          </cell>
          <cell r="FX217">
            <v>2.3228194909881348E-2</v>
          </cell>
          <cell r="FY217">
            <v>2.3228194909881348E-2</v>
          </cell>
          <cell r="FZ217">
            <v>2.3228194909881348E-2</v>
          </cell>
          <cell r="GA217">
            <v>2.3228194909881348E-2</v>
          </cell>
          <cell r="GD217">
            <v>2.696092641989753E-2</v>
          </cell>
          <cell r="GE217">
            <v>3.0057334456879189E-2</v>
          </cell>
          <cell r="GF217">
            <v>3.7769519790392135E-2</v>
          </cell>
          <cell r="GG217">
            <v>3.3282890373214545E-2</v>
          </cell>
          <cell r="GH217">
            <v>2.963026613023742E-2</v>
          </cell>
          <cell r="GI217">
            <v>2.7360049933358804E-2</v>
          </cell>
          <cell r="GJ217">
            <v>2.4957179959350463E-2</v>
          </cell>
          <cell r="GK217">
            <v>2.4837133778859176E-2</v>
          </cell>
          <cell r="GL217">
            <v>2.602530421252728E-2</v>
          </cell>
          <cell r="GM217">
            <v>2.9072651364584361E-2</v>
          </cell>
          <cell r="GN217">
            <v>2.9677918054700051E-2</v>
          </cell>
        </row>
        <row r="218">
          <cell r="B218" t="str">
            <v>Aspley</v>
          </cell>
          <cell r="C218" t="str">
            <v>31/6/2001</v>
          </cell>
          <cell r="D218">
            <v>1</v>
          </cell>
          <cell r="E218" t="str">
            <v>Neighbourhood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3.2560000000000002</v>
          </cell>
          <cell r="Z218">
            <v>0</v>
          </cell>
          <cell r="AA218">
            <v>0</v>
          </cell>
          <cell r="AB218">
            <v>0</v>
          </cell>
          <cell r="AC218">
            <v>3.444</v>
          </cell>
          <cell r="AD218">
            <v>0</v>
          </cell>
          <cell r="AE218">
            <v>0</v>
          </cell>
          <cell r="AF218">
            <v>0.51402985074626861</v>
          </cell>
          <cell r="AG218">
            <v>0</v>
          </cell>
          <cell r="AH218">
            <v>0</v>
          </cell>
          <cell r="AI218">
            <v>0</v>
          </cell>
          <cell r="AJ218">
            <v>0.48597014925373139</v>
          </cell>
          <cell r="AK218">
            <v>0</v>
          </cell>
          <cell r="AN218">
            <v>3.2560000000000002</v>
          </cell>
          <cell r="AO218">
            <v>6.7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0</v>
          </cell>
          <cell r="BJ218">
            <v>0</v>
          </cell>
          <cell r="BK218">
            <v>0</v>
          </cell>
          <cell r="BL218">
            <v>0</v>
          </cell>
          <cell r="BM218">
            <v>0</v>
          </cell>
          <cell r="BN218">
            <v>0</v>
          </cell>
          <cell r="BO218">
            <v>0</v>
          </cell>
          <cell r="BP218">
            <v>0</v>
          </cell>
          <cell r="BQ218">
            <v>0</v>
          </cell>
          <cell r="BR218">
            <v>0</v>
          </cell>
          <cell r="BS218">
            <v>0</v>
          </cell>
          <cell r="BT218">
            <v>0</v>
          </cell>
          <cell r="BU218">
            <v>0</v>
          </cell>
          <cell r="BV218">
            <v>0</v>
          </cell>
          <cell r="BW218">
            <v>0</v>
          </cell>
          <cell r="BX218">
            <v>0</v>
          </cell>
          <cell r="BY218">
            <v>0</v>
          </cell>
          <cell r="BZ218">
            <v>0</v>
          </cell>
          <cell r="CA218">
            <v>0</v>
          </cell>
          <cell r="CB218">
            <v>0</v>
          </cell>
          <cell r="CC218">
            <v>0</v>
          </cell>
          <cell r="CD218">
            <v>0</v>
          </cell>
          <cell r="CE218">
            <v>0</v>
          </cell>
          <cell r="CF218">
            <v>0</v>
          </cell>
          <cell r="CG218">
            <v>0</v>
          </cell>
          <cell r="CH218">
            <v>0</v>
          </cell>
          <cell r="CI218">
            <v>0</v>
          </cell>
          <cell r="CJ218">
            <v>0</v>
          </cell>
          <cell r="CK218">
            <v>0</v>
          </cell>
          <cell r="CL218">
            <v>0</v>
          </cell>
          <cell r="CM218">
            <v>0</v>
          </cell>
          <cell r="CN218">
            <v>0</v>
          </cell>
          <cell r="CO218">
            <v>0</v>
          </cell>
          <cell r="CP218">
            <v>0</v>
          </cell>
          <cell r="CQ218">
            <v>0</v>
          </cell>
          <cell r="CR218">
            <v>0</v>
          </cell>
          <cell r="CS218">
            <v>0</v>
          </cell>
          <cell r="CV218">
            <v>0</v>
          </cell>
          <cell r="CW218">
            <v>0</v>
          </cell>
          <cell r="CX218">
            <v>0</v>
          </cell>
          <cell r="CY218">
            <v>0</v>
          </cell>
          <cell r="CZ218">
            <v>6.7</v>
          </cell>
          <cell r="DA218">
            <v>0</v>
          </cell>
          <cell r="DD218">
            <v>0</v>
          </cell>
          <cell r="DE218">
            <v>0</v>
          </cell>
          <cell r="DF218">
            <v>0</v>
          </cell>
          <cell r="DG218">
            <v>0</v>
          </cell>
          <cell r="DH218">
            <v>0</v>
          </cell>
          <cell r="DI218">
            <v>0</v>
          </cell>
          <cell r="DJ218">
            <v>0</v>
          </cell>
          <cell r="DK218">
            <v>0</v>
          </cell>
          <cell r="DL218">
            <v>0</v>
          </cell>
          <cell r="DM218">
            <v>0</v>
          </cell>
          <cell r="DN218">
            <v>0</v>
          </cell>
          <cell r="DQ218">
            <v>0</v>
          </cell>
          <cell r="DR218">
            <v>0</v>
          </cell>
          <cell r="DS218">
            <v>0</v>
          </cell>
          <cell r="DT218">
            <v>0</v>
          </cell>
          <cell r="DU218">
            <v>0</v>
          </cell>
          <cell r="DV218">
            <v>0</v>
          </cell>
          <cell r="DW218">
            <v>0</v>
          </cell>
          <cell r="DX218">
            <v>0</v>
          </cell>
          <cell r="DY218">
            <v>0</v>
          </cell>
          <cell r="DZ218">
            <v>0</v>
          </cell>
          <cell r="EA218">
            <v>0</v>
          </cell>
          <cell r="ED218">
            <v>0</v>
          </cell>
          <cell r="EE218">
            <v>0</v>
          </cell>
          <cell r="EF218">
            <v>0</v>
          </cell>
          <cell r="EG218">
            <v>0</v>
          </cell>
          <cell r="EH218">
            <v>0</v>
          </cell>
          <cell r="EI218">
            <v>0</v>
          </cell>
          <cell r="EJ218">
            <v>0</v>
          </cell>
          <cell r="EK218">
            <v>0</v>
          </cell>
          <cell r="EL218">
            <v>0</v>
          </cell>
          <cell r="EM218">
            <v>0</v>
          </cell>
          <cell r="EN218">
            <v>0</v>
          </cell>
          <cell r="EQ218">
            <v>0</v>
          </cell>
          <cell r="ER218">
            <v>0</v>
          </cell>
          <cell r="ES218">
            <v>0</v>
          </cell>
          <cell r="ET218">
            <v>0</v>
          </cell>
          <cell r="EU218">
            <v>0</v>
          </cell>
          <cell r="EV218">
            <v>0</v>
          </cell>
          <cell r="EW218">
            <v>0</v>
          </cell>
          <cell r="EX218">
            <v>0</v>
          </cell>
          <cell r="EY218">
            <v>0</v>
          </cell>
          <cell r="EZ218">
            <v>0</v>
          </cell>
          <cell r="FA218">
            <v>0</v>
          </cell>
          <cell r="FD218">
            <v>0</v>
          </cell>
          <cell r="FE218">
            <v>0</v>
          </cell>
          <cell r="FF218">
            <v>0</v>
          </cell>
          <cell r="FG218">
            <v>0</v>
          </cell>
          <cell r="FH218">
            <v>0</v>
          </cell>
          <cell r="FI218">
            <v>0</v>
          </cell>
          <cell r="FJ218">
            <v>0</v>
          </cell>
          <cell r="FK218">
            <v>0</v>
          </cell>
          <cell r="FL218">
            <v>0</v>
          </cell>
          <cell r="FM218">
            <v>0</v>
          </cell>
          <cell r="FN218">
            <v>0</v>
          </cell>
          <cell r="FQ218">
            <v>0</v>
          </cell>
          <cell r="FR218">
            <v>0</v>
          </cell>
          <cell r="FS218">
            <v>0</v>
          </cell>
          <cell r="FT218">
            <v>0</v>
          </cell>
          <cell r="FU218">
            <v>0</v>
          </cell>
          <cell r="FV218">
            <v>0</v>
          </cell>
          <cell r="FW218">
            <v>0</v>
          </cell>
          <cell r="FX218">
            <v>0</v>
          </cell>
          <cell r="FY218">
            <v>0</v>
          </cell>
          <cell r="FZ218">
            <v>0</v>
          </cell>
          <cell r="GA218">
            <v>0</v>
          </cell>
          <cell r="GD218">
            <v>0</v>
          </cell>
          <cell r="GE218">
            <v>0</v>
          </cell>
          <cell r="GF218">
            <v>0</v>
          </cell>
          <cell r="GG218">
            <v>0</v>
          </cell>
          <cell r="GH218">
            <v>0</v>
          </cell>
          <cell r="GI218">
            <v>0</v>
          </cell>
          <cell r="GJ218">
            <v>0</v>
          </cell>
          <cell r="GK218">
            <v>0</v>
          </cell>
          <cell r="GL218">
            <v>0</v>
          </cell>
          <cell r="GM218">
            <v>0</v>
          </cell>
          <cell r="GN218">
            <v>0</v>
          </cell>
        </row>
        <row r="219">
          <cell r="B219" t="str">
            <v>Blacktown Mega Centre</v>
          </cell>
          <cell r="C219" t="str">
            <v>31/6/2001</v>
          </cell>
          <cell r="D219">
            <v>1</v>
          </cell>
          <cell r="E219" t="str">
            <v>Neighbourhood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3.2560000000000002</v>
          </cell>
          <cell r="Z219">
            <v>0</v>
          </cell>
          <cell r="AA219">
            <v>0</v>
          </cell>
          <cell r="AB219">
            <v>0</v>
          </cell>
          <cell r="AC219">
            <v>3.444</v>
          </cell>
          <cell r="AD219">
            <v>0</v>
          </cell>
          <cell r="AE219">
            <v>0</v>
          </cell>
          <cell r="AF219">
            <v>0.51402985074626861</v>
          </cell>
          <cell r="AG219">
            <v>0</v>
          </cell>
          <cell r="AH219">
            <v>0</v>
          </cell>
          <cell r="AI219">
            <v>0</v>
          </cell>
          <cell r="AJ219">
            <v>0.48597014925373139</v>
          </cell>
          <cell r="AK219">
            <v>0</v>
          </cell>
          <cell r="AN219">
            <v>3.2560000000000002</v>
          </cell>
          <cell r="AO219">
            <v>6.7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0</v>
          </cell>
          <cell r="BJ219">
            <v>0</v>
          </cell>
          <cell r="BK219">
            <v>0</v>
          </cell>
          <cell r="BL219">
            <v>0</v>
          </cell>
          <cell r="BM219">
            <v>0</v>
          </cell>
          <cell r="BN219">
            <v>0</v>
          </cell>
          <cell r="BO219">
            <v>0</v>
          </cell>
          <cell r="BP219">
            <v>0</v>
          </cell>
          <cell r="BQ219">
            <v>0</v>
          </cell>
          <cell r="BR219">
            <v>0</v>
          </cell>
          <cell r="BS219">
            <v>0</v>
          </cell>
          <cell r="BT219">
            <v>0</v>
          </cell>
          <cell r="BU219">
            <v>0</v>
          </cell>
          <cell r="BV219">
            <v>0</v>
          </cell>
          <cell r="BW219">
            <v>0</v>
          </cell>
          <cell r="BX219">
            <v>0</v>
          </cell>
          <cell r="BY219">
            <v>0</v>
          </cell>
          <cell r="BZ219">
            <v>0</v>
          </cell>
          <cell r="CA219">
            <v>0</v>
          </cell>
          <cell r="CB219">
            <v>0</v>
          </cell>
          <cell r="CC219">
            <v>0</v>
          </cell>
          <cell r="CD219">
            <v>0</v>
          </cell>
          <cell r="CE219">
            <v>0</v>
          </cell>
          <cell r="CF219">
            <v>0</v>
          </cell>
          <cell r="CG219">
            <v>0</v>
          </cell>
          <cell r="CH219">
            <v>0</v>
          </cell>
          <cell r="CI219">
            <v>0</v>
          </cell>
          <cell r="CJ219">
            <v>0</v>
          </cell>
          <cell r="CK219">
            <v>0</v>
          </cell>
          <cell r="CL219">
            <v>0</v>
          </cell>
          <cell r="CM219">
            <v>0</v>
          </cell>
          <cell r="CN219">
            <v>0</v>
          </cell>
          <cell r="CO219">
            <v>0</v>
          </cell>
          <cell r="CP219">
            <v>0</v>
          </cell>
          <cell r="CQ219">
            <v>0</v>
          </cell>
          <cell r="CR219">
            <v>0</v>
          </cell>
          <cell r="CS219">
            <v>0</v>
          </cell>
          <cell r="CV219">
            <v>0</v>
          </cell>
          <cell r="CW219">
            <v>0</v>
          </cell>
          <cell r="CX219">
            <v>0</v>
          </cell>
          <cell r="CY219">
            <v>0</v>
          </cell>
          <cell r="CZ219">
            <v>6.7</v>
          </cell>
          <cell r="DA219">
            <v>0</v>
          </cell>
          <cell r="DD219">
            <v>0</v>
          </cell>
          <cell r="DE219">
            <v>0</v>
          </cell>
          <cell r="DF219">
            <v>0</v>
          </cell>
          <cell r="DG219">
            <v>0</v>
          </cell>
          <cell r="DH219">
            <v>0</v>
          </cell>
          <cell r="DI219">
            <v>0</v>
          </cell>
          <cell r="DJ219">
            <v>0</v>
          </cell>
          <cell r="DK219">
            <v>0</v>
          </cell>
          <cell r="DL219">
            <v>0</v>
          </cell>
          <cell r="DM219">
            <v>0</v>
          </cell>
          <cell r="DN219">
            <v>0</v>
          </cell>
          <cell r="DQ219">
            <v>0</v>
          </cell>
          <cell r="DR219">
            <v>0</v>
          </cell>
          <cell r="DS219">
            <v>0</v>
          </cell>
          <cell r="DT219">
            <v>0</v>
          </cell>
          <cell r="DU219">
            <v>0</v>
          </cell>
          <cell r="DV219">
            <v>0</v>
          </cell>
          <cell r="DW219">
            <v>0</v>
          </cell>
          <cell r="DX219">
            <v>0</v>
          </cell>
          <cell r="DY219">
            <v>0</v>
          </cell>
          <cell r="DZ219">
            <v>0</v>
          </cell>
          <cell r="EA219">
            <v>0</v>
          </cell>
          <cell r="ED219">
            <v>0</v>
          </cell>
          <cell r="EE219">
            <v>0</v>
          </cell>
          <cell r="EF219">
            <v>0</v>
          </cell>
          <cell r="EG219">
            <v>0</v>
          </cell>
          <cell r="EH219">
            <v>0</v>
          </cell>
          <cell r="EI219">
            <v>0</v>
          </cell>
          <cell r="EJ219">
            <v>0</v>
          </cell>
          <cell r="EK219">
            <v>0</v>
          </cell>
          <cell r="EL219">
            <v>0</v>
          </cell>
          <cell r="EM219">
            <v>0</v>
          </cell>
          <cell r="EN219">
            <v>0</v>
          </cell>
          <cell r="EQ219">
            <v>0</v>
          </cell>
          <cell r="ER219">
            <v>0</v>
          </cell>
          <cell r="ES219">
            <v>0</v>
          </cell>
          <cell r="ET219">
            <v>0</v>
          </cell>
          <cell r="EU219">
            <v>0</v>
          </cell>
          <cell r="EV219">
            <v>0</v>
          </cell>
          <cell r="EW219">
            <v>0</v>
          </cell>
          <cell r="EX219">
            <v>0</v>
          </cell>
          <cell r="EY219">
            <v>0</v>
          </cell>
          <cell r="EZ219">
            <v>0</v>
          </cell>
          <cell r="FA219">
            <v>0</v>
          </cell>
          <cell r="FD219">
            <v>0</v>
          </cell>
          <cell r="FE219">
            <v>0</v>
          </cell>
          <cell r="FF219">
            <v>0</v>
          </cell>
          <cell r="FG219">
            <v>0</v>
          </cell>
          <cell r="FH219">
            <v>0</v>
          </cell>
          <cell r="FI219">
            <v>0</v>
          </cell>
          <cell r="FJ219">
            <v>0</v>
          </cell>
          <cell r="FK219">
            <v>0</v>
          </cell>
          <cell r="FL219">
            <v>0</v>
          </cell>
          <cell r="FM219">
            <v>0</v>
          </cell>
          <cell r="FN219">
            <v>0</v>
          </cell>
          <cell r="FQ219">
            <v>0</v>
          </cell>
          <cell r="FR219">
            <v>0</v>
          </cell>
          <cell r="FS219">
            <v>0</v>
          </cell>
          <cell r="FT219">
            <v>0</v>
          </cell>
          <cell r="FU219">
            <v>0</v>
          </cell>
          <cell r="FV219">
            <v>0</v>
          </cell>
          <cell r="FW219">
            <v>0</v>
          </cell>
          <cell r="FX219">
            <v>0</v>
          </cell>
          <cell r="FY219">
            <v>0</v>
          </cell>
          <cell r="FZ219">
            <v>0</v>
          </cell>
          <cell r="GA219">
            <v>0</v>
          </cell>
          <cell r="GD219">
            <v>0</v>
          </cell>
          <cell r="GE219">
            <v>0</v>
          </cell>
          <cell r="GF219">
            <v>0</v>
          </cell>
          <cell r="GG219">
            <v>0</v>
          </cell>
          <cell r="GH219">
            <v>0</v>
          </cell>
          <cell r="GI219">
            <v>0</v>
          </cell>
          <cell r="GJ219">
            <v>0</v>
          </cell>
          <cell r="GK219">
            <v>0</v>
          </cell>
          <cell r="GL219">
            <v>0</v>
          </cell>
          <cell r="GM219">
            <v>0</v>
          </cell>
          <cell r="GN219">
            <v>0</v>
          </cell>
        </row>
        <row r="220">
          <cell r="B220" t="str">
            <v xml:space="preserve">Gippsland </v>
          </cell>
          <cell r="C220">
            <v>0</v>
          </cell>
          <cell r="D220">
            <v>1</v>
          </cell>
          <cell r="E220" t="str">
            <v>Sub Regional</v>
          </cell>
          <cell r="F220" t="str">
            <v>VIC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9.5</v>
          </cell>
          <cell r="M220">
            <v>0</v>
          </cell>
          <cell r="N220">
            <v>8</v>
          </cell>
          <cell r="O220">
            <v>0</v>
          </cell>
          <cell r="P220">
            <v>0</v>
          </cell>
          <cell r="Q220">
            <v>1.5</v>
          </cell>
          <cell r="R220">
            <v>3.3</v>
          </cell>
          <cell r="S220">
            <v>0</v>
          </cell>
          <cell r="T220">
            <v>3.3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7.6</v>
          </cell>
          <cell r="AD220">
            <v>0</v>
          </cell>
          <cell r="AE220">
            <v>0</v>
          </cell>
          <cell r="AF220">
            <v>0.37254901960784315</v>
          </cell>
          <cell r="AG220">
            <v>0</v>
          </cell>
          <cell r="AH220">
            <v>0.46568627450980393</v>
          </cell>
          <cell r="AI220">
            <v>0.16176470588235295</v>
          </cell>
          <cell r="AJ220">
            <v>0</v>
          </cell>
          <cell r="AK220">
            <v>0</v>
          </cell>
          <cell r="AN220">
            <v>12.8</v>
          </cell>
          <cell r="AO220">
            <v>20.399999999999999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0</v>
          </cell>
          <cell r="BJ220">
            <v>0</v>
          </cell>
          <cell r="BK220">
            <v>0</v>
          </cell>
          <cell r="BL220">
            <v>0</v>
          </cell>
          <cell r="BM220">
            <v>0</v>
          </cell>
          <cell r="BN220">
            <v>0</v>
          </cell>
          <cell r="BO220">
            <v>0</v>
          </cell>
          <cell r="BP220">
            <v>0</v>
          </cell>
          <cell r="BQ220">
            <v>0</v>
          </cell>
          <cell r="BR220">
            <v>0</v>
          </cell>
          <cell r="BS220">
            <v>0</v>
          </cell>
          <cell r="BT220">
            <v>0</v>
          </cell>
          <cell r="BU220">
            <v>0</v>
          </cell>
          <cell r="BV220">
            <v>0</v>
          </cell>
          <cell r="BW220">
            <v>0</v>
          </cell>
          <cell r="BX220">
            <v>0</v>
          </cell>
          <cell r="BY220">
            <v>0</v>
          </cell>
          <cell r="BZ220">
            <v>0</v>
          </cell>
          <cell r="CA220">
            <v>0</v>
          </cell>
          <cell r="CB220">
            <v>0</v>
          </cell>
          <cell r="CC220">
            <v>0</v>
          </cell>
          <cell r="CD220">
            <v>0</v>
          </cell>
          <cell r="CE220">
            <v>0</v>
          </cell>
          <cell r="CF220">
            <v>0</v>
          </cell>
          <cell r="CG220">
            <v>0</v>
          </cell>
          <cell r="CH220">
            <v>0</v>
          </cell>
          <cell r="CI220">
            <v>0</v>
          </cell>
          <cell r="CJ220">
            <v>0</v>
          </cell>
          <cell r="CK220">
            <v>0</v>
          </cell>
          <cell r="CL220">
            <v>0</v>
          </cell>
          <cell r="CM220">
            <v>0</v>
          </cell>
          <cell r="CN220">
            <v>0</v>
          </cell>
          <cell r="CO220">
            <v>0</v>
          </cell>
          <cell r="CP220">
            <v>0</v>
          </cell>
          <cell r="CQ220">
            <v>0</v>
          </cell>
          <cell r="CR220">
            <v>0</v>
          </cell>
          <cell r="CS220">
            <v>0</v>
          </cell>
          <cell r="CV220">
            <v>0</v>
          </cell>
          <cell r="CW220">
            <v>0</v>
          </cell>
          <cell r="CX220">
            <v>0</v>
          </cell>
          <cell r="CY220">
            <v>0</v>
          </cell>
          <cell r="CZ220">
            <v>0</v>
          </cell>
          <cell r="DA220">
            <v>0</v>
          </cell>
          <cell r="DD220">
            <v>0</v>
          </cell>
          <cell r="DE220">
            <v>0</v>
          </cell>
          <cell r="DF220">
            <v>0</v>
          </cell>
          <cell r="DG220">
            <v>0</v>
          </cell>
          <cell r="DH220">
            <v>0</v>
          </cell>
          <cell r="DI220">
            <v>0</v>
          </cell>
          <cell r="DJ220">
            <v>0</v>
          </cell>
          <cell r="DK220">
            <v>0</v>
          </cell>
          <cell r="DL220">
            <v>0</v>
          </cell>
          <cell r="DM220">
            <v>0</v>
          </cell>
          <cell r="DN220">
            <v>0</v>
          </cell>
          <cell r="DQ220">
            <v>0</v>
          </cell>
          <cell r="DR220">
            <v>0</v>
          </cell>
          <cell r="DS220">
            <v>0</v>
          </cell>
          <cell r="DT220">
            <v>0</v>
          </cell>
          <cell r="DU220">
            <v>0</v>
          </cell>
          <cell r="DV220">
            <v>0</v>
          </cell>
          <cell r="DW220">
            <v>0</v>
          </cell>
          <cell r="DX220">
            <v>0</v>
          </cell>
          <cell r="DY220">
            <v>0</v>
          </cell>
          <cell r="DZ220">
            <v>0</v>
          </cell>
          <cell r="EA220">
            <v>0</v>
          </cell>
          <cell r="ED220">
            <v>0</v>
          </cell>
          <cell r="EE220">
            <v>0</v>
          </cell>
          <cell r="EF220">
            <v>0</v>
          </cell>
          <cell r="EG220">
            <v>0</v>
          </cell>
          <cell r="EH220">
            <v>0</v>
          </cell>
          <cell r="EI220">
            <v>0</v>
          </cell>
          <cell r="EJ220">
            <v>0</v>
          </cell>
          <cell r="EK220">
            <v>0</v>
          </cell>
          <cell r="EL220">
            <v>0</v>
          </cell>
          <cell r="EM220">
            <v>0</v>
          </cell>
          <cell r="EN220">
            <v>0</v>
          </cell>
          <cell r="EQ220">
            <v>0</v>
          </cell>
          <cell r="ER220">
            <v>0</v>
          </cell>
          <cell r="ES220">
            <v>0</v>
          </cell>
          <cell r="ET220">
            <v>0</v>
          </cell>
          <cell r="EU220">
            <v>0</v>
          </cell>
          <cell r="EV220">
            <v>0</v>
          </cell>
          <cell r="EW220">
            <v>0</v>
          </cell>
          <cell r="EX220">
            <v>0</v>
          </cell>
          <cell r="EY220">
            <v>0</v>
          </cell>
          <cell r="EZ220">
            <v>0</v>
          </cell>
          <cell r="FA220">
            <v>0</v>
          </cell>
          <cell r="FD220">
            <v>0</v>
          </cell>
          <cell r="FE220">
            <v>0</v>
          </cell>
          <cell r="FF220">
            <v>0</v>
          </cell>
          <cell r="FG220">
            <v>0</v>
          </cell>
          <cell r="FH220">
            <v>0</v>
          </cell>
          <cell r="FI220">
            <v>0</v>
          </cell>
          <cell r="FJ220">
            <v>0</v>
          </cell>
          <cell r="FK220">
            <v>0</v>
          </cell>
          <cell r="FL220">
            <v>0</v>
          </cell>
          <cell r="FM220">
            <v>0</v>
          </cell>
          <cell r="FN220">
            <v>0</v>
          </cell>
          <cell r="FQ220">
            <v>0</v>
          </cell>
          <cell r="FR220">
            <v>0</v>
          </cell>
          <cell r="FS220">
            <v>0</v>
          </cell>
          <cell r="FT220">
            <v>0</v>
          </cell>
          <cell r="FU220">
            <v>0</v>
          </cell>
          <cell r="FV220">
            <v>0</v>
          </cell>
          <cell r="FW220">
            <v>0</v>
          </cell>
          <cell r="FX220">
            <v>0</v>
          </cell>
          <cell r="FY220">
            <v>0</v>
          </cell>
          <cell r="FZ220">
            <v>0</v>
          </cell>
          <cell r="GA220">
            <v>0</v>
          </cell>
          <cell r="GD220">
            <v>0</v>
          </cell>
          <cell r="GE220">
            <v>0</v>
          </cell>
          <cell r="GF220">
            <v>0</v>
          </cell>
          <cell r="GG220">
            <v>0</v>
          </cell>
          <cell r="GH220">
            <v>0</v>
          </cell>
          <cell r="GI220">
            <v>0</v>
          </cell>
          <cell r="GJ220">
            <v>0</v>
          </cell>
          <cell r="GK220">
            <v>0</v>
          </cell>
          <cell r="GL220">
            <v>0</v>
          </cell>
          <cell r="GM220">
            <v>0</v>
          </cell>
          <cell r="GN220">
            <v>0</v>
          </cell>
        </row>
        <row r="221">
          <cell r="B221" t="str">
            <v>Orange City Centre</v>
          </cell>
          <cell r="C221">
            <v>0</v>
          </cell>
          <cell r="D221">
            <v>1</v>
          </cell>
          <cell r="E221" t="str">
            <v>Sub Regional</v>
          </cell>
          <cell r="F221" t="str">
            <v>NSW</v>
          </cell>
          <cell r="G221">
            <v>0</v>
          </cell>
          <cell r="H221">
            <v>7</v>
          </cell>
          <cell r="I221">
            <v>7</v>
          </cell>
          <cell r="J221">
            <v>0</v>
          </cell>
          <cell r="K221">
            <v>0</v>
          </cell>
          <cell r="L221">
            <v>7.2</v>
          </cell>
          <cell r="M221">
            <v>0</v>
          </cell>
          <cell r="N221">
            <v>0</v>
          </cell>
          <cell r="O221">
            <v>7.2</v>
          </cell>
          <cell r="P221">
            <v>0</v>
          </cell>
          <cell r="Q221">
            <v>0</v>
          </cell>
          <cell r="R221">
            <v>1.1000000000000001</v>
          </cell>
          <cell r="S221">
            <v>0</v>
          </cell>
          <cell r="T221">
            <v>0</v>
          </cell>
          <cell r="U221">
            <v>1.1000000000000001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2.9</v>
          </cell>
          <cell r="AD221">
            <v>0</v>
          </cell>
          <cell r="AE221">
            <v>0</v>
          </cell>
          <cell r="AF221">
            <v>0.15934065934065933</v>
          </cell>
          <cell r="AG221">
            <v>0.38461538461538464</v>
          </cell>
          <cell r="AH221">
            <v>0.39560439560439564</v>
          </cell>
          <cell r="AI221">
            <v>6.0439560439560447E-2</v>
          </cell>
          <cell r="AJ221">
            <v>0</v>
          </cell>
          <cell r="AK221">
            <v>0</v>
          </cell>
          <cell r="AN221">
            <v>15.299999999999999</v>
          </cell>
          <cell r="AO221">
            <v>18.2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0</v>
          </cell>
          <cell r="BJ221">
            <v>0</v>
          </cell>
          <cell r="BK221">
            <v>0</v>
          </cell>
          <cell r="BL221">
            <v>0</v>
          </cell>
          <cell r="BM221">
            <v>0</v>
          </cell>
          <cell r="BN221">
            <v>0</v>
          </cell>
          <cell r="BO221">
            <v>0</v>
          </cell>
          <cell r="BP221">
            <v>0</v>
          </cell>
          <cell r="BQ221">
            <v>0</v>
          </cell>
          <cell r="BR221">
            <v>0</v>
          </cell>
          <cell r="BS221">
            <v>0</v>
          </cell>
          <cell r="BT221">
            <v>0</v>
          </cell>
          <cell r="BU221">
            <v>0</v>
          </cell>
          <cell r="BV221">
            <v>0</v>
          </cell>
          <cell r="BW221">
            <v>0</v>
          </cell>
          <cell r="BX221">
            <v>0</v>
          </cell>
          <cell r="BY221">
            <v>0</v>
          </cell>
          <cell r="BZ221">
            <v>0</v>
          </cell>
          <cell r="CA221">
            <v>0</v>
          </cell>
          <cell r="CB221">
            <v>0</v>
          </cell>
          <cell r="CC221">
            <v>0</v>
          </cell>
          <cell r="CD221">
            <v>0</v>
          </cell>
          <cell r="CE221">
            <v>0</v>
          </cell>
          <cell r="CF221">
            <v>0</v>
          </cell>
          <cell r="CG221">
            <v>0</v>
          </cell>
          <cell r="CH221">
            <v>0</v>
          </cell>
          <cell r="CI221">
            <v>0</v>
          </cell>
          <cell r="CJ221">
            <v>0</v>
          </cell>
          <cell r="CK221">
            <v>0</v>
          </cell>
          <cell r="CL221">
            <v>0</v>
          </cell>
          <cell r="CM221">
            <v>0</v>
          </cell>
          <cell r="CN221">
            <v>0</v>
          </cell>
          <cell r="CO221">
            <v>0</v>
          </cell>
          <cell r="CP221">
            <v>0</v>
          </cell>
          <cell r="CQ221">
            <v>0</v>
          </cell>
          <cell r="CR221">
            <v>0</v>
          </cell>
          <cell r="CS221">
            <v>0</v>
          </cell>
          <cell r="CV221">
            <v>0</v>
          </cell>
          <cell r="CW221">
            <v>0</v>
          </cell>
          <cell r="CX221">
            <v>0</v>
          </cell>
          <cell r="CY221">
            <v>0</v>
          </cell>
          <cell r="CZ221">
            <v>0</v>
          </cell>
          <cell r="DA221">
            <v>0</v>
          </cell>
          <cell r="DD221">
            <v>0</v>
          </cell>
          <cell r="DE221">
            <v>0</v>
          </cell>
          <cell r="DF221">
            <v>0</v>
          </cell>
          <cell r="DG221">
            <v>0</v>
          </cell>
          <cell r="DH221">
            <v>0</v>
          </cell>
          <cell r="DI221">
            <v>0</v>
          </cell>
          <cell r="DJ221">
            <v>0</v>
          </cell>
          <cell r="DK221">
            <v>0</v>
          </cell>
          <cell r="DL221">
            <v>0</v>
          </cell>
          <cell r="DM221">
            <v>0</v>
          </cell>
          <cell r="DN221">
            <v>0</v>
          </cell>
          <cell r="DQ221">
            <v>0</v>
          </cell>
          <cell r="DR221">
            <v>0</v>
          </cell>
          <cell r="DS221">
            <v>0</v>
          </cell>
          <cell r="DT221">
            <v>0</v>
          </cell>
          <cell r="DU221">
            <v>0</v>
          </cell>
          <cell r="DV221">
            <v>0</v>
          </cell>
          <cell r="DW221">
            <v>0</v>
          </cell>
          <cell r="DX221">
            <v>0</v>
          </cell>
          <cell r="DY221">
            <v>0</v>
          </cell>
          <cell r="DZ221">
            <v>0</v>
          </cell>
          <cell r="EA221">
            <v>0</v>
          </cell>
          <cell r="ED221">
            <v>0</v>
          </cell>
          <cell r="EE221">
            <v>0</v>
          </cell>
          <cell r="EF221">
            <v>0</v>
          </cell>
          <cell r="EG221">
            <v>0</v>
          </cell>
          <cell r="EH221">
            <v>0</v>
          </cell>
          <cell r="EI221">
            <v>0</v>
          </cell>
          <cell r="EJ221">
            <v>0</v>
          </cell>
          <cell r="EK221">
            <v>0</v>
          </cell>
          <cell r="EL221">
            <v>0</v>
          </cell>
          <cell r="EM221">
            <v>0</v>
          </cell>
          <cell r="EN221">
            <v>0</v>
          </cell>
          <cell r="EQ221">
            <v>0</v>
          </cell>
          <cell r="ER221">
            <v>0</v>
          </cell>
          <cell r="ES221">
            <v>0</v>
          </cell>
          <cell r="ET221">
            <v>0</v>
          </cell>
          <cell r="EU221">
            <v>0</v>
          </cell>
          <cell r="EV221">
            <v>0</v>
          </cell>
          <cell r="EW221">
            <v>0</v>
          </cell>
          <cell r="EX221">
            <v>0</v>
          </cell>
          <cell r="EY221">
            <v>0</v>
          </cell>
          <cell r="EZ221">
            <v>0</v>
          </cell>
          <cell r="FA221">
            <v>0</v>
          </cell>
          <cell r="FD221">
            <v>0</v>
          </cell>
          <cell r="FE221">
            <v>0</v>
          </cell>
          <cell r="FF221">
            <v>0</v>
          </cell>
          <cell r="FG221">
            <v>0</v>
          </cell>
          <cell r="FH221">
            <v>0</v>
          </cell>
          <cell r="FI221">
            <v>0</v>
          </cell>
          <cell r="FJ221">
            <v>0</v>
          </cell>
          <cell r="FK221">
            <v>0</v>
          </cell>
          <cell r="FL221">
            <v>0</v>
          </cell>
          <cell r="FM221">
            <v>0</v>
          </cell>
          <cell r="FN221">
            <v>0</v>
          </cell>
          <cell r="FQ221">
            <v>0</v>
          </cell>
          <cell r="FR221">
            <v>0</v>
          </cell>
          <cell r="FS221">
            <v>0</v>
          </cell>
          <cell r="FT221">
            <v>0</v>
          </cell>
          <cell r="FU221">
            <v>0</v>
          </cell>
          <cell r="FV221">
            <v>0</v>
          </cell>
          <cell r="FW221">
            <v>0</v>
          </cell>
          <cell r="FX221">
            <v>0</v>
          </cell>
          <cell r="FY221">
            <v>0</v>
          </cell>
          <cell r="FZ221">
            <v>0</v>
          </cell>
          <cell r="GA221">
            <v>0</v>
          </cell>
          <cell r="GD221">
            <v>0</v>
          </cell>
          <cell r="GE221">
            <v>0</v>
          </cell>
          <cell r="GF221">
            <v>0</v>
          </cell>
          <cell r="GG221">
            <v>0</v>
          </cell>
          <cell r="GH221">
            <v>0</v>
          </cell>
          <cell r="GI221">
            <v>0</v>
          </cell>
          <cell r="GJ221">
            <v>0</v>
          </cell>
          <cell r="GK221">
            <v>0</v>
          </cell>
          <cell r="GL221">
            <v>0</v>
          </cell>
          <cell r="GM221">
            <v>0</v>
          </cell>
          <cell r="GN2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rp_DCF"/>
      <sheetName val="Summary"/>
      <sheetName val="Truststats"/>
      <sheetName val="Contact"/>
      <sheetName val="Consensus"/>
      <sheetName val="Results analysis"/>
      <sheetName val="FYResults"/>
      <sheetName val="IPGdist"/>
      <sheetName val="Trust Model"/>
      <sheetName val="Corp Investments"/>
      <sheetName val="NPI&amp;Capex"/>
      <sheetName val="Import"/>
      <sheetName val="Bal Sheet"/>
      <sheetName val="ML Data"/>
      <sheetName val="ML Segmental"/>
      <sheetName val="ML Porfolio-Mini BS"/>
      <sheetName val="Data"/>
      <sheetName val="REDSTemplate - IPG (OLD)"/>
      <sheetName val="2005 Property Portfolio"/>
      <sheetName val="Market"/>
      <sheetName val="REDSTemplate - IPG"/>
      <sheetName val="iQ_CoreIndustrials"/>
      <sheetName val="DDM"/>
    </sheetNames>
    <sheetDataSet>
      <sheetData sheetId="0" refreshError="1"/>
      <sheetData sheetId="1" refreshError="1">
        <row r="9">
          <cell r="AA9">
            <v>228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60">
          <cell r="A60" t="str">
            <v>Group_RentInc</v>
          </cell>
          <cell r="C60" t="str">
            <v>Investment Portfolio</v>
          </cell>
          <cell r="E60">
            <v>137.30000000000001</v>
          </cell>
          <cell r="F60">
            <v>259</v>
          </cell>
          <cell r="G60">
            <v>269.39999999999998</v>
          </cell>
          <cell r="H60">
            <v>253.39990532876033</v>
          </cell>
          <cell r="I60">
            <v>272.67311336117842</v>
          </cell>
          <cell r="J60">
            <v>288.89695957148029</v>
          </cell>
          <cell r="K60">
            <v>301.28534116176098</v>
          </cell>
          <cell r="L60">
            <v>312.82616769350466</v>
          </cell>
          <cell r="M60">
            <v>319.62399370896304</v>
          </cell>
          <cell r="N60">
            <v>-5.9391591207274108E-2</v>
          </cell>
          <cell r="O60">
            <v>126.79999999999998</v>
          </cell>
          <cell r="P60">
            <v>126.59990532876034</v>
          </cell>
          <cell r="R60">
            <v>5.9499251724213886E-2</v>
          </cell>
          <cell r="S60">
            <v>0.66225210427591397</v>
          </cell>
          <cell r="U60">
            <v>21.7</v>
          </cell>
          <cell r="V60">
            <v>36.299999999999997</v>
          </cell>
          <cell r="W60">
            <v>58</v>
          </cell>
          <cell r="AA60" t="str">
            <v>Investment Portfolio</v>
          </cell>
          <cell r="AB60">
            <v>0.66225210427591397</v>
          </cell>
          <cell r="AC60">
            <v>0.73612197888023223</v>
          </cell>
          <cell r="AD60">
            <v>0.71762245109400624</v>
          </cell>
          <cell r="AE60">
            <v>0.72535696808033789</v>
          </cell>
          <cell r="AF60">
            <v>0.71590618697361164</v>
          </cell>
          <cell r="AG60">
            <v>0.72264102909511052</v>
          </cell>
          <cell r="AN60" t="str">
            <v>Investment Portfolio</v>
          </cell>
          <cell r="AO60">
            <v>135.4</v>
          </cell>
          <cell r="AP60">
            <v>126.79999999999998</v>
          </cell>
          <cell r="AQ60">
            <v>-6.3515509601181801</v>
          </cell>
          <cell r="AR60">
            <v>126.59990532876034</v>
          </cell>
          <cell r="AS60">
            <v>253.39990532876033</v>
          </cell>
        </row>
        <row r="61">
          <cell r="A61" t="str">
            <v>Group_DevelopmentInc</v>
          </cell>
          <cell r="C61" t="str">
            <v>Development Income</v>
          </cell>
          <cell r="E61">
            <v>15.8</v>
          </cell>
          <cell r="F61">
            <v>27.1</v>
          </cell>
          <cell r="G61">
            <v>27.9</v>
          </cell>
          <cell r="H61">
            <v>58.09293000000001</v>
          </cell>
          <cell r="I61">
            <v>63.01984958333334</v>
          </cell>
          <cell r="J61">
            <v>78.227493812187504</v>
          </cell>
          <cell r="K61">
            <v>77.895674650482562</v>
          </cell>
          <cell r="L61">
            <v>87.224311815272117</v>
          </cell>
          <cell r="M61">
            <v>85.021937256681966</v>
          </cell>
          <cell r="N61">
            <v>1.0821838709677425</v>
          </cell>
          <cell r="O61">
            <v>21.7</v>
          </cell>
          <cell r="P61">
            <v>36.392930000000007</v>
          </cell>
          <cell r="R61">
            <v>0.24131514640866558</v>
          </cell>
          <cell r="S61">
            <v>0.15182391282324947</v>
          </cell>
          <cell r="U61">
            <v>21.7</v>
          </cell>
          <cell r="V61">
            <v>32.700000000000003</v>
          </cell>
          <cell r="W61">
            <v>54.4</v>
          </cell>
          <cell r="AA61" t="str">
            <v>Development Income</v>
          </cell>
          <cell r="AB61">
            <v>0.15182391282324947</v>
          </cell>
          <cell r="AC61">
            <v>0.17013153886782403</v>
          </cell>
          <cell r="AD61">
            <v>0.19431774545399227</v>
          </cell>
          <cell r="AE61">
            <v>0.18753707091481189</v>
          </cell>
          <cell r="AF61">
            <v>0.19961381409834458</v>
          </cell>
          <cell r="AG61">
            <v>0.19222693365997334</v>
          </cell>
          <cell r="AN61" t="str">
            <v>Development Income</v>
          </cell>
          <cell r="AO61">
            <v>9.4</v>
          </cell>
          <cell r="AP61">
            <v>21.7</v>
          </cell>
          <cell r="AQ61">
            <v>130.85106382978725</v>
          </cell>
          <cell r="AR61">
            <v>29.57293000000001</v>
          </cell>
          <cell r="AS61">
            <v>51.272930000000009</v>
          </cell>
        </row>
        <row r="62">
          <cell r="A62" t="str">
            <v>Group_SevicesInc</v>
          </cell>
          <cell r="C62" t="str">
            <v>Services Income</v>
          </cell>
          <cell r="E62">
            <v>16.899999999999999</v>
          </cell>
          <cell r="F62">
            <v>18.5</v>
          </cell>
          <cell r="G62">
            <v>22.3</v>
          </cell>
          <cell r="H62">
            <v>31.469569999999997</v>
          </cell>
          <cell r="I62">
            <v>28.6404204</v>
          </cell>
          <cell r="J62">
            <v>29.365687808000001</v>
          </cell>
          <cell r="K62">
            <v>30.09546056416</v>
          </cell>
          <cell r="L62">
            <v>30.8298287754432</v>
          </cell>
          <cell r="M62">
            <v>31.568884350952064</v>
          </cell>
          <cell r="N62">
            <v>0.41119147982062754</v>
          </cell>
          <cell r="O62">
            <v>3.7</v>
          </cell>
          <cell r="P62">
            <v>27.769569999999998</v>
          </cell>
          <cell r="R62">
            <v>2.5323210967950649E-2</v>
          </cell>
          <cell r="S62">
            <v>8.2244659587064131E-2</v>
          </cell>
          <cell r="AA62" t="str">
            <v>Services Income</v>
          </cell>
          <cell r="AB62">
            <v>8.2244659587064131E-2</v>
          </cell>
          <cell r="AC62">
            <v>7.7319111814606295E-2</v>
          </cell>
          <cell r="AD62">
            <v>7.2944612826997351E-2</v>
          </cell>
          <cell r="AE62">
            <v>7.2456070858355856E-2</v>
          </cell>
          <cell r="AF62">
            <v>7.0554408304171895E-2</v>
          </cell>
          <cell r="AG62">
            <v>7.1374400932894669E-2</v>
          </cell>
          <cell r="AN62" t="str">
            <v>Services Income</v>
          </cell>
          <cell r="AO62">
            <v>4.4000000000000004</v>
          </cell>
          <cell r="AP62">
            <v>3.7</v>
          </cell>
          <cell r="AQ62">
            <v>-15.909090909090917</v>
          </cell>
          <cell r="AR62">
            <v>4.2695699999999972</v>
          </cell>
          <cell r="AS62">
            <v>7.9695699999999974</v>
          </cell>
        </row>
        <row r="63">
          <cell r="A63" t="str">
            <v>Group_InvestmentInc</v>
          </cell>
          <cell r="C63" t="str">
            <v>Investment Income</v>
          </cell>
          <cell r="E63">
            <v>20.399999999999999</v>
          </cell>
          <cell r="F63">
            <v>24.2</v>
          </cell>
          <cell r="G63">
            <v>30.405000000000001</v>
          </cell>
          <cell r="H63">
            <v>38.171192500000004</v>
          </cell>
          <cell r="I63">
            <v>4.585</v>
          </cell>
          <cell r="J63">
            <v>4.585</v>
          </cell>
          <cell r="K63">
            <v>4.585</v>
          </cell>
          <cell r="L63">
            <v>4.585</v>
          </cell>
          <cell r="M63">
            <v>4.585</v>
          </cell>
          <cell r="N63">
            <v>0.25542484788686082</v>
          </cell>
          <cell r="O63">
            <v>8.1999999999999993</v>
          </cell>
          <cell r="P63">
            <v>29.971192500000004</v>
          </cell>
          <cell r="R63">
            <v>0</v>
          </cell>
          <cell r="S63">
            <v>9.9759123915414041E-2</v>
          </cell>
          <cell r="AA63" t="str">
            <v>Investment Income</v>
          </cell>
          <cell r="AB63">
            <v>9.9759123915414041E-2</v>
          </cell>
          <cell r="AC63">
            <v>1.2377895391157382E-2</v>
          </cell>
          <cell r="AD63">
            <v>1.1389178145545409E-2</v>
          </cell>
          <cell r="AE63">
            <v>1.1038577867161276E-2</v>
          </cell>
          <cell r="AF63">
            <v>1.0492823830805648E-2</v>
          </cell>
          <cell r="AG63">
            <v>1.036627156789127E-2</v>
          </cell>
          <cell r="AN63" t="str">
            <v>Investment Income</v>
          </cell>
          <cell r="AO63">
            <v>8.1</v>
          </cell>
          <cell r="AP63">
            <v>8.1999999999999993</v>
          </cell>
          <cell r="AQ63">
            <v>1.2345679012345734</v>
          </cell>
          <cell r="AR63">
            <v>6.1711925000000001</v>
          </cell>
          <cell r="AS63">
            <v>14.371192499999999</v>
          </cell>
        </row>
        <row r="67">
          <cell r="A67" t="str">
            <v>Group_InterestInc</v>
          </cell>
          <cell r="C67" t="str">
            <v>Interest Income</v>
          </cell>
          <cell r="E67">
            <v>3.3</v>
          </cell>
          <cell r="F67">
            <v>2.2999999999999998</v>
          </cell>
          <cell r="G67">
            <v>2</v>
          </cell>
          <cell r="H67">
            <v>1.5</v>
          </cell>
          <cell r="I67">
            <v>1.5</v>
          </cell>
          <cell r="J67">
            <v>1.5</v>
          </cell>
          <cell r="K67">
            <v>1.5</v>
          </cell>
          <cell r="L67">
            <v>1.5</v>
          </cell>
          <cell r="M67">
            <v>1.5</v>
          </cell>
          <cell r="N67">
            <v>-0.25</v>
          </cell>
          <cell r="O67">
            <v>1.3</v>
          </cell>
          <cell r="P67">
            <v>0.19999999999999996</v>
          </cell>
          <cell r="S67">
            <v>3.9201993983583577E-3</v>
          </cell>
          <cell r="AA67" t="str">
            <v>Interest Income</v>
          </cell>
          <cell r="AB67">
            <v>3.9201993983583577E-3</v>
          </cell>
          <cell r="AC67">
            <v>4.0494750461801685E-3</v>
          </cell>
          <cell r="AD67">
            <v>3.726012479458694E-3</v>
          </cell>
          <cell r="AE67">
            <v>3.6113122793330239E-3</v>
          </cell>
          <cell r="AF67">
            <v>3.4327667930661881E-3</v>
          </cell>
          <cell r="AG67">
            <v>3.3913647441301867E-3</v>
          </cell>
          <cell r="AN67" t="str">
            <v>Interest Income</v>
          </cell>
          <cell r="AO67">
            <v>1.2</v>
          </cell>
          <cell r="AP67">
            <v>1.3</v>
          </cell>
          <cell r="AQ67">
            <v>8.3333333333333481</v>
          </cell>
          <cell r="AR67">
            <v>0.7</v>
          </cell>
          <cell r="AS67">
            <v>2</v>
          </cell>
        </row>
        <row r="68">
          <cell r="A68" t="str">
            <v>Group_GrossInc</v>
          </cell>
          <cell r="C68" t="str">
            <v>Total Income</v>
          </cell>
          <cell r="E68">
            <v>193.70000000000005</v>
          </cell>
          <cell r="F68">
            <v>331.1</v>
          </cell>
          <cell r="G68">
            <v>352.005</v>
          </cell>
          <cell r="H68">
            <v>382.63359782876034</v>
          </cell>
          <cell r="I68">
            <v>370.41838334451171</v>
          </cell>
          <cell r="J68">
            <v>402.5751411916678</v>
          </cell>
          <cell r="K68">
            <v>415.36147637640357</v>
          </cell>
          <cell r="L68">
            <v>436.96530828421999</v>
          </cell>
          <cell r="M68">
            <v>442.29981531659706</v>
          </cell>
          <cell r="N68">
            <v>8.7011826050085617E-2</v>
          </cell>
          <cell r="O68">
            <v>182.99999999999997</v>
          </cell>
          <cell r="P68">
            <v>199.63359782876037</v>
          </cell>
          <cell r="AA68" t="str">
            <v>Total Income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N68" t="str">
            <v>Total Income</v>
          </cell>
          <cell r="AO68">
            <v>160</v>
          </cell>
          <cell r="AP68">
            <v>182.99999999999997</v>
          </cell>
          <cell r="AQ68">
            <v>14.374999999999982</v>
          </cell>
          <cell r="AR68">
            <v>169.81359782876032</v>
          </cell>
          <cell r="AS68">
            <v>352.81359782876035</v>
          </cell>
        </row>
        <row r="71">
          <cell r="A71" t="str">
            <v>Group_Opex</v>
          </cell>
          <cell r="C71" t="str">
            <v>Total Operating Expenses</v>
          </cell>
          <cell r="E71">
            <v>19.3</v>
          </cell>
          <cell r="F71">
            <v>31.2</v>
          </cell>
          <cell r="G71">
            <v>39.6</v>
          </cell>
          <cell r="H71">
            <v>34.233145</v>
          </cell>
          <cell r="I71">
            <v>35.599775526925256</v>
          </cell>
          <cell r="J71">
            <v>37.308397802381634</v>
          </cell>
          <cell r="K71">
            <v>37.963080361137308</v>
          </cell>
          <cell r="L71">
            <v>39.418310595285398</v>
          </cell>
          <cell r="M71">
            <v>39.955788164654813</v>
          </cell>
          <cell r="N71">
            <v>-0.13552664141414139</v>
          </cell>
          <cell r="O71">
            <v>8</v>
          </cell>
          <cell r="P71">
            <v>26.233145</v>
          </cell>
          <cell r="AA71" t="str">
            <v>C&amp;I as % of Development Inc</v>
          </cell>
          <cell r="AB71">
            <v>4.8829209065193183E-2</v>
          </cell>
          <cell r="AC71">
            <v>0.20788900417441972</v>
          </cell>
          <cell r="AD71">
            <v>0.21216246917410342</v>
          </cell>
          <cell r="AE71">
            <v>0.21669779259598348</v>
          </cell>
          <cell r="AF71">
            <v>0.20388984201584542</v>
          </cell>
          <cell r="AG71">
            <v>0.21151081573013511</v>
          </cell>
          <cell r="AN71" t="str">
            <v>Total Operating Expenses</v>
          </cell>
          <cell r="AO71">
            <v>6.7</v>
          </cell>
          <cell r="AP71">
            <v>8</v>
          </cell>
          <cell r="AQ71">
            <v>19.402985074626855</v>
          </cell>
          <cell r="AR71">
            <v>15.935301500000079</v>
          </cell>
          <cell r="AS71">
            <v>23.935301500000079</v>
          </cell>
          <cell r="AU71" t="str">
            <v>Gross OH</v>
          </cell>
          <cell r="AV71">
            <v>34.233145</v>
          </cell>
        </row>
        <row r="72">
          <cell r="A72" t="str">
            <v>Group_EBITDA</v>
          </cell>
          <cell r="C72" t="str">
            <v>EBITDA</v>
          </cell>
          <cell r="E72">
            <v>174.40000000000003</v>
          </cell>
          <cell r="F72">
            <v>299.90000000000003</v>
          </cell>
          <cell r="G72">
            <v>312.40499999999997</v>
          </cell>
          <cell r="H72">
            <v>348.40045282876036</v>
          </cell>
          <cell r="I72">
            <v>334.81860781758644</v>
          </cell>
          <cell r="J72">
            <v>365.26674338928615</v>
          </cell>
          <cell r="K72">
            <v>377.39839601526626</v>
          </cell>
          <cell r="L72">
            <v>397.5469976889346</v>
          </cell>
          <cell r="M72">
            <v>402.34402715194227</v>
          </cell>
          <cell r="N72">
            <v>0.11522047607676056</v>
          </cell>
          <cell r="O72">
            <v>174.99999999999997</v>
          </cell>
          <cell r="P72">
            <v>173.40045282876039</v>
          </cell>
          <cell r="AN72" t="str">
            <v>EBITDA</v>
          </cell>
          <cell r="AO72">
            <v>153.30000000000001</v>
          </cell>
          <cell r="AP72">
            <v>174.99999999999997</v>
          </cell>
          <cell r="AQ72">
            <v>14.155251141552494</v>
          </cell>
          <cell r="AR72">
            <v>153.87829632876026</v>
          </cell>
          <cell r="AS72">
            <v>328.87829632876026</v>
          </cell>
          <cell r="AU72" t="str">
            <v>Corp OH</v>
          </cell>
          <cell r="AV72">
            <v>18.8</v>
          </cell>
        </row>
        <row r="73">
          <cell r="A73" t="str">
            <v>Group_Intexp</v>
          </cell>
          <cell r="C73" t="str">
            <v>Net Borrowing Costs</v>
          </cell>
          <cell r="E73">
            <v>35</v>
          </cell>
          <cell r="F73">
            <v>73.591999999999999</v>
          </cell>
          <cell r="G73">
            <v>67.599999999999994</v>
          </cell>
          <cell r="H73">
            <v>77.71459857934623</v>
          </cell>
          <cell r="I73">
            <v>84.357408939023244</v>
          </cell>
          <cell r="J73">
            <v>107.29131683136708</v>
          </cell>
          <cell r="K73">
            <v>111.10280020526554</v>
          </cell>
          <cell r="L73">
            <v>114.78011688507257</v>
          </cell>
          <cell r="M73">
            <v>118.77094922253045</v>
          </cell>
          <cell r="N73">
            <v>0.14962423933944136</v>
          </cell>
          <cell r="O73">
            <v>32.9</v>
          </cell>
          <cell r="P73">
            <v>44.814598579346232</v>
          </cell>
          <cell r="R73">
            <v>16</v>
          </cell>
          <cell r="AA73" t="str">
            <v>C&amp;I as % of Development Inc</v>
          </cell>
          <cell r="AB73">
            <v>7.4134415803421127E-3</v>
          </cell>
          <cell r="AC73">
            <v>3.5368476193893522E-2</v>
          </cell>
          <cell r="AD73">
            <v>4.1226932679863909E-2</v>
          </cell>
          <cell r="AE73">
            <v>4.0638869297156155E-2</v>
          </cell>
          <cell r="AF73">
            <v>4.0699229020691813E-2</v>
          </cell>
          <cell r="AG73">
            <v>4.0658075543723526E-2</v>
          </cell>
          <cell r="AN73" t="str">
            <v>Net Borrowing Costs</v>
          </cell>
          <cell r="AO73">
            <v>34.4</v>
          </cell>
          <cell r="AP73">
            <v>32.9</v>
          </cell>
          <cell r="AQ73">
            <v>-4.360465116279066</v>
          </cell>
          <cell r="AR73">
            <v>44.814598579346232</v>
          </cell>
          <cell r="AS73">
            <v>77.71459857934623</v>
          </cell>
          <cell r="AV73">
            <v>15.433145</v>
          </cell>
        </row>
        <row r="74">
          <cell r="A74" t="str">
            <v>Group_Depn</v>
          </cell>
          <cell r="C74" t="str">
            <v>Depreciation</v>
          </cell>
          <cell r="F74">
            <v>0.53600000000000003</v>
          </cell>
          <cell r="G74">
            <v>0.42</v>
          </cell>
          <cell r="H74">
            <v>0.42</v>
          </cell>
          <cell r="I74">
            <v>0.42</v>
          </cell>
          <cell r="J74">
            <v>0.42</v>
          </cell>
          <cell r="K74">
            <v>0.42</v>
          </cell>
          <cell r="L74">
            <v>0.42</v>
          </cell>
          <cell r="M74">
            <v>0.42</v>
          </cell>
          <cell r="N74">
            <v>0</v>
          </cell>
          <cell r="O74">
            <v>1</v>
          </cell>
          <cell r="P74">
            <v>-0.58000000000000007</v>
          </cell>
          <cell r="AN74" t="str">
            <v>Depreciation</v>
          </cell>
          <cell r="AO74">
            <v>0.2</v>
          </cell>
          <cell r="AP74">
            <v>1</v>
          </cell>
          <cell r="AQ74">
            <v>400</v>
          </cell>
          <cell r="AR74">
            <v>-0.58000000000000007</v>
          </cell>
          <cell r="AS74">
            <v>0.42</v>
          </cell>
        </row>
        <row r="75">
          <cell r="A75" t="str">
            <v>Group_Amort</v>
          </cell>
          <cell r="C75" t="str">
            <v>Amortisation</v>
          </cell>
          <cell r="E75">
            <v>3.9299999999999997</v>
          </cell>
          <cell r="F75">
            <v>7.4509999999999996</v>
          </cell>
          <cell r="G75">
            <v>8.2690000000000001</v>
          </cell>
          <cell r="H75">
            <v>3.6</v>
          </cell>
          <cell r="I75">
            <v>2.5920000000000001</v>
          </cell>
          <cell r="J75">
            <v>2.5920000000000001</v>
          </cell>
          <cell r="K75">
            <v>2.5920000000000001</v>
          </cell>
          <cell r="L75">
            <v>2.5920000000000001</v>
          </cell>
          <cell r="M75">
            <v>2.5920000000000001</v>
          </cell>
          <cell r="N75">
            <v>-0.56463901318176313</v>
          </cell>
          <cell r="O75">
            <v>4.9000000000000004</v>
          </cell>
          <cell r="P75">
            <v>-1.3000000000000003</v>
          </cell>
          <cell r="AN75" t="str">
            <v>Amortisation</v>
          </cell>
          <cell r="AO75">
            <v>1.8</v>
          </cell>
          <cell r="AP75">
            <v>4.9000000000000004</v>
          </cell>
          <cell r="AQ75">
            <v>172.22222222222223</v>
          </cell>
          <cell r="AR75">
            <v>-1.3000000000000003</v>
          </cell>
          <cell r="AS75">
            <v>3.6</v>
          </cell>
        </row>
        <row r="76">
          <cell r="A76" t="str">
            <v>Group_PBT</v>
          </cell>
          <cell r="C76" t="str">
            <v>PBT</v>
          </cell>
          <cell r="E76">
            <v>135.47000000000003</v>
          </cell>
          <cell r="F76">
            <v>218.32100000000003</v>
          </cell>
          <cell r="G76">
            <v>236.11599999999999</v>
          </cell>
          <cell r="H76">
            <v>266.66585424941411</v>
          </cell>
          <cell r="I76">
            <v>247.44919887856321</v>
          </cell>
          <cell r="J76">
            <v>254.96342655791906</v>
          </cell>
          <cell r="K76">
            <v>263.28359581000075</v>
          </cell>
          <cell r="L76">
            <v>279.75488080386202</v>
          </cell>
          <cell r="M76">
            <v>280.56107792941179</v>
          </cell>
          <cell r="N76">
            <v>0.12938493896819403</v>
          </cell>
          <cell r="O76">
            <v>136.19999999999999</v>
          </cell>
          <cell r="P76">
            <v>130.46585424941412</v>
          </cell>
          <cell r="Y76">
            <v>71</v>
          </cell>
          <cell r="AN76" t="str">
            <v>PBT</v>
          </cell>
          <cell r="AO76">
            <v>116.9</v>
          </cell>
          <cell r="AP76">
            <v>136.19999999999999</v>
          </cell>
          <cell r="AQ76">
            <v>16.509837467921294</v>
          </cell>
          <cell r="AR76">
            <v>110.94369774941401</v>
          </cell>
          <cell r="AS76">
            <v>247.14369774941403</v>
          </cell>
        </row>
        <row r="78">
          <cell r="A78" t="str">
            <v>Group_NPAT</v>
          </cell>
          <cell r="C78" t="str">
            <v>Consolidated NPAT</v>
          </cell>
          <cell r="E78">
            <v>128.27000000000004</v>
          </cell>
          <cell r="F78">
            <v>215.30100000000002</v>
          </cell>
          <cell r="G78">
            <v>233.88399999999999</v>
          </cell>
          <cell r="H78">
            <v>257.96585424941412</v>
          </cell>
          <cell r="I78">
            <v>238.74909617706223</v>
          </cell>
          <cell r="J78">
            <v>247.89150148712142</v>
          </cell>
          <cell r="K78">
            <v>256.68536275093544</v>
          </cell>
          <cell r="L78">
            <v>271.2585902875494</v>
          </cell>
          <cell r="M78">
            <v>272.59539339471377</v>
          </cell>
          <cell r="N78">
            <v>0.10296494950237789</v>
          </cell>
          <cell r="O78">
            <v>133.89999999999998</v>
          </cell>
          <cell r="P78">
            <v>124.06585424941414</v>
          </cell>
          <cell r="S78" t="str">
            <v>Op NPAT</v>
          </cell>
          <cell r="T78">
            <v>166.01400000000001</v>
          </cell>
          <cell r="U78">
            <v>159.38300000000001</v>
          </cell>
          <cell r="V78">
            <v>-3.9942414495163003E-2</v>
          </cell>
          <cell r="Y78">
            <v>0.22413793103448265</v>
          </cell>
          <cell r="AA78" t="str">
            <v>Overheads</v>
          </cell>
          <cell r="AC78">
            <v>2.8979999999999992</v>
          </cell>
          <cell r="AD78">
            <v>3.0428999999999995</v>
          </cell>
          <cell r="AE78">
            <v>3.118972499999999</v>
          </cell>
          <cell r="AN78" t="str">
            <v>Consolidated NPAT</v>
          </cell>
          <cell r="AO78">
            <v>115.10000000000001</v>
          </cell>
          <cell r="AP78">
            <v>133.89999999999998</v>
          </cell>
          <cell r="AQ78">
            <v>16.333622936576852</v>
          </cell>
          <cell r="AR78">
            <v>110.94369774941401</v>
          </cell>
          <cell r="AS78">
            <v>238.44369774941404</v>
          </cell>
          <cell r="AT78">
            <v>257.96585424941412</v>
          </cell>
          <cell r="AV78">
            <v>10.599301500000053</v>
          </cell>
        </row>
        <row r="83">
          <cell r="A83" t="str">
            <v>Group_NPATpreamort</v>
          </cell>
          <cell r="C83" t="str">
            <v>Consolidated NPAT before amortisation</v>
          </cell>
          <cell r="E83">
            <v>132.20000000000005</v>
          </cell>
          <cell r="F83">
            <v>222.75200000000001</v>
          </cell>
          <cell r="G83">
            <v>242.15299999999999</v>
          </cell>
          <cell r="H83">
            <v>261.56585424941409</v>
          </cell>
          <cell r="I83">
            <v>241.34109617706227</v>
          </cell>
          <cell r="J83">
            <v>250.48350148712143</v>
          </cell>
          <cell r="K83">
            <v>259.27736275093537</v>
          </cell>
          <cell r="L83">
            <v>273.85059028754938</v>
          </cell>
          <cell r="M83">
            <v>275.18739339471381</v>
          </cell>
          <cell r="S83" t="str">
            <v>less revals</v>
          </cell>
          <cell r="T83">
            <v>3.5</v>
          </cell>
          <cell r="U83">
            <v>20.9</v>
          </cell>
          <cell r="V83">
            <v>4.9714285714285706</v>
          </cell>
          <cell r="X83">
            <v>1617</v>
          </cell>
          <cell r="Y83">
            <v>723</v>
          </cell>
          <cell r="AA83" t="str">
            <v>EPU</v>
          </cell>
          <cell r="AC83">
            <v>0.89727607463541392</v>
          </cell>
          <cell r="AN83" t="str">
            <v>DPU</v>
          </cell>
          <cell r="AO83">
            <v>8.25</v>
          </cell>
          <cell r="AP83">
            <v>8.4499999999999993</v>
          </cell>
          <cell r="AQ83">
            <v>2.4242424242424176</v>
          </cell>
          <cell r="AR83">
            <v>8.8780027035089901</v>
          </cell>
          <cell r="AS83">
            <v>17.328002703508989</v>
          </cell>
        </row>
        <row r="208">
          <cell r="A208" t="str">
            <v>SilvertonAvgPriceperLot</v>
          </cell>
          <cell r="C208" t="str">
            <v>Avg. Price per home/lot $k</v>
          </cell>
          <cell r="E208">
            <v>122.02531645569621</v>
          </cell>
          <cell r="F208">
            <v>136.99374999999998</v>
          </cell>
          <cell r="G208">
            <v>138.01523178807946</v>
          </cell>
          <cell r="H208">
            <v>164.46928372093024</v>
          </cell>
          <cell r="I208">
            <v>164.8</v>
          </cell>
          <cell r="J208">
            <v>169.744</v>
          </cell>
          <cell r="K208">
            <v>174.83632</v>
          </cell>
          <cell r="L208">
            <v>180.08140960000003</v>
          </cell>
          <cell r="M208">
            <v>0</v>
          </cell>
        </row>
        <row r="209">
          <cell r="A209" t="str">
            <v>Silverton_Volume</v>
          </cell>
          <cell r="C209" t="str">
            <v>Total lots</v>
          </cell>
          <cell r="E209">
            <v>395</v>
          </cell>
          <cell r="F209">
            <v>400</v>
          </cell>
          <cell r="G209">
            <v>302</v>
          </cell>
          <cell r="H209">
            <v>430</v>
          </cell>
          <cell r="I209">
            <v>280</v>
          </cell>
          <cell r="J209">
            <v>250</v>
          </cell>
          <cell r="K209">
            <v>50</v>
          </cell>
          <cell r="L209">
            <v>50</v>
          </cell>
          <cell r="M209">
            <v>0</v>
          </cell>
        </row>
        <row r="212">
          <cell r="A212" t="str">
            <v>Silverton_GrossEBIT</v>
          </cell>
          <cell r="C212" t="str">
            <v>Gross PBT</v>
          </cell>
          <cell r="E212">
            <v>14.942</v>
          </cell>
          <cell r="F212">
            <v>18.083174999999997</v>
          </cell>
          <cell r="G212">
            <v>15.838628</v>
          </cell>
          <cell r="H212">
            <v>26.520671999999998</v>
          </cell>
          <cell r="I212">
            <v>11.536</v>
          </cell>
          <cell r="J212">
            <v>10.609</v>
          </cell>
          <cell r="K212">
            <v>2.185454</v>
          </cell>
          <cell r="L212">
            <v>2.2510176200000003</v>
          </cell>
          <cell r="M212">
            <v>0</v>
          </cell>
        </row>
        <row r="239">
          <cell r="A239" t="str">
            <v>IPGAvgPriceperLot</v>
          </cell>
          <cell r="C239" t="str">
            <v>Avg. Price per home/lot $k</v>
          </cell>
          <cell r="G239">
            <v>121.63366336633663</v>
          </cell>
          <cell r="H239">
            <v>133.53746928746929</v>
          </cell>
          <cell r="I239">
            <v>146.36271186440678</v>
          </cell>
          <cell r="J239">
            <v>155.49573476394852</v>
          </cell>
          <cell r="K239">
            <v>160.93808548068665</v>
          </cell>
          <cell r="L239">
            <v>167.98301917782354</v>
          </cell>
          <cell r="M239">
            <v>171.64124167357429</v>
          </cell>
        </row>
        <row r="240">
          <cell r="A240" t="str">
            <v>IPG_Volume</v>
          </cell>
          <cell r="C240" t="str">
            <v>Total lots</v>
          </cell>
          <cell r="G240">
            <v>202</v>
          </cell>
          <cell r="H240">
            <v>407</v>
          </cell>
          <cell r="I240">
            <v>442.5</v>
          </cell>
          <cell r="J240">
            <v>582.5</v>
          </cell>
          <cell r="K240">
            <v>582.5</v>
          </cell>
          <cell r="L240">
            <v>637.5</v>
          </cell>
          <cell r="M240">
            <v>557.5</v>
          </cell>
        </row>
        <row r="243">
          <cell r="A243" t="str">
            <v>IPG_GrossEBIT</v>
          </cell>
          <cell r="C243" t="str">
            <v>Gross PBT</v>
          </cell>
          <cell r="G243">
            <v>6.8796000000000008</v>
          </cell>
          <cell r="H243">
            <v>15.217930000000001</v>
          </cell>
          <cell r="I243">
            <v>16.191375000000001</v>
          </cell>
          <cell r="J243">
            <v>22.644066375000001</v>
          </cell>
          <cell r="K243">
            <v>23.436608698124996</v>
          </cell>
          <cell r="L243">
            <v>26.772293681465626</v>
          </cell>
          <cell r="M243">
            <v>23.922498058254416</v>
          </cell>
        </row>
        <row r="334">
          <cell r="A334" t="str">
            <v>Serv_GEBITDA</v>
          </cell>
          <cell r="C334" t="str">
            <v xml:space="preserve">Gross EBITDA </v>
          </cell>
          <cell r="E334">
            <v>16.899999999999999</v>
          </cell>
          <cell r="F334">
            <v>18.5</v>
          </cell>
          <cell r="G334">
            <v>22.299999999999997</v>
          </cell>
          <cell r="H334">
            <v>31.469570000000001</v>
          </cell>
          <cell r="I334">
            <v>28.6404204</v>
          </cell>
          <cell r="J334">
            <v>29.365687808000001</v>
          </cell>
          <cell r="K334">
            <v>30.095460564160003</v>
          </cell>
          <cell r="L334">
            <v>30.8298287754432</v>
          </cell>
          <cell r="M334">
            <v>31.568884350952068</v>
          </cell>
        </row>
        <row r="335">
          <cell r="A335" t="str">
            <v>Serv_GEBITDA_AssetMgt</v>
          </cell>
          <cell r="C335" t="str">
            <v xml:space="preserve">  Asset Management</v>
          </cell>
          <cell r="F335">
            <v>9.8000000000000007</v>
          </cell>
          <cell r="G335">
            <v>12.1</v>
          </cell>
          <cell r="H335">
            <v>11.04252</v>
          </cell>
          <cell r="I335">
            <v>11.263370400000001</v>
          </cell>
          <cell r="J335">
            <v>11.488637808</v>
          </cell>
          <cell r="K335">
            <v>11.718410564160001</v>
          </cell>
          <cell r="L335">
            <v>11.952778775443202</v>
          </cell>
          <cell r="M335">
            <v>12.191834350952066</v>
          </cell>
        </row>
        <row r="336">
          <cell r="A336" t="str">
            <v>Serv_GEBITDA_Unlisted</v>
          </cell>
          <cell r="C336" t="str">
            <v xml:space="preserve">  Unlisted Funds</v>
          </cell>
          <cell r="F336">
            <v>6.6</v>
          </cell>
          <cell r="G336">
            <v>7.3</v>
          </cell>
          <cell r="H336">
            <v>9.5770499999999998</v>
          </cell>
          <cell r="I336">
            <v>10.07705</v>
          </cell>
          <cell r="J336">
            <v>10.57705</v>
          </cell>
          <cell r="K336">
            <v>11.07705</v>
          </cell>
          <cell r="L336">
            <v>11.57705</v>
          </cell>
          <cell r="M336">
            <v>12.077050000000002</v>
          </cell>
        </row>
        <row r="337">
          <cell r="A337" t="str">
            <v>Serv_GEBITDA_CPS</v>
          </cell>
          <cell r="C337" t="str">
            <v xml:space="preserve">  CPS</v>
          </cell>
          <cell r="F337">
            <v>2.1</v>
          </cell>
          <cell r="G337">
            <v>2.9</v>
          </cell>
          <cell r="H337">
            <v>10.25</v>
          </cell>
          <cell r="I337">
            <v>6.7</v>
          </cell>
          <cell r="J337">
            <v>6.7</v>
          </cell>
          <cell r="K337">
            <v>6.7</v>
          </cell>
          <cell r="L337">
            <v>6.7</v>
          </cell>
          <cell r="M337">
            <v>6.7</v>
          </cell>
        </row>
        <row r="338">
          <cell r="A338" t="str">
            <v>Serv_GEBITDA_Other</v>
          </cell>
          <cell r="C338" t="str">
            <v xml:space="preserve">  Other</v>
          </cell>
          <cell r="H338">
            <v>0.6</v>
          </cell>
          <cell r="I338">
            <v>0.6</v>
          </cell>
          <cell r="J338">
            <v>0.6</v>
          </cell>
          <cell r="K338">
            <v>0.6</v>
          </cell>
          <cell r="L338">
            <v>0.6</v>
          </cell>
          <cell r="M338">
            <v>0.6</v>
          </cell>
        </row>
        <row r="366">
          <cell r="A366" t="str">
            <v>Serv_FM</v>
          </cell>
          <cell r="C366" t="str">
            <v>Total FUM</v>
          </cell>
          <cell r="E366">
            <v>760</v>
          </cell>
          <cell r="F366">
            <v>874</v>
          </cell>
          <cell r="G366">
            <v>1268.6500000000001</v>
          </cell>
          <cell r="H366">
            <v>1615.4099999999999</v>
          </cell>
          <cell r="I366">
            <v>1715.4099999999999</v>
          </cell>
          <cell r="J366">
            <v>1815.4099999999999</v>
          </cell>
          <cell r="K366">
            <v>1915.4099999999999</v>
          </cell>
          <cell r="L366">
            <v>2015.4099999999999</v>
          </cell>
          <cell r="M366">
            <v>2115.41</v>
          </cell>
        </row>
      </sheetData>
      <sheetData sheetId="8" refreshError="1">
        <row r="71">
          <cell r="A71" t="str">
            <v>Total_NPI</v>
          </cell>
          <cell r="B71" t="str">
            <v>Total Property Income</v>
          </cell>
          <cell r="E71">
            <v>137300000</v>
          </cell>
          <cell r="F71">
            <v>262700000</v>
          </cell>
          <cell r="G71">
            <v>269400000</v>
          </cell>
          <cell r="H71">
            <v>253399905.32876033</v>
          </cell>
          <cell r="I71">
            <v>272673113.3611784</v>
          </cell>
          <cell r="J71">
            <v>288896959.57148027</v>
          </cell>
          <cell r="K71">
            <v>301285341.16176099</v>
          </cell>
          <cell r="L71">
            <v>312826167.69350463</v>
          </cell>
          <cell r="M71">
            <v>319623993.70896304</v>
          </cell>
          <cell r="O71">
            <v>7.6058465797029573</v>
          </cell>
        </row>
        <row r="182">
          <cell r="A182" t="str">
            <v>IPGCorp_EPUpreamort</v>
          </cell>
          <cell r="B182" t="str">
            <v>Corp EPU pre amort</v>
          </cell>
          <cell r="D182">
            <v>0</v>
          </cell>
          <cell r="E182">
            <v>1.5842414527210125</v>
          </cell>
          <cell r="F182">
            <v>0.73367258155482151</v>
          </cell>
          <cell r="G182">
            <v>-0.1500189671949517</v>
          </cell>
          <cell r="H182">
            <v>1.9419169665168741</v>
          </cell>
          <cell r="I182">
            <v>1.6231564486128884</v>
          </cell>
          <cell r="J182">
            <v>1.2221389732254078</v>
          </cell>
          <cell r="K182">
            <v>1.1402776040723053</v>
          </cell>
          <cell r="L182">
            <v>1.4682915421019764</v>
          </cell>
          <cell r="M182">
            <v>1.376594551103649</v>
          </cell>
        </row>
        <row r="184">
          <cell r="A184" t="str">
            <v>IPGTrust_EPUpreamort</v>
          </cell>
          <cell r="B184" t="str">
            <v>Trust EPU pre amort</v>
          </cell>
          <cell r="D184">
            <v>0</v>
          </cell>
          <cell r="E184">
            <v>14.738137729728903</v>
          </cell>
          <cell r="F184">
            <v>16.203767882177576</v>
          </cell>
          <cell r="G184">
            <v>16.388999574570668</v>
          </cell>
          <cell r="H184">
            <v>15.386085736992117</v>
          </cell>
          <cell r="I184">
            <v>14.196932149843375</v>
          </cell>
          <cell r="J184">
            <v>15.197241102311168</v>
          </cell>
          <cell r="K184">
            <v>15.855546626727421</v>
          </cell>
          <cell r="L184">
            <v>16.482818607452135</v>
          </cell>
          <cell r="M184">
            <v>16.66214403773839</v>
          </cell>
        </row>
        <row r="188">
          <cell r="A188" t="str">
            <v>IPG_EPUpreamort</v>
          </cell>
          <cell r="B188" t="str">
            <v>EPU (pre amortisation)</v>
          </cell>
          <cell r="D188">
            <v>0</v>
          </cell>
          <cell r="E188">
            <v>16.322379182449914</v>
          </cell>
          <cell r="F188">
            <v>16.937440463732397</v>
          </cell>
          <cell r="G188">
            <v>16.238980607375712</v>
          </cell>
          <cell r="H188">
            <v>17.089512821442234</v>
          </cell>
          <cell r="I188">
            <v>15.820088598456264</v>
          </cell>
          <cell r="J188">
            <v>16.419380075536573</v>
          </cell>
          <cell r="K188">
            <v>16.995824230799727</v>
          </cell>
          <cell r="L188">
            <v>17.951110149554111</v>
          </cell>
          <cell r="M188">
            <v>18.03873858884204</v>
          </cell>
        </row>
        <row r="190">
          <cell r="A190" t="str">
            <v>IPG_DPU</v>
          </cell>
          <cell r="B190" t="str">
            <v>DPU (annualized)</v>
          </cell>
          <cell r="D190">
            <v>14.792393123391619</v>
          </cell>
          <cell r="E190">
            <v>15.6</v>
          </cell>
          <cell r="F190">
            <v>16.871836365506955</v>
          </cell>
          <cell r="G190">
            <v>16.499999999999996</v>
          </cell>
          <cell r="H190">
            <v>16.909853871750421</v>
          </cell>
          <cell r="I190">
            <v>15.820088598456264</v>
          </cell>
          <cell r="J190">
            <v>16.419380075536573</v>
          </cell>
          <cell r="K190">
            <v>16.995824230799727</v>
          </cell>
          <cell r="L190">
            <v>17.951110149554111</v>
          </cell>
          <cell r="M190">
            <v>18.03873858884204</v>
          </cell>
        </row>
      </sheetData>
      <sheetData sheetId="9" refreshError="1">
        <row r="15">
          <cell r="A15" t="str">
            <v>InvestmentAssets</v>
          </cell>
          <cell r="C15" t="str">
            <v>Investment assets</v>
          </cell>
          <cell r="E15">
            <v>401.78500000000003</v>
          </cell>
          <cell r="F15">
            <v>301.54304000000002</v>
          </cell>
          <cell r="G15">
            <v>188.92400000000001</v>
          </cell>
          <cell r="H15">
            <v>147.77199999999999</v>
          </cell>
          <cell r="I15">
            <v>63</v>
          </cell>
          <cell r="J15">
            <v>63</v>
          </cell>
          <cell r="K15">
            <v>63</v>
          </cell>
          <cell r="L15">
            <v>63</v>
          </cell>
          <cell r="M15">
            <v>63</v>
          </cell>
        </row>
        <row r="45">
          <cell r="A45" t="str">
            <v>Investment_Income</v>
          </cell>
          <cell r="C45" t="str">
            <v>Total investment income</v>
          </cell>
          <cell r="E45">
            <v>15.2</v>
          </cell>
          <cell r="F45">
            <v>18.318879794520548</v>
          </cell>
          <cell r="G45">
            <v>15.097200000000001</v>
          </cell>
          <cell r="H45">
            <v>14.371192499999999</v>
          </cell>
          <cell r="I45">
            <v>4.585</v>
          </cell>
          <cell r="J45">
            <v>4.585</v>
          </cell>
          <cell r="K45">
            <v>4.585</v>
          </cell>
          <cell r="L45">
            <v>4.585</v>
          </cell>
          <cell r="M45">
            <v>4.585</v>
          </cell>
        </row>
      </sheetData>
      <sheetData sheetId="10" refreshError="1">
        <row r="6">
          <cell r="B6" t="str">
            <v>ACT - 2 assets</v>
          </cell>
        </row>
        <row r="7">
          <cell r="B7" t="str">
            <v>62 Northbourne Avenue, Canberra</v>
          </cell>
          <cell r="D7">
            <v>2930552.8944711583</v>
          </cell>
          <cell r="E7">
            <v>2855352.538653357</v>
          </cell>
          <cell r="F7">
            <v>2378951.5879753521</v>
          </cell>
          <cell r="G7">
            <v>3142287.2980697579</v>
          </cell>
          <cell r="H7">
            <v>3319721.6889926144</v>
          </cell>
          <cell r="I7">
            <v>3355481.8522725836</v>
          </cell>
          <cell r="J7">
            <v>3434028.1048632814</v>
          </cell>
          <cell r="K7">
            <v>2820012.2952893437</v>
          </cell>
          <cell r="L7">
            <v>3708418.2200738522</v>
          </cell>
          <cell r="M7">
            <v>3899747.0294359503</v>
          </cell>
        </row>
        <row r="8">
          <cell r="B8" t="str">
            <v>Penrhyn House</v>
          </cell>
          <cell r="D8">
            <v>3755025.843171177</v>
          </cell>
          <cell r="E8">
            <v>3839534.249957866</v>
          </cell>
          <cell r="F8">
            <v>3975743.6149373255</v>
          </cell>
          <cell r="G8">
            <v>3800383.638855584</v>
          </cell>
          <cell r="H8">
            <v>3368483.7341284757</v>
          </cell>
          <cell r="I8">
            <v>4423829.6840842534</v>
          </cell>
          <cell r="J8">
            <v>4562748.1568752676</v>
          </cell>
          <cell r="K8">
            <v>4702920.6510222815</v>
          </cell>
          <cell r="L8">
            <v>4459062.4432196682</v>
          </cell>
          <cell r="M8">
            <v>3988662.1948832795</v>
          </cell>
        </row>
        <row r="10">
          <cell r="B10" t="str">
            <v>NSW - 19 assets</v>
          </cell>
        </row>
        <row r="11">
          <cell r="B11" t="str">
            <v>126 Phillip Street, Sydney</v>
          </cell>
          <cell r="D11">
            <v>32076636.780400753</v>
          </cell>
          <cell r="E11">
            <v>34311101.636346318</v>
          </cell>
          <cell r="F11">
            <v>36173451.241637304</v>
          </cell>
          <cell r="G11">
            <v>38094939.612861842</v>
          </cell>
          <cell r="H11">
            <v>39397991.639173955</v>
          </cell>
          <cell r="I11">
            <v>40996007.329489596</v>
          </cell>
          <cell r="J11">
            <v>41908436.707332373</v>
          </cell>
          <cell r="K11">
            <v>43929036.061387844</v>
          </cell>
          <cell r="L11">
            <v>44988226.92703227</v>
          </cell>
          <cell r="M11">
            <v>46471606.452191062</v>
          </cell>
        </row>
        <row r="12">
          <cell r="B12" t="str">
            <v>City Centre, 55 Market St, Sydney</v>
          </cell>
          <cell r="D12">
            <v>10317069.566904822</v>
          </cell>
          <cell r="E12">
            <v>10423644.46643069</v>
          </cell>
          <cell r="F12">
            <v>11414894.010856042</v>
          </cell>
          <cell r="G12">
            <v>12200375.643480085</v>
          </cell>
          <cell r="H12">
            <v>12075979.102248648</v>
          </cell>
          <cell r="I12">
            <v>12982894.766334444</v>
          </cell>
          <cell r="J12">
            <v>13130763.606047019</v>
          </cell>
          <cell r="K12">
            <v>14000376.192282962</v>
          </cell>
          <cell r="L12">
            <v>14425700.740544243</v>
          </cell>
          <cell r="M12">
            <v>14578733.375180237</v>
          </cell>
        </row>
        <row r="13">
          <cell r="B13" t="str">
            <v>310 Pitt St, Sydney</v>
          </cell>
          <cell r="D13">
            <v>10836784.878416214</v>
          </cell>
          <cell r="E13">
            <v>11057288.256650217</v>
          </cell>
          <cell r="F13">
            <v>11490600.128896134</v>
          </cell>
          <cell r="G13">
            <v>11899167.141123403</v>
          </cell>
          <cell r="H13">
            <v>12281459.125359809</v>
          </cell>
          <cell r="I13">
            <v>11547011.578128135</v>
          </cell>
          <cell r="J13">
            <v>13159039.356367849</v>
          </cell>
          <cell r="K13">
            <v>12314008.841675097</v>
          </cell>
          <cell r="L13">
            <v>14079411.845146853</v>
          </cell>
          <cell r="M13">
            <v>12953496.28358648</v>
          </cell>
        </row>
        <row r="14">
          <cell r="B14" t="str">
            <v>231 Elizabeth St, Sydney</v>
          </cell>
          <cell r="D14">
            <v>9111066.7126605362</v>
          </cell>
          <cell r="E14">
            <v>9269079.126191739</v>
          </cell>
          <cell r="F14">
            <v>9816487.8645012602</v>
          </cell>
          <cell r="G14">
            <v>10154766.708877599</v>
          </cell>
          <cell r="H14">
            <v>10472708.071166871</v>
          </cell>
          <cell r="I14">
            <v>10797896.440997709</v>
          </cell>
          <cell r="J14">
            <v>9424876.349491952</v>
          </cell>
          <cell r="K14">
            <v>11658013.520140048</v>
          </cell>
          <cell r="L14">
            <v>10621816.163219433</v>
          </cell>
          <cell r="M14">
            <v>12549686.115677286</v>
          </cell>
        </row>
        <row r="15">
          <cell r="B15" t="str">
            <v xml:space="preserve">60 Martin Pl </v>
          </cell>
          <cell r="D15">
            <v>13561090.93564271</v>
          </cell>
          <cell r="E15">
            <v>14227384.342514075</v>
          </cell>
          <cell r="F15">
            <v>13825559.112146253</v>
          </cell>
          <cell r="G15">
            <v>16066747.474428475</v>
          </cell>
          <cell r="H15">
            <v>15117668.351266345</v>
          </cell>
          <cell r="I15">
            <v>17481836.27565388</v>
          </cell>
          <cell r="J15">
            <v>16798716.374890119</v>
          </cell>
          <cell r="K15">
            <v>17098553.984340616</v>
          </cell>
          <cell r="L15">
            <v>19479710.059977673</v>
          </cell>
          <cell r="M15">
            <v>17899636.592105404</v>
          </cell>
        </row>
        <row r="16">
          <cell r="B16" t="str">
            <v xml:space="preserve">80 Pacific Highway North Sydney </v>
          </cell>
          <cell r="D16">
            <v>6913932.7727873903</v>
          </cell>
          <cell r="E16">
            <v>6923896.1926219827</v>
          </cell>
          <cell r="F16">
            <v>7069604.154223715</v>
          </cell>
          <cell r="G16">
            <v>5687990.7418201771</v>
          </cell>
          <cell r="H16">
            <v>7382856.6926307427</v>
          </cell>
          <cell r="I16">
            <v>7949600.7942990931</v>
          </cell>
          <cell r="J16">
            <v>8150261.9165876461</v>
          </cell>
          <cell r="K16">
            <v>8452280.1473515946</v>
          </cell>
          <cell r="L16">
            <v>6799804.5451934729</v>
          </cell>
          <cell r="M16">
            <v>8690878.6749740355</v>
          </cell>
        </row>
        <row r="17">
          <cell r="B17" t="str">
            <v>73 Miller St, Sydney</v>
          </cell>
          <cell r="D17">
            <v>6991658.3590106964</v>
          </cell>
          <cell r="E17">
            <v>7190692.8146693027</v>
          </cell>
          <cell r="F17">
            <v>7266087.2250706013</v>
          </cell>
          <cell r="G17">
            <v>7910652.5072645266</v>
          </cell>
          <cell r="H17">
            <v>6130655.4440920111</v>
          </cell>
          <cell r="I17">
            <v>8304615.0119483136</v>
          </cell>
          <cell r="J17">
            <v>8815342.0111491382</v>
          </cell>
          <cell r="K17">
            <v>8879915.114845708</v>
          </cell>
          <cell r="L17">
            <v>9328361.4584732912</v>
          </cell>
          <cell r="M17">
            <v>7214639.5992849134</v>
          </cell>
        </row>
        <row r="18">
          <cell r="B18" t="str">
            <v>50-60 Talavera, Nth Ryde</v>
          </cell>
          <cell r="D18">
            <v>3391795.3711315445</v>
          </cell>
          <cell r="E18">
            <v>3446852.5172518669</v>
          </cell>
          <cell r="F18">
            <v>3532134.649741054</v>
          </cell>
          <cell r="G18">
            <v>3564461.8332858696</v>
          </cell>
          <cell r="H18">
            <v>3624189.2940092036</v>
          </cell>
          <cell r="I18">
            <v>3714804.6776987677</v>
          </cell>
          <cell r="J18">
            <v>3808416.560914238</v>
          </cell>
          <cell r="K18">
            <v>3904635.7409076011</v>
          </cell>
          <cell r="L18">
            <v>3942008.9809040469</v>
          </cell>
          <cell r="M18">
            <v>2681595.7474426217</v>
          </cell>
        </row>
        <row r="19">
          <cell r="B19" t="str">
            <v>255 Elizabeth St, Sydney</v>
          </cell>
          <cell r="D19">
            <v>9626724.7176139448</v>
          </cell>
          <cell r="E19">
            <v>13071524.41124999</v>
          </cell>
          <cell r="F19">
            <v>14657578.70073152</v>
          </cell>
          <cell r="G19">
            <v>16252379.54813844</v>
          </cell>
          <cell r="H19">
            <v>16674289.928107867</v>
          </cell>
          <cell r="I19">
            <v>16812710.030207887</v>
          </cell>
          <cell r="J19">
            <v>12626133.124232359</v>
          </cell>
          <cell r="K19">
            <v>18032468.838332389</v>
          </cell>
          <cell r="L19">
            <v>19332728.810721554</v>
          </cell>
          <cell r="M19">
            <v>19745796.82564339</v>
          </cell>
        </row>
        <row r="20">
          <cell r="B20" t="str">
            <v>Centennial Plaza, Sydney</v>
          </cell>
          <cell r="D20">
            <v>18863993.740992986</v>
          </cell>
          <cell r="E20">
            <v>19938540.704281583</v>
          </cell>
          <cell r="F20">
            <v>21525177.790412307</v>
          </cell>
          <cell r="G20">
            <v>21375859.69765234</v>
          </cell>
          <cell r="H20">
            <v>23922565.3077127</v>
          </cell>
          <cell r="I20">
            <v>24009327.549878418</v>
          </cell>
          <cell r="J20">
            <v>23962678.228966642</v>
          </cell>
          <cell r="K20">
            <v>26210859.465583514</v>
          </cell>
          <cell r="L20">
            <v>25585634.275191151</v>
          </cell>
          <cell r="M20">
            <v>27476255.376868226</v>
          </cell>
        </row>
        <row r="21">
          <cell r="B21" t="str">
            <v xml:space="preserve">   260 Elizabeth Street (Centennial Plaza A), Sydney</v>
          </cell>
          <cell r="D21">
            <v>5015073.6706669172</v>
          </cell>
          <cell r="E21">
            <v>5365079.0558078438</v>
          </cell>
          <cell r="F21">
            <v>5523365.4185588025</v>
          </cell>
          <cell r="G21">
            <v>4171861.8276874106</v>
          </cell>
          <cell r="H21">
            <v>6166508.9715367435</v>
          </cell>
          <cell r="I21">
            <v>6298426.4748107474</v>
          </cell>
          <cell r="J21">
            <v>6621858.8815403208</v>
          </cell>
          <cell r="K21">
            <v>6738012.8146766266</v>
          </cell>
          <cell r="L21">
            <v>4969056.9173181858</v>
          </cell>
          <cell r="M21">
            <v>7235883.9900489105</v>
          </cell>
        </row>
        <row r="22">
          <cell r="B22" t="str">
            <v xml:space="preserve">   280 Elizabeth Street (Centennial Plaza B), Sydney</v>
          </cell>
          <cell r="D22">
            <v>6519293.6734306607</v>
          </cell>
          <cell r="E22">
            <v>6065572.5819315463</v>
          </cell>
          <cell r="F22">
            <v>7550461.8396444786</v>
          </cell>
          <cell r="G22">
            <v>7927989.7875270471</v>
          </cell>
          <cell r="H22">
            <v>8220525.6241387557</v>
          </cell>
          <cell r="I22">
            <v>8643311.311580278</v>
          </cell>
          <cell r="J22">
            <v>7446820.7279358776</v>
          </cell>
          <cell r="K22">
            <v>9204698.6906563174</v>
          </cell>
          <cell r="L22">
            <v>9528731.6859071739</v>
          </cell>
          <cell r="M22">
            <v>9014546.0134980679</v>
          </cell>
        </row>
        <row r="23">
          <cell r="B23" t="str">
            <v xml:space="preserve">   300 Elizabeth Street (Centennial Plaza C), Sydney</v>
          </cell>
          <cell r="D23">
            <v>7329626.3968954068</v>
          </cell>
          <cell r="E23">
            <v>8507889.0665421933</v>
          </cell>
          <cell r="F23">
            <v>8451350.5322090257</v>
          </cell>
          <cell r="G23">
            <v>9276008.0824378803</v>
          </cell>
          <cell r="H23">
            <v>9535530.712037202</v>
          </cell>
          <cell r="I23">
            <v>9067589.763487393</v>
          </cell>
          <cell r="J23">
            <v>9893998.6194904447</v>
          </cell>
          <cell r="K23">
            <v>10268147.960250571</v>
          </cell>
          <cell r="L23">
            <v>11087845.671965789</v>
          </cell>
          <cell r="M23">
            <v>11225825.373321248</v>
          </cell>
        </row>
        <row r="24">
          <cell r="B24" t="str">
            <v>St Martins Tower, Sydney</v>
          </cell>
          <cell r="D24">
            <v>10290410.523963489</v>
          </cell>
          <cell r="E24">
            <v>11310081.610733083</v>
          </cell>
          <cell r="F24">
            <v>11916332.613693975</v>
          </cell>
          <cell r="G24">
            <v>12180947.979366908</v>
          </cell>
          <cell r="H24">
            <v>12630028.926332692</v>
          </cell>
          <cell r="I24">
            <v>12820514.740836514</v>
          </cell>
          <cell r="J24">
            <v>13606439.612336969</v>
          </cell>
          <cell r="K24">
            <v>14395395.390203664</v>
          </cell>
          <cell r="L24">
            <v>13781042.331578784</v>
          </cell>
          <cell r="M24">
            <v>14902467.012326816</v>
          </cell>
        </row>
        <row r="25">
          <cell r="B25" t="str">
            <v>1 Market Street (BT Tower), Sydney</v>
          </cell>
          <cell r="D25">
            <v>15401719.235089324</v>
          </cell>
          <cell r="E25">
            <v>16593289.95394377</v>
          </cell>
          <cell r="F25">
            <v>17399356.470499333</v>
          </cell>
          <cell r="G25">
            <v>18526159.30053832</v>
          </cell>
          <cell r="H25">
            <v>19335333.726812717</v>
          </cell>
          <cell r="I25">
            <v>19990338.697582968</v>
          </cell>
          <cell r="J25">
            <v>20461970.987041973</v>
          </cell>
          <cell r="K25">
            <v>21200510.642903812</v>
          </cell>
          <cell r="L25">
            <v>22177087.748729914</v>
          </cell>
          <cell r="M25">
            <v>22612241.543388944</v>
          </cell>
        </row>
        <row r="26">
          <cell r="B26" t="str">
            <v>110 George St, Octagon, Parramatta</v>
          </cell>
          <cell r="D26">
            <v>3686304.527172544</v>
          </cell>
          <cell r="E26">
            <v>4235185.0184804089</v>
          </cell>
          <cell r="F26">
            <v>5359230.7332985532</v>
          </cell>
          <cell r="G26">
            <v>5806230.036885906</v>
          </cell>
          <cell r="H26">
            <v>5958580.9581983155</v>
          </cell>
          <cell r="I26">
            <v>5646293.4227428529</v>
          </cell>
          <cell r="J26">
            <v>5384914.4482777845</v>
          </cell>
          <cell r="K26">
            <v>6717461.3551467806</v>
          </cell>
          <cell r="L26">
            <v>7033467.0839326028</v>
          </cell>
          <cell r="M26">
            <v>7167214.620532088</v>
          </cell>
        </row>
        <row r="27">
          <cell r="B27" t="str">
            <v>400 George Street, Sydney</v>
          </cell>
          <cell r="D27">
            <v>25269762.012591977</v>
          </cell>
          <cell r="E27">
            <v>27776379.303791262</v>
          </cell>
          <cell r="F27">
            <v>29803495.134193376</v>
          </cell>
          <cell r="G27">
            <v>30610741.472744484</v>
          </cell>
          <cell r="H27">
            <v>29247005.072714597</v>
          </cell>
          <cell r="I27">
            <v>30974744.93796635</v>
          </cell>
          <cell r="J27">
            <v>34322261.180828199</v>
          </cell>
          <cell r="K27">
            <v>36540618.275096789</v>
          </cell>
          <cell r="L27">
            <v>36478536.297569655</v>
          </cell>
          <cell r="M27">
            <v>34518521.19391349</v>
          </cell>
        </row>
        <row r="28">
          <cell r="B28" t="str">
            <v>Maritime Centre, 201 Kent St, Sydney</v>
          </cell>
          <cell r="D28">
            <v>19350773.816183344</v>
          </cell>
          <cell r="E28">
            <v>19289469.209408272</v>
          </cell>
          <cell r="F28">
            <v>21113730.367745843</v>
          </cell>
          <cell r="G28">
            <v>21765653.993958753</v>
          </cell>
          <cell r="H28">
            <v>22551674.522026863</v>
          </cell>
          <cell r="I28">
            <v>23836936.567574054</v>
          </cell>
          <cell r="J28">
            <v>23409501.237890668</v>
          </cell>
          <cell r="K28">
            <v>25528296.672422096</v>
          </cell>
          <cell r="L28">
            <v>25824941.666142158</v>
          </cell>
          <cell r="M28">
            <v>26744035.427423421</v>
          </cell>
        </row>
        <row r="29">
          <cell r="B29" t="str">
            <v>Grosvenor Place, Sydney</v>
          </cell>
          <cell r="D29">
            <v>48111014.197251335</v>
          </cell>
          <cell r="E29">
            <v>60257438.62798737</v>
          </cell>
          <cell r="F29">
            <v>64340797.473365121</v>
          </cell>
          <cell r="G29">
            <v>66313660.196236193</v>
          </cell>
          <cell r="H29">
            <v>70574458.541734785</v>
          </cell>
          <cell r="I29">
            <v>66938672.739921413</v>
          </cell>
          <cell r="J29">
            <v>67608830.679896355</v>
          </cell>
          <cell r="K29">
            <v>76317511.859429494</v>
          </cell>
          <cell r="L29">
            <v>76815927.574185908</v>
          </cell>
          <cell r="M29">
            <v>81437714.976949215</v>
          </cell>
        </row>
        <row r="30">
          <cell r="B30" t="str">
            <v>Kindersley House, Sydney</v>
          </cell>
          <cell r="D30">
            <v>3670413.1832185551</v>
          </cell>
          <cell r="E30">
            <v>4519451.1098673251</v>
          </cell>
          <cell r="F30">
            <v>4442972.9803855717</v>
          </cell>
          <cell r="G30">
            <v>5013109.3498387244</v>
          </cell>
          <cell r="H30">
            <v>5258606.7435011882</v>
          </cell>
          <cell r="I30">
            <v>5522574.1132464753</v>
          </cell>
          <cell r="J30">
            <v>5401962.5057813972</v>
          </cell>
          <cell r="K30">
            <v>5562914.4265249074</v>
          </cell>
          <cell r="L30">
            <v>6099596.4420418236</v>
          </cell>
          <cell r="M30">
            <v>6278382.5806656564</v>
          </cell>
        </row>
        <row r="32">
          <cell r="B32" t="str">
            <v>QLD - 3 assets</v>
          </cell>
        </row>
        <row r="33">
          <cell r="B33" t="str">
            <v>Kings Row</v>
          </cell>
          <cell r="D33">
            <v>6976994.3849986671</v>
          </cell>
          <cell r="E33">
            <v>6839494.0296728071</v>
          </cell>
          <cell r="F33">
            <v>7576166.3333992241</v>
          </cell>
          <cell r="G33">
            <v>7726425.0558792884</v>
          </cell>
          <cell r="H33">
            <v>7838939.5205589794</v>
          </cell>
          <cell r="I33">
            <v>7749254.527988039</v>
          </cell>
          <cell r="J33">
            <v>7343906.8183203088</v>
          </cell>
          <cell r="K33">
            <v>8321705.4599269154</v>
          </cell>
          <cell r="L33">
            <v>8598002.5540372506</v>
          </cell>
          <cell r="M33">
            <v>8480317.3660968896</v>
          </cell>
        </row>
        <row r="34">
          <cell r="B34" t="str">
            <v>Cathedral Sq, 410 Ann St, Brisbane</v>
          </cell>
          <cell r="D34">
            <v>6911638.6947504776</v>
          </cell>
          <cell r="E34">
            <v>6309203.4933692329</v>
          </cell>
          <cell r="F34">
            <v>7466327.8596686358</v>
          </cell>
          <cell r="G34">
            <v>7748418.2140897596</v>
          </cell>
          <cell r="H34">
            <v>7962920.8079104573</v>
          </cell>
          <cell r="I34">
            <v>8099071.9810458748</v>
          </cell>
          <cell r="J34">
            <v>7141623.8270553323</v>
          </cell>
          <cell r="K34">
            <v>7710942.8191455547</v>
          </cell>
          <cell r="L34">
            <v>8585136.0374852419</v>
          </cell>
          <cell r="M34">
            <v>8926606.607983388</v>
          </cell>
        </row>
        <row r="35">
          <cell r="B35" t="str">
            <v>State Law, 50 Ann St, Brisbane</v>
          </cell>
          <cell r="D35">
            <v>7229777.4778630137</v>
          </cell>
          <cell r="E35">
            <v>7249347.3808961306</v>
          </cell>
          <cell r="F35">
            <v>7300025.2503675781</v>
          </cell>
          <cell r="G35">
            <v>7395972.9653019272</v>
          </cell>
          <cell r="H35">
            <v>7477212.8405781575</v>
          </cell>
          <cell r="I35">
            <v>7605929.2090511713</v>
          </cell>
          <cell r="J35">
            <v>7683383.816813889</v>
          </cell>
          <cell r="K35">
            <v>7988951.8010837547</v>
          </cell>
          <cell r="L35">
            <v>8216310.9458902031</v>
          </cell>
          <cell r="M35">
            <v>8501019.2623480838</v>
          </cell>
        </row>
        <row r="37">
          <cell r="B37" t="str">
            <v>VIC - 9 assets</v>
          </cell>
        </row>
        <row r="38">
          <cell r="B38" t="str">
            <v>420 St Kilda Rd, Sth Melbourne</v>
          </cell>
          <cell r="D38">
            <v>2258654.0050335038</v>
          </cell>
          <cell r="E38">
            <v>2604427.8126209197</v>
          </cell>
          <cell r="F38">
            <v>2567198.9198498139</v>
          </cell>
          <cell r="G38">
            <v>2796370.7999170376</v>
          </cell>
          <cell r="H38">
            <v>2535067.6343071442</v>
          </cell>
          <cell r="I38">
            <v>2916845.8376163249</v>
          </cell>
          <cell r="J38">
            <v>2908925.4025743608</v>
          </cell>
          <cell r="K38">
            <v>2934890.9379534051</v>
          </cell>
          <cell r="L38">
            <v>3177347.7189681507</v>
          </cell>
          <cell r="M38">
            <v>2924760.0068113431</v>
          </cell>
        </row>
        <row r="39">
          <cell r="B39" t="str">
            <v>469 LaTrobe St, Melbourne</v>
          </cell>
          <cell r="D39">
            <v>4750835.1950136982</v>
          </cell>
          <cell r="E39">
            <v>4848558.5611387799</v>
          </cell>
          <cell r="F39">
            <v>4756283.1323483763</v>
          </cell>
          <cell r="G39">
            <v>5498260.2718274295</v>
          </cell>
          <cell r="H39">
            <v>5586029.3785744105</v>
          </cell>
          <cell r="I39">
            <v>5720488.604012413</v>
          </cell>
          <cell r="J39">
            <v>6628642.600651131</v>
          </cell>
          <cell r="K39">
            <v>6289295.2248234041</v>
          </cell>
          <cell r="L39">
            <v>6623355.9016320407</v>
          </cell>
          <cell r="M39">
            <v>6829219.8380152304</v>
          </cell>
        </row>
        <row r="40">
          <cell r="B40" t="str">
            <v>485 LaTrobe St, Melbourne</v>
          </cell>
          <cell r="D40">
            <v>10315134.269150682</v>
          </cell>
          <cell r="E40">
            <v>8719699.9123727866</v>
          </cell>
          <cell r="F40">
            <v>9006391.6938076448</v>
          </cell>
          <cell r="G40">
            <v>10773283.226488799</v>
          </cell>
          <cell r="H40">
            <v>11577007.38908142</v>
          </cell>
          <cell r="I40">
            <v>11867684.067087261</v>
          </cell>
          <cell r="J40">
            <v>11192405.128171379</v>
          </cell>
          <cell r="K40">
            <v>11083665.594381409</v>
          </cell>
          <cell r="L40">
            <v>13373200.308365244</v>
          </cell>
          <cell r="M40">
            <v>13767389.432686891</v>
          </cell>
        </row>
        <row r="41">
          <cell r="B41" t="str">
            <v>242 Exhibition St, Melbourne</v>
          </cell>
          <cell r="D41">
            <v>21536258.081917811</v>
          </cell>
          <cell r="E41">
            <v>21227262.715154607</v>
          </cell>
          <cell r="F41">
            <v>22427016.420166731</v>
          </cell>
          <cell r="G41">
            <v>23232284.96199375</v>
          </cell>
          <cell r="H41">
            <v>24033277.78445049</v>
          </cell>
          <cell r="I41">
            <v>23251497.56647959</v>
          </cell>
          <cell r="J41">
            <v>26415303.938176528</v>
          </cell>
          <cell r="K41">
            <v>24886342.892738234</v>
          </cell>
          <cell r="L41">
            <v>30341003.532882471</v>
          </cell>
          <cell r="M41">
            <v>30321077.083361074</v>
          </cell>
        </row>
        <row r="42">
          <cell r="B42" t="str">
            <v>441 St Kilda Rd</v>
          </cell>
          <cell r="D42">
            <v>3951629.5345828836</v>
          </cell>
          <cell r="E42">
            <v>4150743.3626466449</v>
          </cell>
          <cell r="F42">
            <v>4575946.2267827671</v>
          </cell>
          <cell r="G42">
            <v>4642431.5481984755</v>
          </cell>
          <cell r="H42">
            <v>4942158.6901283562</v>
          </cell>
          <cell r="I42">
            <v>5050313.1043996662</v>
          </cell>
          <cell r="J42">
            <v>4703762.857415718</v>
          </cell>
          <cell r="K42">
            <v>5222177.124062039</v>
          </cell>
          <cell r="L42">
            <v>5315324.0914802877</v>
          </cell>
          <cell r="M42">
            <v>5678121.4559624437</v>
          </cell>
        </row>
        <row r="43">
          <cell r="B43" t="str">
            <v xml:space="preserve">209 Kingsway, Melbourne </v>
          </cell>
          <cell r="D43">
            <v>8312990.0174028892</v>
          </cell>
          <cell r="E43">
            <v>8477184.8068551142</v>
          </cell>
          <cell r="F43">
            <v>8721908.4437964894</v>
          </cell>
          <cell r="G43">
            <v>8954516.8020419944</v>
          </cell>
          <cell r="H43">
            <v>9203662.3072492294</v>
          </cell>
          <cell r="I43">
            <v>9472055.8677115384</v>
          </cell>
          <cell r="J43">
            <v>9753668.1522759572</v>
          </cell>
          <cell r="K43">
            <v>10046278.196844235</v>
          </cell>
          <cell r="L43">
            <v>10347666.542749565</v>
          </cell>
          <cell r="M43">
            <v>8568141.259399645</v>
          </cell>
        </row>
        <row r="44">
          <cell r="B44" t="str">
            <v>589 Collins St</v>
          </cell>
          <cell r="D44">
            <v>7360220.5702958945</v>
          </cell>
          <cell r="E44">
            <v>6076100.1283049183</v>
          </cell>
          <cell r="F44">
            <v>9084994.7251254376</v>
          </cell>
          <cell r="G44">
            <v>9765337.8084652424</v>
          </cell>
          <cell r="H44">
            <v>10912516.78528931</v>
          </cell>
          <cell r="I44">
            <v>10942169.728093443</v>
          </cell>
          <cell r="J44">
            <v>10102762.086214744</v>
          </cell>
          <cell r="K44">
            <v>12150150.561996501</v>
          </cell>
          <cell r="L44">
            <v>13069438.94239568</v>
          </cell>
          <cell r="M44">
            <v>12961141.136546656</v>
          </cell>
        </row>
        <row r="45">
          <cell r="B45" t="str">
            <v>Customs House, Melbourne</v>
          </cell>
          <cell r="D45">
            <v>4248948.3753424659</v>
          </cell>
          <cell r="E45">
            <v>3863534.3560360293</v>
          </cell>
          <cell r="F45">
            <v>3030058.5836444804</v>
          </cell>
          <cell r="G45">
            <v>4317477.5678371191</v>
          </cell>
          <cell r="H45">
            <v>4977263.3448184449</v>
          </cell>
          <cell r="I45">
            <v>5022742.7849770747</v>
          </cell>
          <cell r="J45">
            <v>4897586.8383150948</v>
          </cell>
          <cell r="K45">
            <v>4590921.6234251242</v>
          </cell>
          <cell r="L45">
            <v>5614723.2417939389</v>
          </cell>
          <cell r="M45">
            <v>5915495.7020641873</v>
          </cell>
        </row>
        <row r="46">
          <cell r="B46" t="str">
            <v>120 Collins Street, Melbourne</v>
          </cell>
          <cell r="D46">
            <v>21976720.905397259</v>
          </cell>
          <cell r="E46">
            <v>25449616.698530525</v>
          </cell>
          <cell r="F46">
            <v>29047390.209539231</v>
          </cell>
          <cell r="G46">
            <v>31891585.544431519</v>
          </cell>
          <cell r="H46">
            <v>34141783.150805816</v>
          </cell>
          <cell r="I46">
            <v>32848983.89889212</v>
          </cell>
          <cell r="J46">
            <v>35733343.786707386</v>
          </cell>
          <cell r="K46">
            <v>37630437.058108456</v>
          </cell>
          <cell r="L46">
            <v>40546695.424416676</v>
          </cell>
          <cell r="M46">
            <v>41523730.091243677</v>
          </cell>
        </row>
        <row r="48">
          <cell r="B48" t="str">
            <v>WA - 2 assets</v>
          </cell>
        </row>
        <row r="49">
          <cell r="B49" t="str">
            <v>109 St Georges Tce Perth</v>
          </cell>
          <cell r="D49">
            <v>1312031.2195767381</v>
          </cell>
          <cell r="E49">
            <v>2269002.9751849291</v>
          </cell>
          <cell r="F49">
            <v>2772164.2193776495</v>
          </cell>
          <cell r="G49">
            <v>3028374.3241468114</v>
          </cell>
          <cell r="H49">
            <v>3305136.6347264983</v>
          </cell>
          <cell r="I49">
            <v>3385028.5582805853</v>
          </cell>
          <cell r="J49">
            <v>3266926.8618466407</v>
          </cell>
          <cell r="K49">
            <v>3014215.7403999711</v>
          </cell>
          <cell r="L49">
            <v>3758444.4220438404</v>
          </cell>
          <cell r="M49">
            <v>3872109.2902921508</v>
          </cell>
        </row>
        <row r="50">
          <cell r="B50" t="str">
            <v>QV1, Perth</v>
          </cell>
          <cell r="D50">
            <v>25532392.011864394</v>
          </cell>
          <cell r="E50">
            <v>25218574.389289986</v>
          </cell>
          <cell r="F50">
            <v>27023573.310070969</v>
          </cell>
          <cell r="G50">
            <v>28435136.245238561</v>
          </cell>
          <cell r="H50">
            <v>29312212.289881311</v>
          </cell>
          <cell r="I50">
            <v>29686979.292175081</v>
          </cell>
          <cell r="J50">
            <v>30230129.623461526</v>
          </cell>
          <cell r="K50">
            <v>30963981.930239651</v>
          </cell>
          <cell r="L50">
            <v>32204948.009858299</v>
          </cell>
          <cell r="M50">
            <v>34356738.721461117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CWDIST"/>
      <sheetName val="US Property"/>
      <sheetName val="Sheet1"/>
      <sheetName val="Data"/>
      <sheetName val="Shops"/>
      <sheetName val="Summary"/>
      <sheetName val="Result Analysis"/>
      <sheetName val="REDSTemplate - MCW"/>
      <sheetName val="REDSTemplate - MCW (OLD)"/>
      <sheetName val="Bal Sheet"/>
      <sheetName val="Charts"/>
    </sheetNames>
    <sheetDataSet>
      <sheetData sheetId="0" refreshError="1">
        <row r="584">
          <cell r="G584">
            <v>0.38064931159571996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ensus"/>
      <sheetName val="Charts"/>
      <sheetName val="Summary (2)"/>
      <sheetName val="Data"/>
      <sheetName val="FY_Model"/>
      <sheetName val="Group_Seg"/>
      <sheetName val="Trust NOI"/>
      <sheetName val="Retail Assets"/>
      <sheetName val="Retail Projects Sum"/>
      <sheetName val="Hotels"/>
      <sheetName val="CommercialAssets"/>
      <sheetName val="IndustrialAssets"/>
      <sheetName val="OfficeParkAssets"/>
      <sheetName val="Development Sum"/>
      <sheetName val="Residential Estates"/>
      <sheetName val="Apartments"/>
      <sheetName val="iQ_CoreIndustrials"/>
      <sheetName val="BldCosts"/>
      <sheetName val="Retail Projects "/>
      <sheetName val="Summary Old"/>
      <sheetName val="GRD"/>
      <sheetName val="ML Data"/>
      <sheetName val="ML Segmental"/>
      <sheetName val="ML Porfolio-Mini BS"/>
      <sheetName val="REDSTemplate - SGP"/>
      <sheetName val="1H06Note"/>
      <sheetName val="YrEndPres"/>
      <sheetName val="HYrPres"/>
      <sheetName val="Summary"/>
      <sheetName val="FY_Trust"/>
      <sheetName val="FY_Corp"/>
      <sheetName val="Corp_DCF"/>
      <sheetName val="Truststats"/>
      <sheetName val="Yennora"/>
      <sheetName val="RetailNOISummary"/>
      <sheetName val="Sheet2"/>
      <sheetName val="RetailAssets"/>
      <sheetName val="1H05&amp;FY05Result"/>
      <sheetName val="Trust_Seg"/>
      <sheetName val="Corp_Seg"/>
      <sheetName val="DevDivision"/>
      <sheetName val="Retail Projects"/>
      <sheetName val="CurrApts"/>
      <sheetName val="CurrRE"/>
      <sheetName val="CurrRPs"/>
      <sheetName val="RetailStats"/>
      <sheetName val="HalfYrPres"/>
      <sheetName val="DPUHist"/>
      <sheetName val="Valuation"/>
      <sheetName val="IDCapex"/>
      <sheetName val="RDevSch"/>
      <sheetName val="Macro"/>
      <sheetName val="Shares"/>
      <sheetName val="Equity"/>
      <sheetName val="WaterfrontPlace"/>
      <sheetName val="x"/>
      <sheetName val="Ind&amp;OPStats"/>
      <sheetName val="Note"/>
      <sheetName val="Sheet1"/>
      <sheetName val="DDM"/>
      <sheetName val="FinSummary"/>
      <sheetName val="NOISum"/>
      <sheetName val="ForecastChanges"/>
      <sheetName val="RESummarydata"/>
      <sheetName val="REanalysis"/>
      <sheetName val="ComStats"/>
      <sheetName val="FY04Resul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29">
          <cell r="A29" t="str">
            <v>hotels_occupancyrate</v>
          </cell>
          <cell r="C29" t="str">
            <v>Occupancy</v>
          </cell>
          <cell r="H29">
            <v>0.72903496503496501</v>
          </cell>
          <cell r="I29">
            <v>0.72903496503496501</v>
          </cell>
          <cell r="J29">
            <v>0.75783248081841437</v>
          </cell>
          <cell r="K29">
            <v>0.75783248081841437</v>
          </cell>
          <cell r="L29">
            <v>0.75</v>
          </cell>
          <cell r="M29">
            <v>0.74999999999999989</v>
          </cell>
          <cell r="N29">
            <v>0.74999999999999989</v>
          </cell>
          <cell r="O29">
            <v>0.74999999999999989</v>
          </cell>
          <cell r="P29">
            <v>0.74999999999999989</v>
          </cell>
          <cell r="Q29">
            <v>0.74999999999999989</v>
          </cell>
          <cell r="R29">
            <v>0.74999999999999989</v>
          </cell>
        </row>
        <row r="31">
          <cell r="A31" t="str">
            <v>hotels_Avg.RR</v>
          </cell>
          <cell r="C31" t="str">
            <v>Average room rate</v>
          </cell>
          <cell r="H31">
            <v>138.62167832167833</v>
          </cell>
          <cell r="I31">
            <v>146</v>
          </cell>
          <cell r="J31">
            <v>144</v>
          </cell>
          <cell r="K31">
            <v>145.22034846547314</v>
          </cell>
          <cell r="L31">
            <v>148.85085717710996</v>
          </cell>
          <cell r="M31">
            <v>152.57212860653769</v>
          </cell>
          <cell r="N31">
            <v>156.38643182170111</v>
          </cell>
          <cell r="O31">
            <v>160.29609261724366</v>
          </cell>
          <cell r="P31">
            <v>164.30349493267468</v>
          </cell>
          <cell r="Q31">
            <v>168.41108230599156</v>
          </cell>
          <cell r="R31">
            <v>172.62135936364132</v>
          </cell>
        </row>
        <row r="34">
          <cell r="A34" t="str">
            <v>hotels_Avg.RY</v>
          </cell>
          <cell r="C34" t="str">
            <v>Occupancy</v>
          </cell>
          <cell r="H34">
            <v>113.14302136219943</v>
          </cell>
          <cell r="I34">
            <v>121.3238815978542</v>
          </cell>
          <cell r="J34">
            <v>117.43860140840135</v>
          </cell>
          <cell r="K34">
            <v>120.41781197622885</v>
          </cell>
          <cell r="L34">
            <v>122.47238863104327</v>
          </cell>
          <cell r="M34">
            <v>125.5800775323732</v>
          </cell>
          <cell r="N34">
            <v>128.766835031803</v>
          </cell>
          <cell r="O34">
            <v>132.03467913555215</v>
          </cell>
          <cell r="P34">
            <v>135.38567953873363</v>
          </cell>
          <cell r="Q34">
            <v>138.82195895473848</v>
          </cell>
          <cell r="R34">
            <v>142.34569447896948</v>
          </cell>
          <cell r="U34">
            <v>0.75</v>
          </cell>
          <cell r="W34">
            <v>0.73012468827930166</v>
          </cell>
          <cell r="X34">
            <v>0.76</v>
          </cell>
          <cell r="Z34">
            <v>0.72903496503496501</v>
          </cell>
          <cell r="AA34" t="e">
            <v>#DIV/0!</v>
          </cell>
          <cell r="AB34" t="e">
            <v>#DIV/0!</v>
          </cell>
          <cell r="AC34">
            <v>0.75783248081841437</v>
          </cell>
          <cell r="AD34" t="e">
            <v>#DIV/0!</v>
          </cell>
          <cell r="AE34" t="e">
            <v>#DIV/0!</v>
          </cell>
          <cell r="AF34">
            <v>0.72791804078610856</v>
          </cell>
          <cell r="AG34" t="e">
            <v>#DIV/0!</v>
          </cell>
          <cell r="AH34" t="e">
            <v>#DIV/0!</v>
          </cell>
          <cell r="AI34">
            <v>0.72791804078610856</v>
          </cell>
          <cell r="AJ34" t="e">
            <v>#DIV/0!</v>
          </cell>
          <cell r="AK34" t="e">
            <v>#DIV/0!</v>
          </cell>
          <cell r="AL34">
            <v>0.72791804078610856</v>
          </cell>
          <cell r="AM34" t="e">
            <v>#DIV/0!</v>
          </cell>
          <cell r="AN34" t="e">
            <v>#DIV/0!</v>
          </cell>
          <cell r="AO34">
            <v>0.72791804078610856</v>
          </cell>
          <cell r="AP34" t="e">
            <v>#DIV/0!</v>
          </cell>
          <cell r="AQ34" t="e">
            <v>#DIV/0!</v>
          </cell>
          <cell r="AR34">
            <v>0.72791804078610856</v>
          </cell>
          <cell r="AS34" t="e">
            <v>#DIV/0!</v>
          </cell>
          <cell r="AT34" t="e">
            <v>#DIV/0!</v>
          </cell>
          <cell r="AU34">
            <v>0.72791804078610856</v>
          </cell>
          <cell r="AV34" t="e">
            <v>#DIV/0!</v>
          </cell>
          <cell r="AW34" t="e">
            <v>#DIV/0!</v>
          </cell>
          <cell r="AX34">
            <v>0.72791804078610856</v>
          </cell>
          <cell r="AY34" t="e">
            <v>#DIV/0!</v>
          </cell>
          <cell r="AZ34" t="e">
            <v>#DIV/0!</v>
          </cell>
          <cell r="BA34">
            <v>0.72791804078610856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FY_Model"/>
      <sheetName val="FY_Corp"/>
      <sheetName val="FY_Trust"/>
      <sheetName val="DevDivision"/>
      <sheetName val="Hotels"/>
      <sheetName val="FundsMgt"/>
      <sheetName val="Import"/>
      <sheetName val="FullPres"/>
      <sheetName val="HalfPres"/>
      <sheetName val="Group_Seg"/>
      <sheetName val="1H06Result"/>
      <sheetName val="DevBk06&amp;07"/>
      <sheetName val="Data"/>
      <sheetName val="ML Data"/>
      <sheetName val="ML Segmental"/>
      <sheetName val="ML Porfolio-Mini BS"/>
      <sheetName val="Consensus"/>
      <sheetName val="Truststats"/>
      <sheetName val="Corp_DCF"/>
      <sheetName val="RetailAssets"/>
      <sheetName val="DevCharts"/>
      <sheetName val="Shares"/>
      <sheetName val="Centrepoint"/>
      <sheetName val="IndustrialAssets"/>
      <sheetName val="Non-ResDev"/>
      <sheetName val="CommercialAssets"/>
      <sheetName val="JFG"/>
      <sheetName val="DPUHist"/>
      <sheetName val="mgt ownership"/>
      <sheetName val="Recon"/>
      <sheetName val="Macro"/>
      <sheetName val="REDSTemplate - MGR"/>
      <sheetName val="iQ_CoreIndustrials"/>
    </sheetNames>
    <sheetDataSet>
      <sheetData sheetId="0" refreshError="1"/>
      <sheetData sheetId="1" refreshError="1">
        <row r="230">
          <cell r="A230" t="str">
            <v>OCF_ChgWC</v>
          </cell>
          <cell r="C230" t="str">
            <v xml:space="preserve"> +/- Changes in Working capital </v>
          </cell>
          <cell r="F230">
            <v>-14.272000000000013</v>
          </cell>
          <cell r="G230">
            <v>28.856000000000002</v>
          </cell>
          <cell r="H230">
            <v>-12.842999999999989</v>
          </cell>
          <cell r="I230">
            <v>26.793999999999997</v>
          </cell>
          <cell r="J230">
            <v>-134.24600000000001</v>
          </cell>
          <cell r="K230">
            <v>63.183167028633335</v>
          </cell>
          <cell r="L230">
            <v>-0.13358477192232243</v>
          </cell>
          <cell r="M230">
            <v>0.40181380141699208</v>
          </cell>
          <cell r="N230">
            <v>-0.38624505802047793</v>
          </cell>
          <cell r="O230">
            <v>-0.17962199318370153</v>
          </cell>
          <cell r="P230">
            <v>9.3482583629239002E-2</v>
          </cell>
          <cell r="Q230">
            <v>0.25975644885480165</v>
          </cell>
          <cell r="R230">
            <v>0.2397442555205771</v>
          </cell>
        </row>
        <row r="244">
          <cell r="A244" t="str">
            <v>OCF_IntRec</v>
          </cell>
          <cell r="C244" t="str">
            <v>Interest received</v>
          </cell>
          <cell r="E244">
            <v>1.377</v>
          </cell>
          <cell r="F244">
            <v>1.4850000000000001</v>
          </cell>
          <cell r="G244">
            <v>2.823</v>
          </cell>
          <cell r="H244">
            <v>5.8310000000000004</v>
          </cell>
          <cell r="I244">
            <v>6.4610000000000003</v>
          </cell>
          <cell r="J244">
            <v>6.56</v>
          </cell>
          <cell r="K244">
            <v>1.5756399999999999</v>
          </cell>
          <cell r="L244">
            <v>1.5756399999999999</v>
          </cell>
          <cell r="M244">
            <v>1.5756399999999999</v>
          </cell>
          <cell r="N244">
            <v>1.5756399999999999</v>
          </cell>
          <cell r="O244">
            <v>1.5756399999999999</v>
          </cell>
          <cell r="P244">
            <v>1.5756399999999999</v>
          </cell>
          <cell r="Q244">
            <v>1.5756399999999999</v>
          </cell>
          <cell r="R244">
            <v>1.5756399999999999</v>
          </cell>
        </row>
        <row r="245">
          <cell r="A245" t="str">
            <v>OCF_IntPaid</v>
          </cell>
          <cell r="C245" t="str">
            <v xml:space="preserve">Borrowing costs paid </v>
          </cell>
          <cell r="E245">
            <v>-31.824999999999999</v>
          </cell>
          <cell r="F245">
            <v>-41.006999999999998</v>
          </cell>
          <cell r="G245">
            <v>-43.606999999999999</v>
          </cell>
          <cell r="H245">
            <v>-64.153999999999996</v>
          </cell>
          <cell r="I245">
            <v>-89.024000000000001</v>
          </cell>
          <cell r="J245">
            <v>-120.47499999999999</v>
          </cell>
          <cell r="K245">
            <v>-158.68782043643813</v>
          </cell>
          <cell r="L245">
            <v>-195.5442415456906</v>
          </cell>
          <cell r="M245">
            <v>-207.53831787650734</v>
          </cell>
          <cell r="N245">
            <v>-221.03895699490093</v>
          </cell>
          <cell r="O245">
            <v>-231.47164223706679</v>
          </cell>
          <cell r="P245">
            <v>-243.35847385678713</v>
          </cell>
          <cell r="Q245">
            <v>-255.96804067855632</v>
          </cell>
          <cell r="R245">
            <v>-268.34354401973548</v>
          </cell>
        </row>
        <row r="246">
          <cell r="A246" t="str">
            <v>OCF_TaxPaid</v>
          </cell>
          <cell r="C246" t="str">
            <v>Income taxes paid</v>
          </cell>
          <cell r="E246">
            <v>-9.0939999999999994</v>
          </cell>
          <cell r="F246">
            <v>-42.463000000000001</v>
          </cell>
          <cell r="G246">
            <v>-18.866</v>
          </cell>
          <cell r="H246">
            <v>-30.481999999999999</v>
          </cell>
          <cell r="I246">
            <v>-26.314</v>
          </cell>
          <cell r="J246">
            <v>-35.319000000000003</v>
          </cell>
          <cell r="K246">
            <v>-40.711036238060686</v>
          </cell>
          <cell r="L246">
            <v>-43.826759013133682</v>
          </cell>
          <cell r="M246">
            <v>-47.400338247260542</v>
          </cell>
          <cell r="N246">
            <v>-48.790064561025396</v>
          </cell>
          <cell r="O246">
            <v>-52.154374229148821</v>
          </cell>
          <cell r="P246">
            <v>-56.043771341510272</v>
          </cell>
          <cell r="Q246">
            <v>-58.991971129625853</v>
          </cell>
          <cell r="R246">
            <v>-62.024640502092602</v>
          </cell>
        </row>
        <row r="251">
          <cell r="A251" t="str">
            <v>ICF_saleproceedsInvtProp</v>
          </cell>
          <cell r="C251" t="str">
            <v>Proceeds from sale of investment properties</v>
          </cell>
          <cell r="E251">
            <v>10.065</v>
          </cell>
          <cell r="F251">
            <v>70.605000000000004</v>
          </cell>
          <cell r="G251">
            <v>0</v>
          </cell>
          <cell r="H251">
            <v>17.329000000000001</v>
          </cell>
          <cell r="I251">
            <v>0.46800000000000003</v>
          </cell>
          <cell r="J251">
            <v>49.256999999999998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</row>
        <row r="252">
          <cell r="A252" t="str">
            <v>ICF_paymentsInvtProp</v>
          </cell>
          <cell r="C252" t="str">
            <v xml:space="preserve">Payments for investment properties </v>
          </cell>
          <cell r="E252">
            <v>-66.415999999999997</v>
          </cell>
          <cell r="F252">
            <v>-67.257999999999996</v>
          </cell>
          <cell r="G252">
            <v>-240.87799999999999</v>
          </cell>
          <cell r="H252">
            <v>-297.87099999999998</v>
          </cell>
          <cell r="I252">
            <v>-294.38600000000002</v>
          </cell>
          <cell r="J252">
            <v>-234.518</v>
          </cell>
          <cell r="K252">
            <v>-655.75233930585273</v>
          </cell>
          <cell r="L252">
            <v>-232.99961556552898</v>
          </cell>
          <cell r="M252">
            <v>-465.34381512393429</v>
          </cell>
          <cell r="N252">
            <v>-273.10239648302104</v>
          </cell>
          <cell r="O252">
            <v>-235.89410228355518</v>
          </cell>
          <cell r="P252">
            <v>-255.68811063261728</v>
          </cell>
          <cell r="Q252">
            <v>-263.77930708179611</v>
          </cell>
          <cell r="R252">
            <v>-236.47620327822096</v>
          </cell>
        </row>
        <row r="253">
          <cell r="A253" t="str">
            <v>ICF_saleproceedsPPE</v>
          </cell>
          <cell r="C253" t="str">
            <v>Proceeds from sale of PP&amp;E</v>
          </cell>
          <cell r="E253">
            <v>8.6750000000000007</v>
          </cell>
          <cell r="F253">
            <v>20.71</v>
          </cell>
          <cell r="G253">
            <v>2.5339999999999998</v>
          </cell>
          <cell r="H253">
            <v>0.222</v>
          </cell>
          <cell r="I253">
            <v>9.6000000000000002E-2</v>
          </cell>
          <cell r="J253">
            <v>3.0550000000000002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</row>
        <row r="254">
          <cell r="A254" t="str">
            <v>ICF_paymentsPPE</v>
          </cell>
          <cell r="C254" t="str">
            <v>Payments for P&amp;E</v>
          </cell>
          <cell r="E254">
            <v>-3.3149999999999999</v>
          </cell>
          <cell r="F254">
            <v>-10.739000000000001</v>
          </cell>
          <cell r="G254">
            <v>-6.6159999999999997</v>
          </cell>
          <cell r="H254">
            <v>-7.3079999999999998</v>
          </cell>
          <cell r="I254">
            <v>-5.5659999999999998</v>
          </cell>
          <cell r="J254">
            <v>-9.1440000000000001</v>
          </cell>
          <cell r="K254">
            <v>-0.8406790170691778</v>
          </cell>
          <cell r="L254">
            <v>-0.88308773052494871</v>
          </cell>
          <cell r="M254">
            <v>-0.92763578484739284</v>
          </cell>
          <cell r="N254">
            <v>-0.97443110076720885</v>
          </cell>
          <cell r="O254">
            <v>-1.0235870431611254</v>
          </cell>
          <cell r="P254">
            <v>-1.0752226956861435</v>
          </cell>
          <cell r="Q254">
            <v>-1.1294631492678953</v>
          </cell>
          <cell r="R254">
            <v>-1.186439805142026</v>
          </cell>
        </row>
        <row r="258">
          <cell r="A258" t="str">
            <v>ICF_other</v>
          </cell>
          <cell r="C258" t="str">
            <v>Other</v>
          </cell>
          <cell r="J258">
            <v>-23.074000000000002</v>
          </cell>
          <cell r="K258">
            <v>-56.380287102348774</v>
          </cell>
          <cell r="L258">
            <v>-3.7236865772959646</v>
          </cell>
          <cell r="M258">
            <v>-4.7719174093608814</v>
          </cell>
          <cell r="N258">
            <v>-5.103653246880441</v>
          </cell>
          <cell r="O258">
            <v>-5.1758387558646746</v>
          </cell>
          <cell r="P258">
            <v>-5.2496012081130914</v>
          </cell>
          <cell r="Q258">
            <v>-5.3249777502627325</v>
          </cell>
          <cell r="R258">
            <v>-5.4020064348470385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26">
          <cell r="B26" t="str">
            <v>PER UNIT ANALYSIS</v>
          </cell>
          <cell r="D26" t="str">
            <v>Mirvac Group</v>
          </cell>
          <cell r="M26" t="str">
            <v>Valuation Analysis</v>
          </cell>
          <cell r="R26" t="str">
            <v>ANALYSIS IN $M</v>
          </cell>
          <cell r="S26" t="str">
            <v>Mirvac Group</v>
          </cell>
          <cell r="AG26" t="str">
            <v>ANALYSIS IN $M</v>
          </cell>
          <cell r="AI26" t="str">
            <v>Mirvac Group</v>
          </cell>
          <cell r="AV26" t="str">
            <v>Interest Rate and FX Hedging</v>
          </cell>
          <cell r="AZ26" t="str">
            <v>+ CASH FLOW DATA - Corp IQ</v>
          </cell>
          <cell r="BE26" t="str">
            <v>Mirvac Group</v>
          </cell>
        </row>
        <row r="27">
          <cell r="B27">
            <v>1</v>
          </cell>
          <cell r="C27">
            <v>2</v>
          </cell>
          <cell r="D27">
            <v>3</v>
          </cell>
          <cell r="E27">
            <v>4</v>
          </cell>
          <cell r="F27">
            <v>5</v>
          </cell>
          <cell r="G27">
            <v>6</v>
          </cell>
          <cell r="H27">
            <v>7</v>
          </cell>
          <cell r="I27">
            <v>8</v>
          </cell>
          <cell r="J27">
            <v>9</v>
          </cell>
          <cell r="K27">
            <v>10</v>
          </cell>
          <cell r="L27">
            <v>11</v>
          </cell>
          <cell r="M27">
            <v>12</v>
          </cell>
          <cell r="N27">
            <v>13</v>
          </cell>
          <cell r="O27">
            <v>14</v>
          </cell>
          <cell r="P27">
            <v>15</v>
          </cell>
          <cell r="Q27">
            <v>16</v>
          </cell>
          <cell r="R27">
            <v>17</v>
          </cell>
          <cell r="S27">
            <v>18</v>
          </cell>
          <cell r="T27">
            <v>19</v>
          </cell>
          <cell r="U27">
            <v>20</v>
          </cell>
          <cell r="V27">
            <v>21</v>
          </cell>
          <cell r="W27">
            <v>22</v>
          </cell>
          <cell r="X27">
            <v>23</v>
          </cell>
          <cell r="Y27">
            <v>24</v>
          </cell>
          <cell r="Z27">
            <v>25</v>
          </cell>
          <cell r="AA27">
            <v>26</v>
          </cell>
          <cell r="AB27">
            <v>27</v>
          </cell>
          <cell r="AC27">
            <v>28</v>
          </cell>
          <cell r="AD27">
            <v>29</v>
          </cell>
          <cell r="AE27">
            <v>30</v>
          </cell>
          <cell r="AF27">
            <v>31</v>
          </cell>
          <cell r="AG27">
            <v>32</v>
          </cell>
          <cell r="AH27">
            <v>33</v>
          </cell>
          <cell r="AI27">
            <v>34</v>
          </cell>
          <cell r="AJ27">
            <v>35</v>
          </cell>
          <cell r="AK27">
            <v>36</v>
          </cell>
          <cell r="AL27">
            <v>37</v>
          </cell>
          <cell r="AM27">
            <v>38</v>
          </cell>
          <cell r="AN27">
            <v>39</v>
          </cell>
          <cell r="AO27">
            <v>40</v>
          </cell>
          <cell r="AP27">
            <v>41</v>
          </cell>
          <cell r="AQ27">
            <v>42</v>
          </cell>
          <cell r="AR27">
            <v>43</v>
          </cell>
          <cell r="AS27">
            <v>44</v>
          </cell>
          <cell r="AT27">
            <v>45</v>
          </cell>
          <cell r="AU27">
            <v>46</v>
          </cell>
          <cell r="AV27">
            <v>47</v>
          </cell>
          <cell r="AW27">
            <v>48</v>
          </cell>
          <cell r="AX27">
            <v>49</v>
          </cell>
          <cell r="AY27">
            <v>50</v>
          </cell>
          <cell r="AZ27">
            <v>51</v>
          </cell>
          <cell r="BA27">
            <v>52</v>
          </cell>
          <cell r="BB27">
            <v>53</v>
          </cell>
          <cell r="BC27">
            <v>54</v>
          </cell>
          <cell r="BD27">
            <v>55</v>
          </cell>
          <cell r="BE27">
            <v>56</v>
          </cell>
          <cell r="BF27">
            <v>57</v>
          </cell>
          <cell r="BG27">
            <v>58</v>
          </cell>
          <cell r="BH27">
            <v>59</v>
          </cell>
          <cell r="BI27">
            <v>60</v>
          </cell>
        </row>
        <row r="28">
          <cell r="A28">
            <v>1</v>
          </cell>
          <cell r="B28" t="str">
            <v>Cents / Unit</v>
          </cell>
          <cell r="D28" t="str">
            <v>FY04</v>
          </cell>
          <cell r="E28" t="str">
            <v>FY05</v>
          </cell>
          <cell r="F28" t="str">
            <v>FY06</v>
          </cell>
          <cell r="G28" t="str">
            <v>FY07</v>
          </cell>
          <cell r="H28" t="str">
            <v>FY08</v>
          </cell>
          <cell r="I28" t="str">
            <v>FY09</v>
          </cell>
          <cell r="J28" t="str">
            <v>FY10</v>
          </cell>
          <cell r="K28" t="str">
            <v>FY11</v>
          </cell>
          <cell r="L28" t="str">
            <v>FY12</v>
          </cell>
          <cell r="M28" t="str">
            <v>FY13</v>
          </cell>
          <cell r="N28" t="str">
            <v>FY14</v>
          </cell>
          <cell r="R28" t="str">
            <v>Dollars</v>
          </cell>
          <cell r="S28" t="str">
            <v>FY04</v>
          </cell>
          <cell r="T28" t="str">
            <v>FY05</v>
          </cell>
          <cell r="U28" t="str">
            <v>FY06</v>
          </cell>
          <cell r="V28" t="str">
            <v>FY07</v>
          </cell>
          <cell r="W28" t="str">
            <v>FY08</v>
          </cell>
          <cell r="X28" t="str">
            <v>FY09</v>
          </cell>
          <cell r="Y28" t="str">
            <v>FY10</v>
          </cell>
          <cell r="Z28" t="str">
            <v>FY11</v>
          </cell>
          <cell r="AA28" t="str">
            <v>FY12</v>
          </cell>
          <cell r="AB28" t="str">
            <v>FY13</v>
          </cell>
          <cell r="AC28" t="str">
            <v>FY14</v>
          </cell>
          <cell r="AG28" t="str">
            <v>Dollars</v>
          </cell>
          <cell r="AH28" t="str">
            <v>FY04</v>
          </cell>
          <cell r="AI28" t="str">
            <v>FY05</v>
          </cell>
          <cell r="AJ28" t="str">
            <v>FY06</v>
          </cell>
          <cell r="AK28" t="str">
            <v>FY07</v>
          </cell>
          <cell r="AL28" t="str">
            <v>FY08</v>
          </cell>
          <cell r="AM28" t="str">
            <v>FY09</v>
          </cell>
          <cell r="AN28" t="str">
            <v>FY10</v>
          </cell>
          <cell r="AO28" t="str">
            <v>FY11</v>
          </cell>
          <cell r="AP28" t="str">
            <v>FY12</v>
          </cell>
          <cell r="AQ28" t="str">
            <v>FY13</v>
          </cell>
          <cell r="AR28" t="str">
            <v>FY14</v>
          </cell>
        </row>
        <row r="29">
          <cell r="A29">
            <v>2</v>
          </cell>
          <cell r="R29" t="str">
            <v>NPI (as per the P&amp;L)</v>
          </cell>
          <cell r="AV29" t="str">
            <v>Currency / FX Assumptions</v>
          </cell>
          <cell r="AZ29" t="str">
            <v>FY05</v>
          </cell>
          <cell r="BA29" t="str">
            <v>FY06</v>
          </cell>
          <cell r="BB29" t="str">
            <v>FY07</v>
          </cell>
          <cell r="BC29" t="str">
            <v>FY08</v>
          </cell>
          <cell r="BD29" t="str">
            <v>FY09</v>
          </cell>
          <cell r="BE29" t="str">
            <v>FY10</v>
          </cell>
          <cell r="BF29" t="str">
            <v>FY11</v>
          </cell>
          <cell r="BG29" t="str">
            <v>FY12</v>
          </cell>
          <cell r="BH29" t="str">
            <v>FY13</v>
          </cell>
          <cell r="BI29" t="str">
            <v>FY14</v>
          </cell>
        </row>
        <row r="30">
          <cell r="A30">
            <v>3</v>
          </cell>
          <cell r="B30" t="str">
            <v>DPU / EPU</v>
          </cell>
          <cell r="M30" t="str">
            <v>Updated on</v>
          </cell>
          <cell r="N30">
            <v>38896.344532754629</v>
          </cell>
          <cell r="R30" t="str">
            <v xml:space="preserve"> - AUD</v>
          </cell>
          <cell r="S30">
            <v>153.84200000000001</v>
          </cell>
          <cell r="T30">
            <v>171.19400000000002</v>
          </cell>
          <cell r="U30">
            <v>203.8503966152411</v>
          </cell>
          <cell r="V30">
            <v>224.44429960720453</v>
          </cell>
          <cell r="W30">
            <v>228.47935831635903</v>
          </cell>
          <cell r="X30">
            <v>241.58989098220849</v>
          </cell>
          <cell r="Y30">
            <v>252.93739828065551</v>
          </cell>
          <cell r="Z30">
            <v>0</v>
          </cell>
          <cell r="AG30" t="str">
            <v>Balance Sheet</v>
          </cell>
          <cell r="AV30" t="str">
            <v xml:space="preserve"> - NZD - Floating</v>
          </cell>
          <cell r="AY30" t="str">
            <v>Forecasts Only</v>
          </cell>
          <cell r="AZ30" t="str">
            <v>Forecasts Only</v>
          </cell>
        </row>
        <row r="31">
          <cell r="A31">
            <v>4</v>
          </cell>
          <cell r="R31" t="str">
            <v xml:space="preserve"> - NZD</v>
          </cell>
          <cell r="AV31" t="str">
            <v xml:space="preserve"> - NZD - Hedge Rate</v>
          </cell>
        </row>
        <row r="32">
          <cell r="A32">
            <v>5</v>
          </cell>
          <cell r="B32" t="str">
            <v>DPU Forecasts</v>
          </cell>
          <cell r="D32">
            <v>32.200000000000003</v>
          </cell>
          <cell r="E32">
            <v>33.799999999999997</v>
          </cell>
          <cell r="F32">
            <v>31.049779028796408</v>
          </cell>
          <cell r="G32">
            <v>31.915794458331014</v>
          </cell>
          <cell r="H32">
            <v>32.209176283171445</v>
          </cell>
          <cell r="I32">
            <v>33.043841272686592</v>
          </cell>
          <cell r="J32">
            <v>34.312686388576012</v>
          </cell>
          <cell r="R32" t="str">
            <v xml:space="preserve"> - USD</v>
          </cell>
          <cell r="AG32" t="str">
            <v>Property - on Balance Sheet</v>
          </cell>
          <cell r="AH32">
            <v>2445.9720000000002</v>
          </cell>
          <cell r="AI32">
            <v>2967.13</v>
          </cell>
          <cell r="AJ32">
            <v>3198.3412033015225</v>
          </cell>
          <cell r="AK32">
            <v>3428.6981798311122</v>
          </cell>
          <cell r="AL32">
            <v>3851.7597703800175</v>
          </cell>
          <cell r="AM32">
            <v>4072.0093861442519</v>
          </cell>
          <cell r="AN32">
            <v>4255.0507077090206</v>
          </cell>
          <cell r="AO32">
            <v>0</v>
          </cell>
          <cell r="AV32" t="str">
            <v xml:space="preserve"> - NZD - Blended Rate</v>
          </cell>
        </row>
        <row r="33">
          <cell r="A33">
            <v>6</v>
          </cell>
          <cell r="B33" t="str">
            <v xml:space="preserve"> - From LPT</v>
          </cell>
          <cell r="D33">
            <v>19.32</v>
          </cell>
          <cell r="E33">
            <v>20.28</v>
          </cell>
          <cell r="F33">
            <v>18.920573807045379</v>
          </cell>
          <cell r="G33">
            <v>19.891843228942051</v>
          </cell>
          <cell r="H33">
            <v>19.291231928378775</v>
          </cell>
          <cell r="I33">
            <v>20.13561470035161</v>
          </cell>
          <cell r="J33">
            <v>20.920201159761739</v>
          </cell>
          <cell r="K33">
            <v>21.527103238335048</v>
          </cell>
          <cell r="L33">
            <v>21.831463521532388</v>
          </cell>
          <cell r="M33">
            <v>22.285247754953978</v>
          </cell>
          <cell r="N33">
            <v>0</v>
          </cell>
          <cell r="R33" t="str">
            <v xml:space="preserve"> - UK</v>
          </cell>
          <cell r="AG33" t="str">
            <v>Calculation (Below)</v>
          </cell>
          <cell r="AI33" t="str">
            <v>CORRECT</v>
          </cell>
          <cell r="AJ33" t="str">
            <v>CORRECT</v>
          </cell>
          <cell r="AK33" t="str">
            <v>CORRECT</v>
          </cell>
          <cell r="AL33" t="str">
            <v>CORRECT</v>
          </cell>
          <cell r="AM33" t="str">
            <v>CORRECT</v>
          </cell>
          <cell r="AN33" t="str">
            <v>CORRECT</v>
          </cell>
          <cell r="AO33" t="str">
            <v>CORRECT</v>
          </cell>
          <cell r="AV33" t="str">
            <v xml:space="preserve"> - NZD - % Hedged</v>
          </cell>
        </row>
        <row r="34">
          <cell r="A34">
            <v>7</v>
          </cell>
          <cell r="B34" t="str">
            <v xml:space="preserve"> - From Corp</v>
          </cell>
          <cell r="D34">
            <v>12.88</v>
          </cell>
          <cell r="E34">
            <v>13.52</v>
          </cell>
          <cell r="F34">
            <v>12.129205221751043</v>
          </cell>
          <cell r="G34">
            <v>12.023951229388965</v>
          </cell>
          <cell r="H34">
            <v>12.917944354792674</v>
          </cell>
          <cell r="I34">
            <v>12.90822657233498</v>
          </cell>
          <cell r="J34">
            <v>13.39248522881427</v>
          </cell>
          <cell r="K34">
            <v>14.008103660641957</v>
          </cell>
          <cell r="L34">
            <v>14.745647218574565</v>
          </cell>
          <cell r="M34">
            <v>15.504322315160213</v>
          </cell>
          <cell r="N34">
            <v>0</v>
          </cell>
          <cell r="R34" t="str">
            <v xml:space="preserve"> - Europe</v>
          </cell>
          <cell r="AG34" t="str">
            <v xml:space="preserve"> - AUD</v>
          </cell>
          <cell r="AH34">
            <v>0</v>
          </cell>
          <cell r="AI34">
            <v>2967.13</v>
          </cell>
          <cell r="AJ34">
            <v>3198.3412033015225</v>
          </cell>
          <cell r="AK34">
            <v>3428.6981798311122</v>
          </cell>
          <cell r="AL34">
            <v>3851.7597703800175</v>
          </cell>
          <cell r="AM34">
            <v>4072.0093861442519</v>
          </cell>
          <cell r="AN34">
            <v>4255.0507077090206</v>
          </cell>
          <cell r="AO34">
            <v>0</v>
          </cell>
          <cell r="AV34" t="str">
            <v xml:space="preserve"> - USD - Floating</v>
          </cell>
          <cell r="AY34" t="str">
            <v>Forecasts Only</v>
          </cell>
          <cell r="AZ34" t="str">
            <v>Forecasts Only</v>
          </cell>
        </row>
        <row r="35">
          <cell r="A35">
            <v>8</v>
          </cell>
          <cell r="B35" t="str">
            <v xml:space="preserve"> - % from Corporation</v>
          </cell>
          <cell r="D35">
            <v>0.39999999999999997</v>
          </cell>
          <cell r="E35">
            <v>0.4</v>
          </cell>
          <cell r="F35">
            <v>0.39063740873975589</v>
          </cell>
          <cell r="G35">
            <v>0.3767398378595066</v>
          </cell>
          <cell r="H35">
            <v>0.4010641017709603</v>
          </cell>
          <cell r="I35">
            <v>0.3906394073804208</v>
          </cell>
          <cell r="J35">
            <v>0.39030710324310641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R35" t="str">
            <v xml:space="preserve"> - HK / China</v>
          </cell>
          <cell r="AG35" t="str">
            <v xml:space="preserve"> - NZD</v>
          </cell>
          <cell r="AH35">
            <v>0</v>
          </cell>
          <cell r="AV35" t="str">
            <v xml:space="preserve"> - USD - Hedge Rate</v>
          </cell>
        </row>
        <row r="36">
          <cell r="A36">
            <v>9</v>
          </cell>
          <cell r="B36" t="str">
            <v xml:space="preserve"> - Payout Ratio (total)</v>
          </cell>
          <cell r="D36">
            <v>0.8780086215403361</v>
          </cell>
          <cell r="E36">
            <v>1.1320318322804617</v>
          </cell>
          <cell r="F36">
            <v>0.99999999999999978</v>
          </cell>
          <cell r="G36">
            <v>0.9805571091415799</v>
          </cell>
          <cell r="H36">
            <v>0.97932772657895772</v>
          </cell>
          <cell r="I36">
            <v>0.97985422764183305</v>
          </cell>
          <cell r="J36">
            <v>0.9798710200325903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R36" t="str">
            <v xml:space="preserve"> - Singapore</v>
          </cell>
          <cell r="AG36" t="str">
            <v xml:space="preserve"> - USD</v>
          </cell>
          <cell r="AH36">
            <v>0</v>
          </cell>
          <cell r="AV36" t="str">
            <v xml:space="preserve"> - USD - Blended Rate</v>
          </cell>
        </row>
        <row r="37">
          <cell r="A37">
            <v>10</v>
          </cell>
          <cell r="B37" t="str">
            <v xml:space="preserve"> - Corporation Payout Ratio</v>
          </cell>
          <cell r="D37">
            <v>0.77758763073256609</v>
          </cell>
          <cell r="E37">
            <v>1.3740674578681817</v>
          </cell>
          <cell r="F37">
            <v>1.0309647988769775</v>
          </cell>
          <cell r="G37">
            <v>0.95000000000000062</v>
          </cell>
          <cell r="H37">
            <v>0.94999999999999818</v>
          </cell>
          <cell r="I37">
            <v>0.95000000000000406</v>
          </cell>
          <cell r="J37">
            <v>0.95000000000000029</v>
          </cell>
          <cell r="K37">
            <v>0.95000000000000007</v>
          </cell>
          <cell r="L37">
            <v>0.95</v>
          </cell>
          <cell r="M37">
            <v>0.95000000000000007</v>
          </cell>
          <cell r="N37" t="str">
            <v>na</v>
          </cell>
          <cell r="R37" t="str">
            <v xml:space="preserve"> - Japan</v>
          </cell>
          <cell r="AG37" t="str">
            <v xml:space="preserve"> - UKP</v>
          </cell>
          <cell r="AH37">
            <v>0</v>
          </cell>
          <cell r="AV37" t="str">
            <v xml:space="preserve"> - USD - % Hedged</v>
          </cell>
        </row>
        <row r="38">
          <cell r="A38">
            <v>11</v>
          </cell>
          <cell r="R38" t="str">
            <v xml:space="preserve"> - Canada</v>
          </cell>
          <cell r="AG38" t="str">
            <v xml:space="preserve"> - Europe</v>
          </cell>
          <cell r="AH38">
            <v>0</v>
          </cell>
          <cell r="AV38" t="str">
            <v xml:space="preserve"> - UKP - Floating</v>
          </cell>
          <cell r="AY38" t="str">
            <v>Forecasts Only</v>
          </cell>
          <cell r="AZ38" t="str">
            <v>Forecasts Only</v>
          </cell>
        </row>
        <row r="39">
          <cell r="A39">
            <v>12</v>
          </cell>
          <cell r="B39" t="str">
            <v>EPU - BEFORE SC Eliminations</v>
          </cell>
          <cell r="D39">
            <v>36.673899560928994</v>
          </cell>
          <cell r="E39">
            <v>29.857817630366796</v>
          </cell>
          <cell r="F39">
            <v>31.049779028796415</v>
          </cell>
          <cell r="G39">
            <v>32.5486339967199</v>
          </cell>
          <cell r="H39">
            <v>32.889068091318457</v>
          </cell>
          <cell r="I39">
            <v>33.723221618598899</v>
          </cell>
          <cell r="J39">
            <v>35.017554032197808</v>
          </cell>
          <cell r="R39" t="str">
            <v xml:space="preserve"> - Other</v>
          </cell>
          <cell r="AG39" t="str">
            <v xml:space="preserve"> - HK-China</v>
          </cell>
          <cell r="AH39">
            <v>0</v>
          </cell>
          <cell r="AV39" t="str">
            <v xml:space="preserve"> - UKP - Hedge Rate</v>
          </cell>
        </row>
        <row r="40">
          <cell r="A40">
            <v>13</v>
          </cell>
          <cell r="B40" t="str">
            <v xml:space="preserve"> - From LPT</v>
          </cell>
          <cell r="D40">
            <v>20.10985006869911</v>
          </cell>
          <cell r="E40">
            <v>20.018417153642158</v>
          </cell>
          <cell r="F40">
            <v>19.284871793395848</v>
          </cell>
          <cell r="G40">
            <v>19.891843228942051</v>
          </cell>
          <cell r="H40">
            <v>19.291231928378775</v>
          </cell>
          <cell r="I40">
            <v>20.13561470035161</v>
          </cell>
          <cell r="J40">
            <v>20.920201159761739</v>
          </cell>
          <cell r="K40">
            <v>21.527103238335048</v>
          </cell>
          <cell r="L40">
            <v>21.831463521532388</v>
          </cell>
          <cell r="M40">
            <v>22.285247754953978</v>
          </cell>
          <cell r="N40">
            <v>0</v>
          </cell>
          <cell r="AG40" t="str">
            <v xml:space="preserve"> - Singapore</v>
          </cell>
          <cell r="AH40">
            <v>0</v>
          </cell>
          <cell r="AV40" t="str">
            <v xml:space="preserve"> - UKP - Blended Rate</v>
          </cell>
        </row>
        <row r="41">
          <cell r="A41">
            <v>14</v>
          </cell>
          <cell r="B41" t="str">
            <v xml:space="preserve"> - From Corp</v>
          </cell>
          <cell r="D41">
            <v>16.564049492229884</v>
          </cell>
          <cell r="E41">
            <v>9.8394004767246379</v>
          </cell>
          <cell r="F41">
            <v>11.764907235400567</v>
          </cell>
          <cell r="G41">
            <v>12.656790767777849</v>
          </cell>
          <cell r="H41">
            <v>13.597836162939682</v>
          </cell>
          <cell r="I41">
            <v>13.587606918247289</v>
          </cell>
          <cell r="J41">
            <v>14.097352872436069</v>
          </cell>
          <cell r="K41">
            <v>14.745372274359955</v>
          </cell>
          <cell r="L41">
            <v>15.521733914289015</v>
          </cell>
          <cell r="M41">
            <v>16.320339279116013</v>
          </cell>
          <cell r="N41">
            <v>0</v>
          </cell>
          <cell r="R41" t="str">
            <v>Profit on Asset Sales in LPT</v>
          </cell>
          <cell r="AG41" t="str">
            <v xml:space="preserve"> - Japan</v>
          </cell>
          <cell r="AH41">
            <v>0</v>
          </cell>
          <cell r="AV41" t="str">
            <v xml:space="preserve"> - UKP - % Hedged</v>
          </cell>
        </row>
        <row r="42">
          <cell r="A42">
            <v>15</v>
          </cell>
          <cell r="B42" t="str">
            <v xml:space="preserve"> - % from Corporation</v>
          </cell>
          <cell r="D42">
            <v>0.45165770999374732</v>
          </cell>
          <cell r="E42">
            <v>0.32954185059786512</v>
          </cell>
          <cell r="F42">
            <v>0.3789047008833612</v>
          </cell>
          <cell r="G42">
            <v>0.38885781716840534</v>
          </cell>
          <cell r="H42">
            <v>0.41344546842082847</v>
          </cell>
          <cell r="I42">
            <v>0.40291544716337258</v>
          </cell>
          <cell r="J42">
            <v>0.40257959934819804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R42" t="str">
            <v>Other Income (Not Interest)</v>
          </cell>
          <cell r="S42">
            <v>1186.002</v>
          </cell>
          <cell r="T42">
            <v>1234.7549999999999</v>
          </cell>
          <cell r="U42">
            <v>1624.7655639291395</v>
          </cell>
          <cell r="V42">
            <v>1773.958987377842</v>
          </cell>
          <cell r="W42">
            <v>1876.2659759686785</v>
          </cell>
          <cell r="X42">
            <v>1955.5677578402945</v>
          </cell>
          <cell r="Y42">
            <v>2031.3436375130977</v>
          </cell>
          <cell r="Z42">
            <v>0</v>
          </cell>
          <cell r="AG42" t="str">
            <v xml:space="preserve"> - Canada</v>
          </cell>
          <cell r="AH42">
            <v>0</v>
          </cell>
          <cell r="AV42" t="str">
            <v xml:space="preserve"> - Euro - Floating</v>
          </cell>
          <cell r="AY42" t="str">
            <v>Forecasts Only</v>
          </cell>
          <cell r="AZ42" t="str">
            <v>Forecasts Only</v>
          </cell>
        </row>
        <row r="43">
          <cell r="A43">
            <v>16</v>
          </cell>
          <cell r="R43" t="str">
            <v>Impact of FX Hedges</v>
          </cell>
          <cell r="AG43" t="str">
            <v xml:space="preserve"> - Other</v>
          </cell>
          <cell r="AH43">
            <v>0</v>
          </cell>
          <cell r="AV43" t="str">
            <v xml:space="preserve"> - Euro - Hedge Rate</v>
          </cell>
        </row>
        <row r="44">
          <cell r="A44">
            <v>17</v>
          </cell>
          <cell r="B44" t="str">
            <v>Corporation  Breakdown</v>
          </cell>
          <cell r="D44">
            <v>16.564049492229884</v>
          </cell>
          <cell r="E44">
            <v>9.8394004767246379</v>
          </cell>
          <cell r="F44">
            <v>11.764907235400567</v>
          </cell>
          <cell r="G44">
            <v>12.656790767777849</v>
          </cell>
          <cell r="H44">
            <v>13.597836162939682</v>
          </cell>
          <cell r="I44">
            <v>13.587606918247289</v>
          </cell>
          <cell r="J44">
            <v>14.097352872436069</v>
          </cell>
          <cell r="K44">
            <v>14.745372274359955</v>
          </cell>
          <cell r="L44">
            <v>15.521733914289015</v>
          </cell>
          <cell r="M44">
            <v>16.320339279116013</v>
          </cell>
          <cell r="N44" t="str">
            <v>na</v>
          </cell>
          <cell r="AG44" t="str">
            <v>Cash</v>
          </cell>
          <cell r="AH44">
            <v>332.12</v>
          </cell>
          <cell r="AI44">
            <v>56.027999999999999</v>
          </cell>
          <cell r="AJ44">
            <v>28.648</v>
          </cell>
          <cell r="AK44">
            <v>28.648</v>
          </cell>
          <cell r="AL44">
            <v>28.648</v>
          </cell>
          <cell r="AM44">
            <v>28.648</v>
          </cell>
          <cell r="AN44">
            <v>28.648</v>
          </cell>
          <cell r="AO44">
            <v>0</v>
          </cell>
          <cell r="AV44" t="str">
            <v xml:space="preserve"> - Euro - Blended Rate</v>
          </cell>
        </row>
        <row r="45">
          <cell r="A45">
            <v>18</v>
          </cell>
          <cell r="B45" t="str">
            <v xml:space="preserve"> - Residential Subdivision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R45" t="str">
            <v>Net Revenue From LPT</v>
          </cell>
          <cell r="S45">
            <v>1339.8440000000001</v>
          </cell>
          <cell r="T45">
            <v>1405.9489999999998</v>
          </cell>
          <cell r="U45">
            <v>1828.6159605443806</v>
          </cell>
          <cell r="V45">
            <v>1998.4032869850466</v>
          </cell>
          <cell r="W45">
            <v>2104.7453342850376</v>
          </cell>
          <cell r="X45">
            <v>2197.1576488225028</v>
          </cell>
          <cell r="Y45">
            <v>2284.2810357937533</v>
          </cell>
          <cell r="Z45" t="e">
            <v>#REF!</v>
          </cell>
          <cell r="AA45" t="e">
            <v>#REF!</v>
          </cell>
          <cell r="AB45" t="e">
            <v>#REF!</v>
          </cell>
          <cell r="AC45" t="e">
            <v>#REF!</v>
          </cell>
          <cell r="AG45" t="str">
            <v>Other Assets</v>
          </cell>
          <cell r="AH45">
            <v>1487.0699999999997</v>
          </cell>
          <cell r="AI45">
            <v>2283.8919999999989</v>
          </cell>
          <cell r="AJ45">
            <v>3826.7378683856555</v>
          </cell>
          <cell r="AK45">
            <v>3899.2006948188996</v>
          </cell>
          <cell r="AL45">
            <v>4021.4621975666169</v>
          </cell>
          <cell r="AM45">
            <v>4116.8795395383377</v>
          </cell>
          <cell r="AN45">
            <v>4263.8862357898597</v>
          </cell>
          <cell r="AO45">
            <v>0</v>
          </cell>
          <cell r="AV45" t="str">
            <v xml:space="preserve"> - Euro - % Hedged</v>
          </cell>
        </row>
        <row r="46">
          <cell r="A46">
            <v>19</v>
          </cell>
          <cell r="B46" t="str">
            <v xml:space="preserve"> - Residential Medium Density </v>
          </cell>
          <cell r="D46">
            <v>15.73584701761839</v>
          </cell>
          <cell r="E46">
            <v>8.2139276706968136</v>
          </cell>
          <cell r="F46">
            <v>8.5060920225311865</v>
          </cell>
          <cell r="G46">
            <v>9.1195897599908786</v>
          </cell>
          <cell r="H46">
            <v>9.7365656008772241</v>
          </cell>
          <cell r="I46">
            <v>9.6284350062812329</v>
          </cell>
          <cell r="J46">
            <v>9.9896506213009957</v>
          </cell>
          <cell r="K46">
            <v>10.448849414125524</v>
          </cell>
          <cell r="L46">
            <v>10.998993941885466</v>
          </cell>
          <cell r="M46">
            <v>11.564900793413381</v>
          </cell>
          <cell r="N46">
            <v>0</v>
          </cell>
          <cell r="R46" t="str">
            <v>FROM REDS TAB</v>
          </cell>
          <cell r="S46" t="str">
            <v>ééééé</v>
          </cell>
          <cell r="T46" t="str">
            <v>CORRECT</v>
          </cell>
          <cell r="U46" t="str">
            <v>CORRECT</v>
          </cell>
          <cell r="V46" t="str">
            <v>CORRECT</v>
          </cell>
          <cell r="W46" t="str">
            <v>CORRECT</v>
          </cell>
          <cell r="X46" t="str">
            <v>CORRECT</v>
          </cell>
          <cell r="Y46" t="str">
            <v>CORRECT</v>
          </cell>
          <cell r="Z46" t="e">
            <v>#REF!</v>
          </cell>
          <cell r="AA46" t="e">
            <v>#REF!</v>
          </cell>
          <cell r="AB46" t="str">
            <v>ééééé</v>
          </cell>
          <cell r="AG46" t="str">
            <v>Corporation Assets - Inventory</v>
          </cell>
          <cell r="AH46">
            <v>1191.1669999999999</v>
          </cell>
          <cell r="AI46">
            <v>1505.6980000000001</v>
          </cell>
          <cell r="AJ46">
            <v>2280.1660000000002</v>
          </cell>
          <cell r="AK46">
            <v>2285.1660000000002</v>
          </cell>
          <cell r="AL46">
            <v>2365.1660000000002</v>
          </cell>
          <cell r="AM46">
            <v>2465.1660000000002</v>
          </cell>
          <cell r="AN46">
            <v>2565.1660000000002</v>
          </cell>
          <cell r="AO46">
            <v>0</v>
          </cell>
          <cell r="AV46" t="str">
            <v xml:space="preserve"> - HK - Floating</v>
          </cell>
          <cell r="AY46" t="str">
            <v>Forecasts Only</v>
          </cell>
          <cell r="AZ46" t="str">
            <v>Forecasts Only</v>
          </cell>
        </row>
        <row r="47">
          <cell r="A47">
            <v>20</v>
          </cell>
          <cell r="B47" t="str">
            <v xml:space="preserve"> - Non Res Development Profits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AG47" t="str">
            <v>Corporation Assets - Other (REDS)</v>
          </cell>
          <cell r="AH47">
            <v>17.132000000000001</v>
          </cell>
          <cell r="AI47">
            <v>16.664999999999999</v>
          </cell>
          <cell r="AJ47">
            <v>17.505679017069177</v>
          </cell>
          <cell r="AK47">
            <v>18.388766747594126</v>
          </cell>
          <cell r="AL47">
            <v>19.316402532441519</v>
          </cell>
          <cell r="AM47">
            <v>20.290833633208727</v>
          </cell>
          <cell r="AN47">
            <v>21.314420676369853</v>
          </cell>
          <cell r="AO47">
            <v>0</v>
          </cell>
          <cell r="AV47" t="str">
            <v xml:space="preserve"> - HK - Hedge Rate</v>
          </cell>
        </row>
        <row r="48">
          <cell r="A48">
            <v>21</v>
          </cell>
          <cell r="B48" t="str">
            <v xml:space="preserve"> - Funds Management</v>
          </cell>
          <cell r="D48">
            <v>0</v>
          </cell>
          <cell r="E48">
            <v>0.4905272964936036</v>
          </cell>
          <cell r="F48">
            <v>2.0637966877648806</v>
          </cell>
          <cell r="G48">
            <v>2.2945837112709593</v>
          </cell>
          <cell r="H48">
            <v>2.5218587207816463</v>
          </cell>
          <cell r="I48">
            <v>2.6442956681363108</v>
          </cell>
          <cell r="J48">
            <v>2.7434977591756997</v>
          </cell>
          <cell r="K48">
            <v>2.8696093627631143</v>
          </cell>
          <cell r="L48">
            <v>3.0206977577780352</v>
          </cell>
          <cell r="M48">
            <v>3.1761150228982458</v>
          </cell>
          <cell r="N48">
            <v>0</v>
          </cell>
          <cell r="R48" t="str">
            <v>EBIT From Corporation</v>
          </cell>
          <cell r="AG48" t="str">
            <v>Intangibles</v>
          </cell>
          <cell r="AH48">
            <v>24.126000000000001</v>
          </cell>
          <cell r="AI48">
            <v>200.17099999999999</v>
          </cell>
          <cell r="AJ48">
            <v>195.61500000000001</v>
          </cell>
          <cell r="AK48">
            <v>195.61500000000001</v>
          </cell>
          <cell r="AL48">
            <v>195.61500000000001</v>
          </cell>
          <cell r="AM48">
            <v>195.61500000000001</v>
          </cell>
          <cell r="AN48">
            <v>195.61500000000001</v>
          </cell>
          <cell r="AO48">
            <v>0</v>
          </cell>
          <cell r="AV48" t="str">
            <v xml:space="preserve"> - HK - Blended Rate</v>
          </cell>
        </row>
        <row r="49">
          <cell r="A49">
            <v>22</v>
          </cell>
          <cell r="B49" t="str">
            <v xml:space="preserve"> - Property Management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R49" t="str">
            <v>Residential Subdivision</v>
          </cell>
          <cell r="AG49" t="str">
            <v>Total Assets</v>
          </cell>
          <cell r="AH49">
            <v>4306.42</v>
          </cell>
          <cell r="AI49">
            <v>5523.8859999999995</v>
          </cell>
          <cell r="AJ49">
            <v>7266.8477507042471</v>
          </cell>
          <cell r="AK49">
            <v>7570.5506413976054</v>
          </cell>
          <cell r="AL49">
            <v>8116.8013704790756</v>
          </cell>
          <cell r="AM49">
            <v>8433.442759315798</v>
          </cell>
          <cell r="AN49">
            <v>8764.5143641752493</v>
          </cell>
          <cell r="AO49">
            <v>0</v>
          </cell>
          <cell r="AV49" t="str">
            <v xml:space="preserve"> - HK - % Hedged</v>
          </cell>
        </row>
        <row r="50">
          <cell r="A50">
            <v>23</v>
          </cell>
          <cell r="B50" t="str">
            <v xml:space="preserve"> - Construction / Contract Housing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R50" t="str">
            <v xml:space="preserve"> - Margin</v>
          </cell>
          <cell r="AV50" t="str">
            <v xml:space="preserve"> - Singapore - Floating</v>
          </cell>
          <cell r="AY50" t="str">
            <v>Forecasts Only</v>
          </cell>
          <cell r="AZ50" t="str">
            <v>Forecasts Only</v>
          </cell>
        </row>
        <row r="51">
          <cell r="A51">
            <v>24</v>
          </cell>
          <cell r="B51" t="str">
            <v xml:space="preserve"> - Asset Sales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R51" t="str">
            <v xml:space="preserve"> - EBIT</v>
          </cell>
          <cell r="AG51" t="str">
            <v>Debt</v>
          </cell>
          <cell r="AH51">
            <v>1654.1990000000001</v>
          </cell>
          <cell r="AI51">
            <v>2084.8200000000002</v>
          </cell>
          <cell r="AJ51">
            <v>3204.7740145479374</v>
          </cell>
          <cell r="AK51">
            <v>3313.367370308416</v>
          </cell>
          <cell r="AL51">
            <v>3604.5765589084958</v>
          </cell>
          <cell r="AM51">
            <v>3763.3886742548684</v>
          </cell>
          <cell r="AN51">
            <v>3952.3327336473576</v>
          </cell>
          <cell r="AO51">
            <v>0</v>
          </cell>
          <cell r="AV51" t="str">
            <v xml:space="preserve"> - Singapore - Hedge Rate</v>
          </cell>
        </row>
        <row r="52">
          <cell r="A52">
            <v>25</v>
          </cell>
          <cell r="B52" t="str">
            <v xml:space="preserve"> - Other [1]</v>
          </cell>
          <cell r="D52">
            <v>0.82820247461149421</v>
          </cell>
          <cell r="E52">
            <v>1.1349455095342207</v>
          </cell>
          <cell r="F52">
            <v>1.1950185251045005</v>
          </cell>
          <cell r="G52">
            <v>1.2426172965160114</v>
          </cell>
          <cell r="H52">
            <v>1.3394118412808118</v>
          </cell>
          <cell r="I52">
            <v>1.3148762438297452</v>
          </cell>
          <cell r="J52">
            <v>1.3642044919593737</v>
          </cell>
          <cell r="K52">
            <v>1.4269134974713165</v>
          </cell>
          <cell r="L52">
            <v>1.5020422146255141</v>
          </cell>
          <cell r="M52">
            <v>1.579323462804386</v>
          </cell>
          <cell r="N52">
            <v>0</v>
          </cell>
          <cell r="R52" t="str">
            <v xml:space="preserve"> - growth</v>
          </cell>
          <cell r="T52" t="str">
            <v xml:space="preserve">na </v>
          </cell>
          <cell r="U52" t="str">
            <v xml:space="preserve">na </v>
          </cell>
          <cell r="V52" t="str">
            <v xml:space="preserve">na </v>
          </cell>
          <cell r="W52" t="str">
            <v xml:space="preserve">na </v>
          </cell>
          <cell r="X52" t="str">
            <v xml:space="preserve">na </v>
          </cell>
          <cell r="Y52" t="str">
            <v xml:space="preserve">na </v>
          </cell>
          <cell r="Z52" t="str">
            <v xml:space="preserve">na </v>
          </cell>
          <cell r="AG52" t="str">
            <v>Calculation (Below)</v>
          </cell>
          <cell r="AI52" t="str">
            <v>CORRECT</v>
          </cell>
          <cell r="AJ52" t="str">
            <v>CORRECT</v>
          </cell>
          <cell r="AK52" t="str">
            <v>CORRECT</v>
          </cell>
          <cell r="AL52" t="str">
            <v>CORRECT</v>
          </cell>
          <cell r="AM52" t="str">
            <v>CORRECT</v>
          </cell>
          <cell r="AN52" t="str">
            <v>CORRECT</v>
          </cell>
          <cell r="AO52" t="str">
            <v>CORRECT</v>
          </cell>
          <cell r="AV52" t="str">
            <v xml:space="preserve"> - Singapore - Blended Rate</v>
          </cell>
        </row>
        <row r="53">
          <cell r="A53">
            <v>26</v>
          </cell>
          <cell r="B53" t="str">
            <v xml:space="preserve"> - Other [2]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R53" t="str">
            <v xml:space="preserve">Residential Medium Density </v>
          </cell>
          <cell r="S53">
            <v>1286.1766233766232</v>
          </cell>
          <cell r="T53">
            <v>1043.2180000000001</v>
          </cell>
          <cell r="U53">
            <v>1369.3696849761996</v>
          </cell>
          <cell r="V53">
            <v>1502.883229261379</v>
          </cell>
          <cell r="W53">
            <v>1589.2990149439083</v>
          </cell>
          <cell r="X53">
            <v>1660.8174706163841</v>
          </cell>
          <cell r="Y53">
            <v>1727.2501694410396</v>
          </cell>
          <cell r="Z53">
            <v>1813.6126779130918</v>
          </cell>
          <cell r="AG53" t="str">
            <v xml:space="preserve"> - AUD</v>
          </cell>
          <cell r="AH53">
            <v>1654.1990000000001</v>
          </cell>
          <cell r="AI53">
            <v>2084.8200000000002</v>
          </cell>
          <cell r="AJ53">
            <v>3204.7740145479374</v>
          </cell>
          <cell r="AK53">
            <v>3313.367370308416</v>
          </cell>
          <cell r="AL53">
            <v>3604.5765589084958</v>
          </cell>
          <cell r="AM53">
            <v>3763.3886742548684</v>
          </cell>
          <cell r="AN53">
            <v>3952.3327336473576</v>
          </cell>
          <cell r="AO53">
            <v>0</v>
          </cell>
          <cell r="AV53" t="str">
            <v xml:space="preserve"> - Singapore - % Hedged</v>
          </cell>
        </row>
        <row r="54">
          <cell r="A54">
            <v>27</v>
          </cell>
          <cell r="B54" t="str">
            <v xml:space="preserve"> - Investment Income within the Corporation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R54" t="str">
            <v xml:space="preserve"> - Margin</v>
          </cell>
          <cell r="S54">
            <v>0.17136060164223776</v>
          </cell>
          <cell r="T54">
            <v>0.17059617452919715</v>
          </cell>
          <cell r="U54">
            <v>0.15</v>
          </cell>
          <cell r="V54">
            <v>0.14499999999999999</v>
          </cell>
          <cell r="W54">
            <v>0.14499999999999999</v>
          </cell>
          <cell r="X54">
            <v>0.14349999999999999</v>
          </cell>
          <cell r="Y54">
            <v>0.14349999999999999</v>
          </cell>
          <cell r="Z54">
            <v>0.14349999999999999</v>
          </cell>
          <cell r="AG54" t="str">
            <v xml:space="preserve"> - NZD</v>
          </cell>
          <cell r="AV54" t="str">
            <v xml:space="preserve"> - Japan - Floating</v>
          </cell>
          <cell r="AY54" t="str">
            <v>Forecasts Only</v>
          </cell>
          <cell r="AZ54" t="str">
            <v>Forecasts Only</v>
          </cell>
        </row>
        <row r="55">
          <cell r="A55">
            <v>28</v>
          </cell>
          <cell r="B55" t="str">
            <v xml:space="preserve"> - COSTS (Overhead)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R55" t="str">
            <v xml:space="preserve"> - EBIT</v>
          </cell>
          <cell r="S55">
            <v>220.4</v>
          </cell>
          <cell r="T55">
            <v>177.96899999999999</v>
          </cell>
          <cell r="U55">
            <v>205.40545274642992</v>
          </cell>
          <cell r="V55">
            <v>217.91806824289995</v>
          </cell>
          <cell r="W55">
            <v>230.44835716686669</v>
          </cell>
          <cell r="X55">
            <v>238.32730703345109</v>
          </cell>
          <cell r="Y55">
            <v>247.86039931478916</v>
          </cell>
          <cell r="Z55">
            <v>260.25341928052865</v>
          </cell>
          <cell r="AG55" t="str">
            <v xml:space="preserve"> - USD</v>
          </cell>
          <cell r="AV55" t="str">
            <v xml:space="preserve"> - Japan - Hedge Rate</v>
          </cell>
        </row>
        <row r="56">
          <cell r="A56">
            <v>29</v>
          </cell>
          <cell r="D56" t="str">
            <v>ééééé</v>
          </cell>
          <cell r="E56" t="str">
            <v>CORRECT</v>
          </cell>
          <cell r="F56" t="str">
            <v>CORRECT</v>
          </cell>
          <cell r="G56" t="str">
            <v>CORRECT</v>
          </cell>
          <cell r="H56" t="str">
            <v>CORRECT</v>
          </cell>
          <cell r="I56" t="str">
            <v>CORRECT</v>
          </cell>
          <cell r="J56" t="str">
            <v>CORRECT</v>
          </cell>
          <cell r="K56" t="str">
            <v>CORRECT</v>
          </cell>
          <cell r="L56" t="str">
            <v>CORRECT</v>
          </cell>
          <cell r="M56" t="str">
            <v>CORRECT</v>
          </cell>
          <cell r="N56" t="str">
            <v>na</v>
          </cell>
          <cell r="R56" t="str">
            <v xml:space="preserve"> - growth</v>
          </cell>
          <cell r="S56">
            <v>0.21432506887052338</v>
          </cell>
          <cell r="T56">
            <v>-0.1925181488203267</v>
          </cell>
          <cell r="U56">
            <v>0.15416422380543748</v>
          </cell>
          <cell r="V56">
            <v>6.091666666666673E-2</v>
          </cell>
          <cell r="W56">
            <v>5.7499999999999885E-2</v>
          </cell>
          <cell r="X56">
            <v>3.418965517241368E-2</v>
          </cell>
          <cell r="Y56">
            <v>4.0000000000000036E-2</v>
          </cell>
          <cell r="Z56">
            <v>5.0000000000000044E-2</v>
          </cell>
          <cell r="AG56" t="str">
            <v xml:space="preserve"> - UKP</v>
          </cell>
          <cell r="AV56" t="str">
            <v xml:space="preserve"> - Japan - Blended Rate</v>
          </cell>
        </row>
        <row r="57">
          <cell r="A57">
            <v>30</v>
          </cell>
          <cell r="R57" t="str">
            <v>Non Res Development Profits</v>
          </cell>
          <cell r="AG57" t="str">
            <v xml:space="preserve"> - Europe</v>
          </cell>
          <cell r="AV57" t="str">
            <v xml:space="preserve"> - Japan - % Hedged</v>
          </cell>
        </row>
        <row r="58">
          <cell r="A58">
            <v>31</v>
          </cell>
          <cell r="B58" t="str">
            <v>Stapled Company Eliminations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R58" t="str">
            <v xml:space="preserve"> - Margin</v>
          </cell>
          <cell r="AG58" t="str">
            <v xml:space="preserve"> - HK-China</v>
          </cell>
          <cell r="AV58" t="str">
            <v xml:space="preserve"> - Canada - Floating</v>
          </cell>
          <cell r="AY58" t="str">
            <v>Forecasts Only</v>
          </cell>
          <cell r="AZ58" t="str">
            <v>Forecasts Only</v>
          </cell>
        </row>
        <row r="59">
          <cell r="A59">
            <v>32</v>
          </cell>
          <cell r="R59" t="str">
            <v xml:space="preserve"> - EBIT</v>
          </cell>
          <cell r="AG59" t="str">
            <v xml:space="preserve"> - Singapore</v>
          </cell>
          <cell r="AV59" t="str">
            <v xml:space="preserve"> - Canada - Hedge Rate</v>
          </cell>
        </row>
        <row r="60">
          <cell r="A60">
            <v>33</v>
          </cell>
          <cell r="B60" t="str">
            <v>EPU - POST SC Eliminations</v>
          </cell>
          <cell r="D60">
            <v>36.673899560928994</v>
          </cell>
          <cell r="E60">
            <v>29.857817630366796</v>
          </cell>
          <cell r="F60">
            <v>31.049779028796415</v>
          </cell>
          <cell r="G60">
            <v>32.5486339967199</v>
          </cell>
          <cell r="H60">
            <v>32.889068091318457</v>
          </cell>
          <cell r="I60">
            <v>33.723221618598899</v>
          </cell>
          <cell r="J60">
            <v>35.017554032197808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R60" t="str">
            <v xml:space="preserve"> - growth</v>
          </cell>
          <cell r="AG60" t="str">
            <v xml:space="preserve"> - Japan</v>
          </cell>
          <cell r="AV60" t="str">
            <v xml:space="preserve"> - Canada - Blended Rate</v>
          </cell>
        </row>
        <row r="61">
          <cell r="A61">
            <v>34</v>
          </cell>
          <cell r="R61" t="str">
            <v>Funds Management</v>
          </cell>
          <cell r="S61" t="str">
            <v>FUM</v>
          </cell>
          <cell r="T61">
            <v>2200</v>
          </cell>
          <cell r="U61">
            <v>3521.3967851987927</v>
          </cell>
          <cell r="V61">
            <v>3821.3967851987932</v>
          </cell>
          <cell r="W61">
            <v>4121.3967851987927</v>
          </cell>
          <cell r="X61">
            <v>4421.3967851987927</v>
          </cell>
          <cell r="Y61">
            <v>4721.3967851987936</v>
          </cell>
          <cell r="Z61">
            <v>5021.3967851987927</v>
          </cell>
          <cell r="AG61" t="str">
            <v xml:space="preserve"> - Canada</v>
          </cell>
          <cell r="AV61" t="str">
            <v xml:space="preserve"> - Canada - % Hedged</v>
          </cell>
        </row>
        <row r="62">
          <cell r="A62">
            <v>35</v>
          </cell>
          <cell r="B62" t="str">
            <v>DPU Breakdown / Country</v>
          </cell>
          <cell r="D62" t="str">
            <v xml:space="preserve"> - Including NET BENEFIT of the cross currency swaps</v>
          </cell>
          <cell r="S62" t="str">
            <v>FUM Growth</v>
          </cell>
          <cell r="U62">
            <v>0.6006349023630877</v>
          </cell>
          <cell r="V62">
            <v>8.5193466768915815E-2</v>
          </cell>
          <cell r="W62">
            <v>7.8505325896010891E-2</v>
          </cell>
          <cell r="X62">
            <v>7.2790856021772266E-2</v>
          </cell>
          <cell r="Y62">
            <v>6.7851860978478618E-2</v>
          </cell>
          <cell r="Z62">
            <v>6.3540518547493319E-2</v>
          </cell>
          <cell r="AG62" t="str">
            <v xml:space="preserve"> - Other</v>
          </cell>
          <cell r="AV62" t="str">
            <v xml:space="preserve"> - Other - Floating</v>
          </cell>
          <cell r="AY62" t="str">
            <v>Forecasts Only</v>
          </cell>
          <cell r="AZ62" t="str">
            <v>Forecasts Only</v>
          </cell>
        </row>
        <row r="63">
          <cell r="A63">
            <v>36</v>
          </cell>
          <cell r="R63" t="str">
            <v xml:space="preserve"> - Revenue</v>
          </cell>
          <cell r="T63">
            <v>14.06</v>
          </cell>
          <cell r="U63">
            <v>56</v>
          </cell>
          <cell r="V63">
            <v>59.815484942759589</v>
          </cell>
          <cell r="W63">
            <v>63.480969885519173</v>
          </cell>
          <cell r="X63">
            <v>66.996454828278743</v>
          </cell>
          <cell r="Y63">
            <v>70.361939771038323</v>
          </cell>
          <cell r="Z63">
            <v>73.577424713797896</v>
          </cell>
          <cell r="AG63" t="str">
            <v>Total Liabilities</v>
          </cell>
          <cell r="AH63">
            <v>2066.3429999999998</v>
          </cell>
          <cell r="AI63">
            <v>2542.5639999999999</v>
          </cell>
          <cell r="AJ63">
            <v>3940.6373232031838</v>
          </cell>
          <cell r="AK63">
            <v>4076.9211027303759</v>
          </cell>
          <cell r="AL63">
            <v>4388.2187711760562</v>
          </cell>
          <cell r="AM63">
            <v>4569.2023107466421</v>
          </cell>
          <cell r="AN63">
            <v>4781.893129232918</v>
          </cell>
          <cell r="AO63">
            <v>0</v>
          </cell>
          <cell r="AV63" t="str">
            <v xml:space="preserve"> - Other - Hedge Rate</v>
          </cell>
        </row>
        <row r="64">
          <cell r="A64">
            <v>37</v>
          </cell>
          <cell r="B64" t="str">
            <v xml:space="preserve"> - AUD</v>
          </cell>
          <cell r="C64" t="str">
            <v>Ex local Exp.</v>
          </cell>
          <cell r="E64">
            <v>33.799999999999997</v>
          </cell>
          <cell r="F64">
            <v>31.049779028796408</v>
          </cell>
          <cell r="G64">
            <v>31.915794458331014</v>
          </cell>
          <cell r="H64">
            <v>32.209176283171445</v>
          </cell>
          <cell r="I64">
            <v>33.043841272686592</v>
          </cell>
          <cell r="J64">
            <v>34.312686388576012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R64" t="str">
            <v xml:space="preserve"> - Margin</v>
          </cell>
          <cell r="T64">
            <v>0.71038406827880507</v>
          </cell>
          <cell r="U64">
            <v>0.5</v>
          </cell>
          <cell r="V64">
            <v>0.50851647440103109</v>
          </cell>
          <cell r="W64">
            <v>0.51551479280060009</v>
          </cell>
          <cell r="X64">
            <v>0.52130563059835744</v>
          </cell>
          <cell r="Y64">
            <v>0.52612284093923534</v>
          </cell>
          <cell r="Z64">
            <v>0.52965783653107579</v>
          </cell>
          <cell r="AV64" t="str">
            <v xml:space="preserve"> - Other - Blended Rate</v>
          </cell>
        </row>
        <row r="65">
          <cell r="A65">
            <v>38</v>
          </cell>
          <cell r="B65" t="str">
            <v xml:space="preserve"> - NZD</v>
          </cell>
          <cell r="C65" t="str">
            <v>Ex local Exp.</v>
          </cell>
          <cell r="D65" t="str">
            <v xml:space="preserve">Analyst to </v>
          </cell>
          <cell r="R65" t="str">
            <v xml:space="preserve"> - EBIT</v>
          </cell>
          <cell r="S65">
            <v>0</v>
          </cell>
          <cell r="T65">
            <v>9.9879999999999995</v>
          </cell>
          <cell r="U65">
            <v>28</v>
          </cell>
          <cell r="V65">
            <v>30.417159517680069</v>
          </cell>
          <cell r="W65">
            <v>32.725379037314553</v>
          </cell>
          <cell r="X65">
            <v>34.925629132110217</v>
          </cell>
          <cell r="Y65">
            <v>37.019023646334048</v>
          </cell>
          <cell r="Z65">
            <v>38.970859591438305</v>
          </cell>
          <cell r="AG65" t="str">
            <v>NET ASSETS</v>
          </cell>
          <cell r="AH65">
            <v>2240.0770000000002</v>
          </cell>
          <cell r="AI65">
            <v>2981.3219999999997</v>
          </cell>
          <cell r="AJ65">
            <v>3326.2104275010634</v>
          </cell>
          <cell r="AK65">
            <v>3493.6295386672296</v>
          </cell>
          <cell r="AL65">
            <v>3728.5825993030194</v>
          </cell>
          <cell r="AM65">
            <v>3864.2404485691559</v>
          </cell>
          <cell r="AN65">
            <v>3982.6212349423313</v>
          </cell>
          <cell r="AO65">
            <v>0</v>
          </cell>
          <cell r="AV65" t="str">
            <v xml:space="preserve"> - Other - % Hedged</v>
          </cell>
        </row>
        <row r="66">
          <cell r="A66">
            <v>39</v>
          </cell>
          <cell r="B66" t="str">
            <v xml:space="preserve"> - USD</v>
          </cell>
          <cell r="C66" t="str">
            <v>Ex local Exp.</v>
          </cell>
          <cell r="D66" t="str">
            <v>Allocate</v>
          </cell>
          <cell r="R66" t="str">
            <v xml:space="preserve"> - growth</v>
          </cell>
          <cell r="U66">
            <v>1.8033640368442132</v>
          </cell>
          <cell r="V66">
            <v>8.6327125631431079E-2</v>
          </cell>
          <cell r="W66">
            <v>7.5885439542532795E-2</v>
          </cell>
          <cell r="X66">
            <v>6.7233754337478135E-2</v>
          </cell>
          <cell r="Y66">
            <v>5.9938634356601739E-2</v>
          </cell>
          <cell r="Z66">
            <v>5.2725214034583079E-2</v>
          </cell>
          <cell r="AG66" t="str">
            <v>Net Tangible Assets</v>
          </cell>
          <cell r="AH66">
            <v>2215.951</v>
          </cell>
          <cell r="AI66">
            <v>2781.1509999999998</v>
          </cell>
          <cell r="AJ66">
            <v>3130.5954275010636</v>
          </cell>
          <cell r="AK66">
            <v>3298.0145386672293</v>
          </cell>
          <cell r="AL66">
            <v>3532.9675993030196</v>
          </cell>
          <cell r="AM66">
            <v>3668.6254485691561</v>
          </cell>
          <cell r="AN66">
            <v>3787.0062349423315</v>
          </cell>
          <cell r="AO66">
            <v>0</v>
          </cell>
          <cell r="AV66" t="str">
            <v>Balance Sheet / Interest Rate Assumptions</v>
          </cell>
          <cell r="AZ66" t="str">
            <v>FY05</v>
          </cell>
          <cell r="BA66" t="str">
            <v>FY06</v>
          </cell>
          <cell r="BB66" t="str">
            <v>FY07</v>
          </cell>
          <cell r="BC66" t="str">
            <v>FY08</v>
          </cell>
          <cell r="BD66" t="str">
            <v>FY09</v>
          </cell>
          <cell r="BE66" t="str">
            <v>FY10</v>
          </cell>
          <cell r="BF66" t="str">
            <v>FY11</v>
          </cell>
          <cell r="BG66" t="str">
            <v>FY12</v>
          </cell>
          <cell r="BH66" t="str">
            <v>FY13</v>
          </cell>
          <cell r="BI66" t="str">
            <v>FY14</v>
          </cell>
        </row>
        <row r="67">
          <cell r="A67">
            <v>40</v>
          </cell>
          <cell r="B67" t="str">
            <v xml:space="preserve"> - UK</v>
          </cell>
          <cell r="C67" t="str">
            <v>Ex local Exp.</v>
          </cell>
          <cell r="D67" t="str">
            <v>the expenses</v>
          </cell>
          <cell r="R67" t="str">
            <v>Property Management</v>
          </cell>
          <cell r="S67" t="str">
            <v>FUM</v>
          </cell>
          <cell r="AV67" t="str">
            <v>Float Rate - On Balance Sheet</v>
          </cell>
          <cell r="AY67" t="str">
            <v>Forecasts Only</v>
          </cell>
          <cell r="AZ67" t="str">
            <v>Forecasts Only</v>
          </cell>
        </row>
        <row r="68">
          <cell r="A68">
            <v>41</v>
          </cell>
          <cell r="B68" t="str">
            <v xml:space="preserve"> - Europe</v>
          </cell>
          <cell r="C68" t="str">
            <v>Ex local Exp.</v>
          </cell>
          <cell r="D68" t="str">
            <v xml:space="preserve">across </v>
          </cell>
          <cell r="S68" t="str">
            <v>FUM Growth</v>
          </cell>
          <cell r="AG68" t="str">
            <v>Ratio's</v>
          </cell>
          <cell r="AV68" t="str">
            <v xml:space="preserve"> - AUD Debt</v>
          </cell>
        </row>
        <row r="69">
          <cell r="A69">
            <v>42</v>
          </cell>
          <cell r="B69" t="str">
            <v xml:space="preserve"> - HK</v>
          </cell>
          <cell r="C69" t="str">
            <v>Ex local Exp.</v>
          </cell>
          <cell r="D69" t="str">
            <v>currencies</v>
          </cell>
          <cell r="R69" t="str">
            <v xml:space="preserve"> - Revenue</v>
          </cell>
          <cell r="AG69" t="str">
            <v xml:space="preserve"> - Per Unit</v>
          </cell>
          <cell r="AH69">
            <v>3.1234008558135629</v>
          </cell>
          <cell r="AI69">
            <v>3.257414273783346</v>
          </cell>
          <cell r="AJ69">
            <v>3.5331113048035596</v>
          </cell>
          <cell r="AK69">
            <v>3.7220563052035329</v>
          </cell>
          <cell r="AL69">
            <v>3.9872184233546895</v>
          </cell>
          <cell r="AM69">
            <v>4.1403184619662294</v>
          </cell>
          <cell r="AN69">
            <v>4.2739200416952539</v>
          </cell>
          <cell r="AO69" t="e">
            <v>#DIV/0!</v>
          </cell>
          <cell r="AV69" t="str">
            <v xml:space="preserve"> - NZD Debt</v>
          </cell>
        </row>
        <row r="70">
          <cell r="A70">
            <v>43</v>
          </cell>
          <cell r="B70" t="str">
            <v xml:space="preserve"> - Singapore</v>
          </cell>
          <cell r="C70" t="str">
            <v>Ex local Exp.</v>
          </cell>
          <cell r="R70" t="str">
            <v xml:space="preserve"> - Margin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G70" t="str">
            <v xml:space="preserve"> - Gearing</v>
          </cell>
          <cell r="AH70">
            <v>0.38412393589106497</v>
          </cell>
          <cell r="AI70">
            <v>0.37741908504266747</v>
          </cell>
          <cell r="AJ70">
            <v>0.44101295699188897</v>
          </cell>
          <cell r="AK70">
            <v>0.43766530695800648</v>
          </cell>
          <cell r="AL70">
            <v>0.44408830454055376</v>
          </cell>
          <cell r="AM70">
            <v>0.4462458312292133</v>
          </cell>
          <cell r="AN70">
            <v>0.450947145434826</v>
          </cell>
          <cell r="AO70" t="e">
            <v>#DIV/0!</v>
          </cell>
          <cell r="AV70" t="str">
            <v xml:space="preserve"> - USD Debt</v>
          </cell>
        </row>
        <row r="71">
          <cell r="A71">
            <v>44</v>
          </cell>
          <cell r="B71" t="str">
            <v xml:space="preserve"> - Japan</v>
          </cell>
          <cell r="C71" t="str">
            <v>Ex local Exp.</v>
          </cell>
          <cell r="D71" t="str">
            <v>Best Guess</v>
          </cell>
          <cell r="R71" t="str">
            <v xml:space="preserve"> - EBIT</v>
          </cell>
          <cell r="AG71" t="str">
            <v xml:space="preserve"> - Interest Cover</v>
          </cell>
          <cell r="AH71">
            <v>4.2298518774450287</v>
          </cell>
          <cell r="AI71">
            <v>3.8331225211705422</v>
          </cell>
          <cell r="AJ71">
            <v>3.5820908720139943</v>
          </cell>
          <cell r="AK71">
            <v>3.4516087754978386</v>
          </cell>
          <cell r="AL71">
            <v>3.2151753794118338</v>
          </cell>
          <cell r="AM71">
            <v>3.1213589947104046</v>
          </cell>
          <cell r="AN71">
            <v>3.1013138732643406</v>
          </cell>
          <cell r="AO71" t="e">
            <v>#DIV/0!</v>
          </cell>
          <cell r="AV71" t="str">
            <v xml:space="preserve"> - UKP Debt</v>
          </cell>
        </row>
        <row r="72">
          <cell r="A72">
            <v>45</v>
          </cell>
          <cell r="B72" t="str">
            <v xml:space="preserve"> - Canada</v>
          </cell>
          <cell r="C72" t="str">
            <v>Ex local Exp.</v>
          </cell>
          <cell r="R72" t="str">
            <v xml:space="preserve"> - growth</v>
          </cell>
          <cell r="T72" t="str">
            <v xml:space="preserve">na </v>
          </cell>
          <cell r="U72" t="str">
            <v xml:space="preserve">na </v>
          </cell>
          <cell r="V72" t="str">
            <v xml:space="preserve">na </v>
          </cell>
          <cell r="W72" t="str">
            <v xml:space="preserve">na </v>
          </cell>
          <cell r="X72" t="str">
            <v xml:space="preserve">na </v>
          </cell>
          <cell r="Y72" t="str">
            <v xml:space="preserve">na </v>
          </cell>
          <cell r="Z72" t="str">
            <v xml:space="preserve">na </v>
          </cell>
          <cell r="AG72" t="str">
            <v>Look Through Assets</v>
          </cell>
          <cell r="AJ72">
            <v>7266.8477507042471</v>
          </cell>
          <cell r="AK72">
            <v>7570.5506413976054</v>
          </cell>
          <cell r="AL72">
            <v>8116.8013704790756</v>
          </cell>
          <cell r="AM72">
            <v>8433.442759315798</v>
          </cell>
          <cell r="AN72">
            <v>8764.5143641752493</v>
          </cell>
          <cell r="AO72">
            <v>0</v>
          </cell>
          <cell r="AV72" t="str">
            <v xml:space="preserve"> - Euro Debt</v>
          </cell>
        </row>
        <row r="73">
          <cell r="A73">
            <v>46</v>
          </cell>
          <cell r="B73" t="str">
            <v xml:space="preserve"> - Other</v>
          </cell>
          <cell r="C73" t="str">
            <v>Ex local Exp.</v>
          </cell>
          <cell r="R73" t="str">
            <v>Construction / Contact Homes</v>
          </cell>
          <cell r="AG73" t="str">
            <v>Look Though Debt</v>
          </cell>
          <cell r="AJ73">
            <v>3204.7740145479374</v>
          </cell>
          <cell r="AK73">
            <v>3313.367370308416</v>
          </cell>
          <cell r="AL73">
            <v>3604.5765589084958</v>
          </cell>
          <cell r="AM73">
            <v>3763.3886742548684</v>
          </cell>
          <cell r="AN73">
            <v>3952.3327336473576</v>
          </cell>
          <cell r="AO73">
            <v>0</v>
          </cell>
          <cell r="AV73" t="str">
            <v xml:space="preserve"> - HK Debt</v>
          </cell>
        </row>
        <row r="74">
          <cell r="A74">
            <v>47</v>
          </cell>
          <cell r="D74" t="str">
            <v>ééééé</v>
          </cell>
          <cell r="E74" t="str">
            <v>CORRECT</v>
          </cell>
          <cell r="F74" t="str">
            <v>CORRECT</v>
          </cell>
          <cell r="G74" t="str">
            <v>CORRECT</v>
          </cell>
          <cell r="H74" t="str">
            <v>CORRECT</v>
          </cell>
          <cell r="I74" t="str">
            <v>CORRECT</v>
          </cell>
          <cell r="J74" t="str">
            <v>CORRECT</v>
          </cell>
          <cell r="K74" t="str">
            <v>CORRECT</v>
          </cell>
          <cell r="L74" t="str">
            <v>CORRECT</v>
          </cell>
          <cell r="M74" t="str">
            <v>CORRECT</v>
          </cell>
          <cell r="N74" t="str">
            <v>ééééé</v>
          </cell>
          <cell r="R74" t="str">
            <v xml:space="preserve"> - Margin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G74" t="str">
            <v>Look Though Gearing</v>
          </cell>
          <cell r="AJ74">
            <v>0.44101295699188897</v>
          </cell>
          <cell r="AK74">
            <v>0.43766530695800648</v>
          </cell>
          <cell r="AL74">
            <v>0.44408830454055376</v>
          </cell>
          <cell r="AM74">
            <v>0.4462458312292133</v>
          </cell>
          <cell r="AN74">
            <v>0.450947145434826</v>
          </cell>
          <cell r="AO74" t="e">
            <v>#DIV/0!</v>
          </cell>
          <cell r="AV74" t="str">
            <v xml:space="preserve"> - Singapore Debt</v>
          </cell>
        </row>
        <row r="75">
          <cell r="A75">
            <v>48</v>
          </cell>
          <cell r="B75" t="str">
            <v xml:space="preserve"> = % of DPU from Australia</v>
          </cell>
          <cell r="E75">
            <v>1</v>
          </cell>
          <cell r="F75">
            <v>1</v>
          </cell>
          <cell r="G75">
            <v>1</v>
          </cell>
          <cell r="H75">
            <v>1</v>
          </cell>
          <cell r="I75">
            <v>1</v>
          </cell>
          <cell r="J75">
            <v>1</v>
          </cell>
          <cell r="K75" t="str">
            <v>na</v>
          </cell>
          <cell r="L75" t="str">
            <v>na</v>
          </cell>
          <cell r="M75" t="str">
            <v>na</v>
          </cell>
          <cell r="R75" t="str">
            <v xml:space="preserve"> - EBIT</v>
          </cell>
          <cell r="AV75" t="str">
            <v xml:space="preserve"> - Japan Debt</v>
          </cell>
        </row>
        <row r="76">
          <cell r="A76">
            <v>49</v>
          </cell>
          <cell r="B76" t="str">
            <v xml:space="preserve"> = % of DPU from NZ</v>
          </cell>
          <cell r="D76" t="str">
            <v>Calculation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 t="str">
            <v>na</v>
          </cell>
          <cell r="L76" t="str">
            <v>na</v>
          </cell>
          <cell r="M76" t="str">
            <v>na</v>
          </cell>
          <cell r="R76" t="str">
            <v xml:space="preserve"> - growth</v>
          </cell>
          <cell r="T76" t="str">
            <v xml:space="preserve">na </v>
          </cell>
          <cell r="U76" t="str">
            <v xml:space="preserve">na </v>
          </cell>
          <cell r="V76" t="str">
            <v xml:space="preserve">na </v>
          </cell>
          <cell r="W76" t="str">
            <v xml:space="preserve">na </v>
          </cell>
          <cell r="X76" t="str">
            <v xml:space="preserve">na </v>
          </cell>
          <cell r="Y76" t="str">
            <v xml:space="preserve">na </v>
          </cell>
          <cell r="Z76" t="str">
            <v xml:space="preserve">na </v>
          </cell>
          <cell r="AV76" t="str">
            <v xml:space="preserve"> - Canada Debt</v>
          </cell>
        </row>
        <row r="77">
          <cell r="A77">
            <v>50</v>
          </cell>
          <cell r="B77" t="str">
            <v xml:space="preserve"> = % of DPU from USA</v>
          </cell>
          <cell r="D77" t="str">
            <v xml:space="preserve">from 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 t="str">
            <v>na</v>
          </cell>
          <cell r="L77" t="str">
            <v>na</v>
          </cell>
          <cell r="M77" t="str">
            <v>na</v>
          </cell>
          <cell r="R77" t="str">
            <v>Non Residential Asset Sales</v>
          </cell>
          <cell r="AG77" t="str">
            <v>Balance Sheet IFRS Adjustments</v>
          </cell>
          <cell r="AI77" t="str">
            <v>FY05</v>
          </cell>
          <cell r="AJ77" t="str">
            <v>FY06</v>
          </cell>
          <cell r="AK77" t="str">
            <v>FY07</v>
          </cell>
          <cell r="AL77" t="str">
            <v>FY08</v>
          </cell>
          <cell r="AM77" t="str">
            <v>FY09</v>
          </cell>
          <cell r="AN77" t="str">
            <v>FY10</v>
          </cell>
          <cell r="AO77" t="str">
            <v>FY11</v>
          </cell>
          <cell r="AP77" t="str">
            <v>FY12</v>
          </cell>
          <cell r="AQ77" t="str">
            <v>FY13</v>
          </cell>
          <cell r="AR77" t="str">
            <v>FY14</v>
          </cell>
          <cell r="AV77" t="str">
            <v xml:space="preserve"> - Other Debt</v>
          </cell>
        </row>
        <row r="78">
          <cell r="A78">
            <v>51</v>
          </cell>
          <cell r="B78" t="str">
            <v xml:space="preserve"> = % of DPU from UK</v>
          </cell>
          <cell r="D78" t="str">
            <v>Above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 t="str">
            <v>na</v>
          </cell>
          <cell r="L78" t="str">
            <v>na</v>
          </cell>
          <cell r="M78" t="str">
            <v>na</v>
          </cell>
          <cell r="R78" t="str">
            <v xml:space="preserve"> - Margin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V78" t="str">
            <v>Hedge Rate - On Balance Sheet</v>
          </cell>
          <cell r="AY78" t="str">
            <v>Forecasts Only</v>
          </cell>
          <cell r="AZ78" t="str">
            <v>Forecasts Only</v>
          </cell>
        </row>
        <row r="79">
          <cell r="A79">
            <v>52</v>
          </cell>
          <cell r="B79" t="str">
            <v xml:space="preserve"> = % of DPU from Europe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 t="str">
            <v>na</v>
          </cell>
          <cell r="L79" t="str">
            <v>na</v>
          </cell>
          <cell r="M79" t="str">
            <v>na</v>
          </cell>
          <cell r="R79" t="str">
            <v xml:space="preserve"> - EBIT</v>
          </cell>
          <cell r="AG79" t="str">
            <v>Total Assets (Cash)</v>
          </cell>
          <cell r="AI79">
            <v>5523.8859999999995</v>
          </cell>
          <cell r="AJ79">
            <v>5523.8859999999995</v>
          </cell>
          <cell r="AK79">
            <v>5523.8859999999995</v>
          </cell>
          <cell r="AL79">
            <v>5523.8859999999995</v>
          </cell>
          <cell r="AM79">
            <v>5523.8859999999995</v>
          </cell>
          <cell r="AN79">
            <v>5523.8859999999995</v>
          </cell>
          <cell r="AO79">
            <v>5523.8859999999995</v>
          </cell>
          <cell r="AP79">
            <v>5523.8859999999995</v>
          </cell>
          <cell r="AV79" t="str">
            <v xml:space="preserve"> - AUD Debt</v>
          </cell>
        </row>
        <row r="80">
          <cell r="A80">
            <v>53</v>
          </cell>
          <cell r="B80" t="str">
            <v xml:space="preserve"> = % of DPU from HK</v>
          </cell>
          <cell r="D80" t="str">
            <v>Calculation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 t="str">
            <v>na</v>
          </cell>
          <cell r="L80" t="str">
            <v>na</v>
          </cell>
          <cell r="M80" t="str">
            <v>na</v>
          </cell>
          <cell r="R80" t="str">
            <v xml:space="preserve"> - growth</v>
          </cell>
          <cell r="T80" t="str">
            <v xml:space="preserve">na </v>
          </cell>
          <cell r="U80" t="str">
            <v xml:space="preserve">na </v>
          </cell>
          <cell r="V80" t="str">
            <v xml:space="preserve">na </v>
          </cell>
          <cell r="W80" t="str">
            <v xml:space="preserve">na </v>
          </cell>
          <cell r="X80" t="str">
            <v xml:space="preserve">na </v>
          </cell>
          <cell r="Y80" t="str">
            <v xml:space="preserve">na </v>
          </cell>
          <cell r="Z80" t="str">
            <v xml:space="preserve">na </v>
          </cell>
          <cell r="AG80" t="str">
            <v xml:space="preserve"> - Adjustment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V80" t="str">
            <v xml:space="preserve"> - NZD Debt</v>
          </cell>
        </row>
        <row r="81">
          <cell r="A81">
            <v>54</v>
          </cell>
          <cell r="B81" t="str">
            <v xml:space="preserve"> = % of DPU from Singapore</v>
          </cell>
          <cell r="D81" t="str">
            <v xml:space="preserve">from 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 t="str">
            <v>na</v>
          </cell>
          <cell r="L81" t="str">
            <v>na</v>
          </cell>
          <cell r="M81" t="str">
            <v>na</v>
          </cell>
          <cell r="R81" t="str">
            <v>Other</v>
          </cell>
          <cell r="T81">
            <v>108.38199999999999</v>
          </cell>
          <cell r="U81">
            <v>122.95006019999997</v>
          </cell>
          <cell r="V81">
            <v>129.09756320999998</v>
          </cell>
          <cell r="W81">
            <v>137.38423111875002</v>
          </cell>
          <cell r="X81">
            <v>138.26349019790999</v>
          </cell>
          <cell r="Y81">
            <v>141.02876000186822</v>
          </cell>
          <cell r="Z81">
            <v>143.8493352019056</v>
          </cell>
          <cell r="AG81" t="str">
            <v xml:space="preserve"> - Adjustment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V81" t="str">
            <v xml:space="preserve"> - USD Debt</v>
          </cell>
        </row>
        <row r="82">
          <cell r="A82">
            <v>55</v>
          </cell>
          <cell r="B82" t="str">
            <v xml:space="preserve"> = % of DPU from Japan</v>
          </cell>
          <cell r="D82" t="str">
            <v>Above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 t="str">
            <v>na</v>
          </cell>
          <cell r="L82" t="str">
            <v>na</v>
          </cell>
          <cell r="M82" t="str">
            <v>na</v>
          </cell>
          <cell r="R82" t="str">
            <v xml:space="preserve"> - Margin</v>
          </cell>
          <cell r="T82">
            <v>0.13282648410252626</v>
          </cell>
          <cell r="U82">
            <v>0.13282648410252623</v>
          </cell>
          <cell r="V82">
            <v>0.13000000000000006</v>
          </cell>
          <cell r="W82">
            <v>0.12999999999999998</v>
          </cell>
          <cell r="X82">
            <v>0.13000000000000003</v>
          </cell>
          <cell r="Y82">
            <v>0.13</v>
          </cell>
          <cell r="Z82">
            <v>0.12999999999999998</v>
          </cell>
          <cell r="AG82" t="str">
            <v xml:space="preserve"> - Adjustment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V82" t="str">
            <v xml:space="preserve"> - UKP Debt</v>
          </cell>
        </row>
        <row r="83">
          <cell r="A83">
            <v>56</v>
          </cell>
          <cell r="B83" t="str">
            <v xml:space="preserve"> = % of DPU from Canada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 t="str">
            <v>na</v>
          </cell>
          <cell r="L83" t="str">
            <v>na</v>
          </cell>
          <cell r="M83" t="str">
            <v>na</v>
          </cell>
          <cell r="R83" t="str">
            <v xml:space="preserve"> - EBIT</v>
          </cell>
          <cell r="T83">
            <v>14.395999999999999</v>
          </cell>
          <cell r="U83">
            <v>16.331024216559939</v>
          </cell>
          <cell r="V83">
            <v>16.782683217300004</v>
          </cell>
          <cell r="W83">
            <v>17.8599500454375</v>
          </cell>
          <cell r="X83">
            <v>17.974253725728303</v>
          </cell>
          <cell r="Y83">
            <v>18.33373880024287</v>
          </cell>
          <cell r="Z83">
            <v>18.700413576247726</v>
          </cell>
          <cell r="AG83" t="str">
            <v xml:space="preserve"> - Adjustment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V83" t="str">
            <v xml:space="preserve"> - Euro Debt</v>
          </cell>
        </row>
        <row r="84">
          <cell r="A84">
            <v>57</v>
          </cell>
          <cell r="B84" t="str">
            <v xml:space="preserve"> = % of DPU from Other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 t="str">
            <v>na</v>
          </cell>
          <cell r="L84" t="str">
            <v>na</v>
          </cell>
          <cell r="M84" t="str">
            <v>na</v>
          </cell>
          <cell r="R84" t="str">
            <v xml:space="preserve"> - growth</v>
          </cell>
          <cell r="T84" t="str">
            <v xml:space="preserve">na </v>
          </cell>
          <cell r="U84" t="str">
            <v xml:space="preserve">na </v>
          </cell>
          <cell r="V84" t="str">
            <v xml:space="preserve">na </v>
          </cell>
          <cell r="W84" t="str">
            <v xml:space="preserve">na </v>
          </cell>
          <cell r="X84" t="str">
            <v xml:space="preserve">na </v>
          </cell>
          <cell r="Y84" t="str">
            <v xml:space="preserve">na </v>
          </cell>
          <cell r="Z84" t="str">
            <v xml:space="preserve">na </v>
          </cell>
          <cell r="AG84" t="str">
            <v xml:space="preserve"> - Adjustment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V84" t="str">
            <v xml:space="preserve"> - HK Debt</v>
          </cell>
        </row>
        <row r="85">
          <cell r="A85">
            <v>58</v>
          </cell>
          <cell r="D85" t="str">
            <v>ééééé</v>
          </cell>
          <cell r="E85" t="str">
            <v>CORRECT</v>
          </cell>
          <cell r="F85" t="str">
            <v>CORRECT</v>
          </cell>
          <cell r="G85" t="str">
            <v>CORRECT</v>
          </cell>
          <cell r="H85" t="str">
            <v>CORRECT</v>
          </cell>
          <cell r="I85" t="str">
            <v>CORRECT</v>
          </cell>
          <cell r="J85" t="str">
            <v>CORRECT</v>
          </cell>
          <cell r="K85" t="str">
            <v>WRONG</v>
          </cell>
          <cell r="L85" t="str">
            <v>WRONG</v>
          </cell>
          <cell r="M85" t="str">
            <v>WRONG</v>
          </cell>
          <cell r="N85" t="str">
            <v>ééééé</v>
          </cell>
          <cell r="R85" t="str">
            <v xml:space="preserve"> - COSTS (overhead)</v>
          </cell>
          <cell r="T85">
            <v>15.709999999999667</v>
          </cell>
          <cell r="U85">
            <v>0.75024618368240681</v>
          </cell>
          <cell r="V85">
            <v>5.5729328339989479</v>
          </cell>
          <cell r="W85">
            <v>11.46531505476807</v>
          </cell>
          <cell r="X85">
            <v>5.070003482628465</v>
          </cell>
          <cell r="Y85">
            <v>5.6087765942801298</v>
          </cell>
          <cell r="Z85">
            <v>5.7647984008099229</v>
          </cell>
          <cell r="AG85" t="str">
            <v xml:space="preserve"> - Adjustment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V85" t="str">
            <v xml:space="preserve"> - Singapore Debt</v>
          </cell>
        </row>
        <row r="86">
          <cell r="A86">
            <v>59</v>
          </cell>
          <cell r="R86" t="str">
            <v>Revenue - Operating Business</v>
          </cell>
          <cell r="T86">
            <v>1165.6600000000001</v>
          </cell>
          <cell r="U86">
            <v>1548.3197451761996</v>
          </cell>
          <cell r="V86">
            <v>1691.7962774141388</v>
          </cell>
          <cell r="W86">
            <v>1790.1642159481776</v>
          </cell>
          <cell r="X86">
            <v>1866.0774156425728</v>
          </cell>
          <cell r="Y86">
            <v>1938.6408692139462</v>
          </cell>
          <cell r="Z86">
            <v>2031.0394378287954</v>
          </cell>
          <cell r="AG86" t="str">
            <v>Total Assets (REPORTED)</v>
          </cell>
          <cell r="AI86">
            <v>5523.8859999999995</v>
          </cell>
          <cell r="AJ86">
            <v>5523.8859999999995</v>
          </cell>
          <cell r="AK86">
            <v>5523.8859999999995</v>
          </cell>
          <cell r="AL86">
            <v>5523.8859999999995</v>
          </cell>
          <cell r="AM86">
            <v>5523.8859999999995</v>
          </cell>
          <cell r="AN86">
            <v>5523.8859999999995</v>
          </cell>
          <cell r="AO86">
            <v>5523.8859999999995</v>
          </cell>
          <cell r="AP86">
            <v>5523.8859999999995</v>
          </cell>
          <cell r="AV86" t="str">
            <v xml:space="preserve"> - Japan Debt</v>
          </cell>
        </row>
        <row r="87">
          <cell r="A87">
            <v>60</v>
          </cell>
          <cell r="B87" t="str">
            <v>Financing Contributions (per Unit)</v>
          </cell>
          <cell r="D87" t="str">
            <v>FY04</v>
          </cell>
          <cell r="E87" t="str">
            <v>FY05</v>
          </cell>
          <cell r="F87" t="str">
            <v>FY06</v>
          </cell>
          <cell r="G87" t="str">
            <v>FY07</v>
          </cell>
          <cell r="H87" t="str">
            <v>FY08</v>
          </cell>
          <cell r="I87" t="str">
            <v>FY09</v>
          </cell>
          <cell r="J87" t="str">
            <v>FY10</v>
          </cell>
          <cell r="K87" t="str">
            <v>FY11</v>
          </cell>
          <cell r="L87" t="str">
            <v>FY12</v>
          </cell>
          <cell r="M87" t="str">
            <v>FY13</v>
          </cell>
          <cell r="N87" t="str">
            <v>FY14</v>
          </cell>
          <cell r="R87" t="str">
            <v>EBIT</v>
          </cell>
          <cell r="T87">
            <v>186.64300000000031</v>
          </cell>
          <cell r="U87">
            <v>248.98623077930745</v>
          </cell>
          <cell r="V87">
            <v>259.54497814388105</v>
          </cell>
          <cell r="W87">
            <v>269.56837119485067</v>
          </cell>
          <cell r="X87">
            <v>286.15718640866118</v>
          </cell>
          <cell r="Y87">
            <v>297.60438516708598</v>
          </cell>
          <cell r="Z87">
            <v>312.15989404740475</v>
          </cell>
          <cell r="AG87" t="str">
            <v>Total Liabilities (Cash)</v>
          </cell>
          <cell r="AI87">
            <v>3940.6373232031838</v>
          </cell>
          <cell r="AJ87">
            <v>3940.6373232031838</v>
          </cell>
          <cell r="AV87" t="str">
            <v xml:space="preserve"> - Canada Debt</v>
          </cell>
        </row>
        <row r="88">
          <cell r="A88">
            <v>61</v>
          </cell>
          <cell r="B88" t="str">
            <v xml:space="preserve"> - Cross Currency Swap (NET)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R88" t="str">
            <v>Margin</v>
          </cell>
          <cell r="T88">
            <v>0.16011787313624926</v>
          </cell>
          <cell r="U88">
            <v>0.1608106023029324</v>
          </cell>
          <cell r="V88">
            <v>0.15341384870558292</v>
          </cell>
          <cell r="W88">
            <v>0.15058304081453847</v>
          </cell>
          <cell r="X88">
            <v>0.15334689976413687</v>
          </cell>
          <cell r="Y88">
            <v>0.15351187003901068</v>
          </cell>
          <cell r="Z88">
            <v>0.15369464926840973</v>
          </cell>
          <cell r="AG88" t="str">
            <v xml:space="preserve"> - Adjustment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V88" t="str">
            <v xml:space="preserve"> - Other Debt</v>
          </cell>
        </row>
        <row r="89">
          <cell r="A89">
            <v>62</v>
          </cell>
          <cell r="B89" t="str">
            <v xml:space="preserve"> - FX Hedge Book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R89" t="str">
            <v xml:space="preserve"> - Investment Income / Asset Sales</v>
          </cell>
          <cell r="AG89" t="str">
            <v xml:space="preserve"> - Adjustment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V89" t="str">
            <v>% Hedged - On Balance Sheet</v>
          </cell>
          <cell r="AY89" t="str">
            <v>Forecasts Only</v>
          </cell>
          <cell r="AZ89" t="str">
            <v>Forecasts Only</v>
          </cell>
        </row>
        <row r="90">
          <cell r="A90">
            <v>63</v>
          </cell>
          <cell r="B90" t="str">
            <v xml:space="preserve"> - Interest Rate book rel to Market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R90" t="str">
            <v xml:space="preserve"> - EBIT</v>
          </cell>
          <cell r="AG90" t="str">
            <v xml:space="preserve"> - Adjustment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V90" t="str">
            <v xml:space="preserve"> - AUD Debt</v>
          </cell>
        </row>
        <row r="91">
          <cell r="A91">
            <v>64</v>
          </cell>
          <cell r="B91" t="str">
            <v xml:space="preserve"> - Other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AG91" t="str">
            <v xml:space="preserve"> - Adjustment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V91" t="str">
            <v xml:space="preserve"> - NZD Debt</v>
          </cell>
        </row>
        <row r="92">
          <cell r="A92">
            <v>65</v>
          </cell>
          <cell r="B92" t="str">
            <v>DPU Impact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R92" t="str">
            <v>EBIT From Corporation</v>
          </cell>
          <cell r="T92">
            <v>186.64300000000031</v>
          </cell>
          <cell r="U92">
            <v>248.98623077930745</v>
          </cell>
          <cell r="V92">
            <v>259.54497814388105</v>
          </cell>
          <cell r="W92">
            <v>269.56837119485067</v>
          </cell>
          <cell r="X92">
            <v>286.15718640866118</v>
          </cell>
          <cell r="Y92">
            <v>297.60438516708598</v>
          </cell>
          <cell r="Z92">
            <v>312.15989404740475</v>
          </cell>
          <cell r="AA92">
            <v>0</v>
          </cell>
          <cell r="AG92" t="str">
            <v xml:space="preserve"> - Adjustment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V92" t="str">
            <v xml:space="preserve"> - USD Debt</v>
          </cell>
        </row>
        <row r="93">
          <cell r="A93">
            <v>66</v>
          </cell>
          <cell r="B93" t="str">
            <v>Underlying DPU</v>
          </cell>
          <cell r="E93">
            <v>33.799999999999997</v>
          </cell>
          <cell r="F93">
            <v>31.049779028796408</v>
          </cell>
          <cell r="G93">
            <v>31.915794458331014</v>
          </cell>
          <cell r="H93">
            <v>32.209176283171445</v>
          </cell>
          <cell r="I93">
            <v>33.043841272686592</v>
          </cell>
          <cell r="J93">
            <v>34.312686388576012</v>
          </cell>
          <cell r="S93" t="str">
            <v>ééééé</v>
          </cell>
          <cell r="T93" t="str">
            <v>WRONG</v>
          </cell>
          <cell r="U93" t="str">
            <v>WRONG</v>
          </cell>
          <cell r="V93" t="str">
            <v>WRONG</v>
          </cell>
          <cell r="W93" t="str">
            <v>WRONG</v>
          </cell>
          <cell r="X93" t="str">
            <v>WRONG</v>
          </cell>
          <cell r="Y93" t="str">
            <v>WRONG</v>
          </cell>
          <cell r="Z93" t="str">
            <v>WRONG</v>
          </cell>
          <cell r="AA93" t="str">
            <v>CORRECT</v>
          </cell>
          <cell r="AB93" t="str">
            <v>ééééé</v>
          </cell>
          <cell r="AG93" t="str">
            <v xml:space="preserve"> - Adjustment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V93" t="str">
            <v xml:space="preserve"> - UKP Debt</v>
          </cell>
        </row>
        <row r="94">
          <cell r="A94">
            <v>67</v>
          </cell>
          <cell r="B94" t="str">
            <v xml:space="preserve"> -% of the DPU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AG94" t="str">
            <v>Total Liabilities (REPORTED)</v>
          </cell>
          <cell r="AI94">
            <v>3940.6373232031838</v>
          </cell>
          <cell r="AJ94">
            <v>3940.6373232031838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V94" t="str">
            <v xml:space="preserve"> - Euro Debt</v>
          </cell>
        </row>
        <row r="95">
          <cell r="A95">
            <v>68</v>
          </cell>
          <cell r="R95" t="str">
            <v>Expenses</v>
          </cell>
          <cell r="AV95" t="str">
            <v xml:space="preserve"> - HK Debt</v>
          </cell>
        </row>
        <row r="96">
          <cell r="A96">
            <v>69</v>
          </cell>
          <cell r="R96" t="str">
            <v xml:space="preserve"> - Management Fees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G96" t="str">
            <v>LOOK THROUGH GEARING</v>
          </cell>
          <cell r="AV96" t="str">
            <v xml:space="preserve"> - Singapore Debt</v>
          </cell>
        </row>
        <row r="97">
          <cell r="A97">
            <v>70</v>
          </cell>
          <cell r="B97" t="str">
            <v>Units on Issue</v>
          </cell>
          <cell r="R97" t="str">
            <v xml:space="preserve"> - Allowance for the Performance Fee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V97" t="str">
            <v xml:space="preserve"> - Japan Debt</v>
          </cell>
        </row>
        <row r="98">
          <cell r="A98">
            <v>71</v>
          </cell>
          <cell r="B98" t="str">
            <v xml:space="preserve"> - Year End</v>
          </cell>
          <cell r="D98">
            <v>709.46737299999995</v>
          </cell>
          <cell r="E98">
            <v>853.79100300000005</v>
          </cell>
          <cell r="F98">
            <v>886.07325312530008</v>
          </cell>
          <cell r="G98">
            <v>886.07325312530008</v>
          </cell>
          <cell r="H98">
            <v>886.07325312530008</v>
          </cell>
          <cell r="I98">
            <v>886.07325312530008</v>
          </cell>
          <cell r="J98">
            <v>886.07325312530008</v>
          </cell>
          <cell r="K98">
            <v>0</v>
          </cell>
          <cell r="L98">
            <v>0</v>
          </cell>
          <cell r="M98">
            <v>0</v>
          </cell>
          <cell r="R98" t="str">
            <v xml:space="preserve"> - Operational Cost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G98" t="str">
            <v>Off Balance Sheet ASSETS (Note that the Equity Accounted Assets are shown above)</v>
          </cell>
          <cell r="AV98" t="str">
            <v xml:space="preserve"> - Canada Debt</v>
          </cell>
        </row>
        <row r="99">
          <cell r="A99">
            <v>72</v>
          </cell>
          <cell r="B99" t="str">
            <v xml:space="preserve"> - Weighted for EPU</v>
          </cell>
          <cell r="D99">
            <v>689.04044299999998</v>
          </cell>
          <cell r="E99">
            <v>781.47037699999998</v>
          </cell>
          <cell r="F99">
            <v>864.67675310441666</v>
          </cell>
          <cell r="G99">
            <v>886.07325312530008</v>
          </cell>
          <cell r="H99">
            <v>886.07325312530008</v>
          </cell>
          <cell r="I99">
            <v>886.07325312530008</v>
          </cell>
          <cell r="J99">
            <v>886.07325312530008</v>
          </cell>
          <cell r="K99">
            <v>0</v>
          </cell>
          <cell r="L99">
            <v>0</v>
          </cell>
          <cell r="M99">
            <v>0</v>
          </cell>
          <cell r="R99" t="str">
            <v xml:space="preserve"> - Administration / Other</v>
          </cell>
          <cell r="S99">
            <v>953.15299999999991</v>
          </cell>
          <cell r="T99">
            <v>1022.499</v>
          </cell>
          <cell r="U99">
            <v>1397.9721907696189</v>
          </cell>
          <cell r="V99">
            <v>1527.4828260239169</v>
          </cell>
          <cell r="W99">
            <v>1609.5777869870649</v>
          </cell>
          <cell r="X99">
            <v>1682.0222352285577</v>
          </cell>
          <cell r="Y99">
            <v>1745.3582891958104</v>
          </cell>
          <cell r="Z99">
            <v>0</v>
          </cell>
          <cell r="AG99" t="str">
            <v xml:space="preserve"> - AUD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V99" t="str">
            <v xml:space="preserve"> - Other Debt</v>
          </cell>
        </row>
        <row r="100">
          <cell r="A100">
            <v>73</v>
          </cell>
          <cell r="B100" t="str">
            <v xml:space="preserve"> - Weighted for DPU</v>
          </cell>
          <cell r="D100">
            <v>692.2919254658384</v>
          </cell>
          <cell r="E100">
            <v>788.18639053254435</v>
          </cell>
          <cell r="F100">
            <v>864.67675310441678</v>
          </cell>
          <cell r="G100">
            <v>886.07325312530031</v>
          </cell>
          <cell r="H100">
            <v>886.07325312530008</v>
          </cell>
          <cell r="I100">
            <v>886.07325312530008</v>
          </cell>
          <cell r="J100">
            <v>886.07325312529997</v>
          </cell>
          <cell r="K100">
            <v>0</v>
          </cell>
          <cell r="L100">
            <v>0</v>
          </cell>
          <cell r="M100">
            <v>0</v>
          </cell>
          <cell r="R100" t="str">
            <v xml:space="preserve"> - Other</v>
          </cell>
          <cell r="S100">
            <v>7.1759999999999309</v>
          </cell>
          <cell r="T100">
            <v>212.5010000000002</v>
          </cell>
          <cell r="U100">
            <v>254.8305364651178</v>
          </cell>
          <cell r="V100">
            <v>265.68410442131449</v>
          </cell>
          <cell r="W100">
            <v>276.01719052026328</v>
          </cell>
          <cell r="X100">
            <v>292.93132149115445</v>
          </cell>
          <cell r="Y100">
            <v>304.72024681559469</v>
          </cell>
          <cell r="AG100" t="str">
            <v xml:space="preserve"> - NZD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V100" t="str">
            <v>Blended Rate - On Balance Sheet</v>
          </cell>
          <cell r="AY100" t="str">
            <v>Forecasts Only</v>
          </cell>
          <cell r="AZ100" t="str">
            <v>Forecasts Only</v>
          </cell>
        </row>
        <row r="101">
          <cell r="A101">
            <v>74</v>
          </cell>
          <cell r="S101">
            <v>960.32899999999984</v>
          </cell>
          <cell r="T101">
            <v>1235.0000000000002</v>
          </cell>
          <cell r="U101">
            <v>1652.8027272347367</v>
          </cell>
          <cell r="V101">
            <v>1793.1669304452314</v>
          </cell>
          <cell r="W101">
            <v>1885.5949775073282</v>
          </cell>
          <cell r="X101">
            <v>1974.9535567197122</v>
          </cell>
          <cell r="Y101">
            <v>2050.078536011405</v>
          </cell>
          <cell r="Z101">
            <v>0</v>
          </cell>
          <cell r="AG101" t="str">
            <v xml:space="preserve"> - USD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V101" t="str">
            <v xml:space="preserve"> - AUD Debt</v>
          </cell>
        </row>
        <row r="102">
          <cell r="A102">
            <v>75</v>
          </cell>
          <cell r="B102" t="str">
            <v>Ratio's</v>
          </cell>
          <cell r="D102" t="str">
            <v>FY04</v>
          </cell>
          <cell r="E102" t="str">
            <v>FY05</v>
          </cell>
          <cell r="F102" t="str">
            <v>FY06</v>
          </cell>
          <cell r="G102" t="str">
            <v>FY07</v>
          </cell>
          <cell r="H102" t="str">
            <v>FY08</v>
          </cell>
          <cell r="I102" t="str">
            <v>FY09</v>
          </cell>
          <cell r="J102" t="str">
            <v>FY10</v>
          </cell>
          <cell r="K102" t="str">
            <v>FY11</v>
          </cell>
          <cell r="L102" t="str">
            <v>FY12</v>
          </cell>
          <cell r="M102" t="str">
            <v>FY13</v>
          </cell>
          <cell r="N102" t="str">
            <v>FY14</v>
          </cell>
          <cell r="AG102" t="str">
            <v xml:space="preserve"> - UKP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V102" t="str">
            <v xml:space="preserve"> - NZD Debt</v>
          </cell>
        </row>
        <row r="103">
          <cell r="A103">
            <v>76</v>
          </cell>
          <cell r="B103" t="str">
            <v>NTA</v>
          </cell>
          <cell r="D103">
            <v>3.1234008558135629</v>
          </cell>
          <cell r="E103">
            <v>3.2574142737833474</v>
          </cell>
          <cell r="F103">
            <v>3.5331113048035583</v>
          </cell>
          <cell r="G103">
            <v>3.7220563052035329</v>
          </cell>
          <cell r="H103">
            <v>3.9872184233546895</v>
          </cell>
          <cell r="I103">
            <v>4.1403184619662285</v>
          </cell>
          <cell r="J103">
            <v>4.2739200416952512</v>
          </cell>
          <cell r="K103">
            <v>4.4200480204245576</v>
          </cell>
          <cell r="L103">
            <v>4.5722745147077948</v>
          </cell>
          <cell r="M103">
            <v>4.7106837452377253</v>
          </cell>
          <cell r="R103" t="str">
            <v>Total EBIT</v>
          </cell>
          <cell r="S103">
            <v>379.51500000000021</v>
          </cell>
          <cell r="T103">
            <v>357.59199999999987</v>
          </cell>
          <cell r="U103">
            <v>424.79946408895148</v>
          </cell>
          <cell r="V103">
            <v>464.78133468369629</v>
          </cell>
          <cell r="W103">
            <v>488.71872797255992</v>
          </cell>
          <cell r="X103">
            <v>508.36127851145193</v>
          </cell>
          <cell r="Y103">
            <v>531.80688494943433</v>
          </cell>
          <cell r="Z103">
            <v>0</v>
          </cell>
          <cell r="AG103" t="str">
            <v xml:space="preserve"> - Europe</v>
          </cell>
          <cell r="AV103" t="str">
            <v xml:space="preserve"> - USD Debt</v>
          </cell>
        </row>
        <row r="104">
          <cell r="A104">
            <v>77</v>
          </cell>
          <cell r="B104" t="str">
            <v>Gearing</v>
          </cell>
          <cell r="D104">
            <v>0.38412393589106497</v>
          </cell>
          <cell r="E104">
            <v>0.37741908504266741</v>
          </cell>
          <cell r="F104">
            <v>0.44101295699188903</v>
          </cell>
          <cell r="G104">
            <v>0.43766530695800648</v>
          </cell>
          <cell r="H104">
            <v>0.44408830454055376</v>
          </cell>
          <cell r="I104">
            <v>0.44624583122921341</v>
          </cell>
          <cell r="J104">
            <v>0.45094714543482611</v>
          </cell>
          <cell r="K104">
            <v>0.4557195653801821</v>
          </cell>
          <cell r="L104">
            <v>0.46021493325801188</v>
          </cell>
          <cell r="M104">
            <v>0.46413977259768524</v>
          </cell>
          <cell r="R104" t="str">
            <v>% of EBIT from the Corp</v>
          </cell>
          <cell r="S104">
            <v>0</v>
          </cell>
          <cell r="T104">
            <v>0.52194400322154966</v>
          </cell>
          <cell r="U104">
            <v>0.58612651810495364</v>
          </cell>
          <cell r="V104">
            <v>0.55842384101012277</v>
          </cell>
          <cell r="W104">
            <v>0.55158183176885767</v>
          </cell>
          <cell r="X104">
            <v>0.56290122498426065</v>
          </cell>
          <cell r="Y104">
            <v>0.55960987642230886</v>
          </cell>
          <cell r="Z104" t="e">
            <v>#DIV/0!</v>
          </cell>
          <cell r="AG104" t="str">
            <v xml:space="preserve"> - HK-China</v>
          </cell>
          <cell r="AV104" t="str">
            <v xml:space="preserve"> - UKP Debt</v>
          </cell>
        </row>
        <row r="105">
          <cell r="A105">
            <v>78</v>
          </cell>
          <cell r="B105" t="str">
            <v>EBIT/EV</v>
          </cell>
          <cell r="R105" t="str">
            <v xml:space="preserve"> - From REDS</v>
          </cell>
          <cell r="S105" t="str">
            <v>ééééé</v>
          </cell>
          <cell r="T105" t="str">
            <v>CORRECT</v>
          </cell>
          <cell r="U105" t="str">
            <v>CORRECT</v>
          </cell>
          <cell r="V105" t="str">
            <v>CORRECT</v>
          </cell>
          <cell r="W105" t="str">
            <v>CORRECT</v>
          </cell>
          <cell r="X105" t="str">
            <v>CORRECT</v>
          </cell>
          <cell r="Y105" t="str">
            <v>CORRECT</v>
          </cell>
          <cell r="Z105" t="e">
            <v>#REF!</v>
          </cell>
          <cell r="AA105" t="str">
            <v>ééééé</v>
          </cell>
          <cell r="AG105" t="str">
            <v xml:space="preserve"> - Singapore</v>
          </cell>
          <cell r="AV105" t="str">
            <v xml:space="preserve"> - Euro Debt</v>
          </cell>
        </row>
        <row r="106">
          <cell r="A106">
            <v>79</v>
          </cell>
          <cell r="B106" t="str">
            <v>Spare</v>
          </cell>
          <cell r="T106">
            <v>0</v>
          </cell>
          <cell r="AG106" t="str">
            <v xml:space="preserve"> - Japan</v>
          </cell>
          <cell r="AV106" t="str">
            <v xml:space="preserve"> - HK Debt</v>
          </cell>
        </row>
        <row r="107">
          <cell r="A107">
            <v>80</v>
          </cell>
          <cell r="B107" t="str">
            <v>Spare</v>
          </cell>
          <cell r="R107" t="str">
            <v>Interest Income</v>
          </cell>
          <cell r="AG107" t="str">
            <v xml:space="preserve"> - Canada</v>
          </cell>
          <cell r="AV107" t="str">
            <v xml:space="preserve"> - Singapore Debt</v>
          </cell>
        </row>
        <row r="108">
          <cell r="A108">
            <v>81</v>
          </cell>
          <cell r="B108" t="str">
            <v>Spare</v>
          </cell>
          <cell r="R108" t="str">
            <v xml:space="preserve"> - Interest on Cash</v>
          </cell>
          <cell r="S108">
            <v>6.4610000000000003</v>
          </cell>
          <cell r="T108">
            <v>5.8390000000000004</v>
          </cell>
          <cell r="U108">
            <v>3.498599999999997</v>
          </cell>
          <cell r="V108">
            <v>2.623599999999997</v>
          </cell>
          <cell r="W108">
            <v>2.623599999999997</v>
          </cell>
          <cell r="X108">
            <v>2.6236000000000042</v>
          </cell>
          <cell r="Y108">
            <v>2.6236000000000042</v>
          </cell>
          <cell r="Z108">
            <v>0</v>
          </cell>
          <cell r="AG108" t="str">
            <v xml:space="preserve"> - Other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V108" t="str">
            <v xml:space="preserve"> - Japan Debt</v>
          </cell>
        </row>
        <row r="109">
          <cell r="A109">
            <v>82</v>
          </cell>
          <cell r="B109" t="str">
            <v>NPI - Top 5 Properties</v>
          </cell>
          <cell r="R109" t="str">
            <v xml:space="preserve"> - Margin on Cross Currency Swaps</v>
          </cell>
          <cell r="AG109" t="str">
            <v>Off Balance Sheet DEBT / LIABILITIES</v>
          </cell>
          <cell r="AV109" t="str">
            <v xml:space="preserve"> - Canada Debt</v>
          </cell>
        </row>
        <row r="110">
          <cell r="A110">
            <v>83</v>
          </cell>
          <cell r="B110" t="str">
            <v>Optus, 101 Miller St</v>
          </cell>
          <cell r="E110">
            <v>28237114.218353502</v>
          </cell>
          <cell r="F110">
            <v>28500035.238182675</v>
          </cell>
          <cell r="G110">
            <v>28762604.802830063</v>
          </cell>
          <cell r="H110">
            <v>13070513.168564409</v>
          </cell>
          <cell r="I110">
            <v>18949226.394966964</v>
          </cell>
          <cell r="J110">
            <v>26730736.109926879</v>
          </cell>
          <cell r="K110">
            <v>25129337.116328623</v>
          </cell>
          <cell r="L110">
            <v>25820393.887027662</v>
          </cell>
          <cell r="M110">
            <v>26530454.718920924</v>
          </cell>
          <cell r="R110" t="str">
            <v>Interest Income</v>
          </cell>
          <cell r="S110">
            <v>6.4610000000000003</v>
          </cell>
          <cell r="T110">
            <v>5.8390000000000004</v>
          </cell>
          <cell r="U110">
            <v>3.498599999999997</v>
          </cell>
          <cell r="V110">
            <v>2.623599999999997</v>
          </cell>
          <cell r="W110">
            <v>2.623599999999997</v>
          </cell>
          <cell r="X110">
            <v>2.6236000000000042</v>
          </cell>
          <cell r="Y110">
            <v>2.6236000000000042</v>
          </cell>
          <cell r="Z110">
            <v>0</v>
          </cell>
          <cell r="AG110" t="str">
            <v xml:space="preserve"> - AUD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V110" t="str">
            <v xml:space="preserve"> - Other Debt</v>
          </cell>
        </row>
        <row r="111">
          <cell r="A111">
            <v>84</v>
          </cell>
          <cell r="B111" t="str">
            <v>Kawana Shoppingworld</v>
          </cell>
          <cell r="E111">
            <v>10370331.56881617</v>
          </cell>
          <cell r="F111">
            <v>10793491.515880655</v>
          </cell>
          <cell r="G111">
            <v>11009361.346198268</v>
          </cell>
          <cell r="H111">
            <v>11449735.8000462</v>
          </cell>
          <cell r="I111">
            <v>12022222.590048511</v>
          </cell>
          <cell r="J111">
            <v>12382889.267749967</v>
          </cell>
          <cell r="K111">
            <v>12630547.053104965</v>
          </cell>
          <cell r="L111">
            <v>12756852.523636015</v>
          </cell>
          <cell r="M111">
            <v>13139558.099345095</v>
          </cell>
          <cell r="AG111" t="str">
            <v xml:space="preserve"> - NZD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</row>
        <row r="112">
          <cell r="A112">
            <v>85</v>
          </cell>
          <cell r="B112" t="str">
            <v>60 Margaret St (MET Centre)</v>
          </cell>
          <cell r="E112">
            <v>9255085.7555256747</v>
          </cell>
          <cell r="F112">
            <v>8467413.3219068963</v>
          </cell>
          <cell r="G112">
            <v>8873136.9931371734</v>
          </cell>
          <cell r="H112">
            <v>9310530.6090243738</v>
          </cell>
          <cell r="I112">
            <v>10623531.004540212</v>
          </cell>
          <cell r="J112">
            <v>9614575.2742484026</v>
          </cell>
          <cell r="K112">
            <v>11339771.229918506</v>
          </cell>
          <cell r="L112">
            <v>11651614.938741267</v>
          </cell>
          <cell r="M112">
            <v>11972034.349556653</v>
          </cell>
          <cell r="R112" t="str">
            <v>Interest Expense</v>
          </cell>
          <cell r="AG112" t="str">
            <v xml:space="preserve"> - USD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V112" t="str">
            <v>On Balance Sheet Debt</v>
          </cell>
        </row>
        <row r="113">
          <cell r="A113">
            <v>86</v>
          </cell>
          <cell r="B113" t="str">
            <v>Waverley Gardens</v>
          </cell>
          <cell r="E113">
            <v>5543027.5930640521</v>
          </cell>
          <cell r="F113">
            <v>8250000</v>
          </cell>
          <cell r="G113">
            <v>8782499.9999999981</v>
          </cell>
          <cell r="H113">
            <v>11025974.999999998</v>
          </cell>
          <cell r="I113">
            <v>11577273.75</v>
          </cell>
          <cell r="J113">
            <v>11808819.225000001</v>
          </cell>
          <cell r="K113">
            <v>11808819.225000001</v>
          </cell>
          <cell r="L113">
            <v>12044995.6095</v>
          </cell>
          <cell r="M113">
            <v>12526795.433880001</v>
          </cell>
          <cell r="R113" t="str">
            <v xml:space="preserve"> - Australian Debt</v>
          </cell>
          <cell r="S113">
            <v>89.722999999999985</v>
          </cell>
          <cell r="T113">
            <v>93.289999999999992</v>
          </cell>
          <cell r="U113">
            <v>118.58980669859787</v>
          </cell>
          <cell r="V113">
            <v>134.6564355679792</v>
          </cell>
          <cell r="W113">
            <v>152.00375416595887</v>
          </cell>
          <cell r="X113">
            <v>162.86536709585275</v>
          </cell>
          <cell r="Y113">
            <v>171.47793054228077</v>
          </cell>
          <cell r="Z113">
            <v>0</v>
          </cell>
          <cell r="AG113" t="str">
            <v xml:space="preserve"> - UKP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V113" t="str">
            <v>Average Floating Rate</v>
          </cell>
          <cell r="AX113" t="str">
            <v>FORECASTS</v>
          </cell>
          <cell r="AY113" t="str">
            <v>FORECASTS</v>
          </cell>
          <cell r="BA113">
            <v>3.8842439625606559E-2</v>
          </cell>
          <cell r="BB113">
            <v>4.4520278896970557E-2</v>
          </cell>
          <cell r="BC113">
            <v>4.8601312118919854E-2</v>
          </cell>
          <cell r="BD113">
            <v>5.7027808954032096E-2</v>
          </cell>
          <cell r="BE113">
            <v>5.85519619637698E-2</v>
          </cell>
        </row>
        <row r="114">
          <cell r="A114">
            <v>87</v>
          </cell>
          <cell r="B114" t="str">
            <v>40 Miller St</v>
          </cell>
          <cell r="E114">
            <v>6387666.2956519509</v>
          </cell>
          <cell r="F114">
            <v>6416104.68831209</v>
          </cell>
          <cell r="G114">
            <v>6363051.6187472222</v>
          </cell>
          <cell r="H114">
            <v>5841399.4850571388</v>
          </cell>
          <cell r="I114">
            <v>6615332.4260061532</v>
          </cell>
          <cell r="J114">
            <v>6780887.4676232226</v>
          </cell>
          <cell r="K114">
            <v>5878137.6850580201</v>
          </cell>
          <cell r="L114">
            <v>6039786.4713971158</v>
          </cell>
          <cell r="M114">
            <v>6205880.5993605368</v>
          </cell>
          <cell r="R114" t="str">
            <v xml:space="preserve"> - NZ Debt (in AUD)</v>
          </cell>
          <cell r="AG114" t="str">
            <v xml:space="preserve"> - Europe</v>
          </cell>
          <cell r="AV114" t="str">
            <v>Average Hedged Rate</v>
          </cell>
          <cell r="AX114" t="str">
            <v>ONLY</v>
          </cell>
          <cell r="AY114" t="str">
            <v>ONLY</v>
          </cell>
          <cell r="BA114">
            <v>5.1885567734979328E-2</v>
          </cell>
          <cell r="BB114">
            <v>5.1669724653127094E-2</v>
          </cell>
          <cell r="BC114">
            <v>5.1667976278007663E-2</v>
          </cell>
          <cell r="BD114">
            <v>5.0298648630077561E-2</v>
          </cell>
          <cell r="BE114">
            <v>5.0444434493347956E-2</v>
          </cell>
        </row>
        <row r="115">
          <cell r="A115">
            <v>88</v>
          </cell>
          <cell r="R115" t="str">
            <v xml:space="preserve"> - US Debt (in AUD)</v>
          </cell>
          <cell r="AG115" t="str">
            <v xml:space="preserve"> - HK-China</v>
          </cell>
          <cell r="AV115" t="str">
            <v>Blended Rate</v>
          </cell>
          <cell r="AX115" t="str">
            <v>FORECASTS</v>
          </cell>
          <cell r="AY115" t="str">
            <v>FORECASTS</v>
          </cell>
          <cell r="BA115">
            <v>4.9576382710833006E-2</v>
          </cell>
          <cell r="BB115">
            <v>5.0432568895974597E-2</v>
          </cell>
          <cell r="BC115">
            <v>5.1132701766198468E-2</v>
          </cell>
          <cell r="BD115">
            <v>5.1833292742919659E-2</v>
          </cell>
          <cell r="BE115">
            <v>5.3028061848845148E-2</v>
          </cell>
        </row>
        <row r="116">
          <cell r="A116">
            <v>89</v>
          </cell>
          <cell r="B116" t="str">
            <v>Valuation / Recommendation</v>
          </cell>
          <cell r="R116" t="str">
            <v xml:space="preserve"> - UK Debt (in AUD)</v>
          </cell>
          <cell r="AG116" t="str">
            <v xml:space="preserve"> - Singapore</v>
          </cell>
          <cell r="AV116" t="str">
            <v>% Hedged</v>
          </cell>
          <cell r="AX116" t="str">
            <v>ONLY</v>
          </cell>
          <cell r="AY116" t="str">
            <v>ONLY</v>
          </cell>
          <cell r="BA116">
            <v>0.88763762916272215</v>
          </cell>
          <cell r="BB116">
            <v>0.82815555934351426</v>
          </cell>
          <cell r="BC116">
            <v>0.82823832515823859</v>
          </cell>
          <cell r="BD116">
            <v>0.77067224167393777</v>
          </cell>
          <cell r="BE116">
            <v>0.67183661583307841</v>
          </cell>
        </row>
        <row r="117">
          <cell r="A117">
            <v>90</v>
          </cell>
          <cell r="B117" t="str">
            <v>Recommendation</v>
          </cell>
          <cell r="C117" t="str">
            <v>A-1-7</v>
          </cell>
          <cell r="R117" t="str">
            <v xml:space="preserve"> - European Debt (in AUD)</v>
          </cell>
          <cell r="AG117" t="str">
            <v xml:space="preserve"> - Japan</v>
          </cell>
          <cell r="AV117" t="str">
            <v>Currency for the Balance Sheet</v>
          </cell>
        </row>
        <row r="118">
          <cell r="A118">
            <v>91</v>
          </cell>
          <cell r="B118" t="str">
            <v>Financial Year</v>
          </cell>
          <cell r="C118">
            <v>38533</v>
          </cell>
          <cell r="G118" t="str">
            <v>NPV</v>
          </cell>
          <cell r="H118" t="str">
            <v>Discount Rate</v>
          </cell>
          <cell r="I118" t="str">
            <v>Terminal Yield</v>
          </cell>
          <cell r="K118" t="str">
            <v>Segmental Inputs</v>
          </cell>
          <cell r="R118" t="str">
            <v xml:space="preserve"> - HK-China Debt (in AUD)</v>
          </cell>
          <cell r="AG118" t="str">
            <v xml:space="preserve"> - Canada</v>
          </cell>
          <cell r="AV118" t="str">
            <v>AUD / NZD</v>
          </cell>
          <cell r="AZ118">
            <v>1.1000000000000001</v>
          </cell>
          <cell r="BA118">
            <v>1.1000000000000001</v>
          </cell>
          <cell r="BB118">
            <v>1.1000000000000001</v>
          </cell>
          <cell r="BC118">
            <v>1.1000000000000001</v>
          </cell>
          <cell r="BD118">
            <v>1.1000000000000001</v>
          </cell>
          <cell r="BE118">
            <v>1.1000000000000001</v>
          </cell>
          <cell r="BF118">
            <v>1.1000000000000001</v>
          </cell>
          <cell r="BG118">
            <v>1.1000000000000001</v>
          </cell>
        </row>
        <row r="119">
          <cell r="A119">
            <v>92</v>
          </cell>
          <cell r="D119" t="str">
            <v>Stated</v>
          </cell>
          <cell r="E119" t="str">
            <v>Look Through</v>
          </cell>
          <cell r="G119">
            <v>420.686326719558</v>
          </cell>
          <cell r="H119">
            <v>0.1</v>
          </cell>
          <cell r="I119">
            <v>7.4999999999999997E-2</v>
          </cell>
          <cell r="K119" t="str">
            <v>Yield on LPT</v>
          </cell>
          <cell r="N119">
            <v>7.0000000000000007E-2</v>
          </cell>
          <cell r="R119" t="str">
            <v xml:space="preserve"> - Singapore Debt (in AUD)</v>
          </cell>
          <cell r="AG119" t="str">
            <v xml:space="preserve"> - Other</v>
          </cell>
          <cell r="AV119" t="str">
            <v>AUD / USD</v>
          </cell>
          <cell r="AZ119">
            <v>0.77500000000000002</v>
          </cell>
          <cell r="BA119">
            <v>0.7</v>
          </cell>
          <cell r="BB119">
            <v>0.7</v>
          </cell>
          <cell r="BC119">
            <v>0.7</v>
          </cell>
          <cell r="BD119">
            <v>0.7</v>
          </cell>
          <cell r="BE119">
            <v>0.7</v>
          </cell>
          <cell r="BF119">
            <v>0.7</v>
          </cell>
          <cell r="BG119">
            <v>0.7</v>
          </cell>
        </row>
        <row r="120">
          <cell r="A120">
            <v>93</v>
          </cell>
          <cell r="B120" t="str">
            <v>Property</v>
          </cell>
          <cell r="D120">
            <v>2484963000</v>
          </cell>
          <cell r="E120">
            <v>2484963000</v>
          </cell>
          <cell r="K120" t="str">
            <v>PE on the Corp and Value</v>
          </cell>
          <cell r="N120">
            <v>12.717785998505015</v>
          </cell>
          <cell r="R120" t="str">
            <v xml:space="preserve"> - Japan Debt (in AUD)</v>
          </cell>
          <cell r="AG120" t="str">
            <v>Total Debt - Look Through</v>
          </cell>
          <cell r="AV120" t="str">
            <v>AUD / UK Sterling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</row>
        <row r="121">
          <cell r="A121">
            <v>94</v>
          </cell>
          <cell r="B121" t="str">
            <v>Total Assets</v>
          </cell>
          <cell r="D121">
            <v>5442165000</v>
          </cell>
          <cell r="E121">
            <v>5442165000</v>
          </cell>
          <cell r="G121" t="str">
            <v>ML NAV</v>
          </cell>
          <cell r="H121" t="str">
            <v>LPT</v>
          </cell>
          <cell r="I121" t="str">
            <v>Corp</v>
          </cell>
          <cell r="K121" t="str">
            <v>Yield on DPU</v>
          </cell>
          <cell r="N121">
            <v>7.3247713181252408E-2</v>
          </cell>
          <cell r="R121" t="str">
            <v xml:space="preserve"> - Canadian Debt (in AUD)</v>
          </cell>
          <cell r="AG121" t="str">
            <v xml:space="preserve"> - AUD</v>
          </cell>
          <cell r="AK121">
            <v>2084.8200000000002</v>
          </cell>
          <cell r="AL121">
            <v>3204.7740145479374</v>
          </cell>
          <cell r="AM121">
            <v>3313.367370308416</v>
          </cell>
          <cell r="AN121">
            <v>3604.5765589084958</v>
          </cell>
          <cell r="AO121">
            <v>3763.3886742548684</v>
          </cell>
          <cell r="AP121">
            <v>3952.3327336473576</v>
          </cell>
          <cell r="AQ121">
            <v>0</v>
          </cell>
          <cell r="AR121">
            <v>0</v>
          </cell>
          <cell r="AV121" t="str">
            <v>AUD / Euro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</row>
        <row r="122">
          <cell r="A122">
            <v>95</v>
          </cell>
          <cell r="B122" t="str">
            <v>Debt</v>
          </cell>
          <cell r="D122">
            <v>2320657000</v>
          </cell>
          <cell r="E122">
            <v>2320657000</v>
          </cell>
          <cell r="G122">
            <v>248.78493324969472</v>
          </cell>
          <cell r="H122">
            <v>248.78493324969472</v>
          </cell>
          <cell r="I122">
            <v>148.41505367915701</v>
          </cell>
          <cell r="K122" t="str">
            <v>Corporation Valuation - Next 12 months</v>
          </cell>
          <cell r="R122" t="str">
            <v xml:space="preserve"> - Other Debt (in AUD)</v>
          </cell>
          <cell r="AG122" t="str">
            <v xml:space="preserve"> - NZD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V122" t="str">
            <v>AUD / HK - China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  <cell r="BF122">
            <v>0</v>
          </cell>
          <cell r="BG122">
            <v>0</v>
          </cell>
        </row>
        <row r="123">
          <cell r="A123">
            <v>96</v>
          </cell>
          <cell r="B123" t="str">
            <v>Net Assets</v>
          </cell>
          <cell r="D123">
            <v>3121508000</v>
          </cell>
          <cell r="E123">
            <v>3121508000</v>
          </cell>
          <cell r="K123" t="str">
            <v xml:space="preserve"> - Residential Subdivision</v>
          </cell>
          <cell r="M123">
            <v>15</v>
          </cell>
          <cell r="N123">
            <v>0</v>
          </cell>
          <cell r="R123" t="str">
            <v>Total Interest Expense</v>
          </cell>
          <cell r="S123">
            <v>89.722999999999985</v>
          </cell>
          <cell r="T123">
            <v>93.289999999999992</v>
          </cell>
          <cell r="U123">
            <v>118.58980669859787</v>
          </cell>
          <cell r="V123">
            <v>134.6564355679792</v>
          </cell>
          <cell r="W123">
            <v>152.00375416595887</v>
          </cell>
          <cell r="X123">
            <v>162.86536709585275</v>
          </cell>
          <cell r="Y123">
            <v>171.47793054228077</v>
          </cell>
          <cell r="Z123">
            <v>0</v>
          </cell>
          <cell r="AG123" t="str">
            <v xml:space="preserve"> - USD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V123" t="str">
            <v>AUD / Singapore</v>
          </cell>
        </row>
        <row r="124">
          <cell r="A124">
            <v>97</v>
          </cell>
          <cell r="B124" t="str">
            <v>Cash (ex prov for Distribution)</v>
          </cell>
          <cell r="D124">
            <v>-10302000</v>
          </cell>
          <cell r="G124" t="str">
            <v>Segmental</v>
          </cell>
          <cell r="H124" t="str">
            <v>LPT</v>
          </cell>
          <cell r="I124" t="str">
            <v>Corp</v>
          </cell>
          <cell r="K124" t="str">
            <v xml:space="preserve"> - Residential Medium Density </v>
          </cell>
          <cell r="M124">
            <v>12</v>
          </cell>
          <cell r="N124">
            <v>1035.2772427484608</v>
          </cell>
          <cell r="R124" t="str">
            <v xml:space="preserve"> - From REDS</v>
          </cell>
          <cell r="S124" t="str">
            <v>ééééé</v>
          </cell>
          <cell r="T124" t="str">
            <v>CORRECT</v>
          </cell>
          <cell r="U124" t="str">
            <v>CORRECT</v>
          </cell>
          <cell r="V124" t="str">
            <v>CORRECT</v>
          </cell>
          <cell r="W124" t="str">
            <v>CORRECT</v>
          </cell>
          <cell r="X124" t="str">
            <v>CORRECT</v>
          </cell>
          <cell r="Y124" t="str">
            <v>CORRECT</v>
          </cell>
          <cell r="Z124" t="str">
            <v>CORRECT</v>
          </cell>
          <cell r="AA124" t="str">
            <v>ééééé</v>
          </cell>
          <cell r="AG124" t="str">
            <v xml:space="preserve"> - UKP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V124" t="str">
            <v>AUD / Japan</v>
          </cell>
        </row>
        <row r="125">
          <cell r="A125">
            <v>98</v>
          </cell>
          <cell r="B125" t="str">
            <v>Management Fee</v>
          </cell>
          <cell r="D125">
            <v>4.0000000000000001E-3</v>
          </cell>
          <cell r="E125" t="str">
            <v xml:space="preserve"> - % of assets</v>
          </cell>
          <cell r="G125">
            <v>304.13747606399841</v>
          </cell>
          <cell r="H125">
            <v>304.13747606399841</v>
          </cell>
          <cell r="I125">
            <v>159.57073504308653</v>
          </cell>
          <cell r="K125" t="str">
            <v xml:space="preserve"> - Non Res Development Profits</v>
          </cell>
          <cell r="M125">
            <v>10</v>
          </cell>
          <cell r="N125">
            <v>0</v>
          </cell>
          <cell r="AG125" t="str">
            <v xml:space="preserve"> - Europe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V125" t="str">
            <v>AUD / Canada</v>
          </cell>
        </row>
        <row r="126">
          <cell r="A126">
            <v>99</v>
          </cell>
          <cell r="B126" t="str">
            <v>MER Estimate</v>
          </cell>
          <cell r="D126">
            <v>4.0000000000000001E-3</v>
          </cell>
          <cell r="K126" t="str">
            <v xml:space="preserve"> - Funds Management</v>
          </cell>
          <cell r="M126">
            <v>15</v>
          </cell>
          <cell r="N126">
            <v>335.18273409681018</v>
          </cell>
          <cell r="R126" t="str">
            <v>Tax</v>
          </cell>
          <cell r="AG126" t="str">
            <v xml:space="preserve"> - HK-China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V126" t="str">
            <v>AUD / Other</v>
          </cell>
        </row>
        <row r="127">
          <cell r="A127">
            <v>100</v>
          </cell>
          <cell r="B127" t="str">
            <v>Management Expenses</v>
          </cell>
          <cell r="D127">
            <v>21768660</v>
          </cell>
          <cell r="G127" t="str">
            <v>Accrued DPU</v>
          </cell>
          <cell r="K127" t="str">
            <v xml:space="preserve"> - Property Management</v>
          </cell>
          <cell r="M127">
            <v>0</v>
          </cell>
          <cell r="N127">
            <v>0</v>
          </cell>
          <cell r="R127" t="str">
            <v xml:space="preserve"> - Corporate</v>
          </cell>
          <cell r="S127">
            <v>43.555</v>
          </cell>
          <cell r="T127">
            <v>35.753</v>
          </cell>
          <cell r="U127">
            <v>40.711036238060686</v>
          </cell>
          <cell r="V127">
            <v>43.826759013133682</v>
          </cell>
          <cell r="W127">
            <v>47.400338247260542</v>
          </cell>
          <cell r="X127">
            <v>48.790064561025396</v>
          </cell>
          <cell r="Y127">
            <v>52.154374229148821</v>
          </cell>
          <cell r="Z127">
            <v>0</v>
          </cell>
          <cell r="AG127" t="str">
            <v xml:space="preserve"> - Singapore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</row>
        <row r="128">
          <cell r="A128">
            <v>101</v>
          </cell>
          <cell r="G128">
            <v>6.0652352731092671</v>
          </cell>
          <cell r="K128" t="str">
            <v xml:space="preserve"> - Construction / Contract Housing</v>
          </cell>
          <cell r="M128">
            <v>10</v>
          </cell>
          <cell r="N128">
            <v>0</v>
          </cell>
          <cell r="R128" t="str">
            <v xml:space="preserve"> - Withholding Tax (LPT)</v>
          </cell>
          <cell r="AG128" t="str">
            <v xml:space="preserve"> - Japan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V128" t="str">
            <v>Debt - Off Balance Sheet</v>
          </cell>
        </row>
        <row r="129">
          <cell r="A129">
            <v>102</v>
          </cell>
          <cell r="K129" t="str">
            <v xml:space="preserve"> - Asset Sales</v>
          </cell>
          <cell r="M129">
            <v>1</v>
          </cell>
          <cell r="N129">
            <v>0</v>
          </cell>
          <cell r="AG129" t="str">
            <v xml:space="preserve"> - Canada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</row>
        <row r="130">
          <cell r="A130">
            <v>103</v>
          </cell>
          <cell r="B130" t="str">
            <v>Basis of Fee</v>
          </cell>
          <cell r="D130" t="str">
            <v>Net Income and Gross Assets</v>
          </cell>
          <cell r="K130" t="str">
            <v xml:space="preserve"> - Other [1]</v>
          </cell>
          <cell r="M130">
            <v>0</v>
          </cell>
          <cell r="N130">
            <v>0</v>
          </cell>
          <cell r="R130" t="str">
            <v>Outside Equity Interests</v>
          </cell>
          <cell r="S130">
            <v>0</v>
          </cell>
          <cell r="T130">
            <v>1.0580000000000001</v>
          </cell>
          <cell r="U130">
            <v>0.51700000000000002</v>
          </cell>
          <cell r="V130">
            <v>0.51700000000000002</v>
          </cell>
          <cell r="W130">
            <v>0.51700000000000002</v>
          </cell>
          <cell r="X130">
            <v>0.51700000000000002</v>
          </cell>
          <cell r="Y130">
            <v>0.51700000000000002</v>
          </cell>
          <cell r="Z130">
            <v>0</v>
          </cell>
          <cell r="AG130" t="str">
            <v xml:space="preserve"> - Other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V130" t="str">
            <v>Hedge Rate - Off Balance Sheet</v>
          </cell>
          <cell r="AY130" t="str">
            <v>Forecasts Only</v>
          </cell>
          <cell r="AZ130" t="str">
            <v>Forecasts Only</v>
          </cell>
        </row>
        <row r="131">
          <cell r="A131">
            <v>104</v>
          </cell>
          <cell r="B131" t="str">
            <v>Units on Issue</v>
          </cell>
          <cell r="D131">
            <v>858841677</v>
          </cell>
          <cell r="K131" t="str">
            <v xml:space="preserve"> - Other [2]</v>
          </cell>
          <cell r="M131">
            <v>0</v>
          </cell>
          <cell r="N131">
            <v>0</v>
          </cell>
          <cell r="AV131" t="str">
            <v xml:space="preserve"> - AUD Debt</v>
          </cell>
        </row>
        <row r="132">
          <cell r="A132">
            <v>105</v>
          </cell>
          <cell r="K132" t="str">
            <v xml:space="preserve"> - Investment Income within the Corporation</v>
          </cell>
          <cell r="M132">
            <v>14.285714285714285</v>
          </cell>
          <cell r="N132">
            <v>0</v>
          </cell>
          <cell r="R132" t="str">
            <v>NPAT</v>
          </cell>
          <cell r="S132">
            <v>252.69800000000026</v>
          </cell>
          <cell r="T132">
            <v>233.32999999999984</v>
          </cell>
          <cell r="U132">
            <v>268.48022115229298</v>
          </cell>
          <cell r="V132">
            <v>288.40474010258339</v>
          </cell>
          <cell r="W132">
            <v>291.42123555934052</v>
          </cell>
          <cell r="X132">
            <v>298.81244685457375</v>
          </cell>
          <cell r="Y132">
            <v>310.28118017800477</v>
          </cell>
          <cell r="Z132">
            <v>0</v>
          </cell>
          <cell r="AG132" t="str">
            <v>Location of Assets - Look Through Basis</v>
          </cell>
          <cell r="AV132" t="str">
            <v xml:space="preserve"> - NZD Debt</v>
          </cell>
        </row>
        <row r="133">
          <cell r="A133">
            <v>106</v>
          </cell>
          <cell r="B133" t="str">
            <v>Balance Sheet Stats</v>
          </cell>
          <cell r="K133" t="str">
            <v xml:space="preserve"> - COSTS (Overhead)</v>
          </cell>
          <cell r="M133">
            <v>12.717785998505015</v>
          </cell>
          <cell r="N133">
            <v>0</v>
          </cell>
          <cell r="R133" t="str">
            <v xml:space="preserve"> - From REDS</v>
          </cell>
          <cell r="S133" t="str">
            <v>ééééé</v>
          </cell>
          <cell r="T133" t="str">
            <v>CORRECT</v>
          </cell>
          <cell r="U133" t="str">
            <v>CORRECT</v>
          </cell>
          <cell r="V133" t="str">
            <v>CORRECT</v>
          </cell>
          <cell r="W133" t="str">
            <v>CORRECT</v>
          </cell>
          <cell r="X133" t="str">
            <v>CORRECT</v>
          </cell>
          <cell r="Y133" t="str">
            <v>CORRECT</v>
          </cell>
          <cell r="Z133" t="str">
            <v>CORRECT</v>
          </cell>
          <cell r="AC133" t="str">
            <v>ééééé</v>
          </cell>
          <cell r="AV133" t="str">
            <v xml:space="preserve"> - USD Debt</v>
          </cell>
        </row>
        <row r="134">
          <cell r="A134">
            <v>107</v>
          </cell>
          <cell r="B134" t="str">
            <v>Debt to Total Assets</v>
          </cell>
          <cell r="D134">
            <v>0.42642165388223252</v>
          </cell>
          <cell r="E134" t="str">
            <v xml:space="preserve"> - look through</v>
          </cell>
          <cell r="G134" t="str">
            <v>Distribution Re-investment Plan - Statistics</v>
          </cell>
          <cell r="K134" t="str">
            <v>PE on the Corp and Value</v>
          </cell>
          <cell r="M134">
            <v>12.733730440348321</v>
          </cell>
          <cell r="N134">
            <v>1370.4599768452711</v>
          </cell>
          <cell r="AG134" t="str">
            <v>Australian Portfolios</v>
          </cell>
          <cell r="AH134">
            <v>1</v>
          </cell>
          <cell r="AJ134" t="str">
            <v>UK</v>
          </cell>
          <cell r="AL134">
            <v>0</v>
          </cell>
          <cell r="AN134" t="str">
            <v>USA</v>
          </cell>
          <cell r="AP134">
            <v>0</v>
          </cell>
          <cell r="AV134" t="str">
            <v xml:space="preserve"> - UKP Debt</v>
          </cell>
        </row>
        <row r="135">
          <cell r="A135">
            <v>108</v>
          </cell>
          <cell r="B135" t="str">
            <v xml:space="preserve"> - Head Line</v>
          </cell>
          <cell r="D135">
            <v>0.41037600135668678</v>
          </cell>
          <cell r="E135" t="str">
            <v xml:space="preserve"> - stated in Accounts</v>
          </cell>
          <cell r="G135" t="str">
            <v>DRP (Yes/No)</v>
          </cell>
          <cell r="I135" t="str">
            <v>Yes</v>
          </cell>
          <cell r="K135" t="str">
            <v>+ New Business</v>
          </cell>
          <cell r="N135">
            <v>0</v>
          </cell>
          <cell r="R135" t="str">
            <v xml:space="preserve"> - Transfer from Capital</v>
          </cell>
          <cell r="S135">
            <v>-29.780000000000257</v>
          </cell>
          <cell r="T135">
            <v>33.07700000000014</v>
          </cell>
          <cell r="U135">
            <v>-5.6843418860808015E-14</v>
          </cell>
          <cell r="V135">
            <v>-5.6074218848654596</v>
          </cell>
          <cell r="W135">
            <v>-6.0243394621806488</v>
          </cell>
          <cell r="X135">
            <v>-6.0198075321191027</v>
          </cell>
          <cell r="Y135">
            <v>-6.2456436600672873</v>
          </cell>
          <cell r="Z135">
            <v>0</v>
          </cell>
          <cell r="AG135" t="str">
            <v>NSW</v>
          </cell>
          <cell r="AH135">
            <v>0.53664591680059404</v>
          </cell>
          <cell r="AJ135" t="str">
            <v>England</v>
          </cell>
          <cell r="AL135">
            <v>0</v>
          </cell>
          <cell r="AV135" t="str">
            <v xml:space="preserve"> - Euro Debt</v>
          </cell>
        </row>
        <row r="136">
          <cell r="A136">
            <v>109</v>
          </cell>
          <cell r="B136" t="str">
            <v>Debt to Net Assets</v>
          </cell>
          <cell r="D136">
            <v>0.74344099070064851</v>
          </cell>
          <cell r="G136" t="str">
            <v>DRP Discount (NA or %)</v>
          </cell>
          <cell r="I136">
            <v>0.02</v>
          </cell>
          <cell r="R136" t="str">
            <v xml:space="preserve"> - Stapled Company Eliminations</v>
          </cell>
          <cell r="AG136" t="str">
            <v>VIC</v>
          </cell>
          <cell r="AH136">
            <v>0.22485972644836666</v>
          </cell>
          <cell r="AJ136" t="str">
            <v>Scotland</v>
          </cell>
          <cell r="AL136">
            <v>0</v>
          </cell>
          <cell r="AN136" t="str">
            <v>West Coast</v>
          </cell>
          <cell r="AO136">
            <v>0</v>
          </cell>
          <cell r="AP136" t="str">
            <v>Mid West</v>
          </cell>
          <cell r="AQ136">
            <v>0</v>
          </cell>
          <cell r="AV136" t="str">
            <v xml:space="preserve"> - HK Debt</v>
          </cell>
        </row>
        <row r="137">
          <cell r="A137">
            <v>110</v>
          </cell>
          <cell r="B137" t="str">
            <v>Cash/Total Assets</v>
          </cell>
          <cell r="D137">
            <v>-1.8929966290988972E-3</v>
          </cell>
          <cell r="G137" t="str">
            <v>Entitlement</v>
          </cell>
          <cell r="I137" t="str">
            <v>Equally</v>
          </cell>
          <cell r="K137" t="str">
            <v>Other Valuation Stuff</v>
          </cell>
          <cell r="R137" t="str">
            <v>Distribution</v>
          </cell>
          <cell r="S137">
            <v>222.91800000000001</v>
          </cell>
          <cell r="T137">
            <v>266.40699999999998</v>
          </cell>
          <cell r="U137">
            <v>268.48022115229293</v>
          </cell>
          <cell r="V137">
            <v>282.79731821771793</v>
          </cell>
          <cell r="W137">
            <v>285.39689609715987</v>
          </cell>
          <cell r="X137">
            <v>292.79263932245465</v>
          </cell>
          <cell r="Y137">
            <v>304.03553651793749</v>
          </cell>
          <cell r="Z137">
            <v>0</v>
          </cell>
          <cell r="AG137" t="str">
            <v>QLD</v>
          </cell>
          <cell r="AH137">
            <v>0.15132176285842447</v>
          </cell>
          <cell r="AJ137" t="str">
            <v>Wales</v>
          </cell>
          <cell r="AL137">
            <v>0</v>
          </cell>
          <cell r="AN137" t="str">
            <v>CA California</v>
          </cell>
          <cell r="AO137">
            <v>0</v>
          </cell>
          <cell r="AP137" t="str">
            <v>IN Indiana</v>
          </cell>
          <cell r="AQ137">
            <v>0</v>
          </cell>
          <cell r="AV137" t="str">
            <v xml:space="preserve"> - Singapore Debt</v>
          </cell>
        </row>
        <row r="138">
          <cell r="A138">
            <v>111</v>
          </cell>
          <cell r="B138" t="str">
            <v>MER</v>
          </cell>
          <cell r="D138">
            <v>4.0000000000000001E-3</v>
          </cell>
          <cell r="G138" t="str">
            <v>DRP Pricing Period</v>
          </cell>
          <cell r="I138" t="str">
            <v>5 days XD</v>
          </cell>
          <cell r="R138" t="str">
            <v xml:space="preserve"> - Year End Retained Earnings</v>
          </cell>
          <cell r="S138">
            <v>0</v>
          </cell>
          <cell r="T138">
            <v>0</v>
          </cell>
          <cell r="U138">
            <v>0.86176390750902887</v>
          </cell>
          <cell r="V138">
            <v>0.86176390750902887</v>
          </cell>
          <cell r="W138">
            <v>0.86176390750902887</v>
          </cell>
          <cell r="X138">
            <v>0.86176390750902887</v>
          </cell>
          <cell r="Y138">
            <v>0.86176590750902893</v>
          </cell>
          <cell r="Z138" t="e">
            <v>#REF!</v>
          </cell>
          <cell r="AG138" t="str">
            <v>ACT</v>
          </cell>
          <cell r="AH138">
            <v>7.6789568570358249E-2</v>
          </cell>
          <cell r="AJ138" t="str">
            <v>Northern Ireland</v>
          </cell>
          <cell r="AL138">
            <v>0</v>
          </cell>
          <cell r="AN138" t="str">
            <v>NV Nevada</v>
          </cell>
          <cell r="AO138">
            <v>0</v>
          </cell>
          <cell r="AP138" t="str">
            <v>KY Kentucky</v>
          </cell>
          <cell r="AQ138">
            <v>0</v>
          </cell>
          <cell r="AV138" t="str">
            <v xml:space="preserve"> - Japan Debt</v>
          </cell>
        </row>
        <row r="139">
          <cell r="A139">
            <v>112</v>
          </cell>
          <cell r="B139" t="str">
            <v>Average Property Cap Rate</v>
          </cell>
          <cell r="D139">
            <v>7.127984232741115E-2</v>
          </cell>
          <cell r="AG139" t="str">
            <v>WA</v>
          </cell>
          <cell r="AH139">
            <v>0</v>
          </cell>
          <cell r="AN139" t="str">
            <v xml:space="preserve">OR Oregon </v>
          </cell>
          <cell r="AO139">
            <v>0</v>
          </cell>
          <cell r="AP139" t="str">
            <v>IL Illinois</v>
          </cell>
          <cell r="AQ139">
            <v>0</v>
          </cell>
          <cell r="AV139" t="str">
            <v xml:space="preserve"> - Canada Debt</v>
          </cell>
        </row>
        <row r="140">
          <cell r="A140">
            <v>113</v>
          </cell>
          <cell r="B140" t="str">
            <v>Stated NTA</v>
          </cell>
          <cell r="D140">
            <v>3.23</v>
          </cell>
          <cell r="R140" t="str">
            <v>IFRS Adjustments</v>
          </cell>
          <cell r="AG140" t="str">
            <v>SA</v>
          </cell>
          <cell r="AH140">
            <v>1.0383025322256613E-2</v>
          </cell>
          <cell r="AJ140" t="str">
            <v>Western Europe</v>
          </cell>
          <cell r="AL140">
            <v>0</v>
          </cell>
          <cell r="AN140" t="str">
            <v>WA Washington</v>
          </cell>
          <cell r="AO140">
            <v>0</v>
          </cell>
          <cell r="AP140" t="str">
            <v>MI Michigan</v>
          </cell>
          <cell r="AQ140">
            <v>0</v>
          </cell>
          <cell r="AV140" t="str">
            <v xml:space="preserve"> - Other Debt</v>
          </cell>
        </row>
        <row r="141">
          <cell r="A141">
            <v>114</v>
          </cell>
          <cell r="B141" t="str">
            <v>IFRS NTA</v>
          </cell>
          <cell r="D141">
            <v>0</v>
          </cell>
          <cell r="AG141" t="str">
            <v>NT</v>
          </cell>
          <cell r="AH141">
            <v>0</v>
          </cell>
          <cell r="AJ141" t="str">
            <v>Austria</v>
          </cell>
          <cell r="AL141">
            <v>0</v>
          </cell>
          <cell r="AP141" t="str">
            <v>OH Ohio</v>
          </cell>
          <cell r="AQ141">
            <v>0</v>
          </cell>
          <cell r="AV141" t="str">
            <v>Blended Rate - Off Balance Sheet</v>
          </cell>
          <cell r="AY141" t="str">
            <v>Forecasts Only</v>
          </cell>
          <cell r="AZ141" t="str">
            <v>Forecasts Only</v>
          </cell>
        </row>
        <row r="142">
          <cell r="A142">
            <v>115</v>
          </cell>
          <cell r="R142" t="str">
            <v>Revaluations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G142" t="str">
            <v>TAS</v>
          </cell>
          <cell r="AH142">
            <v>0</v>
          </cell>
          <cell r="AJ142" t="str">
            <v>Belgium</v>
          </cell>
          <cell r="AL142">
            <v>0</v>
          </cell>
          <cell r="AN142" t="str">
            <v>Texas</v>
          </cell>
          <cell r="AO142">
            <v>0</v>
          </cell>
          <cell r="AP142" t="str">
            <v>PA Pennsylvania</v>
          </cell>
          <cell r="AQ142">
            <v>0</v>
          </cell>
          <cell r="AV142" t="str">
            <v xml:space="preserve"> - AUD Debt</v>
          </cell>
        </row>
        <row r="143">
          <cell r="A143">
            <v>116</v>
          </cell>
          <cell r="R143" t="str">
            <v>Straight Lining of Rents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J143" t="str">
            <v>France</v>
          </cell>
          <cell r="AL143">
            <v>0</v>
          </cell>
          <cell r="AN143" t="str">
            <v>TX Texas</v>
          </cell>
          <cell r="AO143">
            <v>0</v>
          </cell>
          <cell r="AP143" t="str">
            <v>TN Tennessee</v>
          </cell>
          <cell r="AQ143">
            <v>0</v>
          </cell>
          <cell r="AV143" t="str">
            <v xml:space="preserve"> - NZD Debt</v>
          </cell>
        </row>
        <row r="144">
          <cell r="A144">
            <v>117</v>
          </cell>
          <cell r="R144" t="str">
            <v>Item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G144" t="str">
            <v>New Zealand</v>
          </cell>
          <cell r="AH144">
            <v>0</v>
          </cell>
          <cell r="AJ144" t="str">
            <v>Greece</v>
          </cell>
          <cell r="AL144">
            <v>0</v>
          </cell>
          <cell r="AP144" t="str">
            <v>WV West Virginia</v>
          </cell>
          <cell r="AQ144">
            <v>0</v>
          </cell>
          <cell r="AV144" t="str">
            <v xml:space="preserve"> - USD Debt</v>
          </cell>
        </row>
        <row r="145">
          <cell r="A145">
            <v>118</v>
          </cell>
          <cell r="R145" t="str">
            <v>Item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J145" t="str">
            <v>Ireland</v>
          </cell>
          <cell r="AL145">
            <v>0</v>
          </cell>
          <cell r="AN145" t="str">
            <v>West</v>
          </cell>
          <cell r="AO145">
            <v>0</v>
          </cell>
          <cell r="AP145" t="str">
            <v>North East</v>
          </cell>
          <cell r="AQ145">
            <v>0</v>
          </cell>
          <cell r="AV145" t="str">
            <v xml:space="preserve"> - UKP Debt</v>
          </cell>
        </row>
        <row r="146">
          <cell r="A146">
            <v>119</v>
          </cell>
          <cell r="R146" t="str">
            <v>Item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G146" t="str">
            <v>Asia</v>
          </cell>
          <cell r="AH146">
            <v>0</v>
          </cell>
          <cell r="AJ146" t="str">
            <v>Italy</v>
          </cell>
          <cell r="AL146">
            <v>0</v>
          </cell>
          <cell r="AN146" t="str">
            <v>AR Arkansas</v>
          </cell>
          <cell r="AO146">
            <v>0</v>
          </cell>
          <cell r="AP146" t="str">
            <v xml:space="preserve"> CT Connecticut</v>
          </cell>
          <cell r="AQ146">
            <v>0</v>
          </cell>
          <cell r="AV146" t="str">
            <v xml:space="preserve"> - Euro Debt</v>
          </cell>
        </row>
        <row r="147">
          <cell r="A147">
            <v>120</v>
          </cell>
          <cell r="R147" t="str">
            <v>Item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G147" t="str">
            <v>Singapore</v>
          </cell>
          <cell r="AH147">
            <v>0</v>
          </cell>
          <cell r="AJ147" t="str">
            <v>Liechtenstein</v>
          </cell>
          <cell r="AL147">
            <v>0</v>
          </cell>
          <cell r="AN147" t="str">
            <v>AZ Arizona</v>
          </cell>
          <cell r="AO147">
            <v>0</v>
          </cell>
          <cell r="AP147" t="str">
            <v xml:space="preserve"> DE Delaware</v>
          </cell>
          <cell r="AQ147">
            <v>0</v>
          </cell>
          <cell r="AV147" t="str">
            <v xml:space="preserve"> - HK Debt</v>
          </cell>
        </row>
        <row r="148">
          <cell r="A148">
            <v>121</v>
          </cell>
          <cell r="R148" t="str">
            <v>Item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G148" t="str">
            <v>Hong Kong</v>
          </cell>
          <cell r="AH148">
            <v>0</v>
          </cell>
          <cell r="AJ148" t="str">
            <v>Luxembourg</v>
          </cell>
          <cell r="AL148">
            <v>0</v>
          </cell>
          <cell r="AN148" t="str">
            <v>CO Colorado</v>
          </cell>
          <cell r="AO148">
            <v>0</v>
          </cell>
          <cell r="AP148" t="str">
            <v>NJ New Jersey</v>
          </cell>
          <cell r="AQ148">
            <v>0</v>
          </cell>
          <cell r="AV148" t="str">
            <v xml:space="preserve"> - Singapore Debt</v>
          </cell>
        </row>
        <row r="149">
          <cell r="A149">
            <v>122</v>
          </cell>
          <cell r="R149" t="str">
            <v>Item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G149" t="str">
            <v>China</v>
          </cell>
          <cell r="AH149">
            <v>0</v>
          </cell>
          <cell r="AJ149" t="str">
            <v>Monaco</v>
          </cell>
          <cell r="AL149">
            <v>0</v>
          </cell>
          <cell r="AN149" t="str">
            <v>IA Iowa</v>
          </cell>
          <cell r="AO149">
            <v>0</v>
          </cell>
          <cell r="AP149" t="str">
            <v>NH New Hampshire</v>
          </cell>
          <cell r="AQ149">
            <v>0</v>
          </cell>
          <cell r="AV149" t="str">
            <v xml:space="preserve"> - Japan Debt</v>
          </cell>
        </row>
        <row r="150">
          <cell r="A150">
            <v>123</v>
          </cell>
          <cell r="R150" t="str">
            <v>Item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G150" t="str">
            <v>Other Asia</v>
          </cell>
          <cell r="AH150">
            <v>0</v>
          </cell>
          <cell r="AJ150" t="str">
            <v>Netherlands</v>
          </cell>
          <cell r="AL150">
            <v>0</v>
          </cell>
          <cell r="AN150" t="str">
            <v>ID Idaho</v>
          </cell>
          <cell r="AO150">
            <v>0</v>
          </cell>
          <cell r="AP150" t="str">
            <v>NY New York</v>
          </cell>
          <cell r="AQ150">
            <v>0</v>
          </cell>
          <cell r="AV150" t="str">
            <v xml:space="preserve"> - Canada Debt</v>
          </cell>
        </row>
        <row r="151">
          <cell r="A151">
            <v>124</v>
          </cell>
          <cell r="R151" t="str">
            <v>Item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J151" t="str">
            <v>Spain</v>
          </cell>
          <cell r="AL151">
            <v>0</v>
          </cell>
          <cell r="AN151" t="str">
            <v>KS Kansas</v>
          </cell>
          <cell r="AO151">
            <v>0</v>
          </cell>
          <cell r="AP151" t="str">
            <v xml:space="preserve">MA Massachusetts      </v>
          </cell>
          <cell r="AQ151">
            <v>0</v>
          </cell>
          <cell r="AV151" t="str">
            <v xml:space="preserve"> - Other Debt</v>
          </cell>
        </row>
        <row r="152">
          <cell r="A152">
            <v>125</v>
          </cell>
          <cell r="R152" t="str">
            <v>Other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G152" t="str">
            <v>Japan</v>
          </cell>
          <cell r="AH152">
            <v>0</v>
          </cell>
          <cell r="AJ152" t="str">
            <v>Switzerland</v>
          </cell>
          <cell r="AL152">
            <v>0</v>
          </cell>
          <cell r="AN152" t="str">
            <v>LA Louisiana</v>
          </cell>
          <cell r="AO152">
            <v>0</v>
          </cell>
          <cell r="AP152" t="str">
            <v>ME Maine</v>
          </cell>
          <cell r="AQ152">
            <v>0</v>
          </cell>
        </row>
        <row r="153">
          <cell r="A153">
            <v>126</v>
          </cell>
          <cell r="R153" t="str">
            <v>NPAT - IFRS</v>
          </cell>
          <cell r="U153">
            <v>268.48022115229298</v>
          </cell>
          <cell r="V153">
            <v>288.40474010258339</v>
          </cell>
          <cell r="W153">
            <v>291.42123555934052</v>
          </cell>
          <cell r="X153">
            <v>298.81244685457375</v>
          </cell>
          <cell r="Y153">
            <v>310.28118017800477</v>
          </cell>
          <cell r="Z153">
            <v>0</v>
          </cell>
          <cell r="AJ153" t="str">
            <v>Northern Europe</v>
          </cell>
          <cell r="AL153">
            <v>0</v>
          </cell>
          <cell r="AN153" t="str">
            <v>MN Minnesota</v>
          </cell>
          <cell r="AO153">
            <v>0</v>
          </cell>
          <cell r="AP153" t="str">
            <v>RI Rhode Island</v>
          </cell>
          <cell r="AQ153">
            <v>0</v>
          </cell>
          <cell r="AV153" t="str">
            <v>Look Through Debt</v>
          </cell>
        </row>
        <row r="154">
          <cell r="A154">
            <v>127</v>
          </cell>
          <cell r="R154" t="str">
            <v>Reported EPU</v>
          </cell>
          <cell r="U154">
            <v>31.049779028796422</v>
          </cell>
          <cell r="V154">
            <v>32.5486339967199</v>
          </cell>
          <cell r="W154">
            <v>32.889068091318457</v>
          </cell>
          <cell r="X154">
            <v>33.723221618598899</v>
          </cell>
          <cell r="Y154">
            <v>35.017554032197808</v>
          </cell>
          <cell r="Z154" t="e">
            <v>#DIV/0!</v>
          </cell>
          <cell r="AG154" t="str">
            <v>Canada</v>
          </cell>
          <cell r="AH154">
            <v>0</v>
          </cell>
          <cell r="AJ154" t="str">
            <v>Denmark</v>
          </cell>
          <cell r="AL154">
            <v>0</v>
          </cell>
          <cell r="AN154" t="str">
            <v>MO Missouri</v>
          </cell>
          <cell r="AO154">
            <v>0</v>
          </cell>
          <cell r="AP154" t="str">
            <v>VT Vermont</v>
          </cell>
          <cell r="AQ154">
            <v>0</v>
          </cell>
        </row>
        <row r="155">
          <cell r="A155">
            <v>128</v>
          </cell>
          <cell r="AJ155" t="str">
            <v>Finland</v>
          </cell>
          <cell r="AL155">
            <v>0</v>
          </cell>
          <cell r="AN155" t="str">
            <v>MS Mississippi</v>
          </cell>
          <cell r="AO155">
            <v>0</v>
          </cell>
          <cell r="AP155" t="str">
            <v>Washington</v>
          </cell>
          <cell r="AQ155">
            <v>0</v>
          </cell>
          <cell r="AV155" t="str">
            <v>Location of the Debt - On Balance Sheet</v>
          </cell>
          <cell r="AY155" t="str">
            <v>Forecasts Only</v>
          </cell>
          <cell r="AZ155" t="str">
            <v>Forecasts Only</v>
          </cell>
        </row>
        <row r="156">
          <cell r="A156">
            <v>129</v>
          </cell>
          <cell r="AJ156" t="str">
            <v>Norway</v>
          </cell>
          <cell r="AL156">
            <v>0</v>
          </cell>
          <cell r="AN156" t="str">
            <v>MT Montana</v>
          </cell>
          <cell r="AO156">
            <v>0</v>
          </cell>
          <cell r="AP156" t="str">
            <v>MD Maryland</v>
          </cell>
          <cell r="AQ156">
            <v>0</v>
          </cell>
          <cell r="AV156" t="str">
            <v xml:space="preserve"> - Australia</v>
          </cell>
          <cell r="AW156" t="str">
            <v>% of Total Debt in AUD</v>
          </cell>
          <cell r="BA156">
            <v>1</v>
          </cell>
          <cell r="BB156">
            <v>1</v>
          </cell>
          <cell r="BC156">
            <v>1</v>
          </cell>
          <cell r="BD156">
            <v>1</v>
          </cell>
          <cell r="BE156">
            <v>1</v>
          </cell>
          <cell r="BF156" t="e">
            <v>#DIV/0!</v>
          </cell>
        </row>
        <row r="157">
          <cell r="A157">
            <v>130</v>
          </cell>
          <cell r="AJ157" t="str">
            <v>Sweden</v>
          </cell>
          <cell r="AL157">
            <v>0</v>
          </cell>
          <cell r="AN157" t="str">
            <v>ND North Dakota</v>
          </cell>
          <cell r="AO157">
            <v>0</v>
          </cell>
          <cell r="AP157" t="str">
            <v>VA Virginia</v>
          </cell>
          <cell r="AQ157">
            <v>0</v>
          </cell>
          <cell r="AV157" t="str">
            <v xml:space="preserve"> - NZ</v>
          </cell>
          <cell r="AW157" t="str">
            <v>% of Total Debt in AUD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 t="e">
            <v>#DIV/0!</v>
          </cell>
        </row>
        <row r="158">
          <cell r="A158">
            <v>131</v>
          </cell>
          <cell r="AG158" t="str">
            <v>Does this add up to 100% ???</v>
          </cell>
          <cell r="AJ158" t="str">
            <v>Central Europe</v>
          </cell>
          <cell r="AL158">
            <v>0</v>
          </cell>
          <cell r="AN158" t="str">
            <v>NE Nebraska</v>
          </cell>
          <cell r="AO158">
            <v>0</v>
          </cell>
          <cell r="AP158" t="str">
            <v>Sun Belt</v>
          </cell>
          <cell r="AQ158">
            <v>0</v>
          </cell>
          <cell r="AV158" t="str">
            <v xml:space="preserve"> - US</v>
          </cell>
          <cell r="AW158" t="str">
            <v>% of Total Debt in AUD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 t="e">
            <v>#DIV/0!</v>
          </cell>
        </row>
        <row r="159">
          <cell r="A159">
            <v>132</v>
          </cell>
          <cell r="AJ159" t="str">
            <v>Czech Republic</v>
          </cell>
          <cell r="AL159">
            <v>0</v>
          </cell>
          <cell r="AN159" t="str">
            <v>NM New Mexico</v>
          </cell>
          <cell r="AO159">
            <v>0</v>
          </cell>
          <cell r="AP159" t="str">
            <v>AL Alabama</v>
          </cell>
          <cell r="AQ159">
            <v>0</v>
          </cell>
          <cell r="AV159" t="str">
            <v xml:space="preserve"> - UK</v>
          </cell>
          <cell r="AW159" t="str">
            <v>% of Total Debt in AUD</v>
          </cell>
        </row>
        <row r="160">
          <cell r="A160">
            <v>133</v>
          </cell>
          <cell r="AH160" t="str">
            <v>YES</v>
          </cell>
          <cell r="AJ160" t="str">
            <v>Hungary</v>
          </cell>
          <cell r="AL160">
            <v>0</v>
          </cell>
          <cell r="AN160" t="str">
            <v>OK Oklahoma</v>
          </cell>
          <cell r="AO160">
            <v>0</v>
          </cell>
          <cell r="AP160" t="str">
            <v>FL Florida</v>
          </cell>
          <cell r="AQ160">
            <v>0</v>
          </cell>
          <cell r="AV160" t="str">
            <v xml:space="preserve"> - Europe</v>
          </cell>
          <cell r="AW160" t="str">
            <v>% of Total Debt in AUD</v>
          </cell>
        </row>
        <row r="161">
          <cell r="A161">
            <v>134</v>
          </cell>
          <cell r="AJ161" t="str">
            <v>Poland</v>
          </cell>
          <cell r="AL161">
            <v>0</v>
          </cell>
          <cell r="AN161" t="str">
            <v>SD South Dakota</v>
          </cell>
          <cell r="AO161">
            <v>0</v>
          </cell>
          <cell r="AP161" t="str">
            <v>GA Georgia</v>
          </cell>
          <cell r="AQ161">
            <v>0</v>
          </cell>
          <cell r="AV161" t="str">
            <v xml:space="preserve"> - HK</v>
          </cell>
          <cell r="AW161" t="str">
            <v>% of Total Debt in AUD</v>
          </cell>
        </row>
        <row r="162">
          <cell r="A162">
            <v>135</v>
          </cell>
          <cell r="AH162" t="str">
            <v>YES</v>
          </cell>
          <cell r="AJ162" t="str">
            <v>Romania</v>
          </cell>
          <cell r="AL162">
            <v>0</v>
          </cell>
          <cell r="AN162" t="str">
            <v>UT Utah</v>
          </cell>
          <cell r="AO162">
            <v>0</v>
          </cell>
          <cell r="AP162" t="str">
            <v>NC North Carolina</v>
          </cell>
          <cell r="AQ162">
            <v>0</v>
          </cell>
          <cell r="AV162" t="str">
            <v xml:space="preserve"> - Singapore</v>
          </cell>
          <cell r="AW162" t="str">
            <v>% of Total Debt in AUD</v>
          </cell>
        </row>
        <row r="163">
          <cell r="A163">
            <v>136</v>
          </cell>
          <cell r="AJ163" t="str">
            <v>Slovakia</v>
          </cell>
          <cell r="AL163">
            <v>0</v>
          </cell>
          <cell r="AN163" t="str">
            <v>WI Wisconsin</v>
          </cell>
          <cell r="AO163">
            <v>0</v>
          </cell>
          <cell r="AP163" t="str">
            <v>SC South Carolina</v>
          </cell>
          <cell r="AQ163">
            <v>0</v>
          </cell>
          <cell r="AV163" t="str">
            <v xml:space="preserve"> - Japan</v>
          </cell>
          <cell r="AW163" t="str">
            <v>% of Total Debt in AUD</v>
          </cell>
        </row>
        <row r="164">
          <cell r="A164">
            <v>137</v>
          </cell>
          <cell r="AH164" t="str">
            <v>YES</v>
          </cell>
          <cell r="AJ164" t="str">
            <v>Other</v>
          </cell>
          <cell r="AL164">
            <v>0</v>
          </cell>
          <cell r="AN164" t="str">
            <v>WY Wyoming</v>
          </cell>
          <cell r="AO164">
            <v>0</v>
          </cell>
          <cell r="AP164" t="str">
            <v>Other</v>
          </cell>
          <cell r="AQ164">
            <v>0</v>
          </cell>
          <cell r="AV164" t="str">
            <v xml:space="preserve"> - Canada</v>
          </cell>
          <cell r="AW164" t="str">
            <v>% of Total Debt in AUD</v>
          </cell>
        </row>
        <row r="165">
          <cell r="A165">
            <v>138</v>
          </cell>
          <cell r="AP165" t="str">
            <v xml:space="preserve"> AK Alaska</v>
          </cell>
          <cell r="AQ165">
            <v>0</v>
          </cell>
          <cell r="AV165" t="str">
            <v xml:space="preserve"> - Other</v>
          </cell>
          <cell r="AW165" t="str">
            <v>% of Total Debt in AUD</v>
          </cell>
        </row>
        <row r="166">
          <cell r="A166">
            <v>139</v>
          </cell>
          <cell r="AP166" t="str">
            <v xml:space="preserve"> HI Hawaii</v>
          </cell>
          <cell r="AQ166">
            <v>0</v>
          </cell>
          <cell r="AV166" t="str">
            <v>Blended Rate - Off Balance Sheet</v>
          </cell>
          <cell r="AY166" t="str">
            <v>Forecasts Only</v>
          </cell>
          <cell r="AZ166" t="str">
            <v>Forecasts Only</v>
          </cell>
        </row>
        <row r="167">
          <cell r="A167">
            <v>140</v>
          </cell>
          <cell r="AV167" t="str">
            <v xml:space="preserve"> - AUD Debt</v>
          </cell>
        </row>
        <row r="168">
          <cell r="A168">
            <v>141</v>
          </cell>
          <cell r="AM168" t="str">
            <v>Europe</v>
          </cell>
          <cell r="AN168" t="str">
            <v>Europe</v>
          </cell>
          <cell r="AO168" t="str">
            <v>Europe</v>
          </cell>
          <cell r="AP168" t="str">
            <v>USA</v>
          </cell>
          <cell r="AQ168" t="str">
            <v>USA</v>
          </cell>
          <cell r="AR168" t="str">
            <v>USA</v>
          </cell>
          <cell r="AS168" t="str">
            <v>USA</v>
          </cell>
          <cell r="AV168" t="str">
            <v xml:space="preserve"> - NZD Debt</v>
          </cell>
        </row>
        <row r="169">
          <cell r="A169">
            <v>142</v>
          </cell>
          <cell r="AG169" t="str">
            <v>Australia</v>
          </cell>
          <cell r="AH169" t="str">
            <v>NZ</v>
          </cell>
          <cell r="AI169" t="str">
            <v>Asia</v>
          </cell>
          <cell r="AJ169" t="str">
            <v>Japan</v>
          </cell>
          <cell r="AK169" t="str">
            <v>UK</v>
          </cell>
          <cell r="AL169" t="str">
            <v>Canada</v>
          </cell>
          <cell r="AM169" t="str">
            <v>West</v>
          </cell>
          <cell r="AN169" t="str">
            <v>North</v>
          </cell>
          <cell r="AO169" t="str">
            <v>Central</v>
          </cell>
          <cell r="AP169" t="str">
            <v>West Coast</v>
          </cell>
          <cell r="AQ169" t="str">
            <v>North East</v>
          </cell>
          <cell r="AR169" t="str">
            <v>Sun Belt</v>
          </cell>
          <cell r="AS169" t="str">
            <v>Other</v>
          </cell>
          <cell r="AV169" t="str">
            <v xml:space="preserve"> - USD Debt</v>
          </cell>
        </row>
        <row r="170">
          <cell r="A170">
            <v>143</v>
          </cell>
          <cell r="AG170">
            <v>1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V170" t="str">
            <v xml:space="preserve"> - UKP Debt</v>
          </cell>
        </row>
        <row r="171">
          <cell r="A171">
            <v>144</v>
          </cell>
          <cell r="R171" t="str">
            <v>CASH FLOW DATA</v>
          </cell>
          <cell r="T171" t="str">
            <v>FY05</v>
          </cell>
          <cell r="U171" t="str">
            <v>FY06</v>
          </cell>
          <cell r="V171" t="str">
            <v>FY07</v>
          </cell>
          <cell r="W171" t="str">
            <v>FY08</v>
          </cell>
          <cell r="X171" t="str">
            <v>FY09</v>
          </cell>
          <cell r="Y171" t="str">
            <v>FY10</v>
          </cell>
          <cell r="Z171" t="str">
            <v>FY11</v>
          </cell>
          <cell r="AG171">
            <v>2484.9630000000002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V171" t="str">
            <v xml:space="preserve"> - Euro Debt</v>
          </cell>
        </row>
        <row r="172">
          <cell r="A172">
            <v>145</v>
          </cell>
          <cell r="AV172" t="str">
            <v xml:space="preserve"> - HK Debt</v>
          </cell>
        </row>
        <row r="173">
          <cell r="A173">
            <v>146</v>
          </cell>
          <cell r="R173" t="str">
            <v>Acquisitions / Disposals</v>
          </cell>
          <cell r="T173">
            <v>234.518</v>
          </cell>
          <cell r="U173">
            <v>655.75233930585273</v>
          </cell>
          <cell r="V173">
            <v>232.99961556552898</v>
          </cell>
          <cell r="W173">
            <v>465.34381512393429</v>
          </cell>
          <cell r="X173">
            <v>273.10239648302104</v>
          </cell>
          <cell r="Y173">
            <v>235.89410228355518</v>
          </cell>
          <cell r="Z173">
            <v>0</v>
          </cell>
          <cell r="AG173" t="str">
            <v>Office</v>
          </cell>
          <cell r="AH173" t="str">
            <v>Regional Retail</v>
          </cell>
          <cell r="AI173" t="str">
            <v>Shopping Centre</v>
          </cell>
          <cell r="AJ173" t="str">
            <v>Industrial</v>
          </cell>
          <cell r="AK173" t="str">
            <v>Hotel</v>
          </cell>
          <cell r="AL173" t="str">
            <v>Car Park</v>
          </cell>
          <cell r="AM173" t="str">
            <v>Healthcare</v>
          </cell>
          <cell r="AN173" t="str">
            <v>Retirement</v>
          </cell>
          <cell r="AO173" t="str">
            <v>Land</v>
          </cell>
          <cell r="AP173" t="str">
            <v>Other</v>
          </cell>
          <cell r="AR173" t="str">
            <v>CORPORATION</v>
          </cell>
          <cell r="AV173" t="str">
            <v xml:space="preserve"> - Singapore Debt</v>
          </cell>
        </row>
        <row r="174">
          <cell r="A174">
            <v>147</v>
          </cell>
          <cell r="R174" t="str">
            <v>Equity Raised</v>
          </cell>
          <cell r="T174">
            <v>0</v>
          </cell>
          <cell r="U174">
            <v>155.4421708503005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G174">
            <v>0.55491294505549504</v>
          </cell>
          <cell r="AH174">
            <v>0</v>
          </cell>
          <cell r="AI174">
            <v>0.25692385320792532</v>
          </cell>
          <cell r="AJ174">
            <v>6.6126425658472432E-2</v>
          </cell>
          <cell r="AK174">
            <v>0</v>
          </cell>
          <cell r="AL174">
            <v>2.9543068452895612E-2</v>
          </cell>
          <cell r="AM174">
            <v>0</v>
          </cell>
          <cell r="AN174">
            <v>0</v>
          </cell>
          <cell r="AO174">
            <v>4.7990118945398362E-2</v>
          </cell>
          <cell r="AP174">
            <v>4.4503588679813272E-2</v>
          </cell>
          <cell r="AR174">
            <v>0.99999892293541703</v>
          </cell>
          <cell r="AV174" t="str">
            <v xml:space="preserve"> - Japan Debt</v>
          </cell>
        </row>
        <row r="175">
          <cell r="A175">
            <v>148</v>
          </cell>
          <cell r="R175" t="str">
            <v>Change in Debt</v>
          </cell>
          <cell r="T175">
            <v>505.62900000000002</v>
          </cell>
          <cell r="U175">
            <v>1119.9540145479377</v>
          </cell>
          <cell r="V175">
            <v>108.59335576047852</v>
          </cell>
          <cell r="W175">
            <v>291.20918860007941</v>
          </cell>
          <cell r="X175">
            <v>158.81211534637305</v>
          </cell>
          <cell r="Y175">
            <v>188.94405939248918</v>
          </cell>
          <cell r="Z175">
            <v>0</v>
          </cell>
          <cell r="AG175">
            <v>1378.938136683938</v>
          </cell>
          <cell r="AH175">
            <v>0</v>
          </cell>
          <cell r="AI175">
            <v>638.4462690391257</v>
          </cell>
          <cell r="AJ175">
            <v>164.32172108355462</v>
          </cell>
          <cell r="AK175">
            <v>0</v>
          </cell>
          <cell r="AL175">
            <v>73.413432011912832</v>
          </cell>
          <cell r="AM175">
            <v>0</v>
          </cell>
          <cell r="AN175">
            <v>0</v>
          </cell>
          <cell r="AO175">
            <v>119.25366994491395</v>
          </cell>
          <cell r="AP175">
            <v>110.58977123655482</v>
          </cell>
          <cell r="AR175">
            <v>2307160000</v>
          </cell>
          <cell r="AV175" t="str">
            <v xml:space="preserve"> - Canada Debt</v>
          </cell>
        </row>
        <row r="176">
          <cell r="A176">
            <v>149</v>
          </cell>
          <cell r="R176" t="str">
            <v>Change in Cash</v>
          </cell>
          <cell r="T176">
            <v>-276.11</v>
          </cell>
          <cell r="U176">
            <v>-26.840000000000828</v>
          </cell>
          <cell r="V176">
            <v>9.3791641120333225E-13</v>
          </cell>
          <cell r="W176">
            <v>5.6843418860808015E-14</v>
          </cell>
          <cell r="X176">
            <v>-1.2505552149377763E-12</v>
          </cell>
          <cell r="Y176">
            <v>-7.1054273576010019E-13</v>
          </cell>
          <cell r="Z176">
            <v>0</v>
          </cell>
          <cell r="AV176" t="str">
            <v xml:space="preserve"> - Other Debt</v>
          </cell>
        </row>
        <row r="177">
          <cell r="A177">
            <v>150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commendation check"/>
      <sheetName val="sector_fv"/>
      <sheetName val="sector stats"/>
      <sheetName val="Liquidity"/>
      <sheetName val="Sheet3"/>
      <sheetName val="inputs"/>
      <sheetName val="Stats"/>
      <sheetName val="Sheet1"/>
      <sheetName val="next divs"/>
      <sheetName val="Table"/>
      <sheetName val="Val_summary"/>
      <sheetName val="wdc_DDM"/>
      <sheetName val="TGP_DDM"/>
      <sheetName val="SGP_DDM"/>
      <sheetName val="MGR_DDM"/>
      <sheetName val="MGQ_DDM"/>
      <sheetName val="TSO_DDM"/>
      <sheetName val="CPA_DCF"/>
      <sheetName val="MPR_DDM"/>
      <sheetName val="GAN_DDM"/>
      <sheetName val="MXG_DDM"/>
      <sheetName val="DRT_DDM"/>
      <sheetName val="CNP_DDM"/>
      <sheetName val="CPA_DDM"/>
      <sheetName val="CPA_EDM"/>
      <sheetName val="DOT_EDM"/>
      <sheetName val="IIF_DDM"/>
      <sheetName val="IOF_DDM"/>
      <sheetName val="IOF_EDM"/>
      <sheetName val="IPG_DDM"/>
      <sheetName val="IPG_EDM"/>
      <sheetName val="MOF_DDM"/>
      <sheetName val="MOF_EDM"/>
      <sheetName val="RPH_DDM"/>
      <sheetName val="RPH_EDM"/>
      <sheetName val="GPT_DDM"/>
      <sheetName val="GPT_DDM (2)"/>
      <sheetName val="MDT_DDM"/>
      <sheetName val="GSA_DDM"/>
      <sheetName val="total returns"/>
      <sheetName val="Foreign LPTs"/>
      <sheetName val="tot_return"/>
      <sheetName val="sector_valuations"/>
      <sheetName val="Sheet2"/>
      <sheetName val="DOT_DCF"/>
      <sheetName val="AOF_DCF"/>
      <sheetName val="CEP_DDM"/>
      <sheetName val="DIT_DDM"/>
      <sheetName val="DOT_DDM"/>
      <sheetName val="POF_DCF"/>
      <sheetName val="WFT_DDM"/>
      <sheetName val="WFA_DDM"/>
      <sheetName val="sector_yields"/>
      <sheetName val="WFG_DDM"/>
      <sheetName val="POF_DD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GPTOffer"/>
      <sheetName val="Consensus"/>
      <sheetName val="GRD"/>
      <sheetName val="GRD OLD 050805"/>
      <sheetName val="Summary"/>
      <sheetName val="FinSummary"/>
      <sheetName val="GPT_BS"/>
      <sheetName val="Sheet1"/>
      <sheetName val="FY_Model"/>
      <sheetName val="FY04Result"/>
      <sheetName val="1H05Result"/>
      <sheetName val="YrEndPres"/>
      <sheetName val="HYrPres"/>
      <sheetName val="ForecastChanges"/>
      <sheetName val="FY_Trust"/>
      <sheetName val="FY_Corp"/>
      <sheetName val="Group_Seg"/>
      <sheetName val="Trust_Seg"/>
      <sheetName val="Corp_Seg"/>
      <sheetName val="DevDivision"/>
      <sheetName val="Residential Estates"/>
      <sheetName val="RESummarydata"/>
      <sheetName val="Retail Projects"/>
      <sheetName val="Apartments"/>
      <sheetName val="Hotels"/>
      <sheetName val="CurrRE"/>
      <sheetName val="REanalysis"/>
      <sheetName val="REAnalJune04"/>
      <sheetName val="CurrApts"/>
      <sheetName val="CurrRPs"/>
      <sheetName val="NOISum"/>
      <sheetName val="CommercialAssets"/>
      <sheetName val="IndustrialAssets"/>
      <sheetName val="RetailAssets"/>
      <sheetName val="OfficeParkAssets"/>
      <sheetName val="RetailStats"/>
      <sheetName val="ComStats"/>
      <sheetName val="Ind&amp;OPStats"/>
      <sheetName val="HalfYrPres"/>
      <sheetName val="DCFCorp"/>
      <sheetName val="DCF"/>
      <sheetName val="DDM"/>
      <sheetName val="DPUHist"/>
      <sheetName val="Valuation"/>
      <sheetName val="Rents"/>
      <sheetName val="IDCapex"/>
      <sheetName val="RDevSch"/>
      <sheetName val="Splits"/>
      <sheetName val="Yennora"/>
      <sheetName val="Macro"/>
      <sheetName val="Shares"/>
      <sheetName val="Equity"/>
      <sheetName val="BldCosts"/>
      <sheetName val="Acq."/>
      <sheetName val="WaterfrontPlace"/>
      <sheetName val="M&amp;A"/>
      <sheetName val="ADPBiddersS"/>
      <sheetName val="Mgt"/>
      <sheetName val="apte.g.+qs"/>
      <sheetName val="DebtRecon"/>
      <sheetName val="Recon"/>
      <sheetName val="Notes"/>
      <sheetName val="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 refreshError="1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>
        <row r="13">
          <cell r="A13" t="str">
            <v>Total_NOI</v>
          </cell>
          <cell r="C13" t="str">
            <v xml:space="preserve">Total </v>
          </cell>
          <cell r="E13">
            <v>71</v>
          </cell>
          <cell r="F13">
            <v>1</v>
          </cell>
          <cell r="H13">
            <v>1451628</v>
          </cell>
          <cell r="I13">
            <v>1</v>
          </cell>
          <cell r="J13">
            <v>2736.587</v>
          </cell>
          <cell r="K13">
            <v>1</v>
          </cell>
          <cell r="M13">
            <v>576.56963086177075</v>
          </cell>
          <cell r="N13">
            <v>419.98451370154237</v>
          </cell>
          <cell r="O13">
            <v>437.49577676201562</v>
          </cell>
          <cell r="P13">
            <v>445.56508015652867</v>
          </cell>
          <cell r="Q13">
            <v>456.4682569299859</v>
          </cell>
          <cell r="R13">
            <v>477.26893086127825</v>
          </cell>
          <cell r="S13">
            <v>491.48931741853642</v>
          </cell>
          <cell r="T13">
            <v>514.08962135529259</v>
          </cell>
          <cell r="U13">
            <v>528.42773437045014</v>
          </cell>
          <cell r="V13">
            <v>541.88150031803502</v>
          </cell>
          <cell r="W13">
            <v>560.13345661485289</v>
          </cell>
          <cell r="X13">
            <v>3.6650304577509729E-2</v>
          </cell>
        </row>
        <row r="81">
          <cell r="A81" t="str">
            <v>Retail_NOI</v>
          </cell>
          <cell r="C81" t="str">
            <v>Shopping Centre - Net Operating Income</v>
          </cell>
          <cell r="H81">
            <v>898834</v>
          </cell>
          <cell r="J81">
            <v>2600.5030000000002</v>
          </cell>
          <cell r="M81">
            <v>370.48955371177078</v>
          </cell>
          <cell r="N81">
            <v>207.32594790761993</v>
          </cell>
          <cell r="O81">
            <v>220.946818820223</v>
          </cell>
          <cell r="P81">
            <v>230.97219577354844</v>
          </cell>
          <cell r="Q81">
            <v>240.91561311722555</v>
          </cell>
          <cell r="R81">
            <v>249.85871496909402</v>
          </cell>
          <cell r="S81">
            <v>260.55956757270746</v>
          </cell>
          <cell r="T81">
            <v>269.37667570122869</v>
          </cell>
          <cell r="U81">
            <v>276.04802902317442</v>
          </cell>
          <cell r="V81">
            <v>281.96109199644451</v>
          </cell>
          <cell r="W81">
            <v>291.38810406627044</v>
          </cell>
        </row>
        <row r="151">
          <cell r="A151" t="str">
            <v>Industrial_NOI</v>
          </cell>
          <cell r="C151" t="str">
            <v>Industrial -  Net Operating Income</v>
          </cell>
          <cell r="H151">
            <v>1152749</v>
          </cell>
          <cell r="J151">
            <v>58.302999999999969</v>
          </cell>
          <cell r="M151">
            <v>49.631702600000004</v>
          </cell>
          <cell r="N151">
            <v>51.381244509540004</v>
          </cell>
          <cell r="O151">
            <v>54.166301961426001</v>
          </cell>
          <cell r="P151">
            <v>55.920782882663765</v>
          </cell>
          <cell r="Q151">
            <v>63.227163263940959</v>
          </cell>
          <cell r="R151">
            <v>66.860884025799436</v>
          </cell>
          <cell r="S151">
            <v>68.087899466890917</v>
          </cell>
          <cell r="T151">
            <v>72.807865406356939</v>
          </cell>
          <cell r="U151">
            <v>74.919038383808811</v>
          </cell>
          <cell r="V151">
            <v>77.092085290889486</v>
          </cell>
          <cell r="W151">
            <v>79.404847849616175</v>
          </cell>
          <cell r="X151">
            <v>4.9553813543099734E-2</v>
          </cell>
        </row>
        <row r="167">
          <cell r="A167" t="str">
            <v>OfficePark_NOI</v>
          </cell>
          <cell r="C167" t="str">
            <v>Office Parks -  Net Operating Income</v>
          </cell>
          <cell r="H167">
            <v>72314</v>
          </cell>
          <cell r="J167">
            <v>194.02699999999999</v>
          </cell>
          <cell r="M167">
            <v>13.164883830000003</v>
          </cell>
          <cell r="N167">
            <v>13.026363860000002</v>
          </cell>
          <cell r="O167">
            <v>13.749932422245623</v>
          </cell>
          <cell r="P167">
            <v>14.076645944806481</v>
          </cell>
          <cell r="Q167">
            <v>15.526649509657107</v>
          </cell>
          <cell r="R167">
            <v>18.890744624459924</v>
          </cell>
          <cell r="S167">
            <v>18.765964084958711</v>
          </cell>
          <cell r="T167">
            <v>19.800923732767313</v>
          </cell>
          <cell r="U167">
            <v>20.242418246086491</v>
          </cell>
          <cell r="V167">
            <v>20.693879550638652</v>
          </cell>
          <cell r="W167">
            <v>21.155535404772614</v>
          </cell>
          <cell r="X167">
            <v>5.5358690284464496E-2</v>
          </cell>
        </row>
        <row r="192">
          <cell r="A192" t="str">
            <v>JV_NOI</v>
          </cell>
          <cell r="D192" t="str">
            <v>JV -  Net Operating Income</v>
          </cell>
          <cell r="M192">
            <v>43.867805199999999</v>
          </cell>
          <cell r="N192">
            <v>48.069207803699996</v>
          </cell>
          <cell r="O192">
            <v>48.566209472001006</v>
          </cell>
          <cell r="P192">
            <v>48.455020429775615</v>
          </cell>
          <cell r="Q192">
            <v>49.809349805404963</v>
          </cell>
          <cell r="R192">
            <v>49.890290670458562</v>
          </cell>
          <cell r="S192">
            <v>50.294647868891467</v>
          </cell>
          <cell r="T192">
            <v>52.122314625238495</v>
          </cell>
          <cell r="U192">
            <v>52.788853531865477</v>
          </cell>
          <cell r="V192">
            <v>53.921492488675135</v>
          </cell>
          <cell r="W192">
            <v>55.694809060026984</v>
          </cell>
        </row>
      </sheetData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>
        <row r="47">
          <cell r="A47" t="str">
            <v>retail_capex</v>
          </cell>
          <cell r="F47">
            <v>647.09299999999996</v>
          </cell>
          <cell r="G47">
            <v>0</v>
          </cell>
          <cell r="H47">
            <v>0</v>
          </cell>
          <cell r="I47">
            <v>59.872999999999976</v>
          </cell>
          <cell r="J47">
            <v>0</v>
          </cell>
          <cell r="K47">
            <v>0</v>
          </cell>
          <cell r="L47">
            <v>70.400000000000006</v>
          </cell>
          <cell r="M47">
            <v>0</v>
          </cell>
          <cell r="N47">
            <v>0</v>
          </cell>
          <cell r="O47">
            <v>112.85714285714286</v>
          </cell>
          <cell r="P47">
            <v>112.85714285714286</v>
          </cell>
          <cell r="Q47">
            <v>112.85714285714286</v>
          </cell>
          <cell r="R47">
            <v>112.85714285714286</v>
          </cell>
          <cell r="S47">
            <v>112.85714285714286</v>
          </cell>
          <cell r="T47">
            <v>112.85714285714286</v>
          </cell>
          <cell r="U47">
            <v>112.85714285714286</v>
          </cell>
          <cell r="V47">
            <v>112.85714285714286</v>
          </cell>
          <cell r="W47">
            <v>112.85714285714286</v>
          </cell>
          <cell r="X47">
            <v>112.85714285714286</v>
          </cell>
          <cell r="Y47">
            <v>112.85714285714286</v>
          </cell>
          <cell r="Z47">
            <v>112.85714285714286</v>
          </cell>
          <cell r="AA47">
            <v>112.85714285714286</v>
          </cell>
          <cell r="AB47">
            <v>112.85714285714286</v>
          </cell>
          <cell r="AC47">
            <v>112.85714285714286</v>
          </cell>
          <cell r="AD47">
            <v>112.85714285714286</v>
          </cell>
          <cell r="AE47">
            <v>112.85714285714286</v>
          </cell>
          <cell r="AF47">
            <v>112.85714285714286</v>
          </cell>
          <cell r="AG47">
            <v>112.85714285714286</v>
          </cell>
          <cell r="AH47">
            <v>112.85714285714286</v>
          </cell>
          <cell r="AI47">
            <v>112.85714285714286</v>
          </cell>
          <cell r="AJ47">
            <v>112.85714285714286</v>
          </cell>
          <cell r="AM47">
            <v>156.27299999999997</v>
          </cell>
        </row>
        <row r="94">
          <cell r="A94" t="str">
            <v>retail_reval_res</v>
          </cell>
          <cell r="F94">
            <v>30.041</v>
          </cell>
          <cell r="G94">
            <v>-1143.2100000000003</v>
          </cell>
          <cell r="H94">
            <v>0</v>
          </cell>
          <cell r="I94">
            <v>141.02699999999996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72.081551863981488</v>
          </cell>
          <cell r="P94">
            <v>0</v>
          </cell>
          <cell r="Q94">
            <v>0</v>
          </cell>
          <cell r="R94">
            <v>187.6160672974562</v>
          </cell>
          <cell r="S94">
            <v>0</v>
          </cell>
          <cell r="T94">
            <v>0</v>
          </cell>
          <cell r="U94">
            <v>34.71409932901657</v>
          </cell>
          <cell r="V94">
            <v>0</v>
          </cell>
          <cell r="W94">
            <v>0</v>
          </cell>
          <cell r="X94">
            <v>67.357230208349023</v>
          </cell>
          <cell r="Y94">
            <v>0</v>
          </cell>
          <cell r="Z94">
            <v>0</v>
          </cell>
          <cell r="AA94">
            <v>242.00389662896902</v>
          </cell>
          <cell r="AB94">
            <v>0</v>
          </cell>
          <cell r="AC94">
            <v>0</v>
          </cell>
          <cell r="AD94">
            <v>28.329600915935561</v>
          </cell>
          <cell r="AE94">
            <v>0</v>
          </cell>
          <cell r="AF94">
            <v>0</v>
          </cell>
          <cell r="AG94">
            <v>40.085422095232644</v>
          </cell>
          <cell r="AH94">
            <v>0</v>
          </cell>
          <cell r="AI94">
            <v>0</v>
          </cell>
          <cell r="AJ94">
            <v>183.88094740187861</v>
          </cell>
        </row>
        <row r="104">
          <cell r="A104" t="str">
            <v>jv_retail_capex</v>
          </cell>
          <cell r="D104" t="str">
            <v>Total</v>
          </cell>
          <cell r="F104">
            <v>86.316000000000003</v>
          </cell>
          <cell r="G104">
            <v>0</v>
          </cell>
          <cell r="H104">
            <v>0</v>
          </cell>
          <cell r="I104">
            <v>6.7890000000000015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</row>
        <row r="111">
          <cell r="A111" t="str">
            <v>jv_retail_reval_res</v>
          </cell>
          <cell r="D111" t="str">
            <v>Total</v>
          </cell>
          <cell r="F111">
            <v>5.0470000000000041</v>
          </cell>
          <cell r="G111">
            <v>-19.101000000000006</v>
          </cell>
          <cell r="H111">
            <v>0</v>
          </cell>
          <cell r="I111">
            <v>0.19999999999999929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12.960421367466321</v>
          </cell>
          <cell r="P111">
            <v>0</v>
          </cell>
          <cell r="Q111">
            <v>0</v>
          </cell>
          <cell r="R111">
            <v>8.7980011851851998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3.0653314307350783</v>
          </cell>
          <cell r="Y111">
            <v>0</v>
          </cell>
          <cell r="Z111">
            <v>0</v>
          </cell>
          <cell r="AA111">
            <v>10.672663007333227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3.2757297449544609</v>
          </cell>
          <cell r="AH111">
            <v>0</v>
          </cell>
          <cell r="AI111">
            <v>0</v>
          </cell>
          <cell r="AJ111">
            <v>9.7080221265796638</v>
          </cell>
        </row>
      </sheetData>
      <sheetData sheetId="47" refreshError="1"/>
      <sheetData sheetId="48" refreshError="1"/>
      <sheetData sheetId="49" refreshError="1"/>
      <sheetData sheetId="50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GPTOffer"/>
      <sheetName val="Consensus"/>
      <sheetName val="GRD"/>
      <sheetName val="GRD OLD 050805"/>
      <sheetName val="Summary"/>
      <sheetName val="FinSummary"/>
      <sheetName val="GPT_BS"/>
      <sheetName val="Sheet1"/>
      <sheetName val="FY_Model"/>
      <sheetName val="FY04Result"/>
      <sheetName val="1H05Result"/>
      <sheetName val="YrEndPres"/>
      <sheetName val="HYrPres"/>
      <sheetName val="ForecastChanges"/>
      <sheetName val="FY_Trust"/>
      <sheetName val="FY_Corp"/>
      <sheetName val="Group_Seg"/>
      <sheetName val="Trust_Seg"/>
      <sheetName val="Corp_Seg"/>
      <sheetName val="DevDivision"/>
      <sheetName val="Residential Estates"/>
      <sheetName val="RESummarydata"/>
      <sheetName val="Retail Projects"/>
      <sheetName val="Apartments"/>
      <sheetName val="Hotels"/>
      <sheetName val="CurrRE"/>
      <sheetName val="REanalysis"/>
      <sheetName val="REAnalJune04"/>
      <sheetName val="CurrApts"/>
      <sheetName val="CurrRPs"/>
      <sheetName val="NOISum"/>
      <sheetName val="CommercialAssets"/>
      <sheetName val="IndustrialAssets"/>
      <sheetName val="RetailAssets"/>
      <sheetName val="OfficeParkAssets"/>
      <sheetName val="RetailStats"/>
      <sheetName val="ComStats"/>
      <sheetName val="Ind&amp;OPStats"/>
      <sheetName val="HalfYrPres"/>
      <sheetName val="DCFCorp"/>
      <sheetName val="DCF"/>
      <sheetName val="DDM"/>
      <sheetName val="DPUHist"/>
      <sheetName val="Valuation"/>
      <sheetName val="Rents"/>
      <sheetName val="IDCapex"/>
      <sheetName val="RDevSch"/>
      <sheetName val="Splits"/>
      <sheetName val="Yennora"/>
      <sheetName val="Macro"/>
      <sheetName val="Shares"/>
      <sheetName val="Equity"/>
      <sheetName val="BldCosts"/>
      <sheetName val="Acq."/>
      <sheetName val="WaterfrontPlace"/>
      <sheetName val="M&amp;A"/>
      <sheetName val="ADPBiddersS"/>
      <sheetName val="Mgt"/>
      <sheetName val="apte.g.+qs"/>
      <sheetName val="DebtRecon"/>
      <sheetName val="Recon"/>
      <sheetName val="Notes"/>
      <sheetName val="x"/>
      <sheetName val="Curr Apts"/>
      <sheetName val="Resi analysis"/>
      <sheetName val="Resi data June04"/>
      <sheetName val="Retail Assets"/>
      <sheetName val="Curr Retail Projects"/>
      <sheetName val="Retail Stats"/>
      <sheetName val="Retail IDCapex"/>
      <sheetName val="Retail DevSch"/>
      <sheetName val="Commercial Assets"/>
      <sheetName val="Com Stats"/>
      <sheetName val="Ind &amp; OP Stats"/>
      <sheetName val="C&amp;I Rents"/>
      <sheetName val="CPI Forecast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/>
      <sheetData sheetId="15"/>
      <sheetData sheetId="16"/>
      <sheetData sheetId="17"/>
      <sheetData sheetId="18"/>
      <sheetData sheetId="19"/>
      <sheetData sheetId="20" refreshError="1">
        <row r="70">
          <cell r="A70" t="str">
            <v>Inventory_Land</v>
          </cell>
          <cell r="C70" t="str">
            <v>Residential Estates</v>
          </cell>
          <cell r="V70">
            <v>0</v>
          </cell>
          <cell r="W70">
            <v>241.31599999999997</v>
          </cell>
          <cell r="Z70">
            <v>305.24400000000003</v>
          </cell>
          <cell r="AA70">
            <v>0</v>
          </cell>
          <cell r="AB70">
            <v>420.01099999999997</v>
          </cell>
          <cell r="AC70">
            <v>420.01099999999997</v>
          </cell>
          <cell r="AD70">
            <v>544.46600000000001</v>
          </cell>
          <cell r="AE70">
            <v>567.91800000000001</v>
          </cell>
          <cell r="AF70">
            <v>567.91800000000001</v>
          </cell>
          <cell r="AG70">
            <v>724.68399999999997</v>
          </cell>
          <cell r="AI70">
            <v>835.09900000000016</v>
          </cell>
          <cell r="AJ70">
            <v>1800.7589999999998</v>
          </cell>
          <cell r="AL70">
            <v>1706.2675000000002</v>
          </cell>
          <cell r="AO70">
            <v>354.66120121788595</v>
          </cell>
          <cell r="AR70">
            <v>281.9443566198953</v>
          </cell>
          <cell r="AU70">
            <v>229.1726237732328</v>
          </cell>
          <cell r="AX70">
            <v>229.64392257785977</v>
          </cell>
          <cell r="BA70">
            <v>242.37767808480208</v>
          </cell>
          <cell r="BD70">
            <v>255.81752033460435</v>
          </cell>
          <cell r="BE70" t="e">
            <v>#DIV/0!</v>
          </cell>
          <cell r="BF70" t="e">
            <v>#DIV/0!</v>
          </cell>
          <cell r="BG70">
            <v>272.67589492465476</v>
          </cell>
          <cell r="BH70" t="e">
            <v>#DIV/0!</v>
          </cell>
          <cell r="BI70" t="e">
            <v>#DIV/0!</v>
          </cell>
          <cell r="BJ70">
            <v>292.06996795117078</v>
          </cell>
          <cell r="BO70">
            <v>0.70524630388222331</v>
          </cell>
          <cell r="BP70" t="e">
            <v>#DIV/0!</v>
          </cell>
          <cell r="BQ70">
            <v>0.77950729005820174</v>
          </cell>
          <cell r="BR70">
            <v>0.77950729005820174</v>
          </cell>
          <cell r="BS70">
            <v>0.76739393939393941</v>
          </cell>
          <cell r="BT70">
            <v>0.753783731051481</v>
          </cell>
          <cell r="BU70">
            <v>0.753783731051481</v>
          </cell>
          <cell r="BV70">
            <v>0.71978299756954889</v>
          </cell>
          <cell r="BX70">
            <v>0.76211087900665375</v>
          </cell>
        </row>
      </sheetData>
      <sheetData sheetId="21" refreshError="1"/>
      <sheetData sheetId="22"/>
      <sheetData sheetId="23"/>
      <sheetData sheetId="24"/>
      <sheetData sheetId="25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P_INC"/>
      <sheetName val="mrv_cORP mODEL"/>
      <sheetName val="Sheet1"/>
      <sheetName val="PROP_INC "/>
      <sheetName val="MGRDIST"/>
      <sheetName val="Summary"/>
      <sheetName val="Bal Sheet"/>
      <sheetName val="Data"/>
      <sheetName val="REDSTemplate - MGR"/>
      <sheetName val="Sheet3"/>
      <sheetName val="Sheet4"/>
      <sheetName val="Chart Data"/>
      <sheetName val="Sheet2"/>
      <sheetName val="Valuation"/>
      <sheetName val="SHOPS"/>
      <sheetName val="Como"/>
      <sheetName val="HOTEL"/>
      <sheetName val="Template MGR"/>
      <sheetName val="TPSHELL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785">
          <cell r="A785" t="str">
            <v>MIRVAC PROPERTY TRUST</v>
          </cell>
        </row>
        <row r="786">
          <cell r="A786">
            <v>195020.62000000002</v>
          </cell>
          <cell r="B786" t="str">
            <v>Vacant</v>
          </cell>
          <cell r="C786">
            <v>35976</v>
          </cell>
          <cell r="D786">
            <v>36341</v>
          </cell>
          <cell r="E786">
            <v>36707</v>
          </cell>
          <cell r="F786">
            <v>37072</v>
          </cell>
          <cell r="G786">
            <v>37437</v>
          </cell>
          <cell r="H786">
            <v>37802</v>
          </cell>
          <cell r="I786">
            <v>38168</v>
          </cell>
          <cell r="J786" t="str">
            <v>FY05+</v>
          </cell>
        </row>
        <row r="787">
          <cell r="A787" t="str">
            <v>Lease Expiry</v>
          </cell>
          <cell r="B787" t="e">
            <v>#VALUE!</v>
          </cell>
          <cell r="C787">
            <v>1.9486022470725244</v>
          </cell>
          <cell r="D787">
            <v>1.8293714380393444</v>
          </cell>
          <cell r="E787">
            <v>0.45282938782824311</v>
          </cell>
          <cell r="F787">
            <v>0.28219994499621415</v>
          </cell>
          <cell r="G787">
            <v>0.32558002449755097</v>
          </cell>
          <cell r="H787">
            <v>0.2354533074502583</v>
          </cell>
          <cell r="I787">
            <v>6.6758325350416772E-2</v>
          </cell>
          <cell r="J787">
            <v>0.31733900753674149</v>
          </cell>
        </row>
        <row r="788"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</row>
        <row r="789">
          <cell r="A789">
            <v>0</v>
          </cell>
          <cell r="B789" t="str">
            <v>FY97</v>
          </cell>
          <cell r="C789">
            <v>35976</v>
          </cell>
          <cell r="D789">
            <v>36341</v>
          </cell>
          <cell r="E789">
            <v>36707</v>
          </cell>
          <cell r="F789">
            <v>37072</v>
          </cell>
          <cell r="G789">
            <v>37437</v>
          </cell>
          <cell r="H789">
            <v>37802</v>
          </cell>
          <cell r="I789">
            <v>38168</v>
          </cell>
          <cell r="J789">
            <v>38533.25</v>
          </cell>
        </row>
        <row r="790">
          <cell r="A790" t="str">
            <v>Passing</v>
          </cell>
          <cell r="B790">
            <v>291.41479770393164</v>
          </cell>
          <cell r="C790">
            <v>290.0961916855282</v>
          </cell>
          <cell r="D790">
            <v>308.06796603530597</v>
          </cell>
          <cell r="E790">
            <v>310.86353277062108</v>
          </cell>
          <cell r="F790">
            <v>318.57262767635069</v>
          </cell>
          <cell r="G790">
            <v>327.16603449771594</v>
          </cell>
          <cell r="H790">
            <v>326.86410259503629</v>
          </cell>
          <cell r="I790">
            <v>338.62581093944215</v>
          </cell>
          <cell r="J790">
            <v>363.15244457734326</v>
          </cell>
        </row>
        <row r="791">
          <cell r="A791" t="str">
            <v>Passing with Vacancy</v>
          </cell>
          <cell r="B791">
            <v>291.4159206621091</v>
          </cell>
          <cell r="C791">
            <v>284.06497367877176</v>
          </cell>
          <cell r="D791">
            <v>296.98347060576396</v>
          </cell>
          <cell r="E791">
            <v>295.06902705584781</v>
          </cell>
          <cell r="F791">
            <v>304.89698370184414</v>
          </cell>
          <cell r="G791">
            <v>315.42941609104469</v>
          </cell>
          <cell r="H791">
            <v>258.89218554889044</v>
          </cell>
          <cell r="I791">
            <v>330.21807411169419</v>
          </cell>
          <cell r="J791">
            <v>349.1446826542234</v>
          </cell>
        </row>
        <row r="792">
          <cell r="A792" t="str">
            <v>Market</v>
          </cell>
          <cell r="B792">
            <v>290.69707612661665</v>
          </cell>
          <cell r="C792">
            <v>301.80568655798265</v>
          </cell>
          <cell r="D792">
            <v>327.9130323277659</v>
          </cell>
          <cell r="E792">
            <v>348.34067605381506</v>
          </cell>
          <cell r="F792">
            <v>370.98942911291488</v>
          </cell>
          <cell r="G792">
            <v>389.27867825573293</v>
          </cell>
          <cell r="H792">
            <v>411.84857845500824</v>
          </cell>
          <cell r="I792">
            <v>437.18613967194699</v>
          </cell>
          <cell r="J792">
            <v>464.80642215946204</v>
          </cell>
        </row>
        <row r="793">
          <cell r="A793">
            <v>0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</row>
        <row r="794">
          <cell r="A794" t="str">
            <v>Over Renting</v>
          </cell>
          <cell r="B794" t="str">
            <v>FY97</v>
          </cell>
          <cell r="C794">
            <v>35976</v>
          </cell>
          <cell r="D794">
            <v>36341</v>
          </cell>
          <cell r="E794">
            <v>36707</v>
          </cell>
          <cell r="F794">
            <v>37072</v>
          </cell>
          <cell r="G794">
            <v>37437</v>
          </cell>
          <cell r="H794">
            <v>37802</v>
          </cell>
          <cell r="I794">
            <v>38168</v>
          </cell>
          <cell r="J794">
            <v>38533.25</v>
          </cell>
        </row>
        <row r="795">
          <cell r="A795">
            <v>0</v>
          </cell>
          <cell r="B795">
            <v>44.66623549221228</v>
          </cell>
          <cell r="C795">
            <v>45.745180313386136</v>
          </cell>
          <cell r="D795">
            <v>49.115447077706939</v>
          </cell>
          <cell r="E795">
            <v>49.124545593259576</v>
          </cell>
          <cell r="F795">
            <v>47.612448744152175</v>
          </cell>
          <cell r="G795">
            <v>47.89354377475091</v>
          </cell>
          <cell r="H795">
            <v>55.540851083749757</v>
          </cell>
          <cell r="I795">
            <v>56.452708231807492</v>
          </cell>
          <cell r="J795">
            <v>58.236936093673521</v>
          </cell>
        </row>
        <row r="796">
          <cell r="A796">
            <v>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</row>
        <row r="797">
          <cell r="A797" t="str">
            <v>Rent Reviews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</row>
        <row r="798">
          <cell r="A798">
            <v>0</v>
          </cell>
          <cell r="B798" t="str">
            <v xml:space="preserve">Market </v>
          </cell>
          <cell r="C798">
            <v>46.893583039063508</v>
          </cell>
          <cell r="D798">
            <v>48.984918832201423</v>
          </cell>
          <cell r="E798">
            <v>51.372251424042105</v>
          </cell>
          <cell r="F798">
            <v>54.748018510745617</v>
          </cell>
          <cell r="G798">
            <v>57.509009309918866</v>
          </cell>
          <cell r="H798">
            <v>60.566674544202783</v>
          </cell>
          <cell r="I798">
            <v>63.962371572308541</v>
          </cell>
          <cell r="J798">
            <v>67.868422698345029</v>
          </cell>
        </row>
        <row r="799">
          <cell r="A799">
            <v>0</v>
          </cell>
          <cell r="B799" t="str">
            <v>Fixed</v>
          </cell>
          <cell r="C799">
            <v>0.17835624396948918</v>
          </cell>
          <cell r="D799">
            <v>0.29975088036319764</v>
          </cell>
          <cell r="E799">
            <v>0.22072995998567202</v>
          </cell>
          <cell r="F799">
            <v>8.8689185156057754E-2</v>
          </cell>
          <cell r="G799">
            <v>5.7865617385987007E-2</v>
          </cell>
          <cell r="H799">
            <v>6.0716191091777297E-2</v>
          </cell>
          <cell r="I799">
            <v>5.1817916505688538E-2</v>
          </cell>
          <cell r="J799">
            <v>4.2662653217313391E-2</v>
          </cell>
        </row>
      </sheetData>
      <sheetData sheetId="12" refreshError="1"/>
      <sheetData sheetId="13" refreshError="1"/>
      <sheetData sheetId="14" refreshError="1">
        <row r="5">
          <cell r="I5">
            <v>2.5000000000000001E-2</v>
          </cell>
          <cell r="J5">
            <v>2.5000000000000001E-2</v>
          </cell>
          <cell r="K5">
            <v>2.5000000000000001E-2</v>
          </cell>
          <cell r="L5">
            <v>2.5000000000000001E-2</v>
          </cell>
        </row>
        <row r="6">
          <cell r="I6">
            <v>0.01</v>
          </cell>
          <cell r="J6">
            <v>1.4999999999999999E-2</v>
          </cell>
          <cell r="K6">
            <v>1.4999999999999999E-2</v>
          </cell>
          <cell r="L6">
            <v>1.4999999999999999E-2</v>
          </cell>
        </row>
        <row r="8">
          <cell r="I8">
            <v>37437</v>
          </cell>
          <cell r="J8">
            <v>37802</v>
          </cell>
          <cell r="K8">
            <v>38167</v>
          </cell>
          <cell r="L8">
            <v>38533</v>
          </cell>
        </row>
        <row r="10">
          <cell r="I10">
            <v>5.0000000000000044E-3</v>
          </cell>
          <cell r="J10">
            <v>1.0000000000000002E-2</v>
          </cell>
          <cell r="K10">
            <v>1.0000000000000002E-2</v>
          </cell>
          <cell r="L10">
            <v>1.0000000000000002E-2</v>
          </cell>
        </row>
        <row r="11">
          <cell r="I11">
            <v>2.0000000000000004E-2</v>
          </cell>
          <cell r="J11">
            <v>2.5000000000000001E-2</v>
          </cell>
          <cell r="K11">
            <v>2.5000000000000001E-2</v>
          </cell>
          <cell r="L11">
            <v>2.5000000000000001E-2</v>
          </cell>
        </row>
        <row r="12">
          <cell r="I12">
            <v>5.0000000000000044E-3</v>
          </cell>
          <cell r="J12">
            <v>1.0000000000000002E-2</v>
          </cell>
          <cell r="K12">
            <v>1.0000000000000002E-2</v>
          </cell>
          <cell r="L12">
            <v>1.0000000000000002E-2</v>
          </cell>
        </row>
        <row r="13">
          <cell r="I13">
            <v>4.5000000000000005E-2</v>
          </cell>
          <cell r="J13">
            <v>0.05</v>
          </cell>
          <cell r="K13">
            <v>0.05</v>
          </cell>
          <cell r="L13">
            <v>0.05</v>
          </cell>
        </row>
        <row r="14">
          <cell r="I14">
            <v>1.5000000000000003E-2</v>
          </cell>
          <cell r="J14">
            <v>0.02</v>
          </cell>
          <cell r="K14">
            <v>0.02</v>
          </cell>
          <cell r="L14">
            <v>0.02</v>
          </cell>
        </row>
        <row r="15">
          <cell r="I15">
            <v>1.0000000000000002E-2</v>
          </cell>
          <cell r="J15">
            <v>1.4999999999999999E-2</v>
          </cell>
          <cell r="K15">
            <v>1.4999999999999999E-2</v>
          </cell>
          <cell r="L15">
            <v>1.4999999999999999E-2</v>
          </cell>
        </row>
        <row r="17">
          <cell r="I17">
            <v>0.05</v>
          </cell>
          <cell r="J17">
            <v>0.05</v>
          </cell>
          <cell r="K17">
            <v>0.05</v>
          </cell>
          <cell r="L17">
            <v>0.05</v>
          </cell>
        </row>
        <row r="21">
          <cell r="I21">
            <v>37437</v>
          </cell>
          <cell r="J21">
            <v>37802</v>
          </cell>
          <cell r="K21">
            <v>38167</v>
          </cell>
          <cell r="L21">
            <v>38533</v>
          </cell>
        </row>
        <row r="22">
          <cell r="I22">
            <v>217.51445454893215</v>
          </cell>
          <cell r="J22">
            <v>219.68959909442145</v>
          </cell>
          <cell r="K22">
            <v>221.88649508536568</v>
          </cell>
          <cell r="L22">
            <v>224.10536003621934</v>
          </cell>
        </row>
        <row r="30">
          <cell r="I30">
            <v>554.45867474916383</v>
          </cell>
          <cell r="J30">
            <v>582.18160848662217</v>
          </cell>
          <cell r="K30">
            <v>611.29068891095324</v>
          </cell>
          <cell r="L30">
            <v>641.85522335650091</v>
          </cell>
        </row>
      </sheetData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DSTemplate - IPG"/>
      <sheetName val="REDSTemplate - IPG (OLD)"/>
      <sheetName val="IPGP&amp;L"/>
      <sheetName val="Data"/>
      <sheetName val="Import"/>
      <sheetName val="Development"/>
      <sheetName val="NewNumbers"/>
      <sheetName val="Import-preFEb-3 update"/>
      <sheetName val="Bal Sheet"/>
      <sheetName val="Results analysis"/>
      <sheetName val="Old Results analysis"/>
      <sheetName val="Result"/>
      <sheetName val="Forecast"/>
      <sheetName val="ExistingModelJune02"/>
      <sheetName val="Sheet2"/>
      <sheetName val="Sheet4"/>
      <sheetName val="fy00"/>
      <sheetName val="Summary"/>
      <sheetName val="Chart Data"/>
      <sheetName val="CorpPL"/>
      <sheetName val="CorpBS"/>
      <sheetName val="Syndicates"/>
      <sheetName val="Sheet3"/>
      <sheetName val="Res"/>
      <sheetName val="Dev"/>
      <sheetName val="Charts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842">
          <cell r="A842" t="str">
            <v>WESTPAC PROPERTY TRUST</v>
          </cell>
        </row>
        <row r="843">
          <cell r="A843">
            <v>322036.3868421053</v>
          </cell>
          <cell r="B843" t="str">
            <v>Vacant</v>
          </cell>
          <cell r="C843">
            <v>36706</v>
          </cell>
          <cell r="D843">
            <v>37071</v>
          </cell>
          <cell r="E843">
            <v>37437</v>
          </cell>
          <cell r="F843">
            <v>37802</v>
          </cell>
          <cell r="G843">
            <v>38167</v>
          </cell>
          <cell r="H843">
            <v>38532</v>
          </cell>
          <cell r="I843">
            <v>38898</v>
          </cell>
          <cell r="J843" t="str">
            <v>FY07+</v>
          </cell>
        </row>
        <row r="844">
          <cell r="A844" t="str">
            <v>Lease Expiry</v>
          </cell>
          <cell r="B844">
            <v>8.3360145302965802E-3</v>
          </cell>
          <cell r="C844">
            <v>3.4084347137398913E-2</v>
          </cell>
          <cell r="D844">
            <v>5.0184080620441815E-2</v>
          </cell>
          <cell r="E844">
            <v>6.3186338039424056E-2</v>
          </cell>
          <cell r="F844">
            <v>7.5785845939099372E-2</v>
          </cell>
          <cell r="G844">
            <v>0.10603755164084228</v>
          </cell>
          <cell r="H844">
            <v>0.14073689140047893</v>
          </cell>
          <cell r="I844">
            <v>0.11253045146655419</v>
          </cell>
          <cell r="J844">
            <v>0.40911847922546379</v>
          </cell>
        </row>
        <row r="845"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</row>
        <row r="846">
          <cell r="A846">
            <v>0</v>
          </cell>
          <cell r="B846">
            <v>36341</v>
          </cell>
          <cell r="C846">
            <v>36706</v>
          </cell>
          <cell r="D846">
            <v>37071</v>
          </cell>
          <cell r="E846">
            <v>37437</v>
          </cell>
          <cell r="F846">
            <v>37802</v>
          </cell>
          <cell r="G846">
            <v>38167</v>
          </cell>
          <cell r="H846">
            <v>38532</v>
          </cell>
          <cell r="I846">
            <v>38898</v>
          </cell>
          <cell r="J846" t="str">
            <v>FY2007</v>
          </cell>
        </row>
        <row r="847">
          <cell r="A847" t="str">
            <v>Passing</v>
          </cell>
          <cell r="B847">
            <v>226.30797258003719</v>
          </cell>
          <cell r="C847">
            <v>247.35591382046604</v>
          </cell>
          <cell r="D847">
            <v>259.41760044431828</v>
          </cell>
          <cell r="E847">
            <v>278.49298734015633</v>
          </cell>
          <cell r="F847">
            <v>286.79078747933164</v>
          </cell>
          <cell r="G847">
            <v>292.97116257784177</v>
          </cell>
          <cell r="H847">
            <v>300.397060771518</v>
          </cell>
          <cell r="I847">
            <v>307.08020204409877</v>
          </cell>
          <cell r="J847">
            <v>322.08573873091467</v>
          </cell>
        </row>
        <row r="848">
          <cell r="A848" t="str">
            <v>Passing with Vacancy</v>
          </cell>
          <cell r="B848">
            <v>226.30797258003719</v>
          </cell>
          <cell r="C848">
            <v>245.10752779287046</v>
          </cell>
          <cell r="D848">
            <v>254.81670395022465</v>
          </cell>
          <cell r="E848">
            <v>273.29709036443148</v>
          </cell>
          <cell r="F848">
            <v>279.1804089645662</v>
          </cell>
          <cell r="G848">
            <v>283.22132163980501</v>
          </cell>
          <cell r="H848">
            <v>284.40895397052816</v>
          </cell>
          <cell r="I848">
            <v>296.91555555979323</v>
          </cell>
          <cell r="J848">
            <v>307.61565174407627</v>
          </cell>
        </row>
        <row r="849">
          <cell r="A849" t="str">
            <v>Market</v>
          </cell>
          <cell r="B849">
            <v>226.40215406817649</v>
          </cell>
          <cell r="C849">
            <v>252.88214034819558</v>
          </cell>
          <cell r="D849">
            <v>274.80957934651695</v>
          </cell>
          <cell r="E849">
            <v>281.2636766170865</v>
          </cell>
          <cell r="F849">
            <v>283.74678737605029</v>
          </cell>
          <cell r="G849">
            <v>292.30885884575343</v>
          </cell>
          <cell r="H849">
            <v>307.77156622270269</v>
          </cell>
          <cell r="I849">
            <v>328.24112366627122</v>
          </cell>
          <cell r="J849">
            <v>345.37138466962585</v>
          </cell>
        </row>
        <row r="850">
          <cell r="A850">
            <v>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</row>
        <row r="851">
          <cell r="A851" t="str">
            <v>Over Renting</v>
          </cell>
          <cell r="B851">
            <v>36341</v>
          </cell>
          <cell r="C851">
            <v>36706</v>
          </cell>
          <cell r="D851">
            <v>37071</v>
          </cell>
          <cell r="E851">
            <v>37437</v>
          </cell>
          <cell r="F851">
            <v>37802</v>
          </cell>
          <cell r="G851">
            <v>38167</v>
          </cell>
          <cell r="H851">
            <v>38532</v>
          </cell>
          <cell r="I851">
            <v>38898</v>
          </cell>
          <cell r="J851" t="str">
            <v>FY2007</v>
          </cell>
        </row>
        <row r="852">
          <cell r="A852">
            <v>0</v>
          </cell>
          <cell r="B852" t="e">
            <v>#DIV/0!</v>
          </cell>
          <cell r="C852">
            <v>-2.2289866517991041E-2</v>
          </cell>
          <cell r="D852">
            <v>-4.0204760730133848E-2</v>
          </cell>
          <cell r="E852">
            <v>1.0607116457502803E-2</v>
          </cell>
          <cell r="F852">
            <v>3.1575891726230244E-2</v>
          </cell>
          <cell r="G852">
            <v>2.6823953070907385E-2</v>
          </cell>
          <cell r="H852">
            <v>-3.4843829316038395E-4</v>
          </cell>
          <cell r="I852">
            <v>-3.4524419722374279E-2</v>
          </cell>
          <cell r="J852">
            <v>-5.0836558931412479E-2</v>
          </cell>
        </row>
        <row r="853">
          <cell r="A853">
            <v>0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</row>
        <row r="854">
          <cell r="A854" t="str">
            <v>Rent Reviews</v>
          </cell>
          <cell r="B854">
            <v>0</v>
          </cell>
          <cell r="C854">
            <v>36706</v>
          </cell>
          <cell r="D854">
            <v>37071</v>
          </cell>
          <cell r="E854">
            <v>37437</v>
          </cell>
          <cell r="F854">
            <v>37802</v>
          </cell>
          <cell r="G854">
            <v>38167</v>
          </cell>
          <cell r="H854">
            <v>38532</v>
          </cell>
          <cell r="I854">
            <v>38898</v>
          </cell>
          <cell r="J854">
            <v>39263.25</v>
          </cell>
        </row>
        <row r="855">
          <cell r="A855">
            <v>0</v>
          </cell>
          <cell r="B855" t="str">
            <v xml:space="preserve">Market </v>
          </cell>
          <cell r="C855">
            <v>0.43695046817486549</v>
          </cell>
          <cell r="D855">
            <v>0.24811202481033789</v>
          </cell>
          <cell r="E855">
            <v>0.23256359548189989</v>
          </cell>
          <cell r="F855">
            <v>0.28383404239502941</v>
          </cell>
          <cell r="G855">
            <v>0.4142139887477736</v>
          </cell>
          <cell r="H855">
            <v>0.55452553592820131</v>
          </cell>
          <cell r="I855">
            <v>0.50123959104425153</v>
          </cell>
          <cell r="J855">
            <v>0.60545961352307776</v>
          </cell>
        </row>
        <row r="856">
          <cell r="A856">
            <v>0</v>
          </cell>
          <cell r="B856" t="str">
            <v>Fixed</v>
          </cell>
          <cell r="C856">
            <v>0.26726141366813666</v>
          </cell>
          <cell r="D856">
            <v>0.39418092236340702</v>
          </cell>
          <cell r="E856">
            <v>0.55276687391659329</v>
          </cell>
          <cell r="F856">
            <v>0.36392692041902058</v>
          </cell>
          <cell r="G856">
            <v>0.30376135903635665</v>
          </cell>
          <cell r="H856">
            <v>0.19474911085358146</v>
          </cell>
          <cell r="I856">
            <v>0.14186223006656479</v>
          </cell>
          <cell r="J856">
            <v>0.1519365574797297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L Data"/>
      <sheetName val="ML Segmental"/>
      <sheetName val="ML Porfolio-Mini BS"/>
      <sheetName val="Truststats"/>
      <sheetName val="Data"/>
      <sheetName val="Consensus"/>
      <sheetName val="Summary"/>
      <sheetName val="FullPres"/>
      <sheetName val="HalfPres"/>
      <sheetName val="DDM"/>
      <sheetName val="FY_Model"/>
      <sheetName val="REDSTemplate - MGR"/>
      <sheetName val="FY_Trust"/>
      <sheetName val="FY_Corp"/>
      <sheetName val="Corp_DCF"/>
      <sheetName val="DevDivision"/>
      <sheetName val="RetailAssets"/>
      <sheetName val="Import"/>
      <sheetName val="FundsMgt"/>
      <sheetName val="FY05Result"/>
      <sheetName val="Group_Seg"/>
      <sheetName val="Hotels"/>
      <sheetName val="DevCharts"/>
      <sheetName val="DevBk06&amp;07"/>
      <sheetName val="FinSummary"/>
      <sheetName val="DCF_ROIC"/>
      <sheetName val="Shares"/>
      <sheetName val="Centrepoint"/>
      <sheetName val="NOISum"/>
      <sheetName val="IndustrialAssets"/>
      <sheetName val="Non-ResDev"/>
      <sheetName val="CommercialAssets"/>
      <sheetName val="EarningsRevisions"/>
      <sheetName val="cmbs"/>
      <sheetName val="JFG"/>
      <sheetName val="DPUHist"/>
      <sheetName val="SumofpartsVal"/>
      <sheetName val="Yarra's Edge"/>
      <sheetName val="XXX"/>
      <sheetName val="Sheet3"/>
      <sheetName val="Recon"/>
      <sheetName val="RestatedFins."/>
      <sheetName val="stats"/>
      <sheetName val="Macro"/>
      <sheetName val="Charts"/>
      <sheetName val="DebtRecon"/>
      <sheetName val="CurrDDiv"/>
      <sheetName val="BldCosts"/>
      <sheetName val="Trust_Seg"/>
      <sheetName val="Corp_Seg"/>
      <sheetName val="REDSTemplate - MCW"/>
      <sheetName val="Expiries"/>
      <sheetName val="Reconciliation"/>
      <sheetName val="EarningsRevsold"/>
      <sheetName val="Sheet1"/>
      <sheetName val="DevBook"/>
      <sheetName val="Splits"/>
      <sheetName val="ComExpiries"/>
      <sheetName val="MGR1H05"/>
      <sheetName val="FY04Result"/>
      <sheetName val="Resi prices"/>
      <sheetName val="Rents"/>
      <sheetName val="Sheet2"/>
      <sheetName val="Tenant Ranks"/>
      <sheetName val="A&amp;DsinceBD"/>
      <sheetName val="Mgt&amp;Structure"/>
      <sheetName val="Val"/>
      <sheetName val="New Data Tab"/>
      <sheetName val="Portfolio 2005"/>
      <sheetName val="PROP_INC"/>
      <sheetName val="Corp Update"/>
      <sheetName val="MGRDIST"/>
      <sheetName val="PROP_INC "/>
      <sheetName val="Project Update 04"/>
      <sheetName val="Debt"/>
      <sheetName val="Balance Sheet"/>
      <sheetName val="REDSTemplate - MGR (OL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COME STATEMENT"/>
    </sheetNames>
    <sheetDataSet>
      <sheetData sheetId="0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D"/>
      <sheetName val="Forc chg"/>
      <sheetName val="Consensus"/>
      <sheetName val="Comps"/>
      <sheetName val="FY_Model"/>
      <sheetName val="Group_Seg"/>
      <sheetName val="MGR_DDM"/>
      <sheetName val="DevProjects"/>
      <sheetName val="DevDivision"/>
      <sheetName val="RetailAssets"/>
      <sheetName val="CommercialAssets"/>
      <sheetName val="IndustrialAssets"/>
      <sheetName val="Trust NOI"/>
      <sheetName val="Hotels"/>
      <sheetName val="Funds Mgmt"/>
      <sheetName val="Consensus 2"/>
      <sheetName val="SGP_DDM"/>
      <sheetName val="Retail Assets"/>
      <sheetName val="Retail Projects Sum"/>
      <sheetName val="OfficeParkAssets"/>
      <sheetName val="Development Sum"/>
      <sheetName val="Residential Estates"/>
      <sheetName val="Apartments"/>
      <sheetName val="BldCosts"/>
      <sheetName val="Retail Projects "/>
      <sheetName val="M"/>
      <sheetName val="MG"/>
      <sheetName val="MGR"/>
      <sheetName val="MGR_"/>
      <sheetName val="MGR_D"/>
      <sheetName val="MGR_DD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 refreshError="1">
        <row r="31">
          <cell r="B31">
            <v>4.3527644075202421</v>
          </cell>
        </row>
      </sheetData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ACR"/>
      <sheetName val="WALE"/>
      <sheetName val="SSNOI Occupancy"/>
      <sheetName val="Cap Rates NTA V2 "/>
      <sheetName val="Cap rates Peak Trough Weighted"/>
      <sheetName val="Charts and Tables"/>
      <sheetName val="Geography_Asset type"/>
      <sheetName val="Cap rates Peak to Trough"/>
      <sheetName val="Graphs"/>
      <sheetName val="Sector Graphs"/>
    </sheetNames>
    <sheetDataSet>
      <sheetData sheetId="0" refreshError="1"/>
      <sheetData sheetId="1" refreshError="1"/>
      <sheetData sheetId="2" refreshError="1">
        <row r="4">
          <cell r="A4" t="str">
            <v>CPA</v>
          </cell>
        </row>
        <row r="148">
          <cell r="A148" t="str">
            <v>Office</v>
          </cell>
          <cell r="B148" t="str">
            <v>1H07</v>
          </cell>
          <cell r="D148" t="str">
            <v>Retail</v>
          </cell>
          <cell r="E148" t="str">
            <v>1H07</v>
          </cell>
          <cell r="G148" t="str">
            <v>Industrial</v>
          </cell>
          <cell r="H148" t="str">
            <v>1H07</v>
          </cell>
        </row>
        <row r="149">
          <cell r="A149" t="str">
            <v>CPA</v>
          </cell>
          <cell r="B149">
            <v>1.7000000000000001E-2</v>
          </cell>
          <cell r="D149" t="str">
            <v>CNP</v>
          </cell>
          <cell r="E149">
            <v>3.7999999999999999E-2</v>
          </cell>
          <cell r="G149" t="str">
            <v>DRT</v>
          </cell>
          <cell r="H149">
            <v>0.01</v>
          </cell>
        </row>
        <row r="150">
          <cell r="A150" t="str">
            <v>DRT</v>
          </cell>
          <cell r="B150">
            <v>5.6000000000000001E-2</v>
          </cell>
          <cell r="D150" t="str">
            <v>CFX</v>
          </cell>
          <cell r="E150">
            <v>0.04</v>
          </cell>
          <cell r="G150" t="str">
            <v>GPT</v>
          </cell>
          <cell r="H150">
            <v>5.7000000000000002E-2</v>
          </cell>
        </row>
        <row r="151">
          <cell r="A151" t="str">
            <v>GPT</v>
          </cell>
          <cell r="B151">
            <v>0.03</v>
          </cell>
          <cell r="D151" t="str">
            <v>DRT</v>
          </cell>
          <cell r="E151">
            <v>3.7999999999999999E-2</v>
          </cell>
          <cell r="G151" t="str">
            <v>MGR</v>
          </cell>
          <cell r="H151">
            <v>0.03</v>
          </cell>
        </row>
        <row r="152">
          <cell r="A152" t="str">
            <v>IOF</v>
          </cell>
          <cell r="B152">
            <v>6.0000000000000001E-3</v>
          </cell>
          <cell r="D152" t="str">
            <v>GSA</v>
          </cell>
          <cell r="E152">
            <v>1.4999999999999999E-2</v>
          </cell>
          <cell r="G152" t="str">
            <v>MPR</v>
          </cell>
          <cell r="H152">
            <v>2.7E-2</v>
          </cell>
        </row>
        <row r="153">
          <cell r="A153" t="str">
            <v>IPG</v>
          </cell>
          <cell r="B153">
            <v>4.0000000000000001E-3</v>
          </cell>
          <cell r="D153" t="str">
            <v>GPT</v>
          </cell>
          <cell r="E153">
            <v>4.1000000000000002E-2</v>
          </cell>
        </row>
        <row r="154">
          <cell r="A154" t="str">
            <v>MGR</v>
          </cell>
          <cell r="B154">
            <v>1.6E-2</v>
          </cell>
          <cell r="D154" t="str">
            <v>MCW - US</v>
          </cell>
          <cell r="E154">
            <v>3.5999999999999997E-2</v>
          </cell>
        </row>
        <row r="155">
          <cell r="A155" t="str">
            <v>MOF</v>
          </cell>
          <cell r="B155">
            <v>5.6000000000000001E-2</v>
          </cell>
          <cell r="D155" t="str">
            <v>MCW - Australia</v>
          </cell>
          <cell r="E155">
            <v>3.3000000000000002E-2</v>
          </cell>
        </row>
        <row r="156">
          <cell r="A156" t="str">
            <v>SGP</v>
          </cell>
          <cell r="B156">
            <v>4.2000000000000003E-2</v>
          </cell>
          <cell r="D156" t="str">
            <v>MDT</v>
          </cell>
          <cell r="E156">
            <v>1.9E-2</v>
          </cell>
        </row>
        <row r="157">
          <cell r="A157" t="str">
            <v>VPG</v>
          </cell>
          <cell r="B157">
            <v>3.5000000000000003E-2</v>
          </cell>
          <cell r="D157" t="str">
            <v>MGR</v>
          </cell>
          <cell r="E157">
            <v>3.6999999999999998E-2</v>
          </cell>
        </row>
        <row r="158">
          <cell r="D158" t="str">
            <v>SGP</v>
          </cell>
          <cell r="E158">
            <v>5.0999999999999997E-2</v>
          </cell>
        </row>
        <row r="159">
          <cell r="D159" t="str">
            <v>WDC - Australia</v>
          </cell>
          <cell r="E159">
            <v>5.7000000000000002E-2</v>
          </cell>
        </row>
        <row r="160">
          <cell r="D160" t="str">
            <v>WDC - US</v>
          </cell>
          <cell r="E160">
            <v>0.03</v>
          </cell>
        </row>
        <row r="161">
          <cell r="D161" t="str">
            <v>WDC - UK</v>
          </cell>
          <cell r="E161">
            <v>6.3E-2</v>
          </cell>
        </row>
        <row r="162">
          <cell r="D162" t="str">
            <v>VPG</v>
          </cell>
          <cell r="E162">
            <v>3.2000000000000001E-2</v>
          </cell>
        </row>
        <row r="163">
          <cell r="A163" t="str">
            <v>Avg Office</v>
          </cell>
          <cell r="B163">
            <v>2.9111111111111112E-2</v>
          </cell>
          <cell r="D163" t="str">
            <v>Avg Retail</v>
          </cell>
          <cell r="E163">
            <v>3.7857142857142853E-2</v>
          </cell>
          <cell r="G163" t="str">
            <v>Avg Industrial</v>
          </cell>
          <cell r="H163">
            <v>3.1E-2</v>
          </cell>
          <cell r="AY163" t="str">
            <v>Average - all</v>
          </cell>
          <cell r="AZ163">
            <v>3.2656084656084654E-2</v>
          </cell>
        </row>
      </sheetData>
      <sheetData sheetId="3"/>
      <sheetData sheetId="4" refreshError="1">
        <row r="3">
          <cell r="H3" t="str">
            <v>Retail</v>
          </cell>
          <cell r="Q3" t="str">
            <v>Office</v>
          </cell>
          <cell r="Z3" t="str">
            <v>Industrial</v>
          </cell>
        </row>
        <row r="4">
          <cell r="H4" t="str">
            <v>WACR</v>
          </cell>
          <cell r="Q4" t="str">
            <v>WACR</v>
          </cell>
          <cell r="Z4" t="str">
            <v>WACR</v>
          </cell>
        </row>
        <row r="6">
          <cell r="C6" t="str">
            <v>FY03</v>
          </cell>
          <cell r="D6" t="str">
            <v>FY04</v>
          </cell>
          <cell r="E6" t="str">
            <v>FY05</v>
          </cell>
          <cell r="F6" t="str">
            <v>FY06</v>
          </cell>
          <cell r="G6" t="str">
            <v>FY07</v>
          </cell>
          <cell r="H6" t="str">
            <v>1H08</v>
          </cell>
          <cell r="I6" t="str">
            <v>FY09</v>
          </cell>
          <cell r="J6" t="str">
            <v>1H10</v>
          </cell>
          <cell r="K6" t="str">
            <v>Weighting</v>
          </cell>
          <cell r="L6" t="str">
            <v>FY03</v>
          </cell>
          <cell r="M6" t="str">
            <v>FY04</v>
          </cell>
          <cell r="N6" t="str">
            <v>FY05</v>
          </cell>
          <cell r="O6" t="str">
            <v>FY06</v>
          </cell>
          <cell r="P6" t="str">
            <v>FY07</v>
          </cell>
          <cell r="Q6" t="str">
            <v>1H08</v>
          </cell>
          <cell r="R6" t="str">
            <v>FY09</v>
          </cell>
          <cell r="S6" t="str">
            <v>1H10</v>
          </cell>
          <cell r="T6" t="str">
            <v>Weighting</v>
          </cell>
          <cell r="U6" t="str">
            <v>FY03</v>
          </cell>
          <cell r="V6" t="str">
            <v>FY04</v>
          </cell>
          <cell r="W6" t="str">
            <v>FY05</v>
          </cell>
          <cell r="X6" t="str">
            <v>FY06</v>
          </cell>
          <cell r="Y6" t="str">
            <v>FY07</v>
          </cell>
          <cell r="Z6" t="str">
            <v>1H08</v>
          </cell>
          <cell r="AA6" t="str">
            <v>FY09</v>
          </cell>
        </row>
        <row r="7">
          <cell r="B7" t="str">
            <v>CFX</v>
          </cell>
          <cell r="C7">
            <v>7.6300000000000007E-2</v>
          </cell>
          <cell r="D7">
            <v>7.3700000000000002E-2</v>
          </cell>
          <cell r="E7">
            <v>7.0000000000000007E-2</v>
          </cell>
          <cell r="F7">
            <v>6.5699999999999995E-2</v>
          </cell>
          <cell r="G7">
            <v>5.8700000000000002E-2</v>
          </cell>
          <cell r="H7">
            <v>5.74E-2</v>
          </cell>
          <cell r="I7">
            <v>6.4500000000000002E-2</v>
          </cell>
          <cell r="J7">
            <v>6.59E-2</v>
          </cell>
          <cell r="K7">
            <v>0.1804771352258088</v>
          </cell>
        </row>
        <row r="8">
          <cell r="B8" t="str">
            <v>CPA</v>
          </cell>
          <cell r="L8">
            <v>0.08</v>
          </cell>
          <cell r="M8">
            <v>7.6999999999999999E-2</v>
          </cell>
          <cell r="N8">
            <v>7.5317410257962486E-2</v>
          </cell>
          <cell r="O8">
            <v>7.1999999999999995E-2</v>
          </cell>
          <cell r="P8">
            <v>6.6000000000000003E-2</v>
          </cell>
          <cell r="Q8">
            <v>6.3E-2</v>
          </cell>
          <cell r="R8">
            <v>7.6999999999999999E-2</v>
          </cell>
          <cell r="S8">
            <v>7.8399999999999997E-2</v>
          </cell>
          <cell r="T8">
            <v>0.14878232485620843</v>
          </cell>
        </row>
        <row r="9">
          <cell r="B9" t="str">
            <v>DXS</v>
          </cell>
          <cell r="N9">
            <v>7.3999999999999996E-2</v>
          </cell>
          <cell r="O9">
            <v>6.7000000000000004E-2</v>
          </cell>
          <cell r="P9">
            <v>6.0999999999999999E-2</v>
          </cell>
          <cell r="Q9">
            <v>5.8999999999999997E-2</v>
          </cell>
          <cell r="R9">
            <v>7.6999999999999999E-2</v>
          </cell>
          <cell r="S9">
            <v>7.5999999999999998E-2</v>
          </cell>
          <cell r="T9">
            <v>0.19563911423951283</v>
          </cell>
          <cell r="W9">
            <v>8.6999999999999994E-2</v>
          </cell>
          <cell r="X9">
            <v>7.6999999999999999E-2</v>
          </cell>
          <cell r="Y9">
            <v>7.2999999999999995E-2</v>
          </cell>
          <cell r="Z9">
            <v>7.1999999999999995E-2</v>
          </cell>
          <cell r="AA9">
            <v>8.7999999999999995E-2</v>
          </cell>
        </row>
        <row r="10">
          <cell r="B10" t="str">
            <v>GMG</v>
          </cell>
          <cell r="Y10">
            <v>7.3999999999999996E-2</v>
          </cell>
          <cell r="Z10">
            <v>7.0000000000000007E-2</v>
          </cell>
          <cell r="AA10">
            <v>0.08</v>
          </cell>
        </row>
        <row r="11">
          <cell r="B11" t="str">
            <v>GPT</v>
          </cell>
          <cell r="G11">
            <v>6.0999999999999999E-2</v>
          </cell>
          <cell r="H11">
            <v>5.8000000000000003E-2</v>
          </cell>
          <cell r="I11">
            <v>6.3E-2</v>
          </cell>
          <cell r="J11">
            <v>6.2600000000000003E-2</v>
          </cell>
          <cell r="K11">
            <v>0.12620526188080794</v>
          </cell>
          <cell r="P11">
            <v>6.5000000000000002E-2</v>
          </cell>
          <cell r="Q11">
            <v>5.8999999999999997E-2</v>
          </cell>
          <cell r="R11">
            <v>7.0999999999999994E-2</v>
          </cell>
          <cell r="S11">
            <v>7.2700000000000001E-2</v>
          </cell>
          <cell r="T11">
            <v>0.12705304414510621</v>
          </cell>
          <cell r="Y11">
            <v>7.9000000000000001E-2</v>
          </cell>
          <cell r="Z11">
            <v>7.3999999999999996E-2</v>
          </cell>
          <cell r="AA11">
            <v>8.3000000000000004E-2</v>
          </cell>
        </row>
        <row r="12">
          <cell r="B12" t="str">
            <v>IOF</v>
          </cell>
          <cell r="P12">
            <v>6.6000000000000003E-2</v>
          </cell>
          <cell r="Q12">
            <v>6.5000000000000002E-2</v>
          </cell>
          <cell r="R12">
            <v>0.08</v>
          </cell>
          <cell r="S12">
            <v>0.08</v>
          </cell>
          <cell r="T12">
            <v>8.3737840655264004E-2</v>
          </cell>
        </row>
        <row r="13">
          <cell r="B13" t="str">
            <v>IIF</v>
          </cell>
          <cell r="Y13">
            <v>7.2999999999999995E-2</v>
          </cell>
          <cell r="Z13">
            <v>6.7299999999999999E-2</v>
          </cell>
          <cell r="AA13">
            <v>8.5800000000000001E-2</v>
          </cell>
        </row>
        <row r="14">
          <cell r="B14" t="str">
            <v>ABP</v>
          </cell>
          <cell r="G14">
            <v>7.0000000000000007E-2</v>
          </cell>
          <cell r="H14">
            <v>7.0000000000000007E-2</v>
          </cell>
          <cell r="I14">
            <v>7.9699999999999993E-2</v>
          </cell>
          <cell r="J14">
            <v>0.08</v>
          </cell>
          <cell r="K14">
            <v>6.690970097762941E-3</v>
          </cell>
          <cell r="P14">
            <v>7.4999999999999997E-2</v>
          </cell>
          <cell r="Q14">
            <v>7.5200000000000003E-2</v>
          </cell>
          <cell r="R14">
            <v>8.6699999999999999E-2</v>
          </cell>
          <cell r="S14">
            <v>8.5000000000000006E-2</v>
          </cell>
          <cell r="T14">
            <v>1.7346993868687752E-2</v>
          </cell>
          <cell r="Y14">
            <v>0.08</v>
          </cell>
          <cell r="Z14">
            <v>7.9699999999999993E-2</v>
          </cell>
          <cell r="AA14">
            <v>9.0999999999999998E-2</v>
          </cell>
        </row>
        <row r="15">
          <cell r="B15" t="str">
            <v>CDI</v>
          </cell>
          <cell r="G15">
            <v>7.8583650190114054E-2</v>
          </cell>
          <cell r="H15">
            <v>7.7100000000000002E-2</v>
          </cell>
          <cell r="I15">
            <v>8.09E-2</v>
          </cell>
          <cell r="J15">
            <v>8.3900000000000002E-2</v>
          </cell>
          <cell r="K15">
            <v>3.1368271201798205E-3</v>
          </cell>
          <cell r="P15">
            <v>7.3214370971592266E-2</v>
          </cell>
          <cell r="Q15">
            <v>7.0000000000000007E-2</v>
          </cell>
          <cell r="R15">
            <v>0.08</v>
          </cell>
          <cell r="S15">
            <v>8.2900000000000001E-2</v>
          </cell>
          <cell r="T15">
            <v>2.0951561484990784E-2</v>
          </cell>
          <cell r="Y15">
            <v>7.9370117187500006E-2</v>
          </cell>
          <cell r="Z15">
            <v>7.7499999999999999E-2</v>
          </cell>
          <cell r="AA15">
            <v>8.4599999999999995E-2</v>
          </cell>
        </row>
        <row r="16">
          <cell r="B16" t="str">
            <v>ALZ</v>
          </cell>
          <cell r="P16">
            <v>6.8000000000000005E-2</v>
          </cell>
          <cell r="Q16">
            <v>6.8000000000000005E-2</v>
          </cell>
          <cell r="R16">
            <v>7.9100000000000004E-2</v>
          </cell>
          <cell r="S16">
            <v>8.1199999999999994E-2</v>
          </cell>
          <cell r="T16">
            <v>4.0366447110133243E-2</v>
          </cell>
          <cell r="Y16">
            <v>7.0999999999999994E-2</v>
          </cell>
          <cell r="Z16">
            <v>7.0999999999999994E-2</v>
          </cell>
          <cell r="AA16">
            <v>8.8099999999999998E-2</v>
          </cell>
        </row>
        <row r="17">
          <cell r="B17" t="str">
            <v>CHC</v>
          </cell>
          <cell r="G17">
            <v>6.8000000000000005E-2</v>
          </cell>
          <cell r="H17">
            <v>6.8099999999999994E-2</v>
          </cell>
          <cell r="I17">
            <v>7.5899999999999995E-2</v>
          </cell>
          <cell r="J17">
            <v>8.2600000000000007E-2</v>
          </cell>
          <cell r="K17">
            <v>4.4457190120534146E-3</v>
          </cell>
          <cell r="P17">
            <v>6.4000000000000001E-2</v>
          </cell>
          <cell r="Q17">
            <v>6.3799999999999996E-2</v>
          </cell>
          <cell r="R17">
            <v>7.5999999999999998E-2</v>
          </cell>
          <cell r="S17">
            <v>7.8299999999999995E-2</v>
          </cell>
          <cell r="T17">
            <v>6.5454085273539313E-3</v>
          </cell>
          <cell r="Y17">
            <v>6.9000000000000006E-2</v>
          </cell>
          <cell r="Z17">
            <v>6.9099999999999995E-2</v>
          </cell>
          <cell r="AA17">
            <v>7.8799999999999995E-2</v>
          </cell>
        </row>
        <row r="18">
          <cell r="B18" t="str">
            <v>CMW</v>
          </cell>
          <cell r="G18">
            <v>8.4000000000000005E-2</v>
          </cell>
          <cell r="H18">
            <v>8.43E-2</v>
          </cell>
          <cell r="I18">
            <v>0.1045</v>
          </cell>
          <cell r="J18">
            <v>9.2499999999999999E-2</v>
          </cell>
          <cell r="K18">
            <v>1.1734892823694293E-3</v>
          </cell>
          <cell r="P18">
            <v>7.0000000000000007E-2</v>
          </cell>
          <cell r="Q18">
            <v>7.0199999999999999E-2</v>
          </cell>
          <cell r="R18">
            <v>8.2299999999999998E-2</v>
          </cell>
          <cell r="S18">
            <v>8.3900000000000002E-2</v>
          </cell>
          <cell r="T18">
            <v>4.8020509858789508E-2</v>
          </cell>
          <cell r="Y18">
            <v>7.3999999999999996E-2</v>
          </cell>
          <cell r="Z18">
            <v>7.3700000000000002E-2</v>
          </cell>
          <cell r="AA18">
            <v>9.0700000000000003E-2</v>
          </cell>
        </row>
        <row r="19">
          <cell r="B19" t="str">
            <v>BWP</v>
          </cell>
          <cell r="Y19">
            <v>6.5799999999999997E-2</v>
          </cell>
          <cell r="Z19">
            <v>6.6000000000000003E-2</v>
          </cell>
          <cell r="AA19">
            <v>7.8100000000000003E-2</v>
          </cell>
        </row>
        <row r="20">
          <cell r="B20" t="str">
            <v>MCW</v>
          </cell>
          <cell r="G20">
            <v>6.54E-2</v>
          </cell>
          <cell r="H20">
            <v>6.5199999999999994E-2</v>
          </cell>
          <cell r="I20">
            <v>7.9000000000000001E-2</v>
          </cell>
          <cell r="J20">
            <v>8.0199999999999994E-2</v>
          </cell>
          <cell r="K20">
            <v>2.5430616029467418E-2</v>
          </cell>
        </row>
        <row r="21">
          <cell r="B21" t="str">
            <v>MGR</v>
          </cell>
          <cell r="G21">
            <v>6.7000000000000004E-2</v>
          </cell>
          <cell r="H21">
            <v>6.5000000000000002E-2</v>
          </cell>
          <cell r="I21">
            <v>7.2999999999999995E-2</v>
          </cell>
          <cell r="J21">
            <v>7.6399999999999996E-2</v>
          </cell>
          <cell r="K21">
            <v>3.6307958992968667E-2</v>
          </cell>
          <cell r="P21">
            <v>7.3999999999999996E-2</v>
          </cell>
          <cell r="Q21">
            <v>7.0000000000000007E-2</v>
          </cell>
          <cell r="R21">
            <v>7.6999999999999999E-2</v>
          </cell>
          <cell r="S21">
            <v>7.9299999999999995E-2</v>
          </cell>
          <cell r="T21">
            <v>7.8079746392293078E-2</v>
          </cell>
          <cell r="Y21">
            <v>7.9000000000000001E-2</v>
          </cell>
          <cell r="Z21">
            <v>7.1999999999999995E-2</v>
          </cell>
          <cell r="AA21">
            <v>8.5000000000000006E-2</v>
          </cell>
        </row>
        <row r="22">
          <cell r="B22" t="str">
            <v>MOF</v>
          </cell>
          <cell r="L22">
            <v>8.0457149647061854E-2</v>
          </cell>
          <cell r="M22">
            <v>8.0699999999999994E-2</v>
          </cell>
          <cell r="N22">
            <v>7.4700000000000003E-2</v>
          </cell>
          <cell r="O22">
            <v>6.7000000000000004E-2</v>
          </cell>
          <cell r="P22">
            <v>6.8000000000000005E-2</v>
          </cell>
          <cell r="Q22">
            <v>6.5000000000000002E-2</v>
          </cell>
          <cell r="R22">
            <v>7.9000000000000001E-2</v>
          </cell>
          <cell r="S22">
            <v>7.9699999999999993E-2</v>
          </cell>
          <cell r="T22">
            <v>9.138946035803816E-2</v>
          </cell>
        </row>
        <row r="23">
          <cell r="B23" t="str">
            <v>SGP</v>
          </cell>
          <cell r="G23">
            <v>6.3E-2</v>
          </cell>
          <cell r="H23">
            <v>6.2E-2</v>
          </cell>
          <cell r="I23">
            <v>7.2999999999999995E-2</v>
          </cell>
          <cell r="J23">
            <v>7.3999999999999996E-2</v>
          </cell>
          <cell r="K23">
            <v>9.8718532151462451E-2</v>
          </cell>
          <cell r="P23">
            <v>6.5000000000000002E-2</v>
          </cell>
          <cell r="Q23">
            <v>6.4000000000000001E-2</v>
          </cell>
          <cell r="R23">
            <v>7.9000000000000001E-2</v>
          </cell>
          <cell r="S23">
            <v>0.08</v>
          </cell>
          <cell r="T23">
            <v>0.14208754850362221</v>
          </cell>
          <cell r="Y23">
            <v>7.4999999999999997E-2</v>
          </cell>
          <cell r="Z23">
            <v>7.2999999999999995E-2</v>
          </cell>
          <cell r="AA23">
            <v>8.5999999999999993E-2</v>
          </cell>
        </row>
        <row r="24">
          <cell r="B24" t="str">
            <v>WDC</v>
          </cell>
          <cell r="E24">
            <v>6.7000000000000004E-2</v>
          </cell>
          <cell r="F24">
            <v>5.8000000000000003E-2</v>
          </cell>
          <cell r="G24">
            <v>5.6000000000000001E-2</v>
          </cell>
          <cell r="H24">
            <v>5.5E-2</v>
          </cell>
          <cell r="I24">
            <v>0.06</v>
          </cell>
          <cell r="J24">
            <v>6.0999999999999999E-2</v>
          </cell>
          <cell r="K24">
            <v>0.51741349020711913</v>
          </cell>
        </row>
        <row r="25">
          <cell r="B25" t="str">
            <v>Straight Average</v>
          </cell>
          <cell r="G25">
            <v>6.7168365019011425E-2</v>
          </cell>
          <cell r="H25">
            <v>6.6210000000000005E-2</v>
          </cell>
          <cell r="I25">
            <v>7.5349999999999986E-2</v>
          </cell>
          <cell r="J25">
            <v>7.5910000000000005E-2</v>
          </cell>
          <cell r="P25">
            <v>6.7934530914299351E-2</v>
          </cell>
          <cell r="Q25">
            <v>6.6016666666666668E-2</v>
          </cell>
          <cell r="R25">
            <v>7.8674999999999981E-2</v>
          </cell>
          <cell r="S25">
            <v>7.9783333333333331E-2</v>
          </cell>
          <cell r="Y25">
            <v>7.4347509765624986E-2</v>
          </cell>
          <cell r="Z25">
            <v>7.2108333333333316E-2</v>
          </cell>
          <cell r="AA25">
            <v>8.4924999999999987E-2</v>
          </cell>
        </row>
        <row r="26">
          <cell r="B26" t="str">
            <v>Weighted Average</v>
          </cell>
          <cell r="G26">
            <v>5.8698500554982283E-2</v>
          </cell>
          <cell r="H26">
            <v>5.7387573094528598E-2</v>
          </cell>
          <cell r="I26">
            <v>6.3749567986690819E-2</v>
          </cell>
          <cell r="J26">
            <v>6.4748971911806869E-2</v>
          </cell>
          <cell r="P26">
            <v>6.6127080126413898E-2</v>
          </cell>
          <cell r="Q26">
            <v>6.3659242230686558E-2</v>
          </cell>
          <cell r="R26">
            <v>7.7519702632455237E-2</v>
          </cell>
          <cell r="S26">
            <v>7.8341918968565571E-2</v>
          </cell>
          <cell r="Y26">
            <v>7.3436272809217468E-2</v>
          </cell>
          <cell r="Z26">
            <v>7.0324453901731906E-2</v>
          </cell>
          <cell r="AA26">
            <v>8.3632856998995711E-2</v>
          </cell>
        </row>
      </sheetData>
      <sheetData sheetId="5" refreshError="1">
        <row r="6">
          <cell r="C6" t="str">
            <v>Retail AU</v>
          </cell>
          <cell r="H6" t="str">
            <v>Office AU</v>
          </cell>
          <cell r="L6" t="str">
            <v>Industrial AU</v>
          </cell>
        </row>
        <row r="7">
          <cell r="C7" t="str">
            <v xml:space="preserve">Comp </v>
          </cell>
          <cell r="H7" t="str">
            <v xml:space="preserve">Comp </v>
          </cell>
          <cell r="L7" t="str">
            <v xml:space="preserve">Comp </v>
          </cell>
        </row>
        <row r="8">
          <cell r="B8" t="str">
            <v>Comparable</v>
          </cell>
          <cell r="C8" t="str">
            <v>Growth</v>
          </cell>
          <cell r="D8" t="str">
            <v>Occupancy</v>
          </cell>
          <cell r="E8" t="str">
            <v>WACR 1H10</v>
          </cell>
          <cell r="F8" t="str">
            <v>WACR FY09</v>
          </cell>
          <cell r="H8" t="str">
            <v>Growth</v>
          </cell>
          <cell r="I8" t="str">
            <v>Occupancy</v>
          </cell>
          <cell r="J8" t="str">
            <v>WACR 1H10</v>
          </cell>
          <cell r="K8" t="str">
            <v>WACR FY09</v>
          </cell>
          <cell r="L8" t="str">
            <v>Growth</v>
          </cell>
          <cell r="M8" t="str">
            <v>Occupancy</v>
          </cell>
          <cell r="N8" t="str">
            <v>WACR 1H10</v>
          </cell>
        </row>
        <row r="9">
          <cell r="B9" t="str">
            <v>CFX</v>
          </cell>
          <cell r="C9">
            <v>2.4E-2</v>
          </cell>
          <cell r="D9">
            <v>0.998</v>
          </cell>
          <cell r="E9">
            <v>6.59E-2</v>
          </cell>
          <cell r="F9">
            <v>6.5000000000000002E-2</v>
          </cell>
          <cell r="V9" t="str">
            <v>GPT</v>
          </cell>
          <cell r="W9" t="str">
            <v>SGP</v>
          </cell>
        </row>
        <row r="10">
          <cell r="B10" t="str">
            <v>CPA</v>
          </cell>
          <cell r="H10">
            <v>1.2999999999999999E-2</v>
          </cell>
          <cell r="I10">
            <v>0.93700000000000006</v>
          </cell>
          <cell r="J10">
            <v>7.8E-2</v>
          </cell>
          <cell r="K10">
            <v>7.6999999999999999E-2</v>
          </cell>
          <cell r="U10" t="str">
            <v>Retail</v>
          </cell>
          <cell r="V10">
            <v>6.3E-2</v>
          </cell>
          <cell r="W10">
            <v>7.3999999999999996E-2</v>
          </cell>
        </row>
        <row r="11">
          <cell r="B11" t="str">
            <v>DXS</v>
          </cell>
          <cell r="H11">
            <v>2.7E-2</v>
          </cell>
          <cell r="I11">
            <v>0.96499999999999997</v>
          </cell>
          <cell r="J11">
            <v>7.5999999999999998E-2</v>
          </cell>
          <cell r="K11">
            <v>7.6999999999999999E-2</v>
          </cell>
          <cell r="L11">
            <v>1.9E-2</v>
          </cell>
          <cell r="M11">
            <v>0.97299999999999998</v>
          </cell>
          <cell r="N11">
            <v>8.7999999999999995E-2</v>
          </cell>
          <cell r="U11" t="str">
            <v>Office</v>
          </cell>
          <cell r="V11">
            <v>7.2999999999999995E-2</v>
          </cell>
          <cell r="W11">
            <v>0.08</v>
          </cell>
        </row>
        <row r="12">
          <cell r="B12" t="str">
            <v>IIF</v>
          </cell>
          <cell r="L12">
            <v>2.7E-2</v>
          </cell>
          <cell r="M12">
            <v>0.97</v>
          </cell>
          <cell r="N12">
            <v>8.6999999999999994E-2</v>
          </cell>
          <cell r="U12" t="str">
            <v>Industrial</v>
          </cell>
          <cell r="V12">
            <v>8.4000000000000005E-2</v>
          </cell>
          <cell r="W12">
            <v>8.6999999999999994E-2</v>
          </cell>
        </row>
        <row r="13">
          <cell r="B13" t="str">
            <v>IOF</v>
          </cell>
          <cell r="H13">
            <v>5.7000000000000002E-2</v>
          </cell>
          <cell r="I13">
            <v>0.96</v>
          </cell>
          <cell r="J13">
            <v>8.0399999999999999E-2</v>
          </cell>
          <cell r="K13">
            <v>0.08</v>
          </cell>
          <cell r="U13" t="str">
            <v xml:space="preserve">   Wght Avg</v>
          </cell>
          <cell r="V13" t="e">
            <v>#REF!</v>
          </cell>
          <cell r="W13">
            <v>7.8E-2</v>
          </cell>
        </row>
        <row r="14">
          <cell r="B14" t="str">
            <v>MGR</v>
          </cell>
          <cell r="C14">
            <v>3.1E-2</v>
          </cell>
          <cell r="D14">
            <v>0.96899999999999997</v>
          </cell>
          <cell r="E14">
            <v>7.6399999999999996E-2</v>
          </cell>
          <cell r="F14">
            <v>7.2999999999999995E-2</v>
          </cell>
          <cell r="H14">
            <v>5.1999999999999998E-2</v>
          </cell>
          <cell r="I14">
            <v>0.96799999999999997</v>
          </cell>
          <cell r="J14">
            <v>7.9299999999999995E-2</v>
          </cell>
          <cell r="K14">
            <v>7.6999999999999999E-2</v>
          </cell>
          <cell r="L14">
            <v>0.05</v>
          </cell>
          <cell r="M14">
            <v>0.96</v>
          </cell>
          <cell r="N14">
            <v>8.7400000000000005E-2</v>
          </cell>
        </row>
        <row r="15">
          <cell r="B15" t="str">
            <v>MOF</v>
          </cell>
          <cell r="H15">
            <v>0.01</v>
          </cell>
          <cell r="I15">
            <v>0.97</v>
          </cell>
          <cell r="J15">
            <v>7.9699999999999993E-2</v>
          </cell>
          <cell r="K15">
            <v>7.9000000000000001E-2</v>
          </cell>
        </row>
        <row r="16">
          <cell r="B16" t="str">
            <v>SGP</v>
          </cell>
          <cell r="C16">
            <v>0.04</v>
          </cell>
          <cell r="D16">
            <v>0.99</v>
          </cell>
          <cell r="E16">
            <v>7.3999999999999996E-2</v>
          </cell>
          <cell r="F16">
            <v>7.2999999999999995E-2</v>
          </cell>
          <cell r="H16">
            <v>1.4E-2</v>
          </cell>
          <cell r="I16">
            <v>0.95</v>
          </cell>
          <cell r="J16">
            <v>0.08</v>
          </cell>
          <cell r="K16">
            <v>7.9000000000000001E-2</v>
          </cell>
          <cell r="L16">
            <v>-4.3999999999999997E-2</v>
          </cell>
          <cell r="M16">
            <v>0.93</v>
          </cell>
          <cell r="N16">
            <v>8.6999999999999994E-2</v>
          </cell>
        </row>
        <row r="17">
          <cell r="B17" t="str">
            <v>WDC</v>
          </cell>
          <cell r="C17">
            <v>5.8999999999999997E-2</v>
          </cell>
          <cell r="D17">
            <v>0.995</v>
          </cell>
          <cell r="E17">
            <v>6.0999999999999999E-2</v>
          </cell>
          <cell r="F17">
            <v>0.06</v>
          </cell>
        </row>
        <row r="18">
          <cell r="B18" t="str">
            <v>GPT</v>
          </cell>
          <cell r="C18">
            <v>4.8000000000000001E-2</v>
          </cell>
          <cell r="D18">
            <v>0.996</v>
          </cell>
          <cell r="E18">
            <v>6.3E-2</v>
          </cell>
          <cell r="F18">
            <v>6.3E-2</v>
          </cell>
          <cell r="H18">
            <v>2.5999999999999999E-2</v>
          </cell>
          <cell r="I18">
            <v>0.95899999999999996</v>
          </cell>
          <cell r="J18">
            <v>7.2999999999999995E-2</v>
          </cell>
          <cell r="K18">
            <v>7.0999999999999994E-2</v>
          </cell>
          <cell r="L18">
            <v>2.5000000000000001E-2</v>
          </cell>
          <cell r="M18">
            <v>0.96499999999999997</v>
          </cell>
          <cell r="N18">
            <v>8.4000000000000005E-2</v>
          </cell>
        </row>
        <row r="19">
          <cell r="B19" t="str">
            <v xml:space="preserve">   Comp Avg</v>
          </cell>
          <cell r="C19">
            <v>4.0400000000000005E-2</v>
          </cell>
          <cell r="D19">
            <v>0.98960000000000004</v>
          </cell>
          <cell r="E19">
            <v>6.8059999999999996E-2</v>
          </cell>
          <cell r="F19">
            <v>6.6799999999999998E-2</v>
          </cell>
          <cell r="H19">
            <v>2.8428571428571432E-2</v>
          </cell>
          <cell r="I19">
            <v>0.95842857142857141</v>
          </cell>
          <cell r="J19">
            <v>7.8057142857142853E-2</v>
          </cell>
          <cell r="K19">
            <v>7.7142857142857152E-2</v>
          </cell>
          <cell r="L19">
            <v>1.5400000000000002E-2</v>
          </cell>
          <cell r="M19">
            <v>0.95960000000000001</v>
          </cell>
          <cell r="N19">
            <v>8.6679999999999993E-2</v>
          </cell>
        </row>
        <row r="20">
          <cell r="B20" t="str">
            <v>Cap Rate Expansion</v>
          </cell>
          <cell r="E20">
            <v>1.2599999999999972E-3</v>
          </cell>
          <cell r="J20">
            <v>9.1428571428570082E-4</v>
          </cell>
          <cell r="N20">
            <v>1.0799999999999976E-3</v>
          </cell>
        </row>
        <row r="35">
          <cell r="C35" t="str">
            <v>GPT</v>
          </cell>
          <cell r="L35" t="str">
            <v>Peer (*)</v>
          </cell>
        </row>
        <row r="36">
          <cell r="C36" t="str">
            <v>% of</v>
          </cell>
          <cell r="D36" t="str">
            <v>Cap Rate</v>
          </cell>
          <cell r="I36" t="str">
            <v>YoY</v>
          </cell>
          <cell r="J36" t="str">
            <v>Comp</v>
          </cell>
          <cell r="M36" t="str">
            <v xml:space="preserve">Comp </v>
          </cell>
        </row>
        <row r="37">
          <cell r="C37" t="str">
            <v>Assets</v>
          </cell>
          <cell r="D37" t="str">
            <v>Dec '07</v>
          </cell>
          <cell r="E37" t="str">
            <v>Dec '08</v>
          </cell>
          <cell r="F37" t="str">
            <v>Jun '09</v>
          </cell>
          <cell r="H37" t="str">
            <v>Dec '09</v>
          </cell>
          <cell r="I37" t="str">
            <v>Change</v>
          </cell>
          <cell r="J37" t="str">
            <v>Growth</v>
          </cell>
          <cell r="L37" t="str">
            <v>WACR</v>
          </cell>
          <cell r="M37" t="str">
            <v>Growth</v>
          </cell>
        </row>
        <row r="38">
          <cell r="B38" t="e">
            <v>#REF!</v>
          </cell>
          <cell r="C38" t="e">
            <v>#REF!</v>
          </cell>
          <cell r="D38">
            <v>5.8000000000000003E-2</v>
          </cell>
          <cell r="E38">
            <v>6.2E-2</v>
          </cell>
          <cell r="F38">
            <v>6.3E-2</v>
          </cell>
          <cell r="H38" t="e">
            <v>#REF!</v>
          </cell>
          <cell r="I38" t="e">
            <v>#REF!</v>
          </cell>
          <cell r="J38">
            <v>4.8000000000000001E-2</v>
          </cell>
          <cell r="L38">
            <v>6.8059999999999996E-2</v>
          </cell>
          <cell r="M38">
            <v>4.0400000000000005E-2</v>
          </cell>
        </row>
        <row r="39">
          <cell r="B39" t="e">
            <v>#REF!</v>
          </cell>
          <cell r="C39" t="e">
            <v>#REF!</v>
          </cell>
          <cell r="D39">
            <v>5.8999999999999997E-2</v>
          </cell>
          <cell r="E39">
            <v>6.6000000000000003E-2</v>
          </cell>
          <cell r="F39">
            <v>7.0999999999999994E-2</v>
          </cell>
          <cell r="H39" t="e">
            <v>#REF!</v>
          </cell>
          <cell r="I39" t="e">
            <v>#REF!</v>
          </cell>
          <cell r="J39">
            <v>2.5999999999999999E-2</v>
          </cell>
          <cell r="L39">
            <v>7.8057142857142853E-2</v>
          </cell>
          <cell r="M39">
            <v>2.8428571428571432E-2</v>
          </cell>
        </row>
        <row r="40">
          <cell r="B40" t="e">
            <v>#REF!</v>
          </cell>
          <cell r="C40" t="e">
            <v>#REF!</v>
          </cell>
          <cell r="D40">
            <v>7.3999999999999996E-2</v>
          </cell>
          <cell r="E40">
            <v>7.9000000000000001E-2</v>
          </cell>
          <cell r="F40">
            <v>8.3000000000000004E-2</v>
          </cell>
          <cell r="H40" t="e">
            <v>#REF!</v>
          </cell>
          <cell r="I40" t="e">
            <v>#REF!</v>
          </cell>
          <cell r="J40">
            <v>2.5000000000000001E-2</v>
          </cell>
          <cell r="L40">
            <v>8.6679999999999993E-2</v>
          </cell>
          <cell r="M40">
            <v>1.5400000000000002E-2</v>
          </cell>
        </row>
        <row r="41">
          <cell r="B41" t="e">
            <v>#REF!</v>
          </cell>
          <cell r="C41" t="e">
            <v>#REF!</v>
          </cell>
          <cell r="F41">
            <v>7.1999999999999995E-2</v>
          </cell>
          <cell r="H41" t="e">
            <v>#REF!</v>
          </cell>
          <cell r="L41">
            <v>7.8057142857142853E-2</v>
          </cell>
          <cell r="M41">
            <v>2.8428571428571432E-2</v>
          </cell>
        </row>
        <row r="42">
          <cell r="B42" t="e">
            <v>#REF!</v>
          </cell>
          <cell r="C42" t="e">
            <v>#REF!</v>
          </cell>
          <cell r="F42">
            <v>6.6000000000000003E-2</v>
          </cell>
          <cell r="H42" t="e">
            <v>#REF!</v>
          </cell>
          <cell r="L42">
            <v>6.8059999999999996E-2</v>
          </cell>
          <cell r="M42">
            <v>4.0400000000000005E-2</v>
          </cell>
        </row>
        <row r="43">
          <cell r="B43" t="str">
            <v xml:space="preserve">   Total</v>
          </cell>
          <cell r="C43" t="e">
            <v>#REF!</v>
          </cell>
          <cell r="F43">
            <v>6.8000000000000005E-2</v>
          </cell>
          <cell r="H43" t="e">
            <v>#REF!</v>
          </cell>
          <cell r="L43">
            <v>7.5782857142857124E-2</v>
          </cell>
          <cell r="M43">
            <v>3.0611428571428574E-2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de Matrix"/>
      <sheetName val="Office"/>
      <sheetName val="Industrial"/>
      <sheetName val="Diversified"/>
      <sheetName val="Retail"/>
      <sheetName val="New Relationships"/>
      <sheetName val="Stapled"/>
      <sheetName val="Yields"/>
      <sheetName val="US Real Bond Yield"/>
      <sheetName val="Aus Real Bond Yield"/>
      <sheetName val="Long Term Stats"/>
      <sheetName val="FWD Multiple"/>
      <sheetName val="PD to NAV"/>
      <sheetName val="Invs. Yields"/>
      <sheetName val="PD to DCF"/>
      <sheetName val="Cap Raising"/>
      <sheetName val="PD to NTA"/>
      <sheetName val="PD to NTA Deleted values"/>
      <sheetName val="ROE"/>
      <sheetName val="ROE Income"/>
      <sheetName val="NTA Stated"/>
      <sheetName val="NPV PD"/>
      <sheetName val="Price"/>
      <sheetName val="Data"/>
      <sheetName val="Data2"/>
      <sheetName val="Data for Nov 02 to June 04"/>
      <sheetName val="Data for Jan 01 to Oct 02"/>
      <sheetName val="Data for 99-2000"/>
      <sheetName val="Data for 1998"/>
      <sheetName val="NTA  PD"/>
      <sheetName val="NTA's"/>
      <sheetName val="Trans to Daysheet"/>
      <sheetName val="Datastrea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>
        <row r="3">
          <cell r="HS3" t="str">
            <v>Current</v>
          </cell>
        </row>
        <row r="4">
          <cell r="HS4">
            <v>7.060142206582487E-2</v>
          </cell>
        </row>
        <row r="5">
          <cell r="HS5">
            <v>0</v>
          </cell>
        </row>
        <row r="6">
          <cell r="HS6">
            <v>8.5760517799352745E-2</v>
          </cell>
        </row>
        <row r="7">
          <cell r="HS7">
            <v>8.5760517799352745E-2</v>
          </cell>
          <cell r="II7" t="str">
            <v>WFT V's Majors</v>
          </cell>
        </row>
        <row r="8">
          <cell r="HS8">
            <v>-7.060142206582487E-2</v>
          </cell>
        </row>
        <row r="9">
          <cell r="HS9">
            <v>1.5159095733527875E-2</v>
          </cell>
        </row>
        <row r="10">
          <cell r="II10" t="str">
            <v>Average</v>
          </cell>
          <cell r="IJ10" t="str">
            <v>Current</v>
          </cell>
          <cell r="IK10" t="str">
            <v>What to</v>
          </cell>
        </row>
        <row r="11">
          <cell r="HS11" t="str">
            <v>Current</v>
          </cell>
          <cell r="II11" t="str">
            <v>SpreaD to WFT</v>
          </cell>
          <cell r="IJ11" t="str">
            <v>SpreaD</v>
          </cell>
          <cell r="IK11" t="str">
            <v>BUY</v>
          </cell>
          <cell r="IL11" t="str">
            <v>Margin</v>
          </cell>
        </row>
        <row r="14">
          <cell r="HS14">
            <v>7.060142206582487E-2</v>
          </cell>
          <cell r="IH14" t="str">
            <v>GPT</v>
          </cell>
          <cell r="II14">
            <v>7.6369365199581984E-3</v>
          </cell>
          <cell r="IJ14">
            <v>-2.6899382478650806E-2</v>
          </cell>
          <cell r="IK14" t="str">
            <v>WFT</v>
          </cell>
          <cell r="IL14">
            <v>-3.4536318998609004E-2</v>
          </cell>
        </row>
        <row r="15">
          <cell r="IH15" t="str">
            <v>SGP</v>
          </cell>
          <cell r="II15">
            <v>4.4324393817224417E-3</v>
          </cell>
          <cell r="IJ15">
            <v>-6.6822980741917809E-3</v>
          </cell>
          <cell r="IK15" t="str">
            <v>WFT</v>
          </cell>
          <cell r="IL15">
            <v>-1.1114737455914223E-2</v>
          </cell>
        </row>
        <row r="17">
          <cell r="HS17">
            <v>6.6101694915254236E-2</v>
          </cell>
          <cell r="IH17" t="str">
            <v>SCH</v>
          </cell>
          <cell r="II17">
            <v>-6.3395064500292586E-2</v>
          </cell>
          <cell r="IJ17">
            <v>-8.1174448974392466E-2</v>
          </cell>
          <cell r="IK17" t="str">
            <v>WFT</v>
          </cell>
          <cell r="IL17">
            <v>-1.777938447409988E-2</v>
          </cell>
        </row>
        <row r="18">
          <cell r="IH18" t="str">
            <v>GAN</v>
          </cell>
          <cell r="II18">
            <v>1.923493396524395E-4</v>
          </cell>
          <cell r="IJ18">
            <v>-9.5219908650101825E-3</v>
          </cell>
          <cell r="IK18" t="str">
            <v>WFT</v>
          </cell>
          <cell r="IL18">
            <v>-9.714340204662622E-3</v>
          </cell>
        </row>
        <row r="21">
          <cell r="HS21">
            <v>6.2711864406779658E-2</v>
          </cell>
        </row>
        <row r="23">
          <cell r="HS23">
            <v>6.4013840830449822E-2</v>
          </cell>
        </row>
        <row r="24">
          <cell r="HS24">
            <v>0</v>
          </cell>
        </row>
        <row r="25">
          <cell r="HS25">
            <v>0</v>
          </cell>
        </row>
        <row r="35">
          <cell r="HS35">
            <v>0</v>
          </cell>
        </row>
        <row r="36">
          <cell r="HS36">
            <v>0</v>
          </cell>
        </row>
        <row r="39">
          <cell r="HS39">
            <v>7.1058823529411771E-2</v>
          </cell>
        </row>
        <row r="40">
          <cell r="HS40">
            <v>7.1652458109382283E-2</v>
          </cell>
        </row>
        <row r="41">
          <cell r="HS41">
            <v>8.5760517799352745E-2</v>
          </cell>
        </row>
        <row r="44">
          <cell r="HS44">
            <v>8.1174448974392466E-2</v>
          </cell>
        </row>
        <row r="51">
          <cell r="HS51">
            <v>0</v>
          </cell>
        </row>
        <row r="53">
          <cell r="HS53">
            <v>6.6193190495841076E-2</v>
          </cell>
        </row>
        <row r="61">
          <cell r="HS61">
            <v>5.427506649574166E-2</v>
          </cell>
        </row>
        <row r="62">
          <cell r="HS62">
            <v>7.3059360730593603E-2</v>
          </cell>
        </row>
        <row r="63">
          <cell r="HS63">
            <v>8.4000000000000005E-2</v>
          </cell>
        </row>
        <row r="64">
          <cell r="HS64">
            <v>6.5384615384615374E-2</v>
          </cell>
        </row>
        <row r="65">
          <cell r="HS65">
            <v>7.4492150900200685E-2</v>
          </cell>
        </row>
        <row r="66">
          <cell r="HS66">
            <v>6.5960159937535776E-2</v>
          </cell>
        </row>
        <row r="77">
          <cell r="HS77">
            <v>6.6193190495841076E-2</v>
          </cell>
        </row>
        <row r="86">
          <cell r="HS86">
            <v>7.5820905899089658E-2</v>
          </cell>
        </row>
        <row r="90">
          <cell r="HS90">
            <v>6.4117461136139559E-2</v>
          </cell>
        </row>
        <row r="101">
          <cell r="HS101">
            <v>0</v>
          </cell>
        </row>
        <row r="102">
          <cell r="HS102">
            <v>0</v>
          </cell>
        </row>
        <row r="103">
          <cell r="HS103">
            <v>0</v>
          </cell>
        </row>
      </sheetData>
      <sheetData sheetId="8"/>
      <sheetData sheetId="9"/>
      <sheetData sheetId="10" refreshError="1">
        <row r="487">
          <cell r="W487" t="str">
            <v>Between</v>
          </cell>
        </row>
        <row r="488">
          <cell r="W488" t="str">
            <v>A-REIT Yield</v>
          </cell>
          <cell r="X488" t="str">
            <v>And</v>
          </cell>
          <cell r="Y488" t="str">
            <v>Time Frame</v>
          </cell>
          <cell r="Z488" t="str">
            <v>Correlation</v>
          </cell>
          <cell r="AA488" t="str">
            <v>Comment</v>
          </cell>
        </row>
        <row r="489">
          <cell r="W489" t="str">
            <v>A-REIT Yield</v>
          </cell>
          <cell r="X489" t="str">
            <v>10-Yr Yield</v>
          </cell>
          <cell r="Y489" t="str">
            <v>Last 20 years</v>
          </cell>
          <cell r="Z489">
            <v>0.7428458100624743</v>
          </cell>
          <cell r="AA489" t="str">
            <v>Significant</v>
          </cell>
        </row>
        <row r="490">
          <cell r="X490" t="str">
            <v>Cash Rate</v>
          </cell>
          <cell r="Y490" t="str">
            <v>Last 20 years</v>
          </cell>
          <cell r="Z490">
            <v>0.64908876299012175</v>
          </cell>
          <cell r="AA490" t="str">
            <v>Significant</v>
          </cell>
        </row>
        <row r="491">
          <cell r="W491" t="str">
            <v>A-REIT Yield</v>
          </cell>
        </row>
        <row r="492">
          <cell r="W492" t="str">
            <v>A-REIT Yield</v>
          </cell>
          <cell r="X492" t="str">
            <v>10-Yr Yield</v>
          </cell>
          <cell r="Y492" t="str">
            <v>Last 10 years</v>
          </cell>
          <cell r="Z492">
            <v>-0.14748934654868831</v>
          </cell>
        </row>
        <row r="493">
          <cell r="X493" t="str">
            <v>Cash Rate</v>
          </cell>
          <cell r="Y493" t="str">
            <v>Last 10 years</v>
          </cell>
          <cell r="Z493">
            <v>-0.45211991546535923</v>
          </cell>
        </row>
        <row r="494">
          <cell r="W494" t="str">
            <v>A-REIT Yield</v>
          </cell>
        </row>
        <row r="495">
          <cell r="W495" t="str">
            <v>A-REIT Yield</v>
          </cell>
          <cell r="X495" t="str">
            <v>10-Yr Yield</v>
          </cell>
          <cell r="Y495" t="str">
            <v>Last 5 years</v>
          </cell>
          <cell r="Z495">
            <v>-0.50716788533184831</v>
          </cell>
        </row>
        <row r="496">
          <cell r="X496" t="str">
            <v>Cash Rate</v>
          </cell>
          <cell r="Y496" t="str">
            <v>Last 5 years</v>
          </cell>
          <cell r="Z496">
            <v>-0.53114814051883574</v>
          </cell>
        </row>
        <row r="497">
          <cell r="W497" t="str">
            <v>A-REIT Yield</v>
          </cell>
        </row>
        <row r="498">
          <cell r="W498" t="str">
            <v>A-REIT Yield</v>
          </cell>
          <cell r="X498" t="str">
            <v>10-Yr Yield</v>
          </cell>
          <cell r="Y498" t="str">
            <v>Last 2 years</v>
          </cell>
          <cell r="Z498">
            <v>-0.60299019137126375</v>
          </cell>
        </row>
        <row r="500">
          <cell r="W500" t="str">
            <v>Between</v>
          </cell>
        </row>
        <row r="501">
          <cell r="W501" t="str">
            <v>A-REIT Yield</v>
          </cell>
          <cell r="X501" t="str">
            <v>And</v>
          </cell>
          <cell r="Y501" t="str">
            <v>Cash Rate</v>
          </cell>
          <cell r="Z501" t="str">
            <v>Correlation</v>
          </cell>
          <cell r="AA501" t="str">
            <v>Comment</v>
          </cell>
        </row>
        <row r="502">
          <cell r="W502" t="str">
            <v>A-REIT Yield</v>
          </cell>
          <cell r="X502" t="str">
            <v>Cash Rate</v>
          </cell>
          <cell r="Y502" t="str">
            <v>6% and below</v>
          </cell>
          <cell r="Z502">
            <v>8.3275708162982742E-2</v>
          </cell>
        </row>
        <row r="503">
          <cell r="W503" t="str">
            <v>A-REIT Yield</v>
          </cell>
          <cell r="X503" t="str">
            <v>Cash Rate</v>
          </cell>
          <cell r="Y503" t="str">
            <v>10% and above</v>
          </cell>
          <cell r="Z503">
            <v>0.14527848439707899</v>
          </cell>
        </row>
      </sheetData>
      <sheetData sheetId="11"/>
      <sheetData sheetId="12"/>
      <sheetData sheetId="13"/>
      <sheetData sheetId="14"/>
      <sheetData sheetId="15" refreshError="1">
        <row r="143">
          <cell r="B143" t="str">
            <v>March 2006 quarter</v>
          </cell>
        </row>
        <row r="144">
          <cell r="A144" t="str">
            <v>ILF</v>
          </cell>
          <cell r="B144" t="str">
            <v>Placement at 1.15</v>
          </cell>
          <cell r="C144">
            <v>85.5</v>
          </cell>
          <cell r="D144">
            <v>38741</v>
          </cell>
        </row>
        <row r="145">
          <cell r="A145" t="str">
            <v>IEF</v>
          </cell>
          <cell r="B145" t="str">
            <v>Placement at 1.15</v>
          </cell>
          <cell r="C145">
            <v>15</v>
          </cell>
          <cell r="D145">
            <v>38733</v>
          </cell>
        </row>
        <row r="146">
          <cell r="A146" t="str">
            <v>AEZ</v>
          </cell>
          <cell r="B146" t="str">
            <v>11 for 25 at 1.11</v>
          </cell>
          <cell r="C146">
            <v>150.69999999999999</v>
          </cell>
          <cell r="D146">
            <v>38786</v>
          </cell>
        </row>
        <row r="148">
          <cell r="B148" t="str">
            <v>Sub Total</v>
          </cell>
          <cell r="C148">
            <v>251.2</v>
          </cell>
        </row>
        <row r="149">
          <cell r="A149" t="str">
            <v>RAT</v>
          </cell>
          <cell r="B149" t="str">
            <v>1 for 1 at 1.00</v>
          </cell>
          <cell r="C149">
            <v>168</v>
          </cell>
          <cell r="D149">
            <v>38811</v>
          </cell>
        </row>
        <row r="150">
          <cell r="A150" t="str">
            <v>RAT</v>
          </cell>
          <cell r="B150" t="str">
            <v>Placement 47.6m @ 1.03</v>
          </cell>
          <cell r="C150">
            <v>49</v>
          </cell>
          <cell r="D150">
            <v>38811</v>
          </cell>
        </row>
        <row r="151">
          <cell r="A151" t="str">
            <v>IIF</v>
          </cell>
          <cell r="B151" t="str">
            <v>Placement 40.2m @ 2.24</v>
          </cell>
          <cell r="C151">
            <v>90</v>
          </cell>
          <cell r="D151">
            <v>38813</v>
          </cell>
        </row>
        <row r="152">
          <cell r="A152" t="str">
            <v>ILF</v>
          </cell>
          <cell r="B152" t="str">
            <v>Placement 29.9m @ 1.14</v>
          </cell>
          <cell r="C152">
            <v>34</v>
          </cell>
          <cell r="D152">
            <v>38826</v>
          </cell>
        </row>
        <row r="153">
          <cell r="A153" t="str">
            <v>GSA</v>
          </cell>
          <cell r="B153" t="str">
            <v>Placement 29.9m @ 1.17</v>
          </cell>
          <cell r="C153">
            <v>35</v>
          </cell>
          <cell r="D153">
            <v>38834</v>
          </cell>
        </row>
        <row r="154">
          <cell r="A154" t="str">
            <v>CHC</v>
          </cell>
          <cell r="B154" t="str">
            <v>Placement @ 1.27</v>
          </cell>
          <cell r="C154">
            <v>100</v>
          </cell>
          <cell r="D154">
            <v>38856</v>
          </cell>
        </row>
        <row r="155">
          <cell r="A155" t="str">
            <v>MGQ</v>
          </cell>
          <cell r="B155" t="str">
            <v>Placement @ 5.10</v>
          </cell>
          <cell r="C155">
            <v>350</v>
          </cell>
          <cell r="D155">
            <v>38862</v>
          </cell>
        </row>
        <row r="156">
          <cell r="A156" t="str">
            <v>JUI</v>
          </cell>
          <cell r="B156" t="str">
            <v>Placement @ 1.00</v>
          </cell>
          <cell r="C156">
            <v>128.5</v>
          </cell>
          <cell r="D156">
            <v>38867</v>
          </cell>
        </row>
        <row r="157">
          <cell r="A157" t="str">
            <v>ILF</v>
          </cell>
          <cell r="B157" t="str">
            <v>Placement @ 1.14</v>
          </cell>
          <cell r="C157">
            <v>46.4</v>
          </cell>
          <cell r="D157">
            <v>38848</v>
          </cell>
        </row>
        <row r="158">
          <cell r="B158" t="str">
            <v>June 2006 quarter</v>
          </cell>
          <cell r="C158">
            <v>1000.9</v>
          </cell>
        </row>
        <row r="160">
          <cell r="B160" t="str">
            <v>September 2006 Quarter</v>
          </cell>
        </row>
        <row r="161">
          <cell r="A161" t="str">
            <v>IIF</v>
          </cell>
          <cell r="B161" t="str">
            <v>Placement @ 2.13</v>
          </cell>
          <cell r="C161">
            <v>92</v>
          </cell>
          <cell r="D161">
            <v>38932</v>
          </cell>
        </row>
        <row r="162">
          <cell r="A162" t="str">
            <v>VPG</v>
          </cell>
          <cell r="B162" t="str">
            <v>Placement @ 1.45</v>
          </cell>
          <cell r="C162">
            <v>98.2</v>
          </cell>
          <cell r="D162">
            <v>38952</v>
          </cell>
        </row>
        <row r="163">
          <cell r="A163" t="str">
            <v>MGQ</v>
          </cell>
          <cell r="B163" t="str">
            <v>Placement @ 5.90</v>
          </cell>
          <cell r="C163">
            <v>733</v>
          </cell>
          <cell r="D163">
            <v>38953</v>
          </cell>
        </row>
        <row r="164">
          <cell r="A164" t="str">
            <v>IIF</v>
          </cell>
          <cell r="B164" t="str">
            <v>Entitlement Offer (CLS) @ 2.20</v>
          </cell>
          <cell r="C164">
            <v>300</v>
          </cell>
          <cell r="D164">
            <v>38964</v>
          </cell>
        </row>
        <row r="165">
          <cell r="A165" t="str">
            <v>AEZ</v>
          </cell>
          <cell r="B165" t="str">
            <v>Placement @ 1.12</v>
          </cell>
          <cell r="C165" t="str">
            <v>$73m</v>
          </cell>
          <cell r="D165">
            <v>38968</v>
          </cell>
        </row>
        <row r="166">
          <cell r="A166" t="str">
            <v>MAF</v>
          </cell>
          <cell r="B166" t="str">
            <v>IPO 281.7m @ $1.00</v>
          </cell>
          <cell r="C166" t="str">
            <v>$281.7m</v>
          </cell>
          <cell r="D166">
            <v>38975</v>
          </cell>
        </row>
        <row r="167">
          <cell r="A167" t="str">
            <v>FKP</v>
          </cell>
          <cell r="B167" t="str">
            <v>Placement 20.5m @ $5.50</v>
          </cell>
          <cell r="C167" t="str">
            <v>$112.8m</v>
          </cell>
          <cell r="D167">
            <v>38982</v>
          </cell>
        </row>
        <row r="168">
          <cell r="B168" t="str">
            <v>September 2006 quarter Sub Total:</v>
          </cell>
          <cell r="C168">
            <v>1223.2</v>
          </cell>
        </row>
        <row r="169">
          <cell r="A169" t="str">
            <v>CDI</v>
          </cell>
          <cell r="B169" t="str">
            <v>IPO 535.6m @ $1.00</v>
          </cell>
          <cell r="C169">
            <v>535.6</v>
          </cell>
          <cell r="D169">
            <v>39013</v>
          </cell>
        </row>
        <row r="170">
          <cell r="A170" t="str">
            <v>MGR</v>
          </cell>
          <cell r="B170" t="str">
            <v>Placement @ $4.80</v>
          </cell>
          <cell r="C170">
            <v>375</v>
          </cell>
          <cell r="D170">
            <v>39016</v>
          </cell>
        </row>
        <row r="171">
          <cell r="A171" t="str">
            <v>IOF</v>
          </cell>
          <cell r="B171" t="str">
            <v>Placement @ $1.52</v>
          </cell>
          <cell r="C171">
            <v>190</v>
          </cell>
          <cell r="D171">
            <v>39036</v>
          </cell>
        </row>
        <row r="172">
          <cell r="B172" t="str">
            <v>December 2006 quarter Sub Total:</v>
          </cell>
          <cell r="C172">
            <v>1100.5999999999999</v>
          </cell>
        </row>
        <row r="174">
          <cell r="B174" t="str">
            <v>March 2007 quarter</v>
          </cell>
        </row>
        <row r="175">
          <cell r="A175" t="str">
            <v>SGP</v>
          </cell>
          <cell r="B175" t="str">
            <v>Placement @ $8.75</v>
          </cell>
          <cell r="C175">
            <v>400</v>
          </cell>
          <cell r="D175">
            <v>39125</v>
          </cell>
        </row>
        <row r="176">
          <cell r="A176" t="str">
            <v>RJT</v>
          </cell>
          <cell r="B176" t="str">
            <v>Placement @ $1.08</v>
          </cell>
          <cell r="C176">
            <v>58</v>
          </cell>
          <cell r="D176">
            <v>39127</v>
          </cell>
        </row>
        <row r="177">
          <cell r="A177" t="str">
            <v>RJT</v>
          </cell>
          <cell r="B177" t="str">
            <v>Rights Offer @ $1.03</v>
          </cell>
          <cell r="C177">
            <v>184.4</v>
          </cell>
          <cell r="D177">
            <v>39127</v>
          </cell>
        </row>
        <row r="178">
          <cell r="A178" t="str">
            <v>VPG</v>
          </cell>
          <cell r="B178" t="str">
            <v>Placement @ $1.78</v>
          </cell>
          <cell r="C178">
            <v>286</v>
          </cell>
          <cell r="D178">
            <v>39126</v>
          </cell>
        </row>
        <row r="179">
          <cell r="A179" t="str">
            <v>TSO</v>
          </cell>
          <cell r="B179" t="str">
            <v>Placement @ $2.80</v>
          </cell>
          <cell r="C179">
            <v>125</v>
          </cell>
          <cell r="D179">
            <v>39132</v>
          </cell>
        </row>
        <row r="180">
          <cell r="A180" t="str">
            <v>REU</v>
          </cell>
          <cell r="B180" t="str">
            <v>Placement @ $1.05</v>
          </cell>
          <cell r="C180">
            <v>67.900000000000006</v>
          </cell>
          <cell r="D180">
            <v>39132</v>
          </cell>
        </row>
        <row r="181">
          <cell r="A181" t="str">
            <v>REU</v>
          </cell>
          <cell r="B181" t="str">
            <v>Rights Offer @ $1.03</v>
          </cell>
          <cell r="C181">
            <v>177.6</v>
          </cell>
          <cell r="D181">
            <v>39132</v>
          </cell>
        </row>
        <row r="182">
          <cell r="A182" t="str">
            <v>CNP</v>
          </cell>
          <cell r="B182" t="str">
            <v>Placement @ 9.80</v>
          </cell>
          <cell r="C182">
            <v>250</v>
          </cell>
          <cell r="D182">
            <v>39143</v>
          </cell>
        </row>
        <row r="183">
          <cell r="A183" t="str">
            <v>CER</v>
          </cell>
          <cell r="B183" t="str">
            <v>Rights Offer @ $1.72</v>
          </cell>
          <cell r="C183">
            <v>632</v>
          </cell>
          <cell r="D183">
            <v>39143</v>
          </cell>
        </row>
        <row r="184">
          <cell r="A184" t="str">
            <v>CER</v>
          </cell>
          <cell r="B184" t="str">
            <v>Placement @ $1.72</v>
          </cell>
          <cell r="C184">
            <v>174</v>
          </cell>
          <cell r="D184">
            <v>39143</v>
          </cell>
        </row>
        <row r="185">
          <cell r="B185" t="str">
            <v>March 2007 quarter Sub Total:</v>
          </cell>
          <cell r="C185">
            <v>2354.9</v>
          </cell>
        </row>
        <row r="187">
          <cell r="B187" t="str">
            <v>June 2007 quarter</v>
          </cell>
        </row>
        <row r="188">
          <cell r="A188" t="str">
            <v>MCW</v>
          </cell>
          <cell r="B188" t="str">
            <v>Placement @ $2.07</v>
          </cell>
          <cell r="C188" t="str">
            <v>$120m</v>
          </cell>
          <cell r="D188">
            <v>39190</v>
          </cell>
        </row>
        <row r="189">
          <cell r="A189" t="str">
            <v>IIF</v>
          </cell>
          <cell r="B189" t="str">
            <v>Convertible Notes @ $2.83</v>
          </cell>
          <cell r="C189" t="str">
            <v>$400m</v>
          </cell>
          <cell r="D189">
            <v>39192</v>
          </cell>
        </row>
        <row r="190">
          <cell r="A190" t="str">
            <v>ILF</v>
          </cell>
          <cell r="B190" t="str">
            <v>Rights Offer @ $1.34</v>
          </cell>
          <cell r="C190" t="str">
            <v>$155m</v>
          </cell>
          <cell r="D190">
            <v>39195</v>
          </cell>
        </row>
        <row r="191">
          <cell r="A191" t="str">
            <v>CKTCA</v>
          </cell>
          <cell r="B191" t="str">
            <v>IPO Challenger Kenedix @ $2.00*</v>
          </cell>
          <cell r="C191" t="str">
            <v>$286m</v>
          </cell>
          <cell r="D191">
            <v>39202</v>
          </cell>
        </row>
        <row r="192">
          <cell r="A192" t="str">
            <v>CNP</v>
          </cell>
          <cell r="B192" t="str">
            <v>Convertible Notes @ $12.55</v>
          </cell>
          <cell r="C192" t="str">
            <v>$602m</v>
          </cell>
          <cell r="D192">
            <v>39212</v>
          </cell>
        </row>
        <row r="193">
          <cell r="A193" t="str">
            <v>CHC</v>
          </cell>
          <cell r="B193" t="str">
            <v>Placement @ $3.00</v>
          </cell>
          <cell r="C193" t="str">
            <v>$133m</v>
          </cell>
          <cell r="D193">
            <v>39239</v>
          </cell>
        </row>
        <row r="194">
          <cell r="A194" t="str">
            <v>WDC</v>
          </cell>
          <cell r="B194" t="str">
            <v>Entitlement Offer @$19.60</v>
          </cell>
          <cell r="C194" t="str">
            <v>$3000m</v>
          </cell>
          <cell r="D194">
            <v>39245</v>
          </cell>
        </row>
        <row r="195">
          <cell r="A195" t="str">
            <v>VPG</v>
          </cell>
          <cell r="B195" t="str">
            <v>Entitlement Offer @1.92</v>
          </cell>
          <cell r="C195" t="str">
            <v>$1200m</v>
          </cell>
          <cell r="D195">
            <v>39260</v>
          </cell>
        </row>
        <row r="196">
          <cell r="A196" t="str">
            <v>CFX</v>
          </cell>
          <cell r="B196" t="str">
            <v>Placement @$2.15-2.19</v>
          </cell>
          <cell r="C196" t="str">
            <v>$200m</v>
          </cell>
          <cell r="D196">
            <v>39261</v>
          </cell>
        </row>
        <row r="197">
          <cell r="A197" t="str">
            <v>GJT</v>
          </cell>
          <cell r="B197" t="str">
            <v>Entitlement offer @ $0.95</v>
          </cell>
          <cell r="C197" t="str">
            <v>$116m</v>
          </cell>
          <cell r="D197">
            <v>39264</v>
          </cell>
        </row>
        <row r="198">
          <cell r="B198" t="str">
            <v>June 2007 quarter Sub Total:</v>
          </cell>
          <cell r="C198">
            <v>6212</v>
          </cell>
        </row>
        <row r="200">
          <cell r="B200" t="str">
            <v>September 2007 quarter</v>
          </cell>
        </row>
        <row r="201">
          <cell r="A201" t="str">
            <v>ABP</v>
          </cell>
          <cell r="B201" t="str">
            <v>Placement @ $1.90</v>
          </cell>
          <cell r="C201" t="str">
            <v>$100m</v>
          </cell>
          <cell r="D201">
            <v>39282</v>
          </cell>
        </row>
        <row r="202">
          <cell r="A202" t="str">
            <v>BJT</v>
          </cell>
          <cell r="B202" t="str">
            <v>Placement @ $1.73</v>
          </cell>
          <cell r="C202" t="str">
            <v>$52m</v>
          </cell>
          <cell r="D202">
            <v>39321</v>
          </cell>
        </row>
        <row r="203">
          <cell r="A203" t="str">
            <v>BEC</v>
          </cell>
          <cell r="B203" t="str">
            <v>Placement @4.25</v>
          </cell>
          <cell r="C203" t="str">
            <v>$68m</v>
          </cell>
          <cell r="D203">
            <v>39328</v>
          </cell>
        </row>
        <row r="204">
          <cell r="B204" t="str">
            <v>September 2007 quarter Sub Total:</v>
          </cell>
          <cell r="C204">
            <v>320</v>
          </cell>
        </row>
        <row r="206">
          <cell r="B206" t="str">
            <v>December 2007 quarter</v>
          </cell>
        </row>
        <row r="207">
          <cell r="A207" t="str">
            <v>IOF</v>
          </cell>
          <cell r="B207" t="str">
            <v>Placement @ $1.72</v>
          </cell>
          <cell r="C207">
            <v>70</v>
          </cell>
          <cell r="D207">
            <v>39388</v>
          </cell>
        </row>
        <row r="208">
          <cell r="A208" t="str">
            <v>GMG</v>
          </cell>
          <cell r="B208" t="str">
            <v>Hybrid Issue</v>
          </cell>
          <cell r="C208">
            <v>325</v>
          </cell>
          <cell r="D208">
            <v>39412</v>
          </cell>
        </row>
        <row r="209">
          <cell r="B209" t="str">
            <v>December 2007 quarter Sub Total:</v>
          </cell>
          <cell r="C209">
            <v>395</v>
          </cell>
        </row>
        <row r="211">
          <cell r="A211" t="str">
            <v>MGR</v>
          </cell>
          <cell r="B211" t="str">
            <v>Placement @$5.20</v>
          </cell>
          <cell r="C211" t="str">
            <v>$300m</v>
          </cell>
          <cell r="D211">
            <v>39471</v>
          </cell>
        </row>
        <row r="212">
          <cell r="A212" t="str">
            <v>VPG</v>
          </cell>
          <cell r="B212" t="str">
            <v xml:space="preserve">Convertible Notes @ $1.33 </v>
          </cell>
          <cell r="C212" t="str">
            <v>$200m</v>
          </cell>
          <cell r="D212">
            <v>39483</v>
          </cell>
        </row>
        <row r="213">
          <cell r="B213" t="str">
            <v>March 2008 quarter Total</v>
          </cell>
          <cell r="C213">
            <v>500</v>
          </cell>
        </row>
        <row r="215">
          <cell r="A215" t="str">
            <v>-</v>
          </cell>
          <cell r="B215" t="str">
            <v>June 2008 quarter Total</v>
          </cell>
          <cell r="C215">
            <v>0</v>
          </cell>
        </row>
        <row r="217">
          <cell r="A217" t="str">
            <v>ALZ</v>
          </cell>
          <cell r="B217" t="str">
            <v>Entitlement Offer @ $0.60</v>
          </cell>
          <cell r="C217">
            <v>364</v>
          </cell>
          <cell r="D217">
            <v>39694</v>
          </cell>
        </row>
        <row r="218">
          <cell r="B218" t="str">
            <v>Sept. 2008 quarter Total</v>
          </cell>
          <cell r="C218">
            <v>364</v>
          </cell>
        </row>
        <row r="220">
          <cell r="A220" t="str">
            <v>SGP</v>
          </cell>
          <cell r="B220" t="str">
            <v>Placement Offer @ $5.30</v>
          </cell>
          <cell r="C220">
            <v>300</v>
          </cell>
          <cell r="D220">
            <v>39728</v>
          </cell>
        </row>
        <row r="221">
          <cell r="A221" t="str">
            <v>CFX</v>
          </cell>
          <cell r="B221" t="str">
            <v>Placement Offer @ $2.00</v>
          </cell>
          <cell r="C221">
            <v>325</v>
          </cell>
          <cell r="D221">
            <v>39729</v>
          </cell>
        </row>
        <row r="222">
          <cell r="A222" t="str">
            <v>FKP</v>
          </cell>
          <cell r="B222" t="str">
            <v>Placement @ $2.00</v>
          </cell>
          <cell r="C222">
            <v>28</v>
          </cell>
          <cell r="D222">
            <v>39734</v>
          </cell>
        </row>
        <row r="223">
          <cell r="A223" t="str">
            <v>APZ</v>
          </cell>
          <cell r="B223" t="str">
            <v>Placement @ $0.90</v>
          </cell>
          <cell r="C223">
            <v>22</v>
          </cell>
          <cell r="D223">
            <v>39738</v>
          </cell>
        </row>
        <row r="224">
          <cell r="A224" t="str">
            <v>GPT</v>
          </cell>
          <cell r="B224" t="str">
            <v>Rights Issue @ $0.60</v>
          </cell>
          <cell r="C224">
            <v>1600</v>
          </cell>
          <cell r="D224">
            <v>39743</v>
          </cell>
        </row>
        <row r="225">
          <cell r="A225" t="str">
            <v>GMG</v>
          </cell>
          <cell r="B225" t="str">
            <v>Placement @ $0.90</v>
          </cell>
          <cell r="C225">
            <v>955</v>
          </cell>
          <cell r="D225">
            <v>39745</v>
          </cell>
        </row>
        <row r="226">
          <cell r="A226" t="str">
            <v>FKP</v>
          </cell>
          <cell r="B226" t="str">
            <v>Entitlement Offer @ $1.50</v>
          </cell>
          <cell r="C226">
            <v>104.5</v>
          </cell>
          <cell r="D226">
            <v>39748</v>
          </cell>
        </row>
        <row r="227">
          <cell r="A227" t="str">
            <v>MGR</v>
          </cell>
          <cell r="B227" t="str">
            <v>Placement @ $0.90</v>
          </cell>
          <cell r="C227">
            <v>500</v>
          </cell>
          <cell r="D227">
            <v>39751</v>
          </cell>
        </row>
        <row r="228">
          <cell r="A228" t="str">
            <v>DXS</v>
          </cell>
          <cell r="B228" t="str">
            <v>Entitlement Offer @  $0.77</v>
          </cell>
          <cell r="C228">
            <v>302</v>
          </cell>
          <cell r="D228">
            <v>39785</v>
          </cell>
        </row>
        <row r="229">
          <cell r="A229" t="str">
            <v>IOF</v>
          </cell>
          <cell r="B229" t="str">
            <v>Rights Issue @ $0.80</v>
          </cell>
          <cell r="C229">
            <v>400</v>
          </cell>
          <cell r="D229">
            <v>39786</v>
          </cell>
        </row>
        <row r="230">
          <cell r="A230" t="str">
            <v>MOF</v>
          </cell>
          <cell r="B230" t="str">
            <v>Entitlement Offer @ $0.20</v>
          </cell>
          <cell r="C230">
            <v>508</v>
          </cell>
          <cell r="D230" t="str">
            <v xml:space="preserve"> 10/12/2008</v>
          </cell>
        </row>
        <row r="231">
          <cell r="B231" t="str">
            <v>Dec. 2008 quarter Total</v>
          </cell>
          <cell r="C231">
            <v>5044.5</v>
          </cell>
        </row>
        <row r="232">
          <cell r="B232" t="str">
            <v>2008 Total</v>
          </cell>
          <cell r="C232">
            <v>5908.5</v>
          </cell>
        </row>
        <row r="234">
          <cell r="A234" t="str">
            <v>ABP</v>
          </cell>
          <cell r="B234" t="str">
            <v>Placement @ $0.25</v>
          </cell>
          <cell r="C234">
            <v>24.4</v>
          </cell>
          <cell r="D234">
            <v>39833</v>
          </cell>
        </row>
        <row r="235">
          <cell r="A235" t="str">
            <v>ABP</v>
          </cell>
          <cell r="B235" t="str">
            <v>Rights issue @ $0.25</v>
          </cell>
          <cell r="C235">
            <v>187</v>
          </cell>
          <cell r="D235">
            <v>39833</v>
          </cell>
        </row>
        <row r="236">
          <cell r="A236" t="str">
            <v>CPA</v>
          </cell>
          <cell r="B236" t="str">
            <v>Placement @ $0.80</v>
          </cell>
          <cell r="C236">
            <v>192</v>
          </cell>
          <cell r="D236">
            <v>39835</v>
          </cell>
        </row>
        <row r="237">
          <cell r="A237" t="str">
            <v>WDC</v>
          </cell>
          <cell r="B237" t="str">
            <v>Placement @ 10.50</v>
          </cell>
          <cell r="C237">
            <v>2900</v>
          </cell>
          <cell r="D237">
            <v>39847</v>
          </cell>
        </row>
        <row r="238">
          <cell r="A238" t="str">
            <v>LLC</v>
          </cell>
          <cell r="B238" t="str">
            <v>Placement @ 6.05</v>
          </cell>
          <cell r="C238">
            <v>50</v>
          </cell>
          <cell r="D238">
            <v>39849</v>
          </cell>
        </row>
        <row r="239">
          <cell r="A239" t="str">
            <v>PPC</v>
          </cell>
          <cell r="B239" t="str">
            <v>Entitlement Offer @ $1.10</v>
          </cell>
          <cell r="C239">
            <v>64.5</v>
          </cell>
          <cell r="D239">
            <v>39899</v>
          </cell>
        </row>
        <row r="240">
          <cell r="B240" t="str">
            <v>March 2009 quarter Total</v>
          </cell>
          <cell r="C240">
            <v>3417.9</v>
          </cell>
        </row>
        <row r="242">
          <cell r="A242" t="str">
            <v>PPC</v>
          </cell>
          <cell r="B242" t="str">
            <v>Entitlement Offer @ $1.10 (Retail)</v>
          </cell>
          <cell r="C242">
            <v>13.2</v>
          </cell>
          <cell r="D242">
            <v>39909</v>
          </cell>
        </row>
        <row r="243">
          <cell r="A243" t="str">
            <v>DXS</v>
          </cell>
          <cell r="B243" t="str">
            <v>Placement @ $0.65</v>
          </cell>
          <cell r="C243">
            <v>749</v>
          </cell>
          <cell r="D243">
            <v>39924</v>
          </cell>
        </row>
        <row r="244">
          <cell r="A244" t="str">
            <v>GPT</v>
          </cell>
          <cell r="B244" t="str">
            <v>Entitlement Offer @ $0.35</v>
          </cell>
          <cell r="C244">
            <v>1700</v>
          </cell>
          <cell r="D244">
            <v>39940</v>
          </cell>
        </row>
        <row r="245">
          <cell r="A245" t="str">
            <v>BWP</v>
          </cell>
          <cell r="B245" t="str">
            <v>Entitlement Offer @ $1.50</v>
          </cell>
          <cell r="C245">
            <v>150</v>
          </cell>
          <cell r="D245">
            <v>39940</v>
          </cell>
        </row>
        <row r="246">
          <cell r="A246" t="str">
            <v>SGP</v>
          </cell>
          <cell r="B246" t="str">
            <v>Entitlement Offer @ $2.70</v>
          </cell>
          <cell r="C246">
            <v>1975</v>
          </cell>
          <cell r="D246">
            <v>39946</v>
          </cell>
        </row>
        <row r="247">
          <cell r="A247" t="str">
            <v>APZ</v>
          </cell>
          <cell r="B247" t="str">
            <v>Entitlement Offer @ $0.30</v>
          </cell>
          <cell r="C247">
            <v>82.4</v>
          </cell>
          <cell r="D247">
            <v>39952</v>
          </cell>
        </row>
        <row r="248">
          <cell r="A248" t="str">
            <v>CHC</v>
          </cell>
          <cell r="B248" t="str">
            <v>Entitlement &amp; Placement @ $0.33</v>
          </cell>
          <cell r="C248">
            <v>73</v>
          </cell>
          <cell r="D248">
            <v>39960</v>
          </cell>
        </row>
        <row r="249">
          <cell r="A249" t="str">
            <v>MGR</v>
          </cell>
          <cell r="B249" t="str">
            <v>Entitlement &amp; Placement @ $1.00</v>
          </cell>
          <cell r="C249">
            <v>1100</v>
          </cell>
          <cell r="D249">
            <v>39968</v>
          </cell>
        </row>
        <row r="250">
          <cell r="A250" t="str">
            <v>IOF</v>
          </cell>
          <cell r="B250" t="str">
            <v>Entitlement Offer @ $0.45</v>
          </cell>
          <cell r="C250">
            <v>415</v>
          </cell>
          <cell r="D250">
            <v>39981</v>
          </cell>
        </row>
        <row r="251">
          <cell r="A251" t="str">
            <v>FKP</v>
          </cell>
          <cell r="B251" t="str">
            <v>Entitlement Offer @ $0.40</v>
          </cell>
          <cell r="C251">
            <v>324</v>
          </cell>
          <cell r="D251">
            <v>39988</v>
          </cell>
        </row>
        <row r="252">
          <cell r="B252" t="str">
            <v>June 2009 quarter Total</v>
          </cell>
          <cell r="C252">
            <v>6581.5999999999995</v>
          </cell>
        </row>
        <row r="254">
          <cell r="A254" t="str">
            <v>ALZ</v>
          </cell>
          <cell r="B254" t="str">
            <v>Entitlement Offer @ $0.40</v>
          </cell>
          <cell r="C254">
            <v>475</v>
          </cell>
          <cell r="D254">
            <v>40021</v>
          </cell>
        </row>
        <row r="255">
          <cell r="A255" t="str">
            <v>GMG</v>
          </cell>
          <cell r="B255" t="str">
            <v>Entitlement Offer @ $0.41</v>
          </cell>
          <cell r="C255">
            <v>1300</v>
          </cell>
          <cell r="D255">
            <v>40030</v>
          </cell>
        </row>
        <row r="256">
          <cell r="A256" t="str">
            <v>CDI</v>
          </cell>
          <cell r="B256" t="str">
            <v>Entitlement Offer @ $0.40</v>
          </cell>
          <cell r="C256">
            <v>130</v>
          </cell>
          <cell r="D256">
            <v>40031</v>
          </cell>
        </row>
        <row r="257">
          <cell r="B257" t="str">
            <v>Sep. 2009 quarter Total</v>
          </cell>
          <cell r="C257">
            <v>1905</v>
          </cell>
        </row>
        <row r="259">
          <cell r="A259" t="str">
            <v>IIF</v>
          </cell>
          <cell r="B259" t="str">
            <v>Entitlement Offer @ $0.48</v>
          </cell>
          <cell r="C259">
            <v>700</v>
          </cell>
          <cell r="D259">
            <v>40114</v>
          </cell>
        </row>
        <row r="260">
          <cell r="A260" t="str">
            <v>CPA</v>
          </cell>
          <cell r="B260" t="str">
            <v>Placement @ $0.91, Convertible Notes @ $1.1375</v>
          </cell>
          <cell r="C260">
            <v>300</v>
          </cell>
          <cell r="D260">
            <v>40141</v>
          </cell>
        </row>
        <row r="261">
          <cell r="A261" t="str">
            <v>ABP</v>
          </cell>
          <cell r="B261" t="str">
            <v>Placement @ $0.41</v>
          </cell>
          <cell r="C261">
            <v>91.4</v>
          </cell>
          <cell r="D261">
            <v>40158</v>
          </cell>
        </row>
        <row r="262">
          <cell r="A262" t="str">
            <v>CMW</v>
          </cell>
          <cell r="B262" t="str">
            <v>Placement@ $0.70</v>
          </cell>
          <cell r="C262">
            <v>73.3</v>
          </cell>
          <cell r="D262">
            <v>40171</v>
          </cell>
        </row>
        <row r="263">
          <cell r="B263" t="str">
            <v>Dec. 2009 quarter Total</v>
          </cell>
          <cell r="C263">
            <v>1164.7</v>
          </cell>
        </row>
        <row r="264">
          <cell r="B264" t="str">
            <v>2009 Total</v>
          </cell>
          <cell r="C264">
            <v>13069.199999999999</v>
          </cell>
        </row>
        <row r="266">
          <cell r="A266" t="str">
            <v>LLC</v>
          </cell>
          <cell r="B266" t="str">
            <v>Entitlement Offer @ $7.70</v>
          </cell>
          <cell r="C266">
            <v>806</v>
          </cell>
          <cell r="D266">
            <v>40234</v>
          </cell>
        </row>
        <row r="267">
          <cell r="B267" t="str">
            <v>March 2010 quarter Total</v>
          </cell>
          <cell r="C267">
            <v>806</v>
          </cell>
        </row>
        <row r="269">
          <cell r="A269" t="str">
            <v>MGR</v>
          </cell>
          <cell r="B269" t="str">
            <v>Placement @ $1.40</v>
          </cell>
          <cell r="C269">
            <v>350</v>
          </cell>
          <cell r="D269">
            <v>40275</v>
          </cell>
        </row>
        <row r="270">
          <cell r="A270" t="str">
            <v>MDT</v>
          </cell>
          <cell r="B270" t="str">
            <v>Entitlement Offer @ $0.055</v>
          </cell>
          <cell r="C270">
            <v>198.9</v>
          </cell>
          <cell r="D270">
            <v>40305</v>
          </cell>
        </row>
        <row r="271">
          <cell r="B271" t="str">
            <v>June 2010 quarter Total</v>
          </cell>
          <cell r="C271">
            <v>548.9</v>
          </cell>
        </row>
        <row r="272">
          <cell r="A272" t="str">
            <v>CMW</v>
          </cell>
          <cell r="B272" t="str">
            <v>Placement / Rights Issues</v>
          </cell>
          <cell r="C272">
            <v>67.72</v>
          </cell>
          <cell r="D272">
            <v>40408</v>
          </cell>
        </row>
        <row r="273">
          <cell r="A273" t="str">
            <v>CFX</v>
          </cell>
          <cell r="B273" t="str">
            <v>Placement @ $1.86</v>
          </cell>
          <cell r="C273">
            <v>540</v>
          </cell>
          <cell r="D273">
            <v>40448</v>
          </cell>
        </row>
        <row r="274">
          <cell r="B274" t="str">
            <v>September 2010 quarter Total</v>
          </cell>
          <cell r="C274">
            <v>607.72</v>
          </cell>
        </row>
        <row r="275">
          <cell r="A275" t="str">
            <v>WDC</v>
          </cell>
          <cell r="B275" t="str">
            <v>WRT Entitelement at $2.75</v>
          </cell>
          <cell r="C275">
            <v>1500</v>
          </cell>
          <cell r="D275">
            <v>40487</v>
          </cell>
        </row>
        <row r="276">
          <cell r="A276" t="str">
            <v>WDC</v>
          </cell>
          <cell r="B276" t="str">
            <v>WRT Public offer at $2.75</v>
          </cell>
          <cell r="C276">
            <v>2000</v>
          </cell>
          <cell r="D276">
            <v>40518</v>
          </cell>
        </row>
        <row r="277">
          <cell r="A277" t="str">
            <v>CPA</v>
          </cell>
          <cell r="B277" t="str">
            <v>Placement @ $0.86</v>
          </cell>
          <cell r="C277">
            <v>158.6</v>
          </cell>
          <cell r="D277">
            <v>40493</v>
          </cell>
        </row>
        <row r="278">
          <cell r="A278" t="str">
            <v>CPA</v>
          </cell>
          <cell r="B278" t="str">
            <v>Grocon/PRE placement</v>
          </cell>
          <cell r="C278">
            <v>104</v>
          </cell>
          <cell r="D278">
            <v>40493</v>
          </cell>
        </row>
        <row r="279">
          <cell r="B279" t="str">
            <v>December 2010 quarter Total</v>
          </cell>
          <cell r="C279">
            <v>3762.6</v>
          </cell>
        </row>
        <row r="280">
          <cell r="B280" t="str">
            <v>2010 Total</v>
          </cell>
          <cell r="C280">
            <v>5725.2199999999993</v>
          </cell>
        </row>
        <row r="282">
          <cell r="A282" t="str">
            <v>BWP</v>
          </cell>
          <cell r="B282" t="str">
            <v>Entitlement Offer @ $1.70</v>
          </cell>
          <cell r="C282">
            <v>149.59200000000001</v>
          </cell>
          <cell r="D282">
            <v>40609</v>
          </cell>
        </row>
        <row r="283">
          <cell r="A283" t="str">
            <v>AJA</v>
          </cell>
          <cell r="B283" t="str">
            <v>Placement @ $3.09</v>
          </cell>
          <cell r="C283">
            <v>23.556000000000001</v>
          </cell>
          <cell r="D283">
            <v>40620</v>
          </cell>
        </row>
        <row r="284">
          <cell r="A284" t="str">
            <v>CMW</v>
          </cell>
          <cell r="B284" t="str">
            <v>Placement @ $0.71</v>
          </cell>
          <cell r="C284">
            <v>2.0649999999999999</v>
          </cell>
          <cell r="D284">
            <v>40610</v>
          </cell>
        </row>
        <row r="285">
          <cell r="B285" t="str">
            <v>March 2010 quarter Total</v>
          </cell>
          <cell r="C285">
            <v>175.21300000000002</v>
          </cell>
        </row>
      </sheetData>
      <sheetData sheetId="16"/>
      <sheetData sheetId="17"/>
      <sheetData sheetId="18"/>
      <sheetData sheetId="19"/>
      <sheetData sheetId="20" refreshError="1">
        <row r="14">
          <cell r="HM14">
            <v>0.74</v>
          </cell>
        </row>
        <row r="19">
          <cell r="HM19">
            <v>1.1100000000000001</v>
          </cell>
        </row>
        <row r="22">
          <cell r="HM22">
            <v>0</v>
          </cell>
        </row>
        <row r="23">
          <cell r="HM23">
            <v>4.3021590909090914</v>
          </cell>
        </row>
        <row r="24">
          <cell r="HM24">
            <v>0</v>
          </cell>
        </row>
        <row r="25">
          <cell r="HM25">
            <v>0</v>
          </cell>
        </row>
        <row r="29">
          <cell r="HM29">
            <v>0</v>
          </cell>
        </row>
        <row r="30">
          <cell r="HM30">
            <v>1.96</v>
          </cell>
        </row>
        <row r="31">
          <cell r="HM31">
            <v>0</v>
          </cell>
        </row>
        <row r="33">
          <cell r="HM33">
            <v>2.0499999999999998</v>
          </cell>
        </row>
        <row r="34">
          <cell r="HM34">
            <v>3.51</v>
          </cell>
        </row>
        <row r="35">
          <cell r="HM35">
            <v>0</v>
          </cell>
        </row>
        <row r="37">
          <cell r="HM37">
            <v>0</v>
          </cell>
        </row>
        <row r="39">
          <cell r="HM39">
            <v>7.1800000000000006</v>
          </cell>
        </row>
        <row r="42">
          <cell r="HM42">
            <v>0</v>
          </cell>
        </row>
        <row r="45">
          <cell r="HM45">
            <v>0.47</v>
          </cell>
        </row>
        <row r="48">
          <cell r="HM48">
            <v>2.83</v>
          </cell>
        </row>
        <row r="52">
          <cell r="HM52">
            <v>0.67</v>
          </cell>
        </row>
        <row r="57">
          <cell r="HM57">
            <v>3.6000000000000005</v>
          </cell>
        </row>
        <row r="58">
          <cell r="HM58">
            <v>1.58</v>
          </cell>
        </row>
        <row r="59">
          <cell r="HM59">
            <v>0.98000000000000009</v>
          </cell>
        </row>
        <row r="60">
          <cell r="HM60">
            <v>0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>
        <row r="6">
          <cell r="I6" t="str">
            <v>ROE Analysis</v>
          </cell>
        </row>
        <row r="8">
          <cell r="J8" t="str">
            <v>FY98</v>
          </cell>
          <cell r="K8" t="str">
            <v>FY99</v>
          </cell>
          <cell r="L8" t="str">
            <v>FY00</v>
          </cell>
          <cell r="M8" t="str">
            <v>FY01</v>
          </cell>
          <cell r="N8" t="str">
            <v>FY02</v>
          </cell>
          <cell r="O8" t="str">
            <v>FY03</v>
          </cell>
          <cell r="P8" t="str">
            <v>FY04</v>
          </cell>
          <cell r="Q8" t="str">
            <v>FY05</v>
          </cell>
          <cell r="R8" t="str">
            <v>Current</v>
          </cell>
        </row>
        <row r="10">
          <cell r="I10" t="str">
            <v>ACY</v>
          </cell>
          <cell r="J10">
            <v>9.2430555555555613E-2</v>
          </cell>
          <cell r="K10">
            <v>-6.6734070477029311E-3</v>
          </cell>
          <cell r="L10">
            <v>0.10205440566481754</v>
          </cell>
        </row>
        <row r="11">
          <cell r="I11" t="str">
            <v>IOF</v>
          </cell>
          <cell r="J11">
            <v>8.2965723210126935E-2</v>
          </cell>
          <cell r="K11">
            <v>4.2150145898654914E-2</v>
          </cell>
          <cell r="L11">
            <v>5.7751465302141619E-2</v>
          </cell>
          <cell r="M11">
            <v>7.6734351360654998E-2</v>
          </cell>
          <cell r="N11">
            <v>8.9563659299792986E-2</v>
          </cell>
          <cell r="O11">
            <v>9.0243831563244378E-2</v>
          </cell>
          <cell r="P11">
            <v>0.12137530783094286</v>
          </cell>
          <cell r="Q11">
            <v>9.6506257220413283E-2</v>
          </cell>
          <cell r="R11">
            <v>0.22623502223050002</v>
          </cell>
        </row>
        <row r="12">
          <cell r="I12" t="str">
            <v>RPHDA</v>
          </cell>
          <cell r="J12">
            <v>0.24105263157894741</v>
          </cell>
          <cell r="K12">
            <v>0.10272216573205568</v>
          </cell>
          <cell r="L12">
            <v>0.10764883456970752</v>
          </cell>
          <cell r="M12">
            <v>0.11284273268742784</v>
          </cell>
          <cell r="N12">
            <v>9.3379958007244662E-2</v>
          </cell>
          <cell r="O12">
            <v>4.4835239579216077E-2</v>
          </cell>
          <cell r="P12">
            <v>3.4762976440767437E-2</v>
          </cell>
          <cell r="Q12">
            <v>0</v>
          </cell>
          <cell r="R12">
            <v>0</v>
          </cell>
        </row>
        <row r="14">
          <cell r="I14" t="str">
            <v>BTO</v>
          </cell>
          <cell r="J14">
            <v>8.2847222222222169E-2</v>
          </cell>
          <cell r="K14">
            <v>9.3627775052295678E-2</v>
          </cell>
          <cell r="L14">
            <v>7.3243423042110484E-2</v>
          </cell>
          <cell r="M14">
            <v>0.11073333333333336</v>
          </cell>
          <cell r="N14">
            <v>7.660256410256408E-2</v>
          </cell>
          <cell r="O14">
            <v>7.0063694267515922E-2</v>
          </cell>
          <cell r="P14">
            <v>0</v>
          </cell>
          <cell r="Q14">
            <v>0</v>
          </cell>
          <cell r="R14">
            <v>0</v>
          </cell>
        </row>
        <row r="15">
          <cell r="I15" t="str">
            <v>DOT</v>
          </cell>
          <cell r="J15" t="str">
            <v/>
          </cell>
          <cell r="K15" t="str">
            <v/>
          </cell>
          <cell r="L15">
            <v>0.11403729531973325</v>
          </cell>
          <cell r="M15">
            <v>0.12090163934426224</v>
          </cell>
          <cell r="N15">
            <v>6.1023622047244125E-2</v>
          </cell>
          <cell r="O15">
            <v>7.8E-2</v>
          </cell>
          <cell r="P15">
            <v>5.3999999999999979E-2</v>
          </cell>
          <cell r="Q15">
            <v>0</v>
          </cell>
          <cell r="R15">
            <v>0</v>
          </cell>
        </row>
        <row r="16">
          <cell r="I16" t="str">
            <v>CPA</v>
          </cell>
          <cell r="J16" t="str">
            <v/>
          </cell>
          <cell r="K16" t="str">
            <v/>
          </cell>
          <cell r="L16">
            <v>7.5565087913479378E-2</v>
          </cell>
          <cell r="M16">
            <v>0.15270535999268323</v>
          </cell>
          <cell r="N16">
            <v>0.11820054618405768</v>
          </cell>
          <cell r="O16">
            <v>0.12268518518518513</v>
          </cell>
          <cell r="P16">
            <v>0.10187499999999994</v>
          </cell>
          <cell r="Q16">
            <v>8.4148015772575135E-2</v>
          </cell>
          <cell r="R16">
            <v>9.3245614035087757E-2</v>
          </cell>
        </row>
        <row r="19">
          <cell r="I19" t="str">
            <v>LUO</v>
          </cell>
          <cell r="J19">
            <v>0</v>
          </cell>
          <cell r="K19">
            <v>0</v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>
            <v>0</v>
          </cell>
          <cell r="R19">
            <v>0</v>
          </cell>
        </row>
        <row r="20">
          <cell r="I20" t="str">
            <v>MOF</v>
          </cell>
          <cell r="J20">
            <v>0.16249999999999998</v>
          </cell>
          <cell r="K20">
            <v>0.18271093239373162</v>
          </cell>
          <cell r="L20">
            <v>0.16215551624127639</v>
          </cell>
          <cell r="M20">
            <v>0.18595891033177153</v>
          </cell>
          <cell r="N20">
            <v>0.11569095203342544</v>
          </cell>
          <cell r="O20">
            <v>9.6491228070175433E-2</v>
          </cell>
          <cell r="P20">
            <v>9.1491228070175443E-2</v>
          </cell>
          <cell r="Q20">
            <v>1.5465351867494717E-2</v>
          </cell>
          <cell r="R20">
            <v>0.16314285714285717</v>
          </cell>
        </row>
        <row r="21">
          <cell r="I21" t="str">
            <v>REU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I22" t="str">
            <v>VPG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 t="str">
            <v/>
          </cell>
          <cell r="P22">
            <v>8.9156626506024128E-2</v>
          </cell>
          <cell r="Q22">
            <v>0.13989320633650798</v>
          </cell>
          <cell r="R22">
            <v>0.23696969696969705</v>
          </cell>
        </row>
        <row r="23">
          <cell r="I23" t="str">
            <v>IPG</v>
          </cell>
          <cell r="J23">
            <v>0.12406249999999996</v>
          </cell>
          <cell r="K23">
            <v>3.6943369963914396E-2</v>
          </cell>
          <cell r="L23">
            <v>8.6166355760824778E-2</v>
          </cell>
          <cell r="M23">
            <v>0.10488795094185288</v>
          </cell>
          <cell r="N23">
            <v>0.16412893054778954</v>
          </cell>
          <cell r="O23">
            <v>9.9944967188596787E-2</v>
          </cell>
          <cell r="P23">
            <v>0.10814606741573027</v>
          </cell>
          <cell r="Q23">
            <v>8.6049723756906088E-2</v>
          </cell>
          <cell r="R23">
            <v>3.1944444444444581E-3</v>
          </cell>
        </row>
        <row r="24">
          <cell r="I24" t="str">
            <v>Total - Office</v>
          </cell>
          <cell r="J24">
            <v>9.3600000000000003E-2</v>
          </cell>
          <cell r="K24">
            <v>7.5999999999999998E-2</v>
          </cell>
          <cell r="L24">
            <v>0.10299999999999999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7">
          <cell r="I27" t="str">
            <v>AJR</v>
          </cell>
          <cell r="J27">
            <v>9.5238095238095191E-2</v>
          </cell>
          <cell r="K27">
            <v>8.6231018810344159E-2</v>
          </cell>
          <cell r="L27">
            <v>0.10915105289828653</v>
          </cell>
        </row>
        <row r="28">
          <cell r="I28" t="str">
            <v>ART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 t="str">
            <v/>
          </cell>
        </row>
        <row r="29">
          <cell r="I29" t="str">
            <v>CNP</v>
          </cell>
          <cell r="J29">
            <v>0.12073732718894011</v>
          </cell>
          <cell r="K29">
            <v>0.15868635731526648</v>
          </cell>
          <cell r="L29">
            <v>0.16741301483985893</v>
          </cell>
          <cell r="M29">
            <v>0.1330505947401267</v>
          </cell>
          <cell r="N29">
            <v>0.15213178294573654</v>
          </cell>
          <cell r="O29">
            <v>0.2417083118233681</v>
          </cell>
          <cell r="P29">
            <v>0.14854368932038825</v>
          </cell>
          <cell r="Q29">
            <v>0.22882214227665659</v>
          </cell>
          <cell r="R29">
            <v>-2.3433242506811988E-2</v>
          </cell>
        </row>
        <row r="30">
          <cell r="I30" t="str">
            <v>GSA</v>
          </cell>
          <cell r="O30">
            <v>0</v>
          </cell>
          <cell r="P30" t="str">
            <v/>
          </cell>
          <cell r="Q30">
            <v>0.6459077659449517</v>
          </cell>
          <cell r="R30">
            <v>0.28633333333333338</v>
          </cell>
        </row>
        <row r="31">
          <cell r="I31" t="str">
            <v>AEZCA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 t="str">
            <v/>
          </cell>
        </row>
        <row r="32">
          <cell r="I32" t="str">
            <v>GAN</v>
          </cell>
          <cell r="J32">
            <v>0.10980198019801983</v>
          </cell>
          <cell r="K32">
            <v>0.11315691839061455</v>
          </cell>
          <cell r="L32">
            <v>0.11195560274823863</v>
          </cell>
          <cell r="M32">
            <v>0.1234234234234234</v>
          </cell>
          <cell r="N32">
            <v>0.12896551724137931</v>
          </cell>
          <cell r="O32">
            <v>6.2786885245901619E-2</v>
          </cell>
          <cell r="P32">
            <v>0.18233333333333343</v>
          </cell>
          <cell r="Q32">
            <v>0.15454828577759119</v>
          </cell>
          <cell r="R32">
            <v>0.19556338028169018</v>
          </cell>
        </row>
        <row r="33">
          <cell r="I33" t="str">
            <v>MCW</v>
          </cell>
          <cell r="J33">
            <v>0.16676470588235298</v>
          </cell>
          <cell r="K33">
            <v>0.17836217467809862</v>
          </cell>
          <cell r="L33">
            <v>0.15534061294757973</v>
          </cell>
          <cell r="M33">
            <v>0.17036505007160052</v>
          </cell>
          <cell r="N33">
            <v>0.13920000000000005</v>
          </cell>
          <cell r="O33">
            <v>0.16007751937984505</v>
          </cell>
          <cell r="P33">
            <v>0.17647058823529407</v>
          </cell>
          <cell r="Q33">
            <v>0.25205479452054791</v>
          </cell>
          <cell r="R33">
            <v>0.17857142857142849</v>
          </cell>
        </row>
        <row r="34">
          <cell r="I34" t="str">
            <v>MDT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 t="str">
            <v/>
          </cell>
        </row>
        <row r="35">
          <cell r="I35" t="str">
            <v>MCS</v>
          </cell>
          <cell r="J35">
            <v>0</v>
          </cell>
          <cell r="K35">
            <v>0</v>
          </cell>
          <cell r="L35">
            <v>0</v>
          </cell>
        </row>
        <row r="36">
          <cell r="I36" t="str">
            <v>PRX</v>
          </cell>
          <cell r="J36" t="str">
            <v/>
          </cell>
          <cell r="K36">
            <v>2.8021553738190028E-2</v>
          </cell>
          <cell r="L36">
            <v>9.0188806623980253E-2</v>
          </cell>
          <cell r="M36">
            <v>9.9057117709398929E-2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I37" t="str">
            <v>CDP</v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>
            <v>0</v>
          </cell>
          <cell r="R37">
            <v>0</v>
          </cell>
        </row>
        <row r="38">
          <cell r="I38" t="str">
            <v>WFA</v>
          </cell>
          <cell r="J38">
            <v>0.43165048543689327</v>
          </cell>
          <cell r="K38">
            <v>1.9927536231884049E-2</v>
          </cell>
          <cell r="L38">
            <v>0.2890391961249551</v>
          </cell>
          <cell r="M38">
            <v>0.22539629743588338</v>
          </cell>
          <cell r="N38">
            <v>-8.3473389355742528E-3</v>
          </cell>
          <cell r="O38">
            <v>0.10981595092024531</v>
          </cell>
          <cell r="P38">
            <v>-8.7499999999999939E-2</v>
          </cell>
          <cell r="Q38">
            <v>0</v>
          </cell>
          <cell r="R38">
            <v>0</v>
          </cell>
        </row>
        <row r="39">
          <cell r="I39" t="str">
            <v>WDC</v>
          </cell>
          <cell r="J39">
            <v>0.1067886178861789</v>
          </cell>
          <cell r="K39">
            <v>0.11341269841269852</v>
          </cell>
          <cell r="L39">
            <v>0.14885211538461535</v>
          </cell>
          <cell r="M39">
            <v>0.11592057761732859</v>
          </cell>
          <cell r="N39">
            <v>0.12167011849498764</v>
          </cell>
          <cell r="O39">
            <v>0.11221871856736822</v>
          </cell>
          <cell r="P39">
            <v>0.13798813307713104</v>
          </cell>
          <cell r="Q39">
            <v>2.2446483180428136</v>
          </cell>
          <cell r="R39">
            <v>0.11546451946272698</v>
          </cell>
        </row>
        <row r="40">
          <cell r="I40" t="str">
            <v>Total - Retail</v>
          </cell>
          <cell r="J40">
            <v>0.10340000000000001</v>
          </cell>
          <cell r="K40">
            <v>0.10100000000000001</v>
          </cell>
          <cell r="L40">
            <v>0.157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</row>
        <row r="43">
          <cell r="I43" t="str">
            <v>IIF</v>
          </cell>
          <cell r="J43">
            <v>0.13640792465086063</v>
          </cell>
          <cell r="K43">
            <v>0.14291782709251374</v>
          </cell>
          <cell r="L43">
            <v>0.11962802042003993</v>
          </cell>
          <cell r="M43">
            <v>0.14093792659076854</v>
          </cell>
          <cell r="N43">
            <v>0.13053997858807906</v>
          </cell>
          <cell r="O43">
            <v>0.12789115646258509</v>
          </cell>
          <cell r="P43">
            <v>0.14559210526315786</v>
          </cell>
          <cell r="Q43">
            <v>0.20481955408958019</v>
          </cell>
          <cell r="R43">
            <v>0.14559210526315786</v>
          </cell>
        </row>
        <row r="44">
          <cell r="I44" t="str">
            <v>AIP</v>
          </cell>
          <cell r="J44">
            <v>0.14617834394904466</v>
          </cell>
          <cell r="K44">
            <v>0.10187581848593839</v>
          </cell>
          <cell r="L44">
            <v>0.10492843627979012</v>
          </cell>
          <cell r="M44">
            <v>0.10182115704331909</v>
          </cell>
          <cell r="N44">
            <v>9.6534653465346537E-2</v>
          </cell>
          <cell r="O44">
            <v>0.10064175362441699</v>
          </cell>
          <cell r="P44">
            <v>0</v>
          </cell>
          <cell r="Q44">
            <v>0</v>
          </cell>
          <cell r="R44">
            <v>0</v>
          </cell>
        </row>
        <row r="45">
          <cell r="I45" t="str">
            <v>FIT</v>
          </cell>
          <cell r="J45" t="str">
            <v/>
          </cell>
          <cell r="K45" t="str">
            <v/>
          </cell>
          <cell r="L45" t="str">
            <v/>
          </cell>
        </row>
        <row r="46">
          <cell r="I46" t="str">
            <v>MGI</v>
          </cell>
          <cell r="J46">
            <v>0.16653846153846152</v>
          </cell>
          <cell r="K46">
            <v>0.16268317739746271</v>
          </cell>
          <cell r="L46">
            <v>0.1111397917138648</v>
          </cell>
          <cell r="M46">
            <v>9.7669583606854252E-2</v>
          </cell>
          <cell r="N46">
            <v>0.14079307042843894</v>
          </cell>
          <cell r="O46">
            <v>0.11969648121419738</v>
          </cell>
          <cell r="P46">
            <v>0.15507692307692311</v>
          </cell>
          <cell r="Q46">
            <v>0.72917763696679316</v>
          </cell>
          <cell r="R46">
            <v>2.4170616113744103E-2</v>
          </cell>
        </row>
        <row r="47">
          <cell r="I47" t="str">
            <v>MPR</v>
          </cell>
          <cell r="N47">
            <v>0</v>
          </cell>
          <cell r="O47">
            <v>0</v>
          </cell>
          <cell r="P47">
            <v>0.25540540540540546</v>
          </cell>
          <cell r="Q47">
            <v>0.2024096385542169</v>
          </cell>
          <cell r="R47">
            <v>0.245360824742268</v>
          </cell>
        </row>
        <row r="48">
          <cell r="I48" t="str">
            <v>DIT</v>
          </cell>
          <cell r="J48">
            <v>0.11849315068493159</v>
          </cell>
          <cell r="K48">
            <v>0.11833834760472113</v>
          </cell>
          <cell r="L48">
            <v>7.9875227497034518E-2</v>
          </cell>
          <cell r="M48">
            <v>8.3253554314086528E-2</v>
          </cell>
          <cell r="N48">
            <v>0.11721983483687183</v>
          </cell>
          <cell r="O48">
            <v>0.11333333333333327</v>
          </cell>
          <cell r="P48">
            <v>0.17381199117731688</v>
          </cell>
          <cell r="Q48">
            <v>0</v>
          </cell>
          <cell r="R48">
            <v>0</v>
          </cell>
        </row>
        <row r="49">
          <cell r="I49" t="str">
            <v>MIP</v>
          </cell>
          <cell r="J49">
            <v>0.13258426966292144</v>
          </cell>
          <cell r="K49">
            <v>0.12956951164705766</v>
          </cell>
          <cell r="L49">
            <v>0.13370818641567325</v>
          </cell>
        </row>
        <row r="50">
          <cell r="I50" t="str">
            <v>PID</v>
          </cell>
          <cell r="J50">
            <v>0.11695108077360633</v>
          </cell>
          <cell r="K50">
            <v>9.3551393694810012E-2</v>
          </cell>
          <cell r="L50">
            <v>9.7531744904470835E-2</v>
          </cell>
        </row>
        <row r="51">
          <cell r="I51" t="str">
            <v>Total - Industrial</v>
          </cell>
          <cell r="J51">
            <v>0.1452</v>
          </cell>
          <cell r="K51">
            <v>0.13500000000000001</v>
          </cell>
          <cell r="L51">
            <v>0.111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</row>
        <row r="54">
          <cell r="I54" t="str">
            <v>MXG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 t="str">
            <v/>
          </cell>
        </row>
        <row r="55">
          <cell r="I55" t="str">
            <v>APF</v>
          </cell>
          <cell r="J55">
            <v>0.11515808002166403</v>
          </cell>
          <cell r="K55">
            <v>6.7863403339566739E-2</v>
          </cell>
          <cell r="L55">
            <v>0.1217835023166547</v>
          </cell>
        </row>
        <row r="56">
          <cell r="I56" t="str">
            <v>ADP</v>
          </cell>
          <cell r="J56">
            <v>9.1743119266054995E-2</v>
          </cell>
          <cell r="K56">
            <v>0.11903636740208885</v>
          </cell>
          <cell r="L56">
            <v>9.4595894906384981E-2</v>
          </cell>
          <cell r="M56">
            <v>0.10096265136035343</v>
          </cell>
          <cell r="N56">
            <v>0.10363651756579489</v>
          </cell>
          <cell r="O56">
            <v>0.12525000000000008</v>
          </cell>
          <cell r="P56">
            <v>0</v>
          </cell>
          <cell r="Q56">
            <v>0</v>
          </cell>
          <cell r="R56">
            <v>0</v>
          </cell>
        </row>
        <row r="57">
          <cell r="I57" t="str">
            <v>BTP</v>
          </cell>
          <cell r="J57">
            <v>0.11871345029239776</v>
          </cell>
          <cell r="K57">
            <v>0.11710929847974068</v>
          </cell>
          <cell r="L57">
            <v>9.7697566158528398E-2</v>
          </cell>
        </row>
        <row r="58">
          <cell r="I58" t="str">
            <v>CFT</v>
          </cell>
          <cell r="L58">
            <v>9.2363911712734031E-2</v>
          </cell>
          <cell r="M58">
            <v>0.11000130862030968</v>
          </cell>
          <cell r="N58">
            <v>0.11933168316831685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</row>
        <row r="59">
          <cell r="I59" t="str">
            <v>GPT</v>
          </cell>
          <cell r="J59">
            <v>8.0566801619433123E-2</v>
          </cell>
          <cell r="K59">
            <v>9.0859316951405061E-2</v>
          </cell>
          <cell r="L59">
            <v>7.5401858615094325E-2</v>
          </cell>
          <cell r="M59">
            <v>0.10409777502668671</v>
          </cell>
          <cell r="N59">
            <v>8.7595493698215759E-2</v>
          </cell>
          <cell r="O59">
            <v>7.5095785440613003E-2</v>
          </cell>
          <cell r="P59">
            <v>0.13230769230769235</v>
          </cell>
          <cell r="Q59">
            <v>0.19093722128433355</v>
          </cell>
          <cell r="R59">
            <v>0.13083101226260671</v>
          </cell>
        </row>
        <row r="60">
          <cell r="I60" t="str">
            <v>MGR</v>
          </cell>
          <cell r="J60">
            <v>0.17820224719101102</v>
          </cell>
          <cell r="K60" t="str">
            <v>NA</v>
          </cell>
          <cell r="L60">
            <v>0.15713224669965975</v>
          </cell>
          <cell r="M60">
            <v>0.11697678104599918</v>
          </cell>
          <cell r="N60">
            <v>0.10291970802919718</v>
          </cell>
          <cell r="O60">
            <v>0.15218381125202829</v>
          </cell>
          <cell r="P60">
            <v>0.15674740484429067</v>
          </cell>
          <cell r="Q60">
            <v>0.1581280269123071</v>
          </cell>
          <cell r="R60">
            <v>0.12294303797468345</v>
          </cell>
        </row>
        <row r="61">
          <cell r="I61" t="str">
            <v>DDF</v>
          </cell>
          <cell r="J61">
            <v>0.11386792452830188</v>
          </cell>
          <cell r="K61">
            <v>0.1279514699189413</v>
          </cell>
          <cell r="L61">
            <v>8.0756576138438882E-2</v>
          </cell>
          <cell r="M61">
            <v>8.3534482758620646E-2</v>
          </cell>
          <cell r="N61">
            <v>5.1282051282051266E-2</v>
          </cell>
          <cell r="O61">
            <v>8.1578947368421056E-2</v>
          </cell>
          <cell r="P61">
            <v>0.13442982456140345</v>
          </cell>
          <cell r="Q61">
            <v>0.10392569240565951</v>
          </cell>
          <cell r="R61">
            <v>0.19467213114754101</v>
          </cell>
        </row>
        <row r="62">
          <cell r="I62" t="str">
            <v>SGP</v>
          </cell>
          <cell r="J62">
            <v>0.12222222222222225</v>
          </cell>
          <cell r="K62">
            <v>0.14866960972443388</v>
          </cell>
          <cell r="L62">
            <v>0.15910200073618536</v>
          </cell>
          <cell r="M62">
            <v>0.1973158281883419</v>
          </cell>
          <cell r="N62">
            <v>0.14186046511627903</v>
          </cell>
          <cell r="O62">
            <v>0.11178343949044597</v>
          </cell>
          <cell r="P62">
            <v>0.23501577287066255</v>
          </cell>
          <cell r="Q62">
            <v>0.22665118702297848</v>
          </cell>
          <cell r="R62">
            <v>0.18320802005012526</v>
          </cell>
        </row>
        <row r="63">
          <cell r="I63" t="str">
            <v>Total - Diversified</v>
          </cell>
          <cell r="J63">
            <v>0.1048</v>
          </cell>
          <cell r="K63">
            <v>0.105</v>
          </cell>
          <cell r="L63">
            <v>0.109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</row>
        <row r="67">
          <cell r="I67" t="str">
            <v>GHG</v>
          </cell>
          <cell r="J67">
            <v>1.522842639593909E-2</v>
          </cell>
          <cell r="K67">
            <v>-5.1184022942706728E-2</v>
          </cell>
          <cell r="L67">
            <v>7.4090131473940266E-2</v>
          </cell>
          <cell r="M67">
            <v>-6.6217373911159033E-2</v>
          </cell>
          <cell r="N67">
            <v>-6.8702290076335853E-2</v>
          </cell>
          <cell r="O67">
            <v>7.583731515779063E-2</v>
          </cell>
          <cell r="P67">
            <v>0</v>
          </cell>
          <cell r="Q67">
            <v>0</v>
          </cell>
          <cell r="R67">
            <v>0</v>
          </cell>
        </row>
        <row r="68">
          <cell r="I68" t="str">
            <v>Total - Hotels</v>
          </cell>
          <cell r="J68">
            <v>1.522842639593909E-2</v>
          </cell>
          <cell r="K68">
            <v>-5.1184022942706728E-2</v>
          </cell>
          <cell r="L68">
            <v>7.4090131473940266E-2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</sheetData>
      <sheetData sheetId="32"/>
      <sheetData sheetId="33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omerang"/>
      <sheetName val="iQ_CoreIndustrials"/>
      <sheetName val="IQ Go Between"/>
      <sheetName val="Historical Data"/>
      <sheetName val="Sector Assumptions"/>
      <sheetName val="Variance"/>
      <sheetName val="Debt Summary"/>
      <sheetName val="iQ_Measure_Validations_Errors"/>
      <sheetName val="Group"/>
      <sheetName val="NAV"/>
      <sheetName val="DCF"/>
      <sheetName val="Commercial A$"/>
      <sheetName val="Commercial US$"/>
      <sheetName val="Commercial EUR"/>
      <sheetName val="Properties"/>
      <sheetName val="Developments"/>
      <sheetName val="Space"/>
      <sheetName val="Misc"/>
      <sheetName val="Disclosure"/>
      <sheetName val="DCF Valuation"/>
      <sheetName val="Key metrics table"/>
      <sheetName val="Estimate Changes"/>
      <sheetName val="DCF Blue Elepha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n1"/>
      <sheetName val="Pan2"/>
      <sheetName val="Pan3"/>
      <sheetName val="PanP"/>
      <sheetName val="DCF"/>
      <sheetName val="FY_Model"/>
      <sheetName val="HY_Model"/>
      <sheetName val="WFT"/>
      <sheetName val="WEA_WFA"/>
      <sheetName val="St Lukes"/>
      <sheetName val="Mgd"/>
      <sheetName val="GSP"/>
      <sheetName val="Assumptions"/>
      <sheetName val="AMP"/>
      <sheetName val="Ownershp"/>
      <sheetName val="WACC"/>
      <sheetName val="DCF_Divisional"/>
      <sheetName val="DBExport"/>
      <sheetName val="GRD"/>
      <sheetName val="NMF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34">
          <cell r="A234" t="str">
            <v>Investments</v>
          </cell>
          <cell r="B234">
            <v>316.49699999999996</v>
          </cell>
          <cell r="C234">
            <v>343.30200000000002</v>
          </cell>
          <cell r="D234">
            <v>388.38600000000002</v>
          </cell>
          <cell r="E234">
            <v>109.10199999999999</v>
          </cell>
          <cell r="F234">
            <v>453.50400000000008</v>
          </cell>
          <cell r="G234">
            <v>609.98500000000001</v>
          </cell>
          <cell r="H234">
            <v>601.79899999999998</v>
          </cell>
          <cell r="I234">
            <v>871.32100000000003</v>
          </cell>
          <cell r="J234">
            <v>941.04200000000003</v>
          </cell>
          <cell r="K234">
            <v>953.61799999999994</v>
          </cell>
          <cell r="L234">
            <v>1041.6699999999998</v>
          </cell>
          <cell r="M234">
            <v>1495.0033333333331</v>
          </cell>
          <cell r="N234">
            <v>1620.0033333333331</v>
          </cell>
          <cell r="O234">
            <v>1745.0033333333331</v>
          </cell>
          <cell r="P234">
            <v>1870.0033333333331</v>
          </cell>
          <cell r="Q234">
            <v>1953.3366666666664</v>
          </cell>
          <cell r="R234">
            <v>2003.3366666666664</v>
          </cell>
          <cell r="S234">
            <v>2053.3366666666661</v>
          </cell>
          <cell r="T234">
            <v>2103.3366666666661</v>
          </cell>
          <cell r="U234">
            <v>2153.3366666666661</v>
          </cell>
          <cell r="V234">
            <v>2203.3366666666661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D OLD 050524"/>
      <sheetName val="GRD_mirror"/>
      <sheetName val="GRD"/>
      <sheetName val="HY_Model"/>
      <sheetName val="Consensus"/>
      <sheetName val="Segments"/>
      <sheetName val="Greenwich"/>
      <sheetName val="Bovis"/>
      <sheetName val="REIS"/>
      <sheetName val="Integrated Development"/>
      <sheetName val="Group Services"/>
      <sheetName val="Summary"/>
      <sheetName val="breakup Value_comp"/>
      <sheetName val="Adjusted PER"/>
      <sheetName val="Ev_multiples"/>
      <sheetName val="Sheet1"/>
      <sheetName val="Breakup Value FY04"/>
      <sheetName val="Breakup Value FY03"/>
      <sheetName val="Breakup Value H104"/>
      <sheetName val="Changes"/>
      <sheetName val="GRD OLD 040819"/>
      <sheetName val="GRD_Resync 031029"/>
      <sheetName val="GRD_Resync 030821"/>
      <sheetName val="GRD_Resync 030724"/>
      <sheetName val="FY_Model"/>
      <sheetName val="Currency"/>
      <sheetName val="Equity Investments"/>
      <sheetName val="IT&amp;T"/>
      <sheetName val="div_roic"/>
      <sheetName val="DCF"/>
      <sheetName val="DDM"/>
      <sheetName val="Chart1"/>
      <sheetName val="norm"/>
      <sheetName val="Segmental_Valn"/>
      <sheetName val="Segmental_Valn (2)"/>
      <sheetName val="Sheet3"/>
      <sheetName val="downside"/>
      <sheetName val="Franking"/>
      <sheetName val="JFCP $A"/>
      <sheetName val="MLC_Valn"/>
      <sheetName val="Co-Investment"/>
      <sheetName val="Incentive"/>
      <sheetName val="rei_USD_old"/>
      <sheetName val="Cap Services"/>
      <sheetName val="Geo"/>
      <sheetName val="Segmentals"/>
      <sheetName val="PE_val"/>
      <sheetName val="adj_roe"/>
      <sheetName val="ROE"/>
      <sheetName val="OPAT Split"/>
      <sheetName val="Qstns"/>
      <sheetName val="Subsidiaries"/>
      <sheetName val="ralph changes"/>
      <sheetName val="IFRS changes"/>
      <sheetName val="Comparison"/>
      <sheetName val="Forc chg"/>
      <sheetName val="gap_analysis"/>
      <sheetName val="EPS HIST"/>
      <sheetName val="Financial Services"/>
      <sheetName val="valn_temp"/>
      <sheetName val="ABNcharts"/>
      <sheetName val="(Development)"/>
      <sheetName val="MLC to LLC"/>
    </sheetNames>
    <sheetDataSet>
      <sheetData sheetId="0" refreshError="1"/>
      <sheetData sheetId="1" refreshError="1"/>
      <sheetData sheetId="2" refreshError="1"/>
      <sheetData sheetId="3" refreshError="1">
        <row r="6">
          <cell r="AU6">
            <v>-714.8</v>
          </cell>
          <cell r="BA6">
            <v>210.7</v>
          </cell>
        </row>
        <row r="7">
          <cell r="AF7">
            <v>363.9</v>
          </cell>
          <cell r="AI7">
            <v>420.40000000000003</v>
          </cell>
          <cell r="AL7">
            <v>431.79999999999995</v>
          </cell>
          <cell r="AO7">
            <v>151.4</v>
          </cell>
          <cell r="AR7">
            <v>226.34615384615373</v>
          </cell>
          <cell r="AX7">
            <v>237.39999999999998</v>
          </cell>
          <cell r="BD7">
            <v>396.50591598538347</v>
          </cell>
          <cell r="BG7">
            <v>401.81086434932854</v>
          </cell>
          <cell r="BJ7">
            <v>448.13249994217165</v>
          </cell>
          <cell r="BM7">
            <v>447.33208138319395</v>
          </cell>
          <cell r="BP7">
            <v>449.31907816721491</v>
          </cell>
        </row>
        <row r="8">
          <cell r="AF8">
            <v>71.557388272583196</v>
          </cell>
          <cell r="AI8">
            <v>83.200029732408339</v>
          </cell>
          <cell r="AL8">
            <v>84.7</v>
          </cell>
          <cell r="AO8">
            <v>33.666889037135874</v>
          </cell>
          <cell r="AR8">
            <v>52.431353682222316</v>
          </cell>
          <cell r="BD8">
            <v>99.47464023717599</v>
          </cell>
          <cell r="BG8">
            <v>100.80553546144722</v>
          </cell>
          <cell r="BJ8">
            <v>112.42661814906465</v>
          </cell>
          <cell r="BM8">
            <v>112.22581068318966</v>
          </cell>
          <cell r="BP8">
            <v>112.7243046079315</v>
          </cell>
        </row>
        <row r="9">
          <cell r="AU9">
            <v>-163.08464522016882</v>
          </cell>
          <cell r="AX9">
            <v>80.606177792816752</v>
          </cell>
          <cell r="BA9">
            <v>52.833500501504503</v>
          </cell>
        </row>
        <row r="15">
          <cell r="AF15">
            <v>239.26799999999997</v>
          </cell>
          <cell r="AI15">
            <v>342.20000000000005</v>
          </cell>
          <cell r="AL15">
            <v>333.59248197948136</v>
          </cell>
          <cell r="AO15">
            <v>215.60000000000002</v>
          </cell>
          <cell r="AR15">
            <v>266.14615384615377</v>
          </cell>
          <cell r="AU15">
            <v>292.10000000000002</v>
          </cell>
          <cell r="AX15">
            <v>286.2</v>
          </cell>
          <cell r="BA15">
            <v>323.10000000000002</v>
          </cell>
          <cell r="BD15">
            <v>396.50591598538347</v>
          </cell>
          <cell r="BG15">
            <v>401.81086434932854</v>
          </cell>
          <cell r="BJ15">
            <v>448.13249994217165</v>
          </cell>
          <cell r="BM15">
            <v>447.33208138319395</v>
          </cell>
          <cell r="BP15">
            <v>449.31907816721491</v>
          </cell>
        </row>
        <row r="16">
          <cell r="AF16">
            <v>47.398573692551501</v>
          </cell>
          <cell r="AI16">
            <v>67.829534192269577</v>
          </cell>
          <cell r="AL16">
            <v>65.410290584212021</v>
          </cell>
          <cell r="AO16">
            <v>47.943073159884378</v>
          </cell>
          <cell r="AR16">
            <v>61.650718982199159</v>
          </cell>
          <cell r="BA16">
            <v>81.018054162487459</v>
          </cell>
          <cell r="BD16">
            <v>99.47464023717599</v>
          </cell>
          <cell r="BG16">
            <v>100.80553546144722</v>
          </cell>
          <cell r="BJ16">
            <v>112.42661814906465</v>
          </cell>
          <cell r="BM16">
            <v>112.22581068318966</v>
          </cell>
          <cell r="BP16">
            <v>112.7243046079315</v>
          </cell>
        </row>
        <row r="60">
          <cell r="BA60">
            <v>-41.4</v>
          </cell>
        </row>
        <row r="61">
          <cell r="AX61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800"/>
    </sheetNames>
    <sheetDataSet>
      <sheetData sheetId="0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justed Valuation"/>
      <sheetName val="statistical abstract"/>
      <sheetName val="PUB"/>
      <sheetName val="NAV"/>
      <sheetName val="CAD"/>
      <sheetName val="BALANCE SHEET DATA"/>
      <sheetName val="DEBT MATURITIES"/>
      <sheetName val="INCOME statement"/>
      <sheetName val="SS REvenue"/>
      <sheetName val="SSS"/>
      <sheetName val="institutional"/>
      <sheetName val="Sheet2"/>
      <sheetName val="Pri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rmation"/>
      <sheetName val="Dialog1"/>
      <sheetName val="Checksheet"/>
      <sheetName val="Input Notes"/>
      <sheetName val="MelCen adjs"/>
      <sheetName val="Cover Page"/>
      <sheetName val="P&amp;L"/>
      <sheetName val="Balance Sheet"/>
      <sheetName val="Cashflow"/>
      <sheetName val="cfws - Consol"/>
      <sheetName val="CFWS Parent"/>
      <sheetName val="Notes"/>
      <sheetName val="Prop note"/>
      <sheetName val="Assoc note"/>
      <sheetName val="Finance note"/>
      <sheetName val="finance costs note workings"/>
      <sheetName val="Asset Values99"/>
      <sheetName val="net op y lhn"/>
      <sheetName val="defined costs &amp;NRO  lhn"/>
      <sheetName val="asset val left note"/>
      <sheetName val="ANALYST INFO"/>
      <sheetName val="reserves lh note"/>
      <sheetName val="cash - lhn"/>
      <sheetName val="receivables - lhn"/>
      <sheetName val="creditors lhn"/>
      <sheetName val="Borrowings LHN"/>
      <sheetName val="Asset Values98"/>
      <sheetName val="EPSAVEWS"/>
      <sheetName val="Manual data"/>
      <sheetName val="gptconsol DOWNLOAD"/>
      <sheetName val="pivot"/>
      <sheetName val="Dialog Info"/>
      <sheetName val="Data_par"/>
      <sheetName val="Pivot_Par"/>
      <sheetName val="Sheet1"/>
      <sheetName val="Module1"/>
      <sheetName val="Module3"/>
      <sheetName val="Module4"/>
      <sheetName val="Module5"/>
      <sheetName val="Input-MelCen adj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>
        <row r="1">
          <cell r="B1">
            <v>2</v>
          </cell>
          <cell r="C1">
            <v>3</v>
          </cell>
        </row>
        <row r="2">
          <cell r="A2" t="str">
            <v>OPBAL01</v>
          </cell>
          <cell r="B2" t="str">
            <v>(All)</v>
          </cell>
        </row>
        <row r="4">
          <cell r="A4" t="str">
            <v>Sum of ACC + CC</v>
          </cell>
        </row>
        <row r="5">
          <cell r="A5" t="str">
            <v>ACC + CC</v>
          </cell>
          <cell r="B5" t="str">
            <v>MOVEYR01</v>
          </cell>
          <cell r="C5" t="str">
            <v>TOTBAL01</v>
          </cell>
          <cell r="D5" t="str">
            <v>Total</v>
          </cell>
        </row>
        <row r="6">
          <cell r="B6">
            <v>0</v>
          </cell>
          <cell r="C6">
            <v>872566121.08000004</v>
          </cell>
          <cell r="D6">
            <v>0</v>
          </cell>
        </row>
        <row r="7">
          <cell r="B7" t="str">
            <v>(blank)</v>
          </cell>
          <cell r="C7" t="str">
            <v>(blank)</v>
          </cell>
          <cell r="D7">
            <v>0</v>
          </cell>
        </row>
        <row r="8">
          <cell r="A8" t="str">
            <v>77800</v>
          </cell>
          <cell r="B8">
            <v>34498352.009999998</v>
          </cell>
          <cell r="C8">
            <v>34498352.009999998</v>
          </cell>
          <cell r="D8">
            <v>0</v>
          </cell>
        </row>
        <row r="9">
          <cell r="A9" t="str">
            <v>99999</v>
          </cell>
          <cell r="B9">
            <v>156795.1</v>
          </cell>
          <cell r="C9">
            <v>156795.1</v>
          </cell>
          <cell r="D9">
            <v>0</v>
          </cell>
        </row>
        <row r="10">
          <cell r="A10" t="str">
            <v>11200LLPMACASH</v>
          </cell>
          <cell r="B10">
            <v>310033.90000000002</v>
          </cell>
          <cell r="C10">
            <v>3380791.33</v>
          </cell>
          <cell r="D10">
            <v>0</v>
          </cell>
        </row>
        <row r="11">
          <cell r="A11" t="str">
            <v>11200OTHER</v>
          </cell>
          <cell r="B11">
            <v>2977833.68</v>
          </cell>
          <cell r="C11">
            <v>2978083.69</v>
          </cell>
          <cell r="D11">
            <v>0</v>
          </cell>
        </row>
        <row r="12">
          <cell r="A12" t="str">
            <v>11200TRUST</v>
          </cell>
          <cell r="B12">
            <v>9006749.9000000004</v>
          </cell>
          <cell r="C12">
            <v>9290024.9100000001</v>
          </cell>
          <cell r="D12">
            <v>0</v>
          </cell>
        </row>
        <row r="13">
          <cell r="A13" t="str">
            <v>1120011AMDEPOS</v>
          </cell>
          <cell r="B13">
            <v>-18060000</v>
          </cell>
          <cell r="C13">
            <v>0</v>
          </cell>
          <cell r="D13">
            <v>0</v>
          </cell>
        </row>
        <row r="14">
          <cell r="A14" t="str">
            <v>12100</v>
          </cell>
          <cell r="B14">
            <v>2171567.42</v>
          </cell>
          <cell r="C14">
            <v>3993909.72</v>
          </cell>
          <cell r="D14">
            <v>0</v>
          </cell>
        </row>
        <row r="15">
          <cell r="A15" t="str">
            <v>12100DEBTACCRU</v>
          </cell>
          <cell r="B15">
            <v>2603651.62</v>
          </cell>
          <cell r="C15">
            <v>8144191.9000000004</v>
          </cell>
          <cell r="D15">
            <v>0</v>
          </cell>
        </row>
        <row r="16">
          <cell r="A16" t="str">
            <v>12100INTEREST</v>
          </cell>
          <cell r="B16">
            <v>-1044538.43</v>
          </cell>
          <cell r="C16">
            <v>2090729.23</v>
          </cell>
          <cell r="D16">
            <v>0</v>
          </cell>
        </row>
        <row r="17">
          <cell r="A17" t="str">
            <v>12200</v>
          </cell>
          <cell r="B17">
            <v>176263.77</v>
          </cell>
          <cell r="C17">
            <v>-903575.3</v>
          </cell>
          <cell r="D17">
            <v>0</v>
          </cell>
        </row>
        <row r="18">
          <cell r="A18" t="str">
            <v>12730INTEREST</v>
          </cell>
          <cell r="B18">
            <v>118348</v>
          </cell>
          <cell r="C18">
            <v>170352</v>
          </cell>
          <cell r="D18">
            <v>0</v>
          </cell>
        </row>
        <row r="19">
          <cell r="A19" t="str">
            <v>12740INTEXPENS</v>
          </cell>
          <cell r="B19">
            <v>-373167.72</v>
          </cell>
          <cell r="C19">
            <v>2001881.4</v>
          </cell>
          <cell r="D19">
            <v>0</v>
          </cell>
        </row>
        <row r="20">
          <cell r="A20" t="str">
            <v>12740PROPERTY</v>
          </cell>
          <cell r="B20">
            <v>3056628.8</v>
          </cell>
          <cell r="C20">
            <v>5567258.5199999996</v>
          </cell>
          <cell r="D20">
            <v>0</v>
          </cell>
        </row>
        <row r="21">
          <cell r="A21" t="str">
            <v>12750TRUST</v>
          </cell>
          <cell r="B21">
            <v>13303015.970000001</v>
          </cell>
          <cell r="C21">
            <v>49088547.890000001</v>
          </cell>
          <cell r="D21">
            <v>0</v>
          </cell>
        </row>
        <row r="22">
          <cell r="A22" t="str">
            <v>15211</v>
          </cell>
          <cell r="B22">
            <v>0</v>
          </cell>
          <cell r="C22">
            <v>19047566.800000001</v>
          </cell>
          <cell r="D22">
            <v>0</v>
          </cell>
        </row>
        <row r="23">
          <cell r="A23" t="str">
            <v>15211ACQUISIT</v>
          </cell>
          <cell r="B23">
            <v>0</v>
          </cell>
          <cell r="C23">
            <v>-63402.14</v>
          </cell>
          <cell r="D23">
            <v>0</v>
          </cell>
        </row>
        <row r="24">
          <cell r="A24" t="str">
            <v>15211GEMACQUIS</v>
          </cell>
          <cell r="B24">
            <v>0</v>
          </cell>
          <cell r="C24">
            <v>63497.51</v>
          </cell>
          <cell r="D24">
            <v>0</v>
          </cell>
        </row>
        <row r="25">
          <cell r="A25" t="str">
            <v>15211GEMCOMM</v>
          </cell>
          <cell r="B25">
            <v>797783.17</v>
          </cell>
          <cell r="C25">
            <v>727927111.26999998</v>
          </cell>
          <cell r="D25">
            <v>0</v>
          </cell>
        </row>
        <row r="26">
          <cell r="A26" t="str">
            <v>15211GEMRET</v>
          </cell>
          <cell r="B26">
            <v>122292072.63</v>
          </cell>
          <cell r="C26">
            <v>617282243.07000005</v>
          </cell>
          <cell r="D26">
            <v>0</v>
          </cell>
        </row>
        <row r="27">
          <cell r="A27" t="str">
            <v>15211GPTHOTEL</v>
          </cell>
          <cell r="B27">
            <v>0</v>
          </cell>
          <cell r="C27">
            <v>223152122.22999999</v>
          </cell>
          <cell r="D27">
            <v>0</v>
          </cell>
        </row>
        <row r="28">
          <cell r="A28" t="str">
            <v>15211GPTPTYLTD</v>
          </cell>
          <cell r="B28">
            <v>0</v>
          </cell>
          <cell r="C28">
            <v>150000</v>
          </cell>
          <cell r="D28">
            <v>0</v>
          </cell>
        </row>
        <row r="29">
          <cell r="A29" t="str">
            <v>15211GPTRETAIL</v>
          </cell>
          <cell r="B29">
            <v>6244425.79</v>
          </cell>
          <cell r="C29">
            <v>10444425.789999999</v>
          </cell>
          <cell r="D29">
            <v>0</v>
          </cell>
        </row>
        <row r="30">
          <cell r="A30" t="str">
            <v>15211OEPT</v>
          </cell>
          <cell r="B30">
            <v>3802537.84</v>
          </cell>
          <cell r="C30">
            <v>55865151.780000001</v>
          </cell>
          <cell r="D30">
            <v>0</v>
          </cell>
        </row>
        <row r="31">
          <cell r="A31" t="str">
            <v>15211OWAL</v>
          </cell>
          <cell r="B31">
            <v>0</v>
          </cell>
          <cell r="C31">
            <v>-18852034.739999998</v>
          </cell>
          <cell r="D31">
            <v>0</v>
          </cell>
        </row>
        <row r="32">
          <cell r="A32" t="str">
            <v>15235GPTTPENRI</v>
          </cell>
          <cell r="B32">
            <v>15022942.33</v>
          </cell>
          <cell r="C32">
            <v>209276905.11000001</v>
          </cell>
          <cell r="D32">
            <v>0</v>
          </cell>
        </row>
        <row r="33">
          <cell r="A33" t="str">
            <v>15235GPTTSUNSH</v>
          </cell>
          <cell r="B33">
            <v>5081017.07</v>
          </cell>
          <cell r="C33">
            <v>55072935.890000001</v>
          </cell>
          <cell r="D33">
            <v>0</v>
          </cell>
        </row>
        <row r="34">
          <cell r="A34" t="str">
            <v>16100</v>
          </cell>
          <cell r="B34">
            <v>165167025.05000001</v>
          </cell>
          <cell r="C34">
            <v>301519025.19</v>
          </cell>
          <cell r="D34">
            <v>0</v>
          </cell>
        </row>
        <row r="35">
          <cell r="A35" t="str">
            <v>16100GPTTALTON</v>
          </cell>
          <cell r="B35">
            <v>17383381.34</v>
          </cell>
          <cell r="C35">
            <v>54091377.009999998</v>
          </cell>
          <cell r="D35">
            <v>0</v>
          </cell>
        </row>
        <row r="36">
          <cell r="A36" t="str">
            <v>16100GPTTAUSSQ</v>
          </cell>
          <cell r="B36">
            <v>-179992294</v>
          </cell>
          <cell r="C36">
            <v>165007706</v>
          </cell>
          <cell r="D36">
            <v>0</v>
          </cell>
        </row>
        <row r="37">
          <cell r="A37" t="str">
            <v>16100GPTTBANKS</v>
          </cell>
          <cell r="B37">
            <v>8237919</v>
          </cell>
          <cell r="C37">
            <v>173746590.44</v>
          </cell>
          <cell r="D37">
            <v>0</v>
          </cell>
        </row>
        <row r="38">
          <cell r="A38" t="str">
            <v>16100GPTTBROOK</v>
          </cell>
          <cell r="B38">
            <v>1062000.33</v>
          </cell>
          <cell r="C38">
            <v>3062000</v>
          </cell>
          <cell r="D38">
            <v>0</v>
          </cell>
        </row>
        <row r="39">
          <cell r="A39" t="str">
            <v>16100GPTTCAMEL</v>
          </cell>
          <cell r="B39">
            <v>1308078.77</v>
          </cell>
          <cell r="C39">
            <v>14089387.82</v>
          </cell>
          <cell r="D39">
            <v>0</v>
          </cell>
        </row>
        <row r="40">
          <cell r="A40" t="str">
            <v>16100GPTTCASUA</v>
          </cell>
          <cell r="B40">
            <v>3556466.41</v>
          </cell>
          <cell r="C40">
            <v>251261782.00999999</v>
          </cell>
          <cell r="D40">
            <v>0</v>
          </cell>
        </row>
        <row r="41">
          <cell r="A41" t="str">
            <v>16100GPTTCHARL</v>
          </cell>
          <cell r="B41">
            <v>825002.12</v>
          </cell>
          <cell r="C41">
            <v>250058183.12</v>
          </cell>
          <cell r="D41">
            <v>0</v>
          </cell>
        </row>
        <row r="42">
          <cell r="A42" t="str">
            <v>16100GPTTDALGT</v>
          </cell>
          <cell r="B42">
            <v>3879026.09</v>
          </cell>
          <cell r="C42">
            <v>9400475.6899999995</v>
          </cell>
          <cell r="D42">
            <v>0</v>
          </cell>
        </row>
        <row r="43">
          <cell r="A43" t="str">
            <v>16100GPTTDANDE</v>
          </cell>
          <cell r="B43">
            <v>47717664.829999998</v>
          </cell>
          <cell r="C43">
            <v>174437110.21000001</v>
          </cell>
          <cell r="D43">
            <v>0</v>
          </cell>
        </row>
        <row r="44">
          <cell r="A44" t="str">
            <v>16100GPTTERINA</v>
          </cell>
          <cell r="B44">
            <v>7626981.7800000003</v>
          </cell>
          <cell r="C44">
            <v>111699937.41</v>
          </cell>
          <cell r="D44">
            <v>0</v>
          </cell>
        </row>
        <row r="45">
          <cell r="A45" t="str">
            <v>16100GPTTMLCCT</v>
          </cell>
          <cell r="B45">
            <v>8968084.6199999992</v>
          </cell>
          <cell r="C45">
            <v>276468084.81999999</v>
          </cell>
          <cell r="D45">
            <v>0</v>
          </cell>
        </row>
        <row r="46">
          <cell r="A46" t="str">
            <v>16100GPTTPENCI</v>
          </cell>
          <cell r="B46">
            <v>2997826.95</v>
          </cell>
          <cell r="C46">
            <v>20000000</v>
          </cell>
          <cell r="D46">
            <v>0</v>
          </cell>
        </row>
        <row r="47">
          <cell r="A47" t="str">
            <v>16100GPTTPENRI</v>
          </cell>
          <cell r="B47">
            <v>482562.88</v>
          </cell>
          <cell r="C47">
            <v>89110762.640000001</v>
          </cell>
          <cell r="D47">
            <v>0</v>
          </cell>
        </row>
        <row r="48">
          <cell r="A48" t="str">
            <v>16100GPTTRILEY</v>
          </cell>
          <cell r="B48">
            <v>0</v>
          </cell>
          <cell r="C48">
            <v>17000000</v>
          </cell>
          <cell r="D48">
            <v>0</v>
          </cell>
        </row>
        <row r="49">
          <cell r="A49" t="str">
            <v>16100GPTTRIVER</v>
          </cell>
          <cell r="B49">
            <v>5307959.7</v>
          </cell>
          <cell r="C49">
            <v>262638261.84999999</v>
          </cell>
          <cell r="D49">
            <v>0</v>
          </cell>
        </row>
        <row r="50">
          <cell r="A50" t="str">
            <v>16100GPTTSUNSH</v>
          </cell>
          <cell r="B50">
            <v>5401050.8200000003</v>
          </cell>
          <cell r="C50">
            <v>48630110.170000002</v>
          </cell>
          <cell r="D50">
            <v>0</v>
          </cell>
        </row>
        <row r="51">
          <cell r="A51" t="str">
            <v>16100GPTTWODEN</v>
          </cell>
          <cell r="B51">
            <v>52300448.270000003</v>
          </cell>
          <cell r="C51">
            <v>305455416.13999999</v>
          </cell>
          <cell r="D51">
            <v>0</v>
          </cell>
        </row>
        <row r="52">
          <cell r="A52" t="str">
            <v>16100SALES</v>
          </cell>
          <cell r="B52">
            <v>-175833691.72</v>
          </cell>
          <cell r="C52">
            <v>-312185691.86000001</v>
          </cell>
          <cell r="D52">
            <v>0</v>
          </cell>
        </row>
        <row r="53">
          <cell r="A53" t="str">
            <v>21105CAPEX</v>
          </cell>
          <cell r="B53">
            <v>2243886.52</v>
          </cell>
          <cell r="C53">
            <v>-6954900</v>
          </cell>
          <cell r="D53">
            <v>0</v>
          </cell>
        </row>
        <row r="54">
          <cell r="A54" t="str">
            <v>21105INTEXPENS</v>
          </cell>
          <cell r="B54">
            <v>999486.01</v>
          </cell>
          <cell r="C54">
            <v>0</v>
          </cell>
          <cell r="D54">
            <v>0</v>
          </cell>
        </row>
        <row r="55">
          <cell r="A55" t="str">
            <v>21105PROPERTY</v>
          </cell>
          <cell r="B55">
            <v>-3023188.41</v>
          </cell>
          <cell r="C55">
            <v>-8972843.9199999999</v>
          </cell>
          <cell r="D55">
            <v>0</v>
          </cell>
        </row>
        <row r="56">
          <cell r="A56" t="str">
            <v>21110PROPERTY</v>
          </cell>
          <cell r="B56">
            <v>-1204165.8999999999</v>
          </cell>
          <cell r="C56">
            <v>-4488091.4400000004</v>
          </cell>
          <cell r="D56">
            <v>0</v>
          </cell>
        </row>
        <row r="57">
          <cell r="A57" t="str">
            <v>21110TRUST</v>
          </cell>
          <cell r="B57">
            <v>-1718943.31</v>
          </cell>
          <cell r="C57">
            <v>-4216042.16</v>
          </cell>
          <cell r="D57">
            <v>0</v>
          </cell>
        </row>
        <row r="58">
          <cell r="A58" t="str">
            <v>21110TRUST1291</v>
          </cell>
          <cell r="B58">
            <v>7924837.8499999996</v>
          </cell>
          <cell r="C58">
            <v>7879076.8399999999</v>
          </cell>
          <cell r="D58">
            <v>0</v>
          </cell>
        </row>
        <row r="59">
          <cell r="A59" t="str">
            <v>21113</v>
          </cell>
          <cell r="B59">
            <v>-889877</v>
          </cell>
          <cell r="C59">
            <v>-5046723</v>
          </cell>
          <cell r="D59">
            <v>0</v>
          </cell>
        </row>
        <row r="60">
          <cell r="A60" t="str">
            <v>21160</v>
          </cell>
          <cell r="B60">
            <v>-6782010.6299999999</v>
          </cell>
          <cell r="C60">
            <v>-73803639.650000006</v>
          </cell>
          <cell r="D60">
            <v>0</v>
          </cell>
        </row>
        <row r="61">
          <cell r="A61" t="str">
            <v>21250</v>
          </cell>
          <cell r="B61">
            <v>768983.85</v>
          </cell>
          <cell r="C61">
            <v>-2646861</v>
          </cell>
          <cell r="D61">
            <v>0</v>
          </cell>
        </row>
        <row r="62">
          <cell r="A62" t="str">
            <v>21260</v>
          </cell>
          <cell r="B62">
            <v>150000000</v>
          </cell>
          <cell r="C62">
            <v>-275000000</v>
          </cell>
          <cell r="D62">
            <v>0</v>
          </cell>
        </row>
        <row r="63">
          <cell r="A63" t="str">
            <v>21350</v>
          </cell>
          <cell r="B63">
            <v>518869.35</v>
          </cell>
          <cell r="C63">
            <v>-2753781.5</v>
          </cell>
          <cell r="D63">
            <v>0</v>
          </cell>
        </row>
        <row r="64">
          <cell r="A64" t="str">
            <v>21360</v>
          </cell>
          <cell r="B64">
            <v>2216635.5299999998</v>
          </cell>
          <cell r="C64">
            <v>-4537864.28</v>
          </cell>
          <cell r="D64">
            <v>0</v>
          </cell>
        </row>
        <row r="65">
          <cell r="A65" t="str">
            <v>22019</v>
          </cell>
          <cell r="B65">
            <v>0</v>
          </cell>
          <cell r="C65">
            <v>-10015.450000000001</v>
          </cell>
          <cell r="D65">
            <v>0</v>
          </cell>
        </row>
        <row r="66">
          <cell r="A66" t="str">
            <v>30120</v>
          </cell>
          <cell r="B66">
            <v>0</v>
          </cell>
          <cell r="C66">
            <v>-2979964023.02</v>
          </cell>
          <cell r="D66">
            <v>0</v>
          </cell>
        </row>
        <row r="67">
          <cell r="A67" t="str">
            <v>30140</v>
          </cell>
          <cell r="B67">
            <v>0.6</v>
          </cell>
          <cell r="C67">
            <v>-34.04</v>
          </cell>
          <cell r="D67">
            <v>0</v>
          </cell>
        </row>
        <row r="68">
          <cell r="A68" t="str">
            <v>30155BOOKLOSS</v>
          </cell>
          <cell r="B68">
            <v>-3148443.19</v>
          </cell>
          <cell r="C68">
            <v>-3148443.19</v>
          </cell>
          <cell r="D68">
            <v>0</v>
          </cell>
        </row>
        <row r="69">
          <cell r="A69" t="str">
            <v>30155PREACQINC</v>
          </cell>
          <cell r="B69">
            <v>-3600000</v>
          </cell>
          <cell r="C69">
            <v>-3600000</v>
          </cell>
          <cell r="D69">
            <v>0</v>
          </cell>
        </row>
        <row r="70">
          <cell r="A70" t="str">
            <v>30165DISTQTR1</v>
          </cell>
          <cell r="B70">
            <v>66171923.409999996</v>
          </cell>
          <cell r="C70">
            <v>66171923.409999996</v>
          </cell>
          <cell r="D70">
            <v>0</v>
          </cell>
        </row>
        <row r="71">
          <cell r="A71" t="str">
            <v>30172DRP1</v>
          </cell>
          <cell r="B71">
            <v>-35071996.719999999</v>
          </cell>
          <cell r="C71">
            <v>-60101474.460000001</v>
          </cell>
          <cell r="D71">
            <v>0</v>
          </cell>
        </row>
        <row r="72">
          <cell r="A72" t="str">
            <v>30172DRP4</v>
          </cell>
          <cell r="B72">
            <v>-31966788.469999999</v>
          </cell>
          <cell r="C72">
            <v>-57642611.270000003</v>
          </cell>
          <cell r="D72">
            <v>0</v>
          </cell>
        </row>
        <row r="73">
          <cell r="A73" t="str">
            <v>30172MGRFEES</v>
          </cell>
          <cell r="B73">
            <v>-1039212</v>
          </cell>
          <cell r="C73">
            <v>-5952396</v>
          </cell>
          <cell r="D73">
            <v>0</v>
          </cell>
        </row>
        <row r="74">
          <cell r="A74" t="str">
            <v>30172OPTIONS</v>
          </cell>
          <cell r="B74">
            <v>0</v>
          </cell>
          <cell r="C74">
            <v>-166261132.16</v>
          </cell>
          <cell r="D74">
            <v>0</v>
          </cell>
        </row>
        <row r="75">
          <cell r="A75" t="str">
            <v>31400</v>
          </cell>
          <cell r="B75">
            <v>0</v>
          </cell>
          <cell r="C75">
            <v>-476332098.42000002</v>
          </cell>
          <cell r="D75">
            <v>0</v>
          </cell>
        </row>
        <row r="76">
          <cell r="A76" t="str">
            <v>31400BOOKLOSS</v>
          </cell>
          <cell r="B76">
            <v>3148443.19</v>
          </cell>
          <cell r="C76">
            <v>3686568.92</v>
          </cell>
          <cell r="D76">
            <v>0</v>
          </cell>
        </row>
        <row r="77">
          <cell r="A77" t="str">
            <v>31400CAPGAIN</v>
          </cell>
          <cell r="B77">
            <v>0</v>
          </cell>
          <cell r="C77">
            <v>1247810.02</v>
          </cell>
          <cell r="D77">
            <v>0</v>
          </cell>
        </row>
        <row r="78">
          <cell r="A78" t="str">
            <v>31400GPTTADMIN</v>
          </cell>
          <cell r="B78">
            <v>0</v>
          </cell>
          <cell r="C78">
            <v>16608481.779999999</v>
          </cell>
          <cell r="D78">
            <v>0</v>
          </cell>
        </row>
        <row r="79">
          <cell r="A79" t="str">
            <v>31400GPTTALTON</v>
          </cell>
          <cell r="B79">
            <v>0</v>
          </cell>
          <cell r="C79">
            <v>3457242.03</v>
          </cell>
          <cell r="D79">
            <v>0</v>
          </cell>
        </row>
        <row r="80">
          <cell r="A80" t="str">
            <v>31400GPTTAUSSQ</v>
          </cell>
          <cell r="B80">
            <v>15413733.800000001</v>
          </cell>
          <cell r="C80">
            <v>8422002.7599999998</v>
          </cell>
          <cell r="D80">
            <v>0</v>
          </cell>
        </row>
        <row r="81">
          <cell r="A81" t="str">
            <v>31400GPTTBANKS</v>
          </cell>
          <cell r="B81">
            <v>-7009932</v>
          </cell>
          <cell r="C81">
            <v>-16229630</v>
          </cell>
          <cell r="D81">
            <v>0</v>
          </cell>
        </row>
        <row r="82">
          <cell r="A82" t="str">
            <v>31400GPTTBROOK</v>
          </cell>
          <cell r="B82">
            <v>0</v>
          </cell>
          <cell r="C82">
            <v>1070881</v>
          </cell>
          <cell r="D82">
            <v>0</v>
          </cell>
        </row>
        <row r="83">
          <cell r="A83" t="str">
            <v>31400GPTTCASUA</v>
          </cell>
          <cell r="B83">
            <v>0</v>
          </cell>
          <cell r="C83">
            <v>-39384123.520000003</v>
          </cell>
          <cell r="D83">
            <v>0</v>
          </cell>
        </row>
        <row r="84">
          <cell r="A84" t="str">
            <v>31400GPTTCHARL</v>
          </cell>
          <cell r="B84">
            <v>0</v>
          </cell>
          <cell r="C84">
            <v>-10412462.17</v>
          </cell>
          <cell r="D84">
            <v>0</v>
          </cell>
        </row>
        <row r="85">
          <cell r="A85" t="str">
            <v>31400GPTTDANDE</v>
          </cell>
          <cell r="B85">
            <v>13009710.82</v>
          </cell>
          <cell r="C85">
            <v>31701927.32</v>
          </cell>
          <cell r="D85">
            <v>0</v>
          </cell>
        </row>
        <row r="86">
          <cell r="A86" t="str">
            <v>31400GPTTERINA</v>
          </cell>
          <cell r="B86">
            <v>-5955075.6699999999</v>
          </cell>
          <cell r="C86">
            <v>-13292425.99</v>
          </cell>
          <cell r="D86">
            <v>0</v>
          </cell>
        </row>
        <row r="87">
          <cell r="A87" t="str">
            <v>31400GPTTMLCCT</v>
          </cell>
          <cell r="B87">
            <v>-6457286.29</v>
          </cell>
          <cell r="C87">
            <v>-45855291.539999999</v>
          </cell>
          <cell r="D87">
            <v>0</v>
          </cell>
        </row>
        <row r="88">
          <cell r="A88" t="str">
            <v>31400GPTTPENRI</v>
          </cell>
          <cell r="B88">
            <v>362895.67</v>
          </cell>
          <cell r="C88">
            <v>7613064.25</v>
          </cell>
          <cell r="D88">
            <v>0</v>
          </cell>
        </row>
        <row r="89">
          <cell r="A89" t="str">
            <v>31400GPTTRILEY</v>
          </cell>
          <cell r="B89">
            <v>0</v>
          </cell>
          <cell r="C89">
            <v>-1000000</v>
          </cell>
          <cell r="D89">
            <v>0</v>
          </cell>
        </row>
        <row r="90">
          <cell r="A90" t="str">
            <v>31400GPTTRIVER</v>
          </cell>
          <cell r="B90">
            <v>77093.279999999999</v>
          </cell>
          <cell r="C90">
            <v>-11279127.529999999</v>
          </cell>
          <cell r="D90">
            <v>0</v>
          </cell>
        </row>
        <row r="91">
          <cell r="A91" t="str">
            <v>31400GPTTSOMME</v>
          </cell>
          <cell r="B91">
            <v>0</v>
          </cell>
          <cell r="C91">
            <v>32553</v>
          </cell>
          <cell r="D91">
            <v>0</v>
          </cell>
        </row>
        <row r="92">
          <cell r="A92" t="str">
            <v>31400GPTTSUNSH</v>
          </cell>
          <cell r="B92">
            <v>-1790663.22</v>
          </cell>
          <cell r="C92">
            <v>-1274644.23</v>
          </cell>
          <cell r="D92">
            <v>0</v>
          </cell>
        </row>
        <row r="93">
          <cell r="A93" t="str">
            <v>31400MGRFEES</v>
          </cell>
          <cell r="B93">
            <v>0</v>
          </cell>
          <cell r="C93">
            <v>16001638</v>
          </cell>
          <cell r="D93">
            <v>0</v>
          </cell>
        </row>
        <row r="94">
          <cell r="A94" t="str">
            <v>31400PREACQINC</v>
          </cell>
          <cell r="B94">
            <v>3600000</v>
          </cell>
          <cell r="C94">
            <v>10600000</v>
          </cell>
          <cell r="D94">
            <v>0</v>
          </cell>
        </row>
        <row r="95">
          <cell r="A95" t="str">
            <v>31400SUBREVAL</v>
          </cell>
          <cell r="B95">
            <v>6515320.0800000001</v>
          </cell>
          <cell r="C95">
            <v>6973116.3399999999</v>
          </cell>
          <cell r="D95">
            <v>0</v>
          </cell>
        </row>
        <row r="96">
          <cell r="A96" t="str">
            <v>35000</v>
          </cell>
          <cell r="B96">
            <v>0</v>
          </cell>
          <cell r="C96">
            <v>871217430.64999998</v>
          </cell>
          <cell r="D96">
            <v>0</v>
          </cell>
        </row>
        <row r="97">
          <cell r="A97" t="str">
            <v>35001@DIV</v>
          </cell>
          <cell r="B97">
            <v>282743783.31</v>
          </cell>
          <cell r="C97">
            <v>282743783.31</v>
          </cell>
          <cell r="D97">
            <v>0</v>
          </cell>
        </row>
        <row r="98">
          <cell r="A98" t="str">
            <v>35001@NET</v>
          </cell>
          <cell r="B98">
            <v>-828337.45</v>
          </cell>
          <cell r="C98">
            <v>-828337.45</v>
          </cell>
          <cell r="D98">
            <v>0</v>
          </cell>
        </row>
        <row r="99">
          <cell r="A99" t="str">
            <v>35001@PAL</v>
          </cell>
          <cell r="B99">
            <v>-281915445.86000001</v>
          </cell>
          <cell r="C99">
            <v>-281915445.86000001</v>
          </cell>
          <cell r="D99">
            <v>0</v>
          </cell>
        </row>
        <row r="100">
          <cell r="A100" t="str">
            <v>41000</v>
          </cell>
          <cell r="B100">
            <v>-220058245.22999999</v>
          </cell>
          <cell r="C100">
            <v>-220058245.22999999</v>
          </cell>
          <cell r="D100">
            <v>0</v>
          </cell>
        </row>
        <row r="101">
          <cell r="A101" t="str">
            <v>45980</v>
          </cell>
          <cell r="B101">
            <v>-14387970.359999999</v>
          </cell>
          <cell r="C101">
            <v>-14387970.359999999</v>
          </cell>
          <cell r="D101">
            <v>0</v>
          </cell>
        </row>
        <row r="102">
          <cell r="A102" t="str">
            <v>45981</v>
          </cell>
          <cell r="B102">
            <v>-21114853.600000001</v>
          </cell>
          <cell r="C102">
            <v>-21114853.600000001</v>
          </cell>
          <cell r="D102">
            <v>0</v>
          </cell>
        </row>
        <row r="103">
          <cell r="A103" t="str">
            <v>45993</v>
          </cell>
          <cell r="B103">
            <v>-135125167.00999999</v>
          </cell>
          <cell r="C103">
            <v>-135125167.00999999</v>
          </cell>
          <cell r="D103">
            <v>0</v>
          </cell>
        </row>
        <row r="104">
          <cell r="A104" t="str">
            <v>50000</v>
          </cell>
          <cell r="B104">
            <v>53175262.039999999</v>
          </cell>
          <cell r="C104">
            <v>53175262.039999999</v>
          </cell>
          <cell r="D104">
            <v>0</v>
          </cell>
        </row>
        <row r="105">
          <cell r="A105" t="str">
            <v>50600</v>
          </cell>
          <cell r="B105">
            <v>3286864.97</v>
          </cell>
          <cell r="C105">
            <v>3286864.97</v>
          </cell>
          <cell r="D105">
            <v>0</v>
          </cell>
        </row>
        <row r="106">
          <cell r="A106" t="str">
            <v>53395</v>
          </cell>
          <cell r="B106">
            <v>483239.59</v>
          </cell>
          <cell r="C106">
            <v>483239.59</v>
          </cell>
          <cell r="D106">
            <v>0</v>
          </cell>
        </row>
        <row r="107">
          <cell r="A107" t="str">
            <v>60152</v>
          </cell>
          <cell r="B107">
            <v>18610012</v>
          </cell>
          <cell r="C107">
            <v>18610012</v>
          </cell>
          <cell r="D107">
            <v>0</v>
          </cell>
        </row>
        <row r="108">
          <cell r="A108" t="str">
            <v>62001</v>
          </cell>
          <cell r="B108">
            <v>691461.66</v>
          </cell>
          <cell r="C108">
            <v>691461.66</v>
          </cell>
          <cell r="D108">
            <v>0</v>
          </cell>
        </row>
        <row r="109">
          <cell r="A109" t="str">
            <v>62011</v>
          </cell>
          <cell r="B109">
            <v>336893.74</v>
          </cell>
          <cell r="C109">
            <v>336893.74</v>
          </cell>
          <cell r="D109">
            <v>0</v>
          </cell>
        </row>
        <row r="110">
          <cell r="A110" t="str">
            <v>64000</v>
          </cell>
          <cell r="B110">
            <v>-103166.07</v>
          </cell>
          <cell r="C110">
            <v>-103166.07</v>
          </cell>
          <cell r="D110">
            <v>0</v>
          </cell>
        </row>
        <row r="111">
          <cell r="A111" t="str">
            <v>70000</v>
          </cell>
          <cell r="B111">
            <v>2067166.62</v>
          </cell>
          <cell r="C111">
            <v>2067166.62</v>
          </cell>
          <cell r="D111">
            <v>0</v>
          </cell>
        </row>
        <row r="112">
          <cell r="A112" t="str">
            <v>72600</v>
          </cell>
          <cell r="B112">
            <v>679419.46</v>
          </cell>
          <cell r="C112">
            <v>679419.46</v>
          </cell>
          <cell r="D112">
            <v>0</v>
          </cell>
        </row>
        <row r="113">
          <cell r="A113" t="str">
            <v>76150</v>
          </cell>
          <cell r="B113">
            <v>657797.65</v>
          </cell>
          <cell r="C113">
            <v>657797.65</v>
          </cell>
          <cell r="D113">
            <v>0</v>
          </cell>
        </row>
        <row r="114">
          <cell r="A114" t="str">
            <v>76300</v>
          </cell>
          <cell r="B114">
            <v>204378.84</v>
          </cell>
          <cell r="C114">
            <v>204378.84</v>
          </cell>
          <cell r="D114">
            <v>0</v>
          </cell>
        </row>
        <row r="115">
          <cell r="A115" t="str">
            <v>76450</v>
          </cell>
          <cell r="B115">
            <v>97050</v>
          </cell>
          <cell r="C115">
            <v>97050</v>
          </cell>
          <cell r="D115">
            <v>0</v>
          </cell>
        </row>
        <row r="116">
          <cell r="A116" t="str">
            <v>77200</v>
          </cell>
          <cell r="B116">
            <v>323000.90999999997</v>
          </cell>
          <cell r="C116">
            <v>323000.90999999997</v>
          </cell>
          <cell r="D116">
            <v>0</v>
          </cell>
        </row>
        <row r="117">
          <cell r="A117" t="str">
            <v>15211GPTINDUST</v>
          </cell>
          <cell r="B117">
            <v>0</v>
          </cell>
          <cell r="C117">
            <v>1</v>
          </cell>
          <cell r="D117">
            <v>0</v>
          </cell>
        </row>
        <row r="118">
          <cell r="A118" t="str">
            <v>15211GPTOFFICE</v>
          </cell>
          <cell r="B118">
            <v>0</v>
          </cell>
          <cell r="C118">
            <v>1</v>
          </cell>
          <cell r="D118">
            <v>0</v>
          </cell>
        </row>
        <row r="119">
          <cell r="A119" t="str">
            <v>16100GPTTPLPDE</v>
          </cell>
          <cell r="B119">
            <v>2974840.42</v>
          </cell>
          <cell r="C119">
            <v>5037665.3099999996</v>
          </cell>
          <cell r="D119">
            <v>0</v>
          </cell>
        </row>
        <row r="120">
          <cell r="A120" t="str">
            <v>30165DISTQTR2</v>
          </cell>
          <cell r="B120">
            <v>69646902.349999994</v>
          </cell>
          <cell r="C120">
            <v>69646902.349999994</v>
          </cell>
          <cell r="D120">
            <v>0</v>
          </cell>
        </row>
        <row r="121">
          <cell r="A121" t="str">
            <v>30165DISTQTR3</v>
          </cell>
          <cell r="B121">
            <v>73121317.879999995</v>
          </cell>
          <cell r="C121">
            <v>73121317.879999995</v>
          </cell>
          <cell r="D121">
            <v>0</v>
          </cell>
        </row>
        <row r="122">
          <cell r="A122" t="str">
            <v>30172DRP2</v>
          </cell>
          <cell r="B122">
            <v>-36254810.109999999</v>
          </cell>
          <cell r="C122">
            <v>-67094421.710000001</v>
          </cell>
          <cell r="D122">
            <v>0</v>
          </cell>
        </row>
        <row r="123">
          <cell r="A123" t="str">
            <v>30172DRP3</v>
          </cell>
          <cell r="B123">
            <v>-34826300.890000001</v>
          </cell>
          <cell r="C123">
            <v>-60687900.579999998</v>
          </cell>
          <cell r="D123">
            <v>0</v>
          </cell>
        </row>
        <row r="124">
          <cell r="A124" t="str">
            <v>31400GPTTPENCI</v>
          </cell>
          <cell r="B124">
            <v>-2988510.95</v>
          </cell>
          <cell r="C124">
            <v>-2547143.23</v>
          </cell>
          <cell r="D124">
            <v>0</v>
          </cell>
        </row>
        <row r="125">
          <cell r="A125" t="str">
            <v>25110GEMCOMM</v>
          </cell>
          <cell r="B125">
            <v>1000000</v>
          </cell>
          <cell r="C125">
            <v>-5941587</v>
          </cell>
          <cell r="D125">
            <v>0</v>
          </cell>
        </row>
        <row r="126">
          <cell r="A126" t="str">
            <v>25110GEMRET</v>
          </cell>
          <cell r="B126">
            <v>10861480</v>
          </cell>
          <cell r="C126">
            <v>0</v>
          </cell>
          <cell r="D126">
            <v>0</v>
          </cell>
        </row>
        <row r="127">
          <cell r="A127" t="str">
            <v>30165DISTQTR4</v>
          </cell>
          <cell r="B127">
            <v>73803639.650000006</v>
          </cell>
          <cell r="C127">
            <v>73803639.650000006</v>
          </cell>
          <cell r="D127">
            <v>0</v>
          </cell>
        </row>
        <row r="128">
          <cell r="A128" t="str">
            <v>15160ARRTRUST</v>
          </cell>
          <cell r="B128">
            <v>3412913.6</v>
          </cell>
          <cell r="C128">
            <v>3412913.6</v>
          </cell>
          <cell r="D128">
            <v>0</v>
          </cell>
        </row>
        <row r="129">
          <cell r="A129" t="str">
            <v>15211ALLENDALE</v>
          </cell>
          <cell r="B129">
            <v>-96642.55</v>
          </cell>
          <cell r="C129">
            <v>-96642.55</v>
          </cell>
          <cell r="D129">
            <v>0</v>
          </cell>
        </row>
        <row r="130">
          <cell r="A130" t="str">
            <v>15220ACQUISIT</v>
          </cell>
          <cell r="B130">
            <v>29000000</v>
          </cell>
          <cell r="C130">
            <v>29000000</v>
          </cell>
          <cell r="D130">
            <v>0</v>
          </cell>
        </row>
        <row r="131">
          <cell r="A131" t="str">
            <v>15240</v>
          </cell>
          <cell r="B131">
            <v>379500000</v>
          </cell>
          <cell r="C131">
            <v>379500000</v>
          </cell>
          <cell r="D131">
            <v>0</v>
          </cell>
        </row>
        <row r="132">
          <cell r="A132" t="str">
            <v>16100GPTTADMIN</v>
          </cell>
          <cell r="B132">
            <v>10702235.82</v>
          </cell>
          <cell r="C132">
            <v>10702235.82</v>
          </cell>
          <cell r="D132">
            <v>0</v>
          </cell>
        </row>
        <row r="133">
          <cell r="A133" t="str">
            <v>16100GPTTKINGP</v>
          </cell>
          <cell r="B133">
            <v>24891946.75</v>
          </cell>
          <cell r="C133">
            <v>24891946.75</v>
          </cell>
          <cell r="D133">
            <v>0</v>
          </cell>
        </row>
        <row r="134">
          <cell r="A134" t="str">
            <v>16100GPTTMELCE</v>
          </cell>
          <cell r="B134">
            <v>3381296.35</v>
          </cell>
          <cell r="C134">
            <v>3381296.35</v>
          </cell>
          <cell r="D134">
            <v>0</v>
          </cell>
        </row>
        <row r="135">
          <cell r="A135" t="str">
            <v>21105INTEREST</v>
          </cell>
          <cell r="B135">
            <v>-4887265</v>
          </cell>
          <cell r="C135">
            <v>-4887265</v>
          </cell>
          <cell r="D135">
            <v>0</v>
          </cell>
        </row>
        <row r="136">
          <cell r="A136" t="str">
            <v>21140</v>
          </cell>
          <cell r="B136">
            <v>-100000</v>
          </cell>
          <cell r="C136">
            <v>-100000</v>
          </cell>
          <cell r="D136">
            <v>0</v>
          </cell>
        </row>
        <row r="137">
          <cell r="A137" t="str">
            <v>26200</v>
          </cell>
          <cell r="B137">
            <v>-373000000</v>
          </cell>
          <cell r="C137">
            <v>-373000000</v>
          </cell>
          <cell r="D137">
            <v>0</v>
          </cell>
        </row>
        <row r="138">
          <cell r="A138" t="str">
            <v>30172</v>
          </cell>
          <cell r="B138">
            <v>-218762401.34999999</v>
          </cell>
          <cell r="C138">
            <v>59818426.640000001</v>
          </cell>
          <cell r="D138">
            <v>0</v>
          </cell>
        </row>
        <row r="139">
          <cell r="A139" t="str">
            <v>31400GPTTWODEN</v>
          </cell>
          <cell r="B139">
            <v>-7197590.1500000004</v>
          </cell>
          <cell r="C139">
            <v>-7197590.1500000004</v>
          </cell>
          <cell r="D139">
            <v>0</v>
          </cell>
        </row>
        <row r="140">
          <cell r="A140" t="str">
            <v>41100</v>
          </cell>
          <cell r="B140">
            <v>-20</v>
          </cell>
          <cell r="C140">
            <v>-20</v>
          </cell>
          <cell r="D140">
            <v>0</v>
          </cell>
        </row>
        <row r="141">
          <cell r="A141" t="str">
            <v>99997</v>
          </cell>
          <cell r="B141">
            <v>275323797.77999997</v>
          </cell>
          <cell r="C141">
            <v>275323797.77999997</v>
          </cell>
          <cell r="D141">
            <v>0</v>
          </cell>
        </row>
        <row r="142">
          <cell r="A142" t="str">
            <v>99997GPTCADMIN</v>
          </cell>
          <cell r="B142">
            <v>-98416188.420000002</v>
          </cell>
          <cell r="C142">
            <v>-98416188.420000002</v>
          </cell>
          <cell r="D142">
            <v>0</v>
          </cell>
        </row>
        <row r="143">
          <cell r="A143" t="str">
            <v>99997GPTCALTON</v>
          </cell>
          <cell r="B143">
            <v>-2017269.68</v>
          </cell>
          <cell r="C143">
            <v>-2017269.68</v>
          </cell>
          <cell r="D143">
            <v>0</v>
          </cell>
        </row>
        <row r="144">
          <cell r="A144" t="str">
            <v>99997GPTCAUSSQ</v>
          </cell>
          <cell r="B144">
            <v>-19444679.289999999</v>
          </cell>
          <cell r="C144">
            <v>-19444679.289999999</v>
          </cell>
          <cell r="D144">
            <v>0</v>
          </cell>
        </row>
        <row r="145">
          <cell r="A145" t="str">
            <v>99997GPTCBANKS</v>
          </cell>
          <cell r="B145">
            <v>-13068013.49</v>
          </cell>
          <cell r="C145">
            <v>-13068013.49</v>
          </cell>
          <cell r="D145">
            <v>0</v>
          </cell>
        </row>
        <row r="146">
          <cell r="A146" t="str">
            <v>99997GPTCBROOK</v>
          </cell>
          <cell r="B146">
            <v>-238339.77</v>
          </cell>
          <cell r="C146">
            <v>-238339.77</v>
          </cell>
          <cell r="D146">
            <v>0</v>
          </cell>
        </row>
        <row r="147">
          <cell r="A147" t="str">
            <v>99997GPTCCAMEL</v>
          </cell>
          <cell r="B147">
            <v>136120.99</v>
          </cell>
          <cell r="C147">
            <v>136120.99</v>
          </cell>
          <cell r="D147">
            <v>0</v>
          </cell>
        </row>
        <row r="148">
          <cell r="A148" t="str">
            <v>99997GPTCCASUA</v>
          </cell>
          <cell r="B148">
            <v>-20501833.579999998</v>
          </cell>
          <cell r="C148">
            <v>-20501833.579999998</v>
          </cell>
          <cell r="D148">
            <v>0</v>
          </cell>
        </row>
        <row r="149">
          <cell r="A149" t="str">
            <v>99997GPTCCHARL</v>
          </cell>
          <cell r="B149">
            <v>-18445567.649999999</v>
          </cell>
          <cell r="C149">
            <v>-18445567.649999999</v>
          </cell>
          <cell r="D149">
            <v>0</v>
          </cell>
        </row>
        <row r="150">
          <cell r="A150" t="str">
            <v>99997GPTCDALGT</v>
          </cell>
          <cell r="B150">
            <v>338190.86</v>
          </cell>
          <cell r="C150">
            <v>338190.86</v>
          </cell>
          <cell r="D150">
            <v>0</v>
          </cell>
        </row>
        <row r="151">
          <cell r="A151" t="str">
            <v>99997GPTCDANDE</v>
          </cell>
          <cell r="B151">
            <v>-11416501.4</v>
          </cell>
          <cell r="C151">
            <v>-11416501.4</v>
          </cell>
          <cell r="D151">
            <v>0</v>
          </cell>
        </row>
        <row r="152">
          <cell r="A152" t="str">
            <v>99997GPTCERINA</v>
          </cell>
          <cell r="B152">
            <v>-7647802.4100000001</v>
          </cell>
          <cell r="C152">
            <v>-7647802.4100000001</v>
          </cell>
          <cell r="D152">
            <v>0</v>
          </cell>
        </row>
        <row r="153">
          <cell r="A153" t="str">
            <v>99997GPTCKINGP</v>
          </cell>
          <cell r="B153">
            <v>-1357313.28</v>
          </cell>
          <cell r="C153">
            <v>-1357313.28</v>
          </cell>
          <cell r="D153">
            <v>0</v>
          </cell>
        </row>
        <row r="154">
          <cell r="A154" t="str">
            <v>99997GPTCMLCCT</v>
          </cell>
          <cell r="B154">
            <v>-18555860.329999998</v>
          </cell>
          <cell r="C154">
            <v>-18555860.329999998</v>
          </cell>
          <cell r="D154">
            <v>0</v>
          </cell>
        </row>
        <row r="155">
          <cell r="A155" t="str">
            <v>99997GPTCMONTE</v>
          </cell>
          <cell r="B155">
            <v>-545238.72</v>
          </cell>
          <cell r="C155">
            <v>-545238.72</v>
          </cell>
          <cell r="D155">
            <v>0</v>
          </cell>
        </row>
        <row r="156">
          <cell r="A156" t="str">
            <v>99997GPTCPENCI</v>
          </cell>
          <cell r="B156">
            <v>-1069152.01</v>
          </cell>
          <cell r="C156">
            <v>-1069152.01</v>
          </cell>
          <cell r="D156">
            <v>0</v>
          </cell>
        </row>
        <row r="157">
          <cell r="A157" t="str">
            <v>99997GPTCPENRI</v>
          </cell>
          <cell r="B157">
            <v>-18854471.059999999</v>
          </cell>
          <cell r="C157">
            <v>-18854471.059999999</v>
          </cell>
          <cell r="D157">
            <v>0</v>
          </cell>
        </row>
        <row r="158">
          <cell r="A158" t="str">
            <v>99997GPTCPLPDE</v>
          </cell>
          <cell r="B158">
            <v>91213.59</v>
          </cell>
          <cell r="C158">
            <v>91213.59</v>
          </cell>
          <cell r="D158">
            <v>0</v>
          </cell>
        </row>
        <row r="159">
          <cell r="A159" t="str">
            <v>99997GPTCREDCO</v>
          </cell>
          <cell r="B159">
            <v>-209939.39</v>
          </cell>
          <cell r="C159">
            <v>-209939.39</v>
          </cell>
          <cell r="D159">
            <v>0</v>
          </cell>
        </row>
        <row r="160">
          <cell r="A160" t="str">
            <v>99997GPTCRILEY</v>
          </cell>
          <cell r="B160">
            <v>-1455990.45</v>
          </cell>
          <cell r="C160">
            <v>-1455990.45</v>
          </cell>
          <cell r="D160">
            <v>0</v>
          </cell>
        </row>
        <row r="161">
          <cell r="A161" t="str">
            <v>99997GPTCRIVER</v>
          </cell>
          <cell r="B161">
            <v>-15180559.630000001</v>
          </cell>
          <cell r="C161">
            <v>-15180559.630000001</v>
          </cell>
          <cell r="D161">
            <v>0</v>
          </cell>
        </row>
        <row r="162">
          <cell r="A162" t="str">
            <v>99997GPTCSOMME</v>
          </cell>
          <cell r="B162">
            <v>7.85</v>
          </cell>
          <cell r="C162">
            <v>7.85</v>
          </cell>
          <cell r="D162">
            <v>0</v>
          </cell>
        </row>
        <row r="163">
          <cell r="A163" t="str">
            <v>99997GPTCSUNSH</v>
          </cell>
          <cell r="B163">
            <v>-7125305.1500000004</v>
          </cell>
          <cell r="C163">
            <v>-7125305.1500000004</v>
          </cell>
          <cell r="D163">
            <v>0</v>
          </cell>
        </row>
        <row r="164">
          <cell r="A164" t="str">
            <v>99997GPTCWODEN</v>
          </cell>
          <cell r="B164">
            <v>-20339305.800000001</v>
          </cell>
          <cell r="C164">
            <v>-20339305.800000001</v>
          </cell>
          <cell r="D164">
            <v>0</v>
          </cell>
        </row>
        <row r="165">
          <cell r="A165" t="str">
            <v>15160MCHPL</v>
          </cell>
          <cell r="B165">
            <v>660000</v>
          </cell>
          <cell r="C165">
            <v>660000</v>
          </cell>
          <cell r="D165">
            <v>0</v>
          </cell>
        </row>
        <row r="166">
          <cell r="A166" t="str">
            <v>25110ALL</v>
          </cell>
          <cell r="B166">
            <v>-500000</v>
          </cell>
          <cell r="C166">
            <v>-500000</v>
          </cell>
          <cell r="D166">
            <v>0</v>
          </cell>
        </row>
        <row r="167">
          <cell r="A167" t="str">
            <v>25110580GEORGE</v>
          </cell>
          <cell r="B167">
            <v>-1500000</v>
          </cell>
          <cell r="C167">
            <v>-1500000</v>
          </cell>
          <cell r="D167">
            <v>0</v>
          </cell>
        </row>
        <row r="168">
          <cell r="A168" t="str">
            <v>30161</v>
          </cell>
          <cell r="B168">
            <v>0.02</v>
          </cell>
          <cell r="C168">
            <v>0.02</v>
          </cell>
          <cell r="D168">
            <v>0</v>
          </cell>
        </row>
        <row r="169">
          <cell r="A169" t="str">
            <v>76400</v>
          </cell>
          <cell r="B169">
            <v>354725</v>
          </cell>
          <cell r="C169">
            <v>354725</v>
          </cell>
          <cell r="D169">
            <v>0</v>
          </cell>
        </row>
        <row r="170">
          <cell r="A170" t="str">
            <v>99997GPTCCOOLE</v>
          </cell>
          <cell r="B170">
            <v>0.44</v>
          </cell>
          <cell r="C170">
            <v>0.44</v>
          </cell>
          <cell r="D170">
            <v>0</v>
          </cell>
        </row>
        <row r="171">
          <cell r="A171" t="str">
            <v>13300</v>
          </cell>
          <cell r="B171">
            <v>90000000</v>
          </cell>
          <cell r="C171">
            <v>90000000</v>
          </cell>
          <cell r="D171">
            <v>0</v>
          </cell>
        </row>
        <row r="172">
          <cell r="A172" t="str">
            <v>15160MCUT</v>
          </cell>
          <cell r="B172">
            <v>127054.71</v>
          </cell>
          <cell r="C172">
            <v>127054.71</v>
          </cell>
          <cell r="D172">
            <v>0</v>
          </cell>
        </row>
        <row r="173">
          <cell r="A173" t="str">
            <v>26110</v>
          </cell>
          <cell r="B173">
            <v>-125000000</v>
          </cell>
          <cell r="C173">
            <v>-125000000</v>
          </cell>
          <cell r="D173">
            <v>0</v>
          </cell>
        </row>
        <row r="174">
          <cell r="A174" t="str">
            <v>Grand Total</v>
          </cell>
          <cell r="D174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sLog"/>
      <sheetName val="Title"/>
      <sheetName val="Electricity"/>
      <sheetName val="Valuation"/>
      <sheetName val="Assumptions"/>
      <sheetName val="Graphs (Vic)"/>
    </sheetNames>
    <sheetDataSet>
      <sheetData sheetId="0" refreshError="1"/>
      <sheetData sheetId="1" refreshError="1"/>
      <sheetData sheetId="2" refreshError="1">
        <row r="1">
          <cell r="B1" t="str">
            <v>Electricity Networks</v>
          </cell>
        </row>
        <row r="2">
          <cell r="I2" t="str">
            <v>Semi Annual</v>
          </cell>
          <cell r="J2">
            <v>36891</v>
          </cell>
          <cell r="K2">
            <v>37072</v>
          </cell>
          <cell r="L2">
            <v>37256</v>
          </cell>
          <cell r="M2">
            <v>37437</v>
          </cell>
          <cell r="N2">
            <v>37621</v>
          </cell>
          <cell r="O2">
            <v>37802</v>
          </cell>
          <cell r="P2">
            <v>37986</v>
          </cell>
          <cell r="Q2">
            <v>38168</v>
          </cell>
          <cell r="R2">
            <v>38352</v>
          </cell>
          <cell r="S2">
            <v>38533</v>
          </cell>
          <cell r="T2">
            <v>38717</v>
          </cell>
          <cell r="U2">
            <v>38898</v>
          </cell>
          <cell r="V2">
            <v>39082</v>
          </cell>
          <cell r="W2">
            <v>39263</v>
          </cell>
          <cell r="X2">
            <v>39447</v>
          </cell>
        </row>
        <row r="3">
          <cell r="J3">
            <v>36891</v>
          </cell>
          <cell r="K3">
            <v>37072</v>
          </cell>
          <cell r="L3">
            <v>37256</v>
          </cell>
          <cell r="M3">
            <v>37437</v>
          </cell>
          <cell r="N3">
            <v>37621</v>
          </cell>
          <cell r="O3">
            <v>37802</v>
          </cell>
          <cell r="P3">
            <v>37986</v>
          </cell>
          <cell r="Q3">
            <v>38168</v>
          </cell>
          <cell r="R3">
            <v>38352</v>
          </cell>
          <cell r="S3">
            <v>38533</v>
          </cell>
          <cell r="T3">
            <v>38717</v>
          </cell>
          <cell r="U3">
            <v>38898</v>
          </cell>
          <cell r="V3">
            <v>39082</v>
          </cell>
          <cell r="W3">
            <v>39263</v>
          </cell>
          <cell r="X3">
            <v>39447</v>
          </cell>
        </row>
        <row r="4">
          <cell r="I4" t="str">
            <v>Calender Year of Projection</v>
          </cell>
          <cell r="J4">
            <v>0</v>
          </cell>
          <cell r="K4">
            <v>1</v>
          </cell>
          <cell r="L4">
            <v>1</v>
          </cell>
          <cell r="M4">
            <v>2</v>
          </cell>
          <cell r="N4">
            <v>2</v>
          </cell>
          <cell r="O4">
            <v>3</v>
          </cell>
          <cell r="P4">
            <v>3</v>
          </cell>
          <cell r="Q4">
            <v>4</v>
          </cell>
          <cell r="R4">
            <v>4</v>
          </cell>
          <cell r="S4">
            <v>5</v>
          </cell>
          <cell r="T4">
            <v>5</v>
          </cell>
          <cell r="U4">
            <v>6</v>
          </cell>
          <cell r="V4">
            <v>6</v>
          </cell>
          <cell r="W4">
            <v>7</v>
          </cell>
          <cell r="X4">
            <v>7</v>
          </cell>
        </row>
        <row r="6">
          <cell r="D6" t="str">
            <v>Converting annual to semi annual</v>
          </cell>
        </row>
        <row r="7">
          <cell r="E7" t="str">
            <v>Revenue</v>
          </cell>
          <cell r="J7">
            <v>0.51</v>
          </cell>
          <cell r="K7">
            <v>0.49</v>
          </cell>
          <cell r="L7">
            <v>0.51</v>
          </cell>
          <cell r="M7">
            <v>0.49</v>
          </cell>
          <cell r="N7">
            <v>0.51</v>
          </cell>
          <cell r="O7">
            <v>0.49</v>
          </cell>
          <cell r="P7">
            <v>0.51</v>
          </cell>
          <cell r="Q7">
            <v>0.49</v>
          </cell>
          <cell r="R7">
            <v>0.51</v>
          </cell>
          <cell r="S7">
            <v>0.49</v>
          </cell>
          <cell r="T7">
            <v>0.51</v>
          </cell>
          <cell r="U7">
            <v>0.49</v>
          </cell>
          <cell r="V7">
            <v>0.51</v>
          </cell>
          <cell r="W7">
            <v>0.49</v>
          </cell>
          <cell r="X7">
            <v>0.51</v>
          </cell>
        </row>
        <row r="8">
          <cell r="E8" t="str">
            <v>Non revenue</v>
          </cell>
          <cell r="J8">
            <v>0.5</v>
          </cell>
          <cell r="K8">
            <v>0.5</v>
          </cell>
          <cell r="L8">
            <v>0.5</v>
          </cell>
          <cell r="M8">
            <v>0.5</v>
          </cell>
          <cell r="N8">
            <v>0.5</v>
          </cell>
          <cell r="O8">
            <v>0.5</v>
          </cell>
          <cell r="P8">
            <v>0.5</v>
          </cell>
          <cell r="Q8">
            <v>0.5</v>
          </cell>
          <cell r="R8">
            <v>0.5</v>
          </cell>
          <cell r="S8">
            <v>0.5</v>
          </cell>
          <cell r="T8">
            <v>0.5</v>
          </cell>
          <cell r="U8">
            <v>0.5</v>
          </cell>
          <cell r="V8">
            <v>0.5</v>
          </cell>
          <cell r="W8">
            <v>0.5</v>
          </cell>
          <cell r="X8">
            <v>0.5</v>
          </cell>
        </row>
        <row r="9">
          <cell r="D9" t="str">
            <v>Proportion of cash flow in ANT</v>
          </cell>
          <cell r="J9">
            <v>0</v>
          </cell>
          <cell r="K9">
            <v>5.4644808743169399E-3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1</v>
          </cell>
          <cell r="S9">
            <v>1</v>
          </cell>
          <cell r="T9">
            <v>1</v>
          </cell>
          <cell r="U9">
            <v>1</v>
          </cell>
          <cell r="V9">
            <v>1</v>
          </cell>
          <cell r="W9">
            <v>1</v>
          </cell>
          <cell r="X9">
            <v>1</v>
          </cell>
        </row>
        <row r="11">
          <cell r="B11">
            <v>1</v>
          </cell>
          <cell r="C11" t="str">
            <v>Summary</v>
          </cell>
        </row>
        <row r="12">
          <cell r="I12" t="str">
            <v>Period to :</v>
          </cell>
          <cell r="J12">
            <v>36891</v>
          </cell>
          <cell r="K12">
            <v>37072</v>
          </cell>
          <cell r="L12">
            <v>37256</v>
          </cell>
          <cell r="M12">
            <v>37437</v>
          </cell>
          <cell r="N12">
            <v>37621</v>
          </cell>
          <cell r="O12">
            <v>37802</v>
          </cell>
          <cell r="P12">
            <v>37986</v>
          </cell>
          <cell r="Q12">
            <v>38168</v>
          </cell>
          <cell r="R12">
            <v>38352</v>
          </cell>
          <cell r="S12">
            <v>38533</v>
          </cell>
          <cell r="T12">
            <v>38717</v>
          </cell>
          <cell r="U12">
            <v>38898</v>
          </cell>
          <cell r="V12">
            <v>39082</v>
          </cell>
          <cell r="W12">
            <v>39263</v>
          </cell>
          <cell r="X12">
            <v>39447</v>
          </cell>
        </row>
        <row r="14">
          <cell r="D14" t="str">
            <v>Operating forecasts</v>
          </cell>
        </row>
        <row r="16">
          <cell r="E16" t="str">
            <v>Operating Costs</v>
          </cell>
        </row>
        <row r="17">
          <cell r="F17" t="str">
            <v>Gross margin</v>
          </cell>
          <cell r="L17">
            <v>0.51796584259525447</v>
          </cell>
          <cell r="M17">
            <v>0.5298574956465566</v>
          </cell>
          <cell r="N17">
            <v>0.5172322547224677</v>
          </cell>
          <cell r="O17">
            <v>0.52168517998757624</v>
          </cell>
          <cell r="P17">
            <v>0.50568755289810507</v>
          </cell>
          <cell r="Q17">
            <v>0.51013079027984554</v>
          </cell>
          <cell r="R17">
            <v>0.49349487021466448</v>
          </cell>
          <cell r="S17">
            <v>0.49670712916517784</v>
          </cell>
          <cell r="T17">
            <v>0.48624811061290912</v>
          </cell>
          <cell r="U17">
            <v>0.47516586901176161</v>
          </cell>
          <cell r="V17">
            <v>0.46452418072507667</v>
          </cell>
          <cell r="W17">
            <v>0.47253248957312033</v>
          </cell>
          <cell r="X17">
            <v>0.46198608757491999</v>
          </cell>
        </row>
        <row r="18">
          <cell r="F18" t="str">
            <v>Synergies as % of operating and maintenace costs</v>
          </cell>
          <cell r="L18">
            <v>8.6395094679765153E-2</v>
          </cell>
          <cell r="M18">
            <v>9.3233216784507095E-3</v>
          </cell>
          <cell r="N18">
            <v>9.3233216784507095E-3</v>
          </cell>
          <cell r="O18">
            <v>-6.1530972822628109E-3</v>
          </cell>
          <cell r="P18">
            <v>-6.1530972822628109E-3</v>
          </cell>
          <cell r="Q18">
            <v>1.807744936913018E-2</v>
          </cell>
          <cell r="R18">
            <v>1.807744936913018E-2</v>
          </cell>
          <cell r="S18">
            <v>2.2480748265928635E-2</v>
          </cell>
          <cell r="T18">
            <v>2.2480748265928635E-2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</row>
        <row r="19">
          <cell r="F19" t="str">
            <v>Growth</v>
          </cell>
          <cell r="M19">
            <v>1.8960617311282402E-2</v>
          </cell>
          <cell r="N19">
            <v>1.4325090546531083E-2</v>
          </cell>
          <cell r="O19">
            <v>6.5491554460272994E-3</v>
          </cell>
          <cell r="P19">
            <v>1.4387751991999043E-2</v>
          </cell>
          <cell r="Q19">
            <v>4.7077828968757895E-3</v>
          </cell>
          <cell r="R19">
            <v>1.4476329737279858E-2</v>
          </cell>
          <cell r="S19">
            <v>-3.3883737285178572E-3</v>
          </cell>
          <cell r="T19">
            <v>1.4419619867247935E-2</v>
          </cell>
          <cell r="U19">
            <v>7.3717075891597261E-3</v>
          </cell>
          <cell r="V19">
            <v>1.4215734306612715E-2</v>
          </cell>
          <cell r="W19">
            <v>9.1984041983446119E-3</v>
          </cell>
          <cell r="X19">
            <v>1.4229102027876195E-2</v>
          </cell>
        </row>
        <row r="21">
          <cell r="E21" t="str">
            <v>Capital Expenditure</v>
          </cell>
        </row>
        <row r="22">
          <cell r="F22" t="str">
            <v>as a % of accounting depreciation</v>
          </cell>
          <cell r="L22">
            <v>3.7113502862612018</v>
          </cell>
          <cell r="M22">
            <v>4.084782615368785</v>
          </cell>
          <cell r="N22">
            <v>4.084782615368785</v>
          </cell>
          <cell r="O22">
            <v>4.1986908738656004</v>
          </cell>
          <cell r="P22">
            <v>4.1986908738656004</v>
          </cell>
          <cell r="Q22">
            <v>3.7751311201937932</v>
          </cell>
          <cell r="R22">
            <v>3.7751311201937932</v>
          </cell>
          <cell r="S22">
            <v>3.3756704863566203</v>
          </cell>
          <cell r="T22">
            <v>3.3756704863566203</v>
          </cell>
          <cell r="U22">
            <v>2.8409746343886377</v>
          </cell>
          <cell r="V22">
            <v>2.8409746343886377</v>
          </cell>
          <cell r="W22">
            <v>2.8648554970011548</v>
          </cell>
          <cell r="X22">
            <v>2.8648554970011548</v>
          </cell>
        </row>
        <row r="23">
          <cell r="F23" t="str">
            <v>as a % of tax depreciation</v>
          </cell>
          <cell r="L23">
            <v>0.87662899554186424</v>
          </cell>
          <cell r="M23">
            <v>0.98509983473983298</v>
          </cell>
          <cell r="N23">
            <v>0.98509983473983298</v>
          </cell>
          <cell r="O23">
            <v>1.0701931894428325</v>
          </cell>
          <cell r="P23">
            <v>1.0701931894428325</v>
          </cell>
          <cell r="Q23">
            <v>1.1143294067296519</v>
          </cell>
          <cell r="R23">
            <v>1.1143294067296519</v>
          </cell>
          <cell r="S23">
            <v>1.1081670140331701</v>
          </cell>
          <cell r="T23">
            <v>1.1081670140331701</v>
          </cell>
          <cell r="U23">
            <v>0.96801109499063065</v>
          </cell>
          <cell r="V23">
            <v>0.96801109499063065</v>
          </cell>
          <cell r="W23">
            <v>1.0084049957421386</v>
          </cell>
          <cell r="X23">
            <v>1.0084049957421386</v>
          </cell>
        </row>
        <row r="24">
          <cell r="F24" t="str">
            <v>as a % of revenue</v>
          </cell>
          <cell r="L24">
            <v>0.22019082486010316</v>
          </cell>
          <cell r="M24">
            <v>0.26743322287532534</v>
          </cell>
          <cell r="N24">
            <v>0.25737402059420234</v>
          </cell>
          <cell r="O24">
            <v>0.2859335246245559</v>
          </cell>
          <cell r="P24">
            <v>0.2732340663226942</v>
          </cell>
          <cell r="Q24">
            <v>0.26708498201867525</v>
          </cell>
          <cell r="R24">
            <v>0.25468810124750069</v>
          </cell>
          <cell r="S24">
            <v>0.24798857945382913</v>
          </cell>
          <cell r="T24">
            <v>0.23931591109791445</v>
          </cell>
          <cell r="U24">
            <v>0.20884381177607605</v>
          </cell>
          <cell r="V24">
            <v>0.2013049043387326</v>
          </cell>
          <cell r="W24">
            <v>0.21759102271118916</v>
          </cell>
          <cell r="X24">
            <v>0.20975007674992288</v>
          </cell>
        </row>
        <row r="25">
          <cell r="F25" t="str">
            <v>growth</v>
          </cell>
          <cell r="M25">
            <v>0.20980556300196973</v>
          </cell>
          <cell r="N25">
            <v>0</v>
          </cell>
          <cell r="O25">
            <v>0.10869594677198946</v>
          </cell>
          <cell r="P25">
            <v>0</v>
          </cell>
          <cell r="Q25">
            <v>-2.6457049444769787E-2</v>
          </cell>
          <cell r="R25">
            <v>0</v>
          </cell>
          <cell r="S25">
            <v>-3.5879707941940731E-2</v>
          </cell>
          <cell r="T25">
            <v>0</v>
          </cell>
          <cell r="U25">
            <v>-0.10039372600461127</v>
          </cell>
          <cell r="V25">
            <v>0</v>
          </cell>
          <cell r="W25">
            <v>7.2358070558349974E-2</v>
          </cell>
          <cell r="X25">
            <v>0</v>
          </cell>
        </row>
        <row r="27">
          <cell r="D27" t="str">
            <v>Operating Summary</v>
          </cell>
        </row>
        <row r="29">
          <cell r="E29" t="str">
            <v>Profit &amp; Loss</v>
          </cell>
          <cell r="I29" t="str">
            <v>nominal $</v>
          </cell>
        </row>
        <row r="30">
          <cell r="F30" t="str">
            <v>Revenue</v>
          </cell>
          <cell r="I30" t="str">
            <v>$m</v>
          </cell>
          <cell r="K30">
            <v>0</v>
          </cell>
          <cell r="L30">
            <v>79.419590396514266</v>
          </cell>
          <cell r="M30">
            <v>79.109215963749321</v>
          </cell>
          <cell r="N30">
            <v>82.201119349503585</v>
          </cell>
          <cell r="O30">
            <v>82.033231623313668</v>
          </cell>
          <cell r="P30">
            <v>85.845997792583631</v>
          </cell>
          <cell r="Q30">
            <v>85.498903679558907</v>
          </cell>
          <cell r="R30">
            <v>89.660541815734049</v>
          </cell>
          <cell r="S30">
            <v>88.778858659357184</v>
          </cell>
          <cell r="T30">
            <v>91.996152464173235</v>
          </cell>
          <cell r="U30">
            <v>94.835754258391844</v>
          </cell>
          <cell r="V30">
            <v>98.387371520043942</v>
          </cell>
          <cell r="W30">
            <v>97.609607200254359</v>
          </cell>
          <cell r="X30">
            <v>101.25848145678263</v>
          </cell>
        </row>
        <row r="31">
          <cell r="F31" t="str">
            <v>EBITDA</v>
          </cell>
          <cell r="I31" t="str">
            <v>$m</v>
          </cell>
          <cell r="K31">
            <v>0</v>
          </cell>
          <cell r="L31">
            <v>38.282955338213775</v>
          </cell>
          <cell r="M31">
            <v>37.192604910634508</v>
          </cell>
          <cell r="N31">
            <v>39.684049047649175</v>
          </cell>
          <cell r="O31">
            <v>39.237710418942747</v>
          </cell>
          <cell r="P31">
            <v>42.434745242755881</v>
          </cell>
          <cell r="Q31">
            <v>41.883280377445125</v>
          </cell>
          <cell r="R31">
            <v>45.413524369001877</v>
          </cell>
          <cell r="S31">
            <v>44.681766644106787</v>
          </cell>
          <cell r="T31">
            <v>47.263197144811876</v>
          </cell>
          <cell r="U31">
            <v>49.77304067281721</v>
          </cell>
          <cell r="V31">
            <v>52.68405837100179</v>
          </cell>
          <cell r="W31">
            <v>51.485896503663795</v>
          </cell>
          <cell r="X31">
            <v>54.478471774786037</v>
          </cell>
        </row>
        <row r="32">
          <cell r="F32" t="str">
            <v>EBIT</v>
          </cell>
          <cell r="I32" t="str">
            <v>$m</v>
          </cell>
          <cell r="K32">
            <v>0</v>
          </cell>
          <cell r="L32">
            <v>33.571067811941816</v>
          </cell>
          <cell r="M32">
            <v>32.013276026711623</v>
          </cell>
          <cell r="N32">
            <v>34.50472016372629</v>
          </cell>
          <cell r="O32">
            <v>33.651195059977674</v>
          </cell>
          <cell r="P32">
            <v>36.848229883790808</v>
          </cell>
          <cell r="Q32">
            <v>35.834358518884834</v>
          </cell>
          <cell r="R32">
            <v>39.364602510441586</v>
          </cell>
          <cell r="S32">
            <v>38.159760680121714</v>
          </cell>
          <cell r="T32">
            <v>40.741191180826803</v>
          </cell>
          <cell r="U32">
            <v>42.801538649447721</v>
          </cell>
          <cell r="V32">
            <v>45.712556347632301</v>
          </cell>
          <cell r="W32">
            <v>44.072268039899001</v>
          </cell>
          <cell r="X32">
            <v>47.064843311021242</v>
          </cell>
        </row>
        <row r="33">
          <cell r="F33" t="str">
            <v>NPAT</v>
          </cell>
          <cell r="I33" t="str">
            <v>$m</v>
          </cell>
          <cell r="K33">
            <v>0</v>
          </cell>
          <cell r="L33">
            <v>11.506724800671561</v>
          </cell>
          <cell r="M33">
            <v>10.325700066298698</v>
          </cell>
          <cell r="N33">
            <v>12.069710962208966</v>
          </cell>
          <cell r="O33">
            <v>11.393347768114976</v>
          </cell>
          <cell r="P33">
            <v>13.63127214478417</v>
          </cell>
          <cell r="Q33">
            <v>12.831967248473003</v>
          </cell>
          <cell r="R33">
            <v>15.303138042562731</v>
          </cell>
          <cell r="S33">
            <v>14.368084949319574</v>
          </cell>
          <cell r="T33">
            <v>16.175086299813135</v>
          </cell>
          <cell r="U33">
            <v>17.530236087551764</v>
          </cell>
          <cell r="V33">
            <v>19.567948476280971</v>
          </cell>
          <cell r="W33">
            <v>18.334081142926099</v>
          </cell>
          <cell r="X33">
            <v>20.428883832711669</v>
          </cell>
        </row>
        <row r="35">
          <cell r="E35" t="str">
            <v>Cash Flow Statement</v>
          </cell>
        </row>
        <row r="36">
          <cell r="F36" t="str">
            <v>Captal Expenditure</v>
          </cell>
          <cell r="I36" t="str">
            <v>$m</v>
          </cell>
          <cell r="K36">
            <v>0</v>
          </cell>
          <cell r="L36">
            <v>-17.487465119460005</v>
          </cell>
          <cell r="M36">
            <v>-21.156432584325618</v>
          </cell>
          <cell r="N36">
            <v>-21.156432584325618</v>
          </cell>
          <cell r="O36">
            <v>-23.456051054396656</v>
          </cell>
          <cell r="P36">
            <v>-23.456051054396656</v>
          </cell>
          <cell r="Q36">
            <v>-22.83547315187144</v>
          </cell>
          <cell r="R36">
            <v>-22.83547315187144</v>
          </cell>
          <cell r="S36">
            <v>-22.016143044466265</v>
          </cell>
          <cell r="T36">
            <v>-22.016143044466265</v>
          </cell>
          <cell r="U36">
            <v>-19.80586041198179</v>
          </cell>
          <cell r="V36">
            <v>-19.80586041198179</v>
          </cell>
          <cell r="W36">
            <v>-21.2389742571408</v>
          </cell>
          <cell r="X36">
            <v>-21.2389742571408</v>
          </cell>
        </row>
        <row r="38">
          <cell r="E38" t="str">
            <v>Balance Sheet</v>
          </cell>
        </row>
        <row r="39">
          <cell r="F39" t="str">
            <v>Total Assets</v>
          </cell>
          <cell r="I39" t="str">
            <v>$m</v>
          </cell>
          <cell r="K39">
            <v>785</v>
          </cell>
          <cell r="L39">
            <v>805.70187011126507</v>
          </cell>
          <cell r="M39">
            <v>821.1324916620672</v>
          </cell>
          <cell r="N39">
            <v>837.91845180455539</v>
          </cell>
          <cell r="O39">
            <v>854.94601978086268</v>
          </cell>
          <cell r="P39">
            <v>873.96013417843335</v>
          </cell>
          <cell r="Q39">
            <v>890.52329002276178</v>
          </cell>
          <cell r="R39">
            <v>908.59457608083051</v>
          </cell>
          <cell r="S39">
            <v>923.63758256499636</v>
          </cell>
          <cell r="T39">
            <v>940.28078933589666</v>
          </cell>
          <cell r="U39">
            <v>953.90531798206405</v>
          </cell>
          <cell r="V39">
            <v>968.18492624277553</v>
          </cell>
          <cell r="W39">
            <v>980.7139972347444</v>
          </cell>
          <cell r="X39">
            <v>996.04034071364754</v>
          </cell>
        </row>
        <row r="40">
          <cell r="F40" t="str">
            <v>Total Equity</v>
          </cell>
          <cell r="I40" t="str">
            <v>$m</v>
          </cell>
          <cell r="K40">
            <v>290.7407407407407</v>
          </cell>
          <cell r="L40">
            <v>300.18031292709088</v>
          </cell>
          <cell r="M40">
            <v>310.51677867486825</v>
          </cell>
          <cell r="N40">
            <v>320.43781192845665</v>
          </cell>
          <cell r="O40">
            <v>332.36832912372677</v>
          </cell>
          <cell r="P40">
            <v>343.90889732602363</v>
          </cell>
          <cell r="Q40">
            <v>355.42295367660694</v>
          </cell>
          <cell r="R40">
            <v>365.71749183363829</v>
          </cell>
          <cell r="S40">
            <v>376.57467354426939</v>
          </cell>
          <cell r="T40">
            <v>385.7621960877932</v>
          </cell>
          <cell r="U40">
            <v>394.13236881322359</v>
          </cell>
          <cell r="V40">
            <v>399.99521724604188</v>
          </cell>
          <cell r="W40">
            <v>409.53863556784728</v>
          </cell>
          <cell r="X40">
            <v>416.44267407860156</v>
          </cell>
        </row>
        <row r="41">
          <cell r="F41" t="str">
            <v>Total Debt</v>
          </cell>
          <cell r="I41" t="str">
            <v>$m</v>
          </cell>
          <cell r="K41">
            <v>494.2592592592593</v>
          </cell>
          <cell r="L41">
            <v>494.2592592592593</v>
          </cell>
          <cell r="M41">
            <v>494.2592592592593</v>
          </cell>
          <cell r="N41">
            <v>494.2592592592593</v>
          </cell>
          <cell r="O41">
            <v>494.2592592592593</v>
          </cell>
          <cell r="P41">
            <v>494.2592592592593</v>
          </cell>
          <cell r="Q41">
            <v>494.2592592592593</v>
          </cell>
          <cell r="R41">
            <v>494.2592592592593</v>
          </cell>
          <cell r="S41">
            <v>494.2592592592593</v>
          </cell>
          <cell r="T41">
            <v>494.2592592592593</v>
          </cell>
          <cell r="U41">
            <v>494.2592592592593</v>
          </cell>
          <cell r="V41">
            <v>494.2592592592593</v>
          </cell>
          <cell r="W41">
            <v>494.2592592592593</v>
          </cell>
          <cell r="X41">
            <v>494.2592592592593</v>
          </cell>
        </row>
        <row r="42">
          <cell r="F42" t="str">
            <v>Cash</v>
          </cell>
          <cell r="I42" t="str">
            <v>$m</v>
          </cell>
          <cell r="K42">
            <v>0</v>
          </cell>
          <cell r="L42">
            <v>1.0167881535803538</v>
          </cell>
          <cell r="M42">
            <v>0.49730857963031383</v>
          </cell>
          <cell r="N42">
            <v>1.0371694271551455</v>
          </cell>
          <cell r="O42">
            <v>0.20980794020921856</v>
          </cell>
          <cell r="P42">
            <v>1.0226759856218255</v>
          </cell>
          <cell r="Q42">
            <v>0.82947772447242762</v>
          </cell>
          <cell r="R42">
            <v>1.7521499713828508</v>
          </cell>
          <cell r="S42">
            <v>1.3777258096721265</v>
          </cell>
          <cell r="T42">
            <v>2.2468909390723244</v>
          </cell>
          <cell r="U42">
            <v>2.7900158405303497</v>
          </cell>
          <cell r="V42">
            <v>3.9262750108656714</v>
          </cell>
          <cell r="W42">
            <v>2.6976657052801674</v>
          </cell>
          <cell r="X42">
            <v>3.8812113304893483</v>
          </cell>
        </row>
        <row r="44">
          <cell r="E44" t="str">
            <v>Statistics</v>
          </cell>
        </row>
        <row r="45">
          <cell r="F45" t="str">
            <v>Regulated revenue growth</v>
          </cell>
          <cell r="M45">
            <v>-6.2170836381564287E-3</v>
          </cell>
          <cell r="N45">
            <v>4.2255565200036482E-2</v>
          </cell>
          <cell r="O45">
            <v>-4.9159436777148624E-3</v>
          </cell>
          <cell r="P45">
            <v>5.0241683252134406E-2</v>
          </cell>
          <cell r="Q45">
            <v>-7.0879455167546235E-3</v>
          </cell>
          <cell r="R45">
            <v>5.2588198058361346E-2</v>
          </cell>
          <cell r="S45">
            <v>-1.3014718195802799E-2</v>
          </cell>
          <cell r="T45">
            <v>3.913321467181774E-2</v>
          </cell>
          <cell r="U45">
            <v>1.8534674058345413E-2</v>
          </cell>
          <cell r="V45">
            <v>4.081632653061229E-2</v>
          </cell>
          <cell r="W45">
            <v>-1.2905701782076062E-2</v>
          </cell>
          <cell r="X45">
            <v>4.0816326530612068E-2</v>
          </cell>
        </row>
        <row r="46">
          <cell r="F46" t="str">
            <v>Unregulated revenue growth</v>
          </cell>
          <cell r="M46">
            <v>2.5453648621466041E-2</v>
          </cell>
          <cell r="N46">
            <v>0</v>
          </cell>
          <cell r="O46">
            <v>3.4865114824106591E-2</v>
          </cell>
          <cell r="P46">
            <v>0</v>
          </cell>
          <cell r="Q46">
            <v>3.5448949317513856E-2</v>
          </cell>
          <cell r="R46">
            <v>0</v>
          </cell>
          <cell r="S46">
            <v>3.181376084974108E-2</v>
          </cell>
          <cell r="T46">
            <v>0</v>
          </cell>
          <cell r="U46">
            <v>0.19134328071805951</v>
          </cell>
          <cell r="V46">
            <v>0</v>
          </cell>
          <cell r="W46">
            <v>5.0000000000000266E-2</v>
          </cell>
          <cell r="X46">
            <v>0</v>
          </cell>
        </row>
        <row r="47">
          <cell r="F47" t="str">
            <v>Revenue growth</v>
          </cell>
          <cell r="I47" t="str">
            <v>%</v>
          </cell>
          <cell r="N47">
            <v>3.9083984692391383E-2</v>
          </cell>
          <cell r="O47">
            <v>-2.0424019468164856E-3</v>
          </cell>
          <cell r="P47">
            <v>4.6478312432913782E-2</v>
          </cell>
          <cell r="Q47">
            <v>-4.0432183438924296E-3</v>
          </cell>
          <cell r="R47">
            <v>4.8674754377816765E-2</v>
          </cell>
          <cell r="S47">
            <v>-9.8335693552784598E-3</v>
          </cell>
          <cell r="T47">
            <v>3.6239413903266682E-2</v>
          </cell>
          <cell r="U47">
            <v>3.08665277640221E-2</v>
          </cell>
          <cell r="V47">
            <v>3.7450192592714204E-2</v>
          </cell>
          <cell r="W47">
            <v>-7.905123470354436E-3</v>
          </cell>
          <cell r="X47">
            <v>3.7382327018715467E-2</v>
          </cell>
        </row>
        <row r="48">
          <cell r="F48" t="str">
            <v>EBITDA growth</v>
          </cell>
          <cell r="I48" t="str">
            <v>%</v>
          </cell>
          <cell r="N48">
            <v>6.6987621410252052E-2</v>
          </cell>
          <cell r="O48">
            <v>-1.124730564087606E-2</v>
          </cell>
          <cell r="P48">
            <v>8.1478628331731251E-2</v>
          </cell>
          <cell r="Q48">
            <v>-1.2995597408585802E-2</v>
          </cell>
          <cell r="R48">
            <v>8.4287667053363213E-2</v>
          </cell>
          <cell r="S48">
            <v>-1.6113211539128369E-2</v>
          </cell>
          <cell r="T48">
            <v>5.7773689238081127E-2</v>
          </cell>
          <cell r="U48">
            <v>5.3103549476674505E-2</v>
          </cell>
          <cell r="V48">
            <v>5.848583206559832E-2</v>
          </cell>
          <cell r="W48">
            <v>-2.2742398827753973E-2</v>
          </cell>
          <cell r="X48">
            <v>5.8124175246890841E-2</v>
          </cell>
        </row>
        <row r="49">
          <cell r="F49" t="str">
            <v>EBIT growth</v>
          </cell>
          <cell r="I49" t="str">
            <v>%</v>
          </cell>
          <cell r="N49">
            <v>7.7825341428219508E-2</v>
          </cell>
          <cell r="O49">
            <v>-2.4736473725873065E-2</v>
          </cell>
          <cell r="P49">
            <v>9.5005090253554192E-2</v>
          </cell>
          <cell r="Q49">
            <v>-2.7514791568100994E-2</v>
          </cell>
          <cell r="R49">
            <v>9.8515618458644871E-2</v>
          </cell>
          <cell r="S49">
            <v>-3.0607239841943912E-2</v>
          </cell>
          <cell r="T49">
            <v>6.7647974062107208E-2</v>
          </cell>
          <cell r="U49">
            <v>5.057160600622157E-2</v>
          </cell>
          <cell r="V49">
            <v>6.8011987186403111E-2</v>
          </cell>
          <cell r="W49">
            <v>-3.588266416910324E-2</v>
          </cell>
          <cell r="X49">
            <v>6.7901549074194101E-2</v>
          </cell>
        </row>
        <row r="50">
          <cell r="F50" t="str">
            <v>Capex growth</v>
          </cell>
          <cell r="I50" t="str">
            <v>%</v>
          </cell>
          <cell r="N50">
            <v>0</v>
          </cell>
          <cell r="O50">
            <v>0.10869594677198946</v>
          </cell>
          <cell r="P50">
            <v>0</v>
          </cell>
          <cell r="Q50">
            <v>-2.6457049444769787E-2</v>
          </cell>
          <cell r="R50">
            <v>0</v>
          </cell>
          <cell r="S50">
            <v>-3.5879707941940731E-2</v>
          </cell>
          <cell r="T50">
            <v>0</v>
          </cell>
          <cell r="U50">
            <v>-0.10039372600461127</v>
          </cell>
          <cell r="V50">
            <v>0</v>
          </cell>
          <cell r="W50">
            <v>7.2358070558349974E-2</v>
          </cell>
          <cell r="X50">
            <v>0</v>
          </cell>
        </row>
        <row r="52">
          <cell r="F52" t="str">
            <v>EBITDA Margin</v>
          </cell>
          <cell r="I52" t="str">
            <v>%</v>
          </cell>
          <cell r="L52">
            <v>0.48203415740474553</v>
          </cell>
          <cell r="M52">
            <v>0.4701425043534434</v>
          </cell>
          <cell r="N52">
            <v>0.48276774527753225</v>
          </cell>
          <cell r="O52">
            <v>0.47831482001242376</v>
          </cell>
          <cell r="P52">
            <v>0.49431244710189487</v>
          </cell>
          <cell r="Q52">
            <v>0.48986920972015441</v>
          </cell>
          <cell r="R52">
            <v>0.50650512978533546</v>
          </cell>
          <cell r="S52">
            <v>0.5032928708348221</v>
          </cell>
          <cell r="T52">
            <v>0.51375188938709093</v>
          </cell>
          <cell r="U52">
            <v>0.52483413098823839</v>
          </cell>
          <cell r="V52">
            <v>0.53547581927492338</v>
          </cell>
          <cell r="W52">
            <v>0.52746751042687967</v>
          </cell>
          <cell r="X52">
            <v>0.53801391242508001</v>
          </cell>
        </row>
        <row r="53">
          <cell r="F53" t="str">
            <v>EBIT Margin</v>
          </cell>
          <cell r="I53" t="str">
            <v>%</v>
          </cell>
          <cell r="L53">
            <v>0.42270512406741467</v>
          </cell>
          <cell r="M53">
            <v>0.40467189109017654</v>
          </cell>
          <cell r="N53">
            <v>0.41975973608119321</v>
          </cell>
          <cell r="O53">
            <v>0.41021418264368459</v>
          </cell>
          <cell r="P53">
            <v>0.42923643304631942</v>
          </cell>
          <cell r="Q53">
            <v>0.41912067847312195</v>
          </cell>
          <cell r="R53">
            <v>0.43904042640453578</v>
          </cell>
          <cell r="S53">
            <v>0.42982936767119301</v>
          </cell>
          <cell r="T53">
            <v>0.44285755533844695</v>
          </cell>
          <cell r="U53">
            <v>0.45132280524526214</v>
          </cell>
          <cell r="V53">
            <v>0.46461812772708866</v>
          </cell>
          <cell r="W53">
            <v>0.45151567867168052</v>
          </cell>
          <cell r="X53">
            <v>0.46479902358706249</v>
          </cell>
        </row>
        <row r="55">
          <cell r="F55" t="str">
            <v>Capex as % of Revenue</v>
          </cell>
          <cell r="I55" t="str">
            <v>%</v>
          </cell>
          <cell r="L55">
            <v>-0.22019082486010316</v>
          </cell>
          <cell r="M55">
            <v>-0.26743322287532534</v>
          </cell>
          <cell r="N55">
            <v>-0.25737402059420234</v>
          </cell>
          <cell r="O55">
            <v>-0.2859335246245559</v>
          </cell>
          <cell r="P55">
            <v>-0.2732340663226942</v>
          </cell>
          <cell r="Q55">
            <v>-0.26708498201867525</v>
          </cell>
          <cell r="R55">
            <v>-0.25468810124750069</v>
          </cell>
          <cell r="S55">
            <v>-0.24798857945382913</v>
          </cell>
          <cell r="T55">
            <v>-0.23931591109791445</v>
          </cell>
          <cell r="U55">
            <v>-0.20884381177607605</v>
          </cell>
          <cell r="V55">
            <v>-0.2013049043387326</v>
          </cell>
          <cell r="W55">
            <v>-0.21759102271118916</v>
          </cell>
          <cell r="X55">
            <v>-0.20975007674992288</v>
          </cell>
        </row>
        <row r="56">
          <cell r="F56" t="str">
            <v>Capex as % of Total Assets</v>
          </cell>
          <cell r="I56" t="str">
            <v>%</v>
          </cell>
          <cell r="L56">
            <v>-2.1704635136374995E-2</v>
          </cell>
          <cell r="M56">
            <v>-2.576494390266125E-2</v>
          </cell>
          <cell r="N56">
            <v>-2.5248796632611165E-2</v>
          </cell>
          <cell r="O56">
            <v>-2.7435709988343878E-2</v>
          </cell>
          <cell r="P56">
            <v>-2.6838811219285795E-2</v>
          </cell>
          <cell r="Q56">
            <v>-2.5642757924150154E-2</v>
          </cell>
          <cell r="R56">
            <v>-2.5132742097549069E-2</v>
          </cell>
          <cell r="S56">
            <v>-2.3836343886447463E-2</v>
          </cell>
          <cell r="T56">
            <v>-2.3414434596729206E-2</v>
          </cell>
          <cell r="U56">
            <v>-2.0762920636484168E-2</v>
          </cell>
          <cell r="V56">
            <v>-2.0456691562883728E-2</v>
          </cell>
          <cell r="W56">
            <v>-2.1656644360156945E-2</v>
          </cell>
          <cell r="X56">
            <v>-2.1323407686402944E-2</v>
          </cell>
        </row>
        <row r="59">
          <cell r="D59" t="str">
            <v>Equity Summary</v>
          </cell>
        </row>
        <row r="61">
          <cell r="E61" t="str">
            <v>Equity</v>
          </cell>
        </row>
        <row r="62">
          <cell r="F62" t="str">
            <v>Initial Equity</v>
          </cell>
          <cell r="I62" t="str">
            <v>$m</v>
          </cell>
          <cell r="K62">
            <v>290.7407407407407</v>
          </cell>
          <cell r="L62">
            <v>290.7407407407407</v>
          </cell>
          <cell r="M62">
            <v>290.7407407407407</v>
          </cell>
          <cell r="N62">
            <v>290.7407407407407</v>
          </cell>
          <cell r="O62">
            <v>290.7407407407407</v>
          </cell>
          <cell r="P62">
            <v>290.7407407407407</v>
          </cell>
          <cell r="Q62">
            <v>290.7407407407407</v>
          </cell>
          <cell r="R62">
            <v>290.7407407407407</v>
          </cell>
          <cell r="S62">
            <v>290.7407407407407</v>
          </cell>
          <cell r="T62">
            <v>290.7407407407407</v>
          </cell>
          <cell r="U62">
            <v>290.7407407407407</v>
          </cell>
          <cell r="V62">
            <v>290.7407407407407</v>
          </cell>
          <cell r="W62">
            <v>290.7407407407407</v>
          </cell>
          <cell r="X62">
            <v>290.7407407407407</v>
          </cell>
        </row>
        <row r="63">
          <cell r="F63" t="str">
            <v>Total equity</v>
          </cell>
          <cell r="I63" t="str">
            <v>$m</v>
          </cell>
          <cell r="K63">
            <v>290.7407407407407</v>
          </cell>
          <cell r="L63">
            <v>290.7407407407407</v>
          </cell>
          <cell r="M63">
            <v>290.7407407407407</v>
          </cell>
          <cell r="N63">
            <v>290.7407407407407</v>
          </cell>
          <cell r="O63">
            <v>290.7407407407407</v>
          </cell>
          <cell r="P63">
            <v>290.7407407407407</v>
          </cell>
          <cell r="Q63">
            <v>290.7407407407407</v>
          </cell>
          <cell r="R63">
            <v>290.7407407407407</v>
          </cell>
          <cell r="S63">
            <v>290.7407407407407</v>
          </cell>
          <cell r="T63">
            <v>290.7407407407407</v>
          </cell>
          <cell r="U63">
            <v>290.7407407407407</v>
          </cell>
          <cell r="V63">
            <v>290.7407407407407</v>
          </cell>
          <cell r="W63">
            <v>290.7407407407407</v>
          </cell>
          <cell r="X63">
            <v>290.7407407407407</v>
          </cell>
        </row>
        <row r="64">
          <cell r="F64" t="str">
            <v>Retained earnings</v>
          </cell>
          <cell r="I64" t="str">
            <v>$m</v>
          </cell>
          <cell r="K64">
            <v>0</v>
          </cell>
          <cell r="L64">
            <v>9.4395721863501478</v>
          </cell>
          <cell r="M64">
            <v>19.776037934127569</v>
          </cell>
          <cell r="N64">
            <v>29.697071187715949</v>
          </cell>
          <cell r="O64">
            <v>41.627588382986076</v>
          </cell>
          <cell r="P64">
            <v>53.168156585282944</v>
          </cell>
          <cell r="Q64">
            <v>64.682212935866247</v>
          </cell>
          <cell r="R64">
            <v>74.976751092897587</v>
          </cell>
          <cell r="S64">
            <v>85.833932803528668</v>
          </cell>
          <cell r="T64">
            <v>95.021455347052495</v>
          </cell>
          <cell r="U64">
            <v>103.39162807248287</v>
          </cell>
          <cell r="V64">
            <v>109.25447650530114</v>
          </cell>
          <cell r="W64">
            <v>118.79789482710656</v>
          </cell>
          <cell r="X64">
            <v>125.70193333786085</v>
          </cell>
        </row>
        <row r="66">
          <cell r="E66" t="str">
            <v>Provision for Returns to Equity</v>
          </cell>
        </row>
        <row r="67">
          <cell r="F67" t="str">
            <v>Provision for Dividend</v>
          </cell>
          <cell r="I67" t="str">
            <v>$m</v>
          </cell>
          <cell r="K67">
            <v>0</v>
          </cell>
          <cell r="L67">
            <v>2.0671526143214134</v>
          </cell>
          <cell r="M67">
            <v>-1.0765681478724698E-2</v>
          </cell>
          <cell r="N67">
            <v>2.1486777086205859</v>
          </cell>
          <cell r="O67">
            <v>-0.53716942715514637</v>
          </cell>
          <cell r="P67">
            <v>2.0907039424872997</v>
          </cell>
          <cell r="Q67">
            <v>1.3179108978897076</v>
          </cell>
          <cell r="R67">
            <v>5.0085998855314005</v>
          </cell>
          <cell r="S67">
            <v>3.5109032386885</v>
          </cell>
          <cell r="T67">
            <v>6.98756375628931</v>
          </cell>
          <cell r="U67">
            <v>9.1600633621213916</v>
          </cell>
          <cell r="V67">
            <v>13.705100043462711</v>
          </cell>
          <cell r="W67">
            <v>8.7906628211206748</v>
          </cell>
          <cell r="X67">
            <v>13.524845321957377</v>
          </cell>
        </row>
        <row r="68">
          <cell r="F68" t="str">
            <v>Provision for Capital Return</v>
          </cell>
          <cell r="I68" t="str">
            <v>$m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</row>
        <row r="70">
          <cell r="E70" t="str">
            <v>Cash Flow to Equity</v>
          </cell>
        </row>
        <row r="71">
          <cell r="F71" t="str">
            <v>Dividends Paid</v>
          </cell>
          <cell r="I71" t="str">
            <v>$m</v>
          </cell>
          <cell r="K71">
            <v>0</v>
          </cell>
          <cell r="L71">
            <v>1.55036446074106</v>
          </cell>
          <cell r="M71">
            <v>0.50871389247130983</v>
          </cell>
          <cell r="N71">
            <v>1.6088168610957583</v>
          </cell>
          <cell r="O71">
            <v>0.1342923567887867</v>
          </cell>
          <cell r="P71">
            <v>1.4337356000766881</v>
          </cell>
          <cell r="Q71">
            <v>1.5111091590391057</v>
          </cell>
          <cell r="R71">
            <v>4.0859276386209773</v>
          </cell>
          <cell r="S71">
            <v>3.8853274003992251</v>
          </cell>
          <cell r="T71">
            <v>6.1183986268891069</v>
          </cell>
          <cell r="U71">
            <v>8.6169384606633717</v>
          </cell>
          <cell r="V71">
            <v>12.568840873127382</v>
          </cell>
          <cell r="W71">
            <v>10.019272126706184</v>
          </cell>
          <cell r="X71">
            <v>12.341299696748202</v>
          </cell>
        </row>
        <row r="72">
          <cell r="F72" t="str">
            <v>Capital distributed</v>
          </cell>
          <cell r="I72" t="str">
            <v>$m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</row>
        <row r="74">
          <cell r="E74" t="str">
            <v>Net Cash Flow (before dividends)</v>
          </cell>
          <cell r="K74">
            <v>0</v>
          </cell>
          <cell r="L74">
            <v>2.5671526143214138</v>
          </cell>
          <cell r="M74">
            <v>-1.0765681478730138E-2</v>
          </cell>
          <cell r="N74">
            <v>2.1486777086205899</v>
          </cell>
          <cell r="O74">
            <v>-0.69306913015714022</v>
          </cell>
          <cell r="P74">
            <v>2.2466036454892953</v>
          </cell>
          <cell r="Q74">
            <v>1.3179108978897078</v>
          </cell>
          <cell r="R74">
            <v>5.0085998855314005</v>
          </cell>
          <cell r="S74">
            <v>3.5109032386885008</v>
          </cell>
          <cell r="T74">
            <v>6.9875637562893047</v>
          </cell>
          <cell r="U74">
            <v>9.1600633621213969</v>
          </cell>
          <cell r="V74">
            <v>13.705100043462703</v>
          </cell>
          <cell r="W74">
            <v>8.7906628211206801</v>
          </cell>
          <cell r="X74">
            <v>13.524845321957383</v>
          </cell>
        </row>
        <row r="75">
          <cell r="E75" t="str">
            <v>Cash yield (pre-tax) on initial equity</v>
          </cell>
          <cell r="K75">
            <v>0</v>
          </cell>
          <cell r="L75">
            <v>8.8296968900226976E-3</v>
          </cell>
          <cell r="M75">
            <v>-3.7028458589262903E-5</v>
          </cell>
          <cell r="N75">
            <v>7.390356450032603E-3</v>
          </cell>
          <cell r="O75">
            <v>-2.3838046514958965E-3</v>
          </cell>
          <cell r="P75">
            <v>7.7271717742943922E-3</v>
          </cell>
          <cell r="Q75">
            <v>4.532941941786257E-3</v>
          </cell>
          <cell r="R75">
            <v>1.7227031453420107E-2</v>
          </cell>
          <cell r="S75">
            <v>1.2075718145807584E-2</v>
          </cell>
          <cell r="T75">
            <v>2.4033658779593788E-2</v>
          </cell>
          <cell r="U75">
            <v>3.1505950417487612E-2</v>
          </cell>
          <cell r="V75">
            <v>4.7138560659043698E-2</v>
          </cell>
          <cell r="W75">
            <v>3.0235400786020179E-2</v>
          </cell>
          <cell r="X75">
            <v>4.6518576266605015E-2</v>
          </cell>
        </row>
        <row r="77">
          <cell r="E77" t="str">
            <v>Statistics</v>
          </cell>
        </row>
        <row r="78">
          <cell r="F78" t="str">
            <v>Return on equity (NPAT to total equity)</v>
          </cell>
          <cell r="I78" t="str">
            <v>%</v>
          </cell>
          <cell r="L78">
            <v>3.8332709725258915E-2</v>
          </cell>
          <cell r="M78">
            <v>3.3253275750069512E-2</v>
          </cell>
          <cell r="N78">
            <v>3.7666313128188939E-2</v>
          </cell>
          <cell r="O78">
            <v>3.4279282259392745E-2</v>
          </cell>
          <cell r="P78">
            <v>3.9636288129707223E-2</v>
          </cell>
          <cell r="Q78">
            <v>3.610337237855657E-2</v>
          </cell>
          <cell r="R78">
            <v>4.1844151248647397E-2</v>
          </cell>
          <cell r="S78">
            <v>3.8154676771247308E-2</v>
          </cell>
          <cell r="T78">
            <v>4.1930200688021661E-2</v>
          </cell>
          <cell r="U78">
            <v>4.4478042086056657E-2</v>
          </cell>
          <cell r="V78">
            <v>4.8920456126965363E-2</v>
          </cell>
          <cell r="W78">
            <v>4.4767647178159183E-2</v>
          </cell>
          <cell r="X78">
            <v>4.9055692666251142E-2</v>
          </cell>
        </row>
        <row r="79">
          <cell r="F79" t="str">
            <v>Return on Assets (EBIT to Total assets less cash)</v>
          </cell>
          <cell r="I79" t="str">
            <v>%</v>
          </cell>
          <cell r="L79">
            <v>4.1719510606892538E-2</v>
          </cell>
          <cell r="M79">
            <v>3.9010362566304607E-2</v>
          </cell>
          <cell r="N79">
            <v>4.123012533594464E-2</v>
          </cell>
          <cell r="O79">
            <v>3.9370269556628062E-2</v>
          </cell>
          <cell r="P79">
            <v>4.2211763898957227E-2</v>
          </cell>
          <cell r="Q79">
            <v>4.0277180782359513E-2</v>
          </cell>
          <cell r="R79">
            <v>4.3408426179754669E-2</v>
          </cell>
          <cell r="S79">
            <v>4.1376365240892742E-2</v>
          </cell>
          <cell r="T79">
            <v>4.3432536127379601E-2</v>
          </cell>
          <cell r="U79">
            <v>4.5001419442075703E-2</v>
          </cell>
          <cell r="V79">
            <v>4.7406944484481649E-2</v>
          </cell>
          <cell r="W79">
            <v>4.5062916251078222E-2</v>
          </cell>
          <cell r="X79">
            <v>4.7436789036333554E-2</v>
          </cell>
        </row>
        <row r="80">
          <cell r="F80" t="str">
            <v>Proportion of dividend paid franked</v>
          </cell>
          <cell r="I80" t="str">
            <v>%</v>
          </cell>
          <cell r="L80">
            <v>0</v>
          </cell>
          <cell r="M80">
            <v>1</v>
          </cell>
          <cell r="N80">
            <v>0.67575393279908091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>
            <v>1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</row>
        <row r="81">
          <cell r="F81" t="str">
            <v>Franking credits allocated (not grossed up)</v>
          </cell>
          <cell r="I81" t="str">
            <v>c</v>
          </cell>
          <cell r="L81">
            <v>0.17975685880409023</v>
          </cell>
          <cell r="M81">
            <v>0.21802023963056136</v>
          </cell>
          <cell r="N81">
            <v>0.46592756615954201</v>
          </cell>
          <cell r="O81">
            <v>5.7553867195194307E-2</v>
          </cell>
          <cell r="P81">
            <v>0.61445811431858066</v>
          </cell>
          <cell r="Q81">
            <v>0.64761821101675965</v>
          </cell>
          <cell r="R81">
            <v>1.7511118451232761</v>
          </cell>
          <cell r="S81">
            <v>1.6651403144568107</v>
          </cell>
          <cell r="T81">
            <v>2.6221708400953316</v>
          </cell>
          <cell r="U81">
            <v>3.6929736259985879</v>
          </cell>
          <cell r="V81">
            <v>5.3866460884831637</v>
          </cell>
          <cell r="W81">
            <v>4.2939737685883648</v>
          </cell>
          <cell r="X81">
            <v>5.2891284414635154</v>
          </cell>
        </row>
        <row r="82">
          <cell r="F82" t="str">
            <v>Equivalent Post Tax return to Superfund</v>
          </cell>
          <cell r="I82" t="str">
            <v>$m</v>
          </cell>
          <cell r="L82">
            <v>1.4706031216133777</v>
          </cell>
          <cell r="M82">
            <v>0.61772401228659046</v>
          </cell>
          <cell r="N82">
            <v>1.7635327631670052</v>
          </cell>
          <cell r="O82">
            <v>0.16306929038638385</v>
          </cell>
          <cell r="P82">
            <v>1.7409646572359785</v>
          </cell>
          <cell r="Q82">
            <v>1.8349182645474855</v>
          </cell>
          <cell r="R82">
            <v>4.9614835611826154</v>
          </cell>
          <cell r="S82">
            <v>4.7178975576276301</v>
          </cell>
          <cell r="T82">
            <v>7.4294840469367731</v>
          </cell>
          <cell r="U82">
            <v>10.463425273662665</v>
          </cell>
          <cell r="V82">
            <v>15.262163917368964</v>
          </cell>
          <cell r="W82">
            <v>12.166259011000367</v>
          </cell>
          <cell r="X82">
            <v>14.985863917479961</v>
          </cell>
        </row>
        <row r="83">
          <cell r="F83" t="str">
            <v>Equivalent Pre Tax return to superfund</v>
          </cell>
          <cell r="I83" t="str">
            <v>$m</v>
          </cell>
          <cell r="L83">
            <v>1.7301213195451504</v>
          </cell>
          <cell r="M83">
            <v>0.7267341321018711</v>
          </cell>
          <cell r="N83">
            <v>2.0747444272553004</v>
          </cell>
          <cell r="O83">
            <v>0.19184622398398099</v>
          </cell>
          <cell r="P83">
            <v>2.0481937143952686</v>
          </cell>
          <cell r="Q83">
            <v>2.1587273700558653</v>
          </cell>
          <cell r="R83">
            <v>5.8370394837442534</v>
          </cell>
          <cell r="S83">
            <v>5.550467714856036</v>
          </cell>
          <cell r="T83">
            <v>8.7405694669844394</v>
          </cell>
          <cell r="U83">
            <v>12.309912086661958</v>
          </cell>
          <cell r="V83">
            <v>17.955486961610546</v>
          </cell>
          <cell r="W83">
            <v>14.31324589529455</v>
          </cell>
          <cell r="X83">
            <v>17.63042813821172</v>
          </cell>
        </row>
        <row r="84">
          <cell r="F84" t="str">
            <v>Equivalent Post Tax return to Superfund</v>
          </cell>
          <cell r="I84" t="str">
            <v>$m</v>
          </cell>
          <cell r="L84">
            <v>5.0581253864409176E-3</v>
          </cell>
          <cell r="M84">
            <v>2.1246558384379545E-3</v>
          </cell>
          <cell r="N84">
            <v>6.065654089873777E-3</v>
          </cell>
          <cell r="O84">
            <v>5.6087526629711648E-4</v>
          </cell>
          <cell r="P84">
            <v>5.9880313051428567E-3</v>
          </cell>
          <cell r="Q84">
            <v>6.3111838398448557E-3</v>
          </cell>
          <cell r="R84">
            <v>1.7064975305978423E-2</v>
          </cell>
          <cell r="S84">
            <v>1.6227163574005863E-2</v>
          </cell>
          <cell r="T84">
            <v>2.5553639397107374E-2</v>
          </cell>
          <cell r="U84">
            <v>3.5988851259731461E-2</v>
          </cell>
          <cell r="V84">
            <v>5.2494066976937842E-2</v>
          </cell>
          <cell r="W84">
            <v>4.1845731630192347E-2</v>
          </cell>
          <cell r="X84">
            <v>5.1543735767128535E-2</v>
          </cell>
        </row>
        <row r="85">
          <cell r="F85" t="str">
            <v>Equivalent Pre Tax return to superfund</v>
          </cell>
          <cell r="I85" t="str">
            <v>$m</v>
          </cell>
          <cell r="L85">
            <v>5.950735748754021E-3</v>
          </cell>
          <cell r="M85">
            <v>2.4995951040446525E-3</v>
          </cell>
          <cell r="N85">
            <v>7.1360636351456199E-3</v>
          </cell>
          <cell r="O85">
            <v>6.5985325446719586E-4</v>
          </cell>
          <cell r="P85">
            <v>7.044742711932772E-3</v>
          </cell>
          <cell r="Q85">
            <v>7.4249221645233598E-3</v>
          </cell>
          <cell r="R85">
            <v>2.0076441536445205E-2</v>
          </cell>
          <cell r="S85">
            <v>1.9090780675301018E-2</v>
          </cell>
          <cell r="T85">
            <v>3.0063105173067501E-2</v>
          </cell>
          <cell r="U85">
            <v>4.2339825011448777E-2</v>
          </cell>
          <cell r="V85">
            <v>6.1757725855220998E-2</v>
          </cell>
          <cell r="W85">
            <v>4.9230272506108647E-2</v>
          </cell>
          <cell r="X85">
            <v>6.0639689137798276E-2</v>
          </cell>
        </row>
        <row r="87">
          <cell r="D87" t="str">
            <v>Debt Summary</v>
          </cell>
        </row>
        <row r="89">
          <cell r="E89" t="str">
            <v>Debt</v>
          </cell>
        </row>
        <row r="90">
          <cell r="F90" t="str">
            <v>Total debt</v>
          </cell>
          <cell r="I90" t="str">
            <v>$m</v>
          </cell>
          <cell r="K90">
            <v>494.2592592592593</v>
          </cell>
          <cell r="L90">
            <v>494.2592592592593</v>
          </cell>
          <cell r="M90">
            <v>494.2592592592593</v>
          </cell>
          <cell r="N90">
            <v>494.2592592592593</v>
          </cell>
          <cell r="O90">
            <v>494.2592592592593</v>
          </cell>
          <cell r="P90">
            <v>494.2592592592593</v>
          </cell>
          <cell r="Q90">
            <v>494.2592592592593</v>
          </cell>
          <cell r="R90">
            <v>494.2592592592593</v>
          </cell>
          <cell r="S90">
            <v>494.2592592592593</v>
          </cell>
          <cell r="T90">
            <v>494.2592592592593</v>
          </cell>
          <cell r="U90">
            <v>494.2592592592593</v>
          </cell>
          <cell r="V90">
            <v>494.2592592592593</v>
          </cell>
          <cell r="W90">
            <v>494.2592592592593</v>
          </cell>
          <cell r="X90">
            <v>494.2592592592593</v>
          </cell>
        </row>
        <row r="91">
          <cell r="F91" t="str">
            <v>Net Debt</v>
          </cell>
          <cell r="I91" t="str">
            <v>$m</v>
          </cell>
          <cell r="K91">
            <v>494.2592592592593</v>
          </cell>
          <cell r="L91">
            <v>493.24247110567893</v>
          </cell>
          <cell r="M91">
            <v>493.76195067962897</v>
          </cell>
          <cell r="N91">
            <v>493.22208983210413</v>
          </cell>
          <cell r="O91">
            <v>494.04945131905009</v>
          </cell>
          <cell r="P91">
            <v>493.23658327363745</v>
          </cell>
          <cell r="Q91">
            <v>493.42978153478685</v>
          </cell>
          <cell r="R91">
            <v>492.50710928787646</v>
          </cell>
          <cell r="S91">
            <v>492.88153344958715</v>
          </cell>
          <cell r="T91">
            <v>492.01236832018697</v>
          </cell>
          <cell r="U91">
            <v>491.46924341872892</v>
          </cell>
          <cell r="V91">
            <v>490.33298424839364</v>
          </cell>
          <cell r="W91">
            <v>491.56159355397915</v>
          </cell>
          <cell r="X91">
            <v>490.37804792876994</v>
          </cell>
        </row>
        <row r="92">
          <cell r="F92" t="str">
            <v>Total equity</v>
          </cell>
          <cell r="I92" t="str">
            <v>$m</v>
          </cell>
          <cell r="K92">
            <v>290.7407407407407</v>
          </cell>
          <cell r="L92">
            <v>300.18031292709088</v>
          </cell>
          <cell r="M92">
            <v>310.51677867486825</v>
          </cell>
          <cell r="N92">
            <v>320.43781192845665</v>
          </cell>
          <cell r="O92">
            <v>332.36832912372677</v>
          </cell>
          <cell r="P92">
            <v>343.90889732602363</v>
          </cell>
          <cell r="Q92">
            <v>355.42295367660694</v>
          </cell>
          <cell r="R92">
            <v>365.71749183363829</v>
          </cell>
          <cell r="S92">
            <v>376.57467354426939</v>
          </cell>
          <cell r="T92">
            <v>385.7621960877932</v>
          </cell>
          <cell r="U92">
            <v>394.13236881322359</v>
          </cell>
          <cell r="V92">
            <v>399.99521724604188</v>
          </cell>
          <cell r="W92">
            <v>409.53863556784728</v>
          </cell>
          <cell r="X92">
            <v>416.44267407860156</v>
          </cell>
        </row>
        <row r="93">
          <cell r="F93" t="str">
            <v>Gross Interest expense</v>
          </cell>
          <cell r="I93" t="str">
            <v>$m</v>
          </cell>
          <cell r="L93">
            <v>-15.828652777777778</v>
          </cell>
          <cell r="M93">
            <v>-15.828652777777778</v>
          </cell>
          <cell r="N93">
            <v>-15.828652777777778</v>
          </cell>
          <cell r="O93">
            <v>-15.828652777777778</v>
          </cell>
          <cell r="P93">
            <v>-15.828652777777778</v>
          </cell>
          <cell r="Q93">
            <v>-15.828652777777778</v>
          </cell>
          <cell r="R93">
            <v>-15.828652777777778</v>
          </cell>
          <cell r="S93">
            <v>-15.828652777777778</v>
          </cell>
          <cell r="T93">
            <v>-15.828652777777778</v>
          </cell>
          <cell r="U93">
            <v>-15.828652777777778</v>
          </cell>
          <cell r="V93">
            <v>-15.828652777777778</v>
          </cell>
          <cell r="W93">
            <v>-15.828652777777778</v>
          </cell>
          <cell r="X93">
            <v>-15.828652777777778</v>
          </cell>
        </row>
        <row r="94">
          <cell r="F94" t="str">
            <v>Net Interest expense</v>
          </cell>
          <cell r="I94" t="str">
            <v>$m</v>
          </cell>
          <cell r="L94">
            <v>-15.828652777777778</v>
          </cell>
          <cell r="M94">
            <v>-15.828652777777778</v>
          </cell>
          <cell r="N94">
            <v>-15.828652777777778</v>
          </cell>
          <cell r="O94">
            <v>-15.828652777777778</v>
          </cell>
          <cell r="P94">
            <v>-15.828652777777778</v>
          </cell>
          <cell r="Q94">
            <v>-15.828652777777778</v>
          </cell>
          <cell r="R94">
            <v>-15.828652777777778</v>
          </cell>
          <cell r="S94">
            <v>-15.828652777777778</v>
          </cell>
          <cell r="T94">
            <v>-15.828652777777778</v>
          </cell>
          <cell r="U94">
            <v>-15.828652777777778</v>
          </cell>
          <cell r="V94">
            <v>-15.828652777777778</v>
          </cell>
          <cell r="W94">
            <v>-15.828652777777778</v>
          </cell>
          <cell r="X94">
            <v>-15.828652777777778</v>
          </cell>
        </row>
        <row r="95">
          <cell r="F95" t="str">
            <v>EBITDA</v>
          </cell>
          <cell r="I95" t="str">
            <v>$m</v>
          </cell>
          <cell r="L95">
            <v>38.282955338213775</v>
          </cell>
          <cell r="M95">
            <v>37.192604910634508</v>
          </cell>
          <cell r="N95">
            <v>39.684049047649175</v>
          </cell>
          <cell r="O95">
            <v>39.237710418942747</v>
          </cell>
          <cell r="P95">
            <v>42.434745242755881</v>
          </cell>
          <cell r="Q95">
            <v>41.883280377445125</v>
          </cell>
          <cell r="R95">
            <v>45.413524369001877</v>
          </cell>
          <cell r="S95">
            <v>44.681766644106787</v>
          </cell>
          <cell r="T95">
            <v>47.263197144811876</v>
          </cell>
          <cell r="U95">
            <v>49.77304067281721</v>
          </cell>
          <cell r="V95">
            <v>52.68405837100179</v>
          </cell>
          <cell r="W95">
            <v>51.485896503663795</v>
          </cell>
          <cell r="X95">
            <v>54.478471774786037</v>
          </cell>
        </row>
        <row r="96">
          <cell r="F96" t="str">
            <v>Depreciation &amp; amortisation</v>
          </cell>
          <cell r="I96" t="str">
            <v>$m</v>
          </cell>
          <cell r="L96">
            <v>-4.7118875262719548</v>
          </cell>
          <cell r="M96">
            <v>-5.1793288839228859</v>
          </cell>
          <cell r="N96">
            <v>-5.1793288839228859</v>
          </cell>
          <cell r="O96">
            <v>-5.5865153589650722</v>
          </cell>
          <cell r="P96">
            <v>-5.5865153589650722</v>
          </cell>
          <cell r="Q96">
            <v>-6.0489218585602931</v>
          </cell>
          <cell r="R96">
            <v>-6.0489218585602931</v>
          </cell>
          <cell r="S96">
            <v>-6.5220059639850714</v>
          </cell>
          <cell r="T96">
            <v>-6.5220059639850714</v>
          </cell>
          <cell r="U96">
            <v>-6.9715020233694913</v>
          </cell>
          <cell r="V96">
            <v>-6.9715020233694913</v>
          </cell>
          <cell r="W96">
            <v>-7.4136284637647956</v>
          </cell>
          <cell r="X96">
            <v>-7.4136284637647956</v>
          </cell>
        </row>
        <row r="97">
          <cell r="F97" t="str">
            <v>EBIT</v>
          </cell>
          <cell r="I97" t="str">
            <v>$m</v>
          </cell>
          <cell r="L97">
            <v>33.571067811941816</v>
          </cell>
          <cell r="M97">
            <v>32.013276026711623</v>
          </cell>
          <cell r="N97">
            <v>34.50472016372629</v>
          </cell>
          <cell r="O97">
            <v>33.651195059977674</v>
          </cell>
          <cell r="P97">
            <v>36.848229883790808</v>
          </cell>
          <cell r="Q97">
            <v>35.834358518884834</v>
          </cell>
          <cell r="R97">
            <v>39.364602510441586</v>
          </cell>
          <cell r="S97">
            <v>38.159760680121714</v>
          </cell>
          <cell r="T97">
            <v>40.741191180826803</v>
          </cell>
          <cell r="U97">
            <v>42.801538649447721</v>
          </cell>
          <cell r="V97">
            <v>45.712556347632301</v>
          </cell>
          <cell r="W97">
            <v>44.072268039899001</v>
          </cell>
          <cell r="X97">
            <v>47.064843311021242</v>
          </cell>
        </row>
        <row r="98">
          <cell r="F98" t="str">
            <v>PBT</v>
          </cell>
          <cell r="I98" t="str">
            <v>$m</v>
          </cell>
          <cell r="L98">
            <v>17.74241503416404</v>
          </cell>
          <cell r="M98">
            <v>16.184623248933846</v>
          </cell>
          <cell r="N98">
            <v>18.676067385948514</v>
          </cell>
          <cell r="O98">
            <v>17.822542282199898</v>
          </cell>
          <cell r="P98">
            <v>21.019577106013031</v>
          </cell>
          <cell r="Q98">
            <v>20.005705741107057</v>
          </cell>
          <cell r="R98">
            <v>23.535949732663809</v>
          </cell>
          <cell r="S98">
            <v>22.331107902343938</v>
          </cell>
          <cell r="T98">
            <v>24.912538403049027</v>
          </cell>
          <cell r="U98">
            <v>26.972885871669945</v>
          </cell>
          <cell r="V98">
            <v>29.883903569854525</v>
          </cell>
          <cell r="W98">
            <v>28.243615262121224</v>
          </cell>
          <cell r="X98">
            <v>31.236190533243466</v>
          </cell>
        </row>
        <row r="99">
          <cell r="F99" t="str">
            <v>Capital Expenditure</v>
          </cell>
          <cell r="I99" t="str">
            <v>$m</v>
          </cell>
          <cell r="L99">
            <v>-17.487465119460005</v>
          </cell>
          <cell r="M99">
            <v>-21.156432584325618</v>
          </cell>
          <cell r="N99">
            <v>-21.156432584325618</v>
          </cell>
          <cell r="O99">
            <v>-23.456051054396656</v>
          </cell>
          <cell r="P99">
            <v>-23.456051054396656</v>
          </cell>
          <cell r="Q99">
            <v>-22.83547315187144</v>
          </cell>
          <cell r="R99">
            <v>-22.83547315187144</v>
          </cell>
          <cell r="S99">
            <v>-22.016143044466265</v>
          </cell>
          <cell r="T99">
            <v>-22.016143044466265</v>
          </cell>
          <cell r="U99">
            <v>-19.80586041198179</v>
          </cell>
          <cell r="V99">
            <v>-19.80586041198179</v>
          </cell>
          <cell r="W99">
            <v>-21.2389742571408</v>
          </cell>
          <cell r="X99">
            <v>-21.2389742571408</v>
          </cell>
        </row>
        <row r="100">
          <cell r="F100" t="str">
            <v>Equity funded Capital Expenditure</v>
          </cell>
          <cell r="I100" t="str">
            <v>$m</v>
          </cell>
          <cell r="L100">
            <v>-17.487465119460005</v>
          </cell>
          <cell r="M100">
            <v>-21.156432584325618</v>
          </cell>
          <cell r="N100">
            <v>-21.156432584325618</v>
          </cell>
          <cell r="O100">
            <v>-23.456051054396656</v>
          </cell>
          <cell r="P100">
            <v>-23.456051054396656</v>
          </cell>
          <cell r="Q100">
            <v>-22.83547315187144</v>
          </cell>
          <cell r="R100">
            <v>-22.83547315187144</v>
          </cell>
          <cell r="S100">
            <v>-22.016143044466265</v>
          </cell>
          <cell r="T100">
            <v>-22.016143044466265</v>
          </cell>
          <cell r="U100">
            <v>-19.80586041198179</v>
          </cell>
          <cell r="V100">
            <v>-19.80586041198179</v>
          </cell>
          <cell r="W100">
            <v>-21.2389742571408</v>
          </cell>
          <cell r="X100">
            <v>-21.2389742571408</v>
          </cell>
        </row>
        <row r="101">
          <cell r="F101" t="str">
            <v>Tax Paid</v>
          </cell>
          <cell r="I101" t="str">
            <v>$m</v>
          </cell>
          <cell r="L101">
            <v>-0.17975685880409023</v>
          </cell>
          <cell r="M101">
            <v>-0.3342050690692201</v>
          </cell>
          <cell r="N101">
            <v>-0.3497427367208833</v>
          </cell>
          <cell r="O101">
            <v>-0.69242535199085464</v>
          </cell>
          <cell r="P101">
            <v>-0.64192048174773919</v>
          </cell>
          <cell r="Q101">
            <v>-1.9547390034999581</v>
          </cell>
          <cell r="R101">
            <v>-1.4507149684605154</v>
          </cell>
          <cell r="S101">
            <v>-3.3856825185901056</v>
          </cell>
          <cell r="T101">
            <v>-2.2234214219281796</v>
          </cell>
          <cell r="U101">
            <v>-4.7690112071875372</v>
          </cell>
          <cell r="V101">
            <v>-3.108482786251078</v>
          </cell>
          <cell r="W101">
            <v>-5.7431974638667489</v>
          </cell>
          <cell r="X101">
            <v>-3.6433654419284096</v>
          </cell>
        </row>
        <row r="102">
          <cell r="F102" t="str">
            <v>Dividend Paid</v>
          </cell>
          <cell r="I102" t="str">
            <v>$m</v>
          </cell>
          <cell r="L102">
            <v>-1.55036446074106</v>
          </cell>
          <cell r="M102">
            <v>-0.50871389247130983</v>
          </cell>
          <cell r="N102">
            <v>-1.6088168610957583</v>
          </cell>
          <cell r="O102">
            <v>-0.1342923567887867</v>
          </cell>
          <cell r="P102">
            <v>-1.4337356000766881</v>
          </cell>
          <cell r="Q102">
            <v>-1.5111091590391057</v>
          </cell>
          <cell r="R102">
            <v>-4.0859276386209773</v>
          </cell>
          <cell r="S102">
            <v>-3.8853274003992251</v>
          </cell>
          <cell r="T102">
            <v>-6.1183986268891069</v>
          </cell>
          <cell r="U102">
            <v>-8.6169384606633717</v>
          </cell>
          <cell r="V102">
            <v>-12.568840873127382</v>
          </cell>
          <cell r="W102">
            <v>-10.019272126706184</v>
          </cell>
          <cell r="X102">
            <v>-12.341299696748202</v>
          </cell>
        </row>
        <row r="103">
          <cell r="F103" t="str">
            <v>Free Funds Flow from Operations (FFO)</v>
          </cell>
          <cell r="I103" t="str">
            <v>$m</v>
          </cell>
          <cell r="L103">
            <v>22.274545701631904</v>
          </cell>
          <cell r="M103">
            <v>21.029747063787511</v>
          </cell>
          <cell r="N103">
            <v>23.505653533150515</v>
          </cell>
          <cell r="O103">
            <v>22.716632289174115</v>
          </cell>
          <cell r="P103">
            <v>25.964171983230365</v>
          </cell>
          <cell r="Q103">
            <v>24.099888596167389</v>
          </cell>
          <cell r="R103">
            <v>28.134156622763584</v>
          </cell>
          <cell r="S103">
            <v>25.467431347738906</v>
          </cell>
          <cell r="T103">
            <v>29.21112294510592</v>
          </cell>
          <cell r="U103">
            <v>29.175376687851895</v>
          </cell>
          <cell r="V103">
            <v>33.746922806972933</v>
          </cell>
          <cell r="W103">
            <v>29.914046262019269</v>
          </cell>
          <cell r="X103">
            <v>35.006453555079851</v>
          </cell>
        </row>
        <row r="104">
          <cell r="F104" t="str">
            <v>Net Cash Flow</v>
          </cell>
          <cell r="I104" t="str">
            <v>$m</v>
          </cell>
          <cell r="L104">
            <v>20.724181240890843</v>
          </cell>
          <cell r="M104">
            <v>20.521033171316201</v>
          </cell>
          <cell r="N104">
            <v>21.896836672054757</v>
          </cell>
          <cell r="O104">
            <v>22.582339932385327</v>
          </cell>
          <cell r="P104">
            <v>24.530436383153678</v>
          </cell>
          <cell r="Q104">
            <v>22.588779437128284</v>
          </cell>
          <cell r="R104">
            <v>24.048228984142607</v>
          </cell>
          <cell r="S104">
            <v>21.582103947339682</v>
          </cell>
          <cell r="T104">
            <v>23.092724318216813</v>
          </cell>
          <cell r="U104">
            <v>20.558438227188525</v>
          </cell>
          <cell r="V104">
            <v>21.178081933845551</v>
          </cell>
          <cell r="W104">
            <v>19.894774135313085</v>
          </cell>
          <cell r="X104">
            <v>22.665153858331649</v>
          </cell>
        </row>
        <row r="105">
          <cell r="F105" t="str">
            <v>Principal Repaid (excl drawdowns)</v>
          </cell>
          <cell r="I105" t="str">
            <v>$m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</row>
        <row r="106">
          <cell r="F106" t="str">
            <v>Free Cash Flow (EBITDA - equity funded capex - tax paid)</v>
          </cell>
          <cell r="I106" t="str">
            <v>$m</v>
          </cell>
          <cell r="L106">
            <v>20.615733359949679</v>
          </cell>
          <cell r="M106">
            <v>15.701967257239669</v>
          </cell>
          <cell r="N106">
            <v>18.177873726602673</v>
          </cell>
          <cell r="O106">
            <v>15.089234012555236</v>
          </cell>
          <cell r="P106">
            <v>18.336773706611485</v>
          </cell>
          <cell r="Q106">
            <v>17.093068222073725</v>
          </cell>
          <cell r="R106">
            <v>21.12733624866992</v>
          </cell>
          <cell r="S106">
            <v>19.279941081050417</v>
          </cell>
          <cell r="T106">
            <v>23.023632678417432</v>
          </cell>
          <cell r="U106">
            <v>25.198169053647881</v>
          </cell>
          <cell r="V106">
            <v>29.769715172768922</v>
          </cell>
          <cell r="W106">
            <v>24.503724782656246</v>
          </cell>
          <cell r="X106">
            <v>29.596132075716824</v>
          </cell>
        </row>
        <row r="108">
          <cell r="E108" t="str">
            <v>Credit ratios</v>
          </cell>
        </row>
        <row r="109">
          <cell r="F109" t="str">
            <v>EBITDA Interest Coverage</v>
          </cell>
          <cell r="I109" t="str">
            <v>x</v>
          </cell>
          <cell r="L109">
            <v>2.4185858313829542</v>
          </cell>
          <cell r="M109">
            <v>2.3497012305968381</v>
          </cell>
          <cell r="N109">
            <v>2.5071021270592628</v>
          </cell>
          <cell r="O109">
            <v>2.4789039831633368</v>
          </cell>
          <cell r="P109">
            <v>2.6808816794775501</v>
          </cell>
          <cell r="Q109">
            <v>2.6460420204710067</v>
          </cell>
          <cell r="R109">
            <v>2.8690707293016753</v>
          </cell>
          <cell r="S109">
            <v>2.8228407857197158</v>
          </cell>
          <cell r="T109">
            <v>2.9859267120424677</v>
          </cell>
          <cell r="U109">
            <v>3.1444900189291389</v>
          </cell>
          <cell r="V109">
            <v>3.3283981341081783</v>
          </cell>
          <cell r="W109">
            <v>3.2527023762847378</v>
          </cell>
          <cell r="X109">
            <v>3.4417630192298905</v>
          </cell>
        </row>
        <row r="110">
          <cell r="F110" t="str">
            <v>EBIT Interest Coverage</v>
          </cell>
          <cell r="I110" t="str">
            <v>x</v>
          </cell>
          <cell r="L110">
            <v>2.1209049363362773</v>
          </cell>
          <cell r="M110">
            <v>2.0224889936088446</v>
          </cell>
          <cell r="N110">
            <v>2.1798898900712693</v>
          </cell>
          <cell r="O110">
            <v>2.1259671010802248</v>
          </cell>
          <cell r="P110">
            <v>2.3279447973944385</v>
          </cell>
          <cell r="Q110">
            <v>2.2638918815120856</v>
          </cell>
          <cell r="R110">
            <v>2.4869205903427543</v>
          </cell>
          <cell r="S110">
            <v>2.4108028153662646</v>
          </cell>
          <cell r="T110">
            <v>2.5738887416890166</v>
          </cell>
          <cell r="U110">
            <v>2.7040544290375625</v>
          </cell>
          <cell r="V110">
            <v>2.8879625442166024</v>
          </cell>
          <cell r="W110">
            <v>2.7843347541095289</v>
          </cell>
          <cell r="X110">
            <v>2.9733953970546816</v>
          </cell>
        </row>
        <row r="111">
          <cell r="F111" t="str">
            <v>Interest Service Coverage</v>
          </cell>
          <cell r="I111" t="str">
            <v>x</v>
          </cell>
          <cell r="L111">
            <v>1.3024313344527083</v>
          </cell>
          <cell r="M111">
            <v>0.99199644326547076</v>
          </cell>
          <cell r="N111">
            <v>1.1484157231702639</v>
          </cell>
          <cell r="O111">
            <v>0.95328605816278744</v>
          </cell>
          <cell r="P111">
            <v>1.1584544789784585</v>
          </cell>
          <cell r="Q111">
            <v>1.0798814316068068</v>
          </cell>
          <cell r="R111">
            <v>1.3347526504802159</v>
          </cell>
          <cell r="S111">
            <v>1.2180405592141095</v>
          </cell>
          <cell r="T111">
            <v>1.4545541557864519</v>
          </cell>
          <cell r="U111">
            <v>1.5919339066571849</v>
          </cell>
          <cell r="V111">
            <v>1.8807485128843897</v>
          </cell>
          <cell r="W111">
            <v>1.5480612991307514</v>
          </cell>
          <cell r="X111">
            <v>1.8697821280954208</v>
          </cell>
        </row>
        <row r="112">
          <cell r="F112" t="str">
            <v>Debt Service Coverage</v>
          </cell>
          <cell r="I112" t="str">
            <v>x</v>
          </cell>
          <cell r="L112">
            <v>1.3024313344527083</v>
          </cell>
          <cell r="M112">
            <v>0.99199644326547076</v>
          </cell>
          <cell r="N112">
            <v>1.1484157231702639</v>
          </cell>
          <cell r="O112">
            <v>0.95328605816278744</v>
          </cell>
          <cell r="P112">
            <v>1.1584544789784585</v>
          </cell>
          <cell r="Q112">
            <v>1.0798814316068068</v>
          </cell>
          <cell r="R112">
            <v>1.3347526504802159</v>
          </cell>
          <cell r="S112">
            <v>1.2180405592141095</v>
          </cell>
          <cell r="T112">
            <v>1.4545541557864519</v>
          </cell>
          <cell r="U112">
            <v>1.5919339066571849</v>
          </cell>
          <cell r="V112">
            <v>1.8807485128843897</v>
          </cell>
          <cell r="W112">
            <v>1.5480612991307514</v>
          </cell>
          <cell r="X112">
            <v>1.8697821280954208</v>
          </cell>
        </row>
        <row r="114">
          <cell r="F114" t="str">
            <v>FFO Gross Interest Coverage</v>
          </cell>
          <cell r="I114" t="str">
            <v>x</v>
          </cell>
          <cell r="L114">
            <v>2.4072294094986826</v>
          </cell>
          <cell r="M114">
            <v>2.328587300449958</v>
          </cell>
          <cell r="N114">
            <v>2.4850065803547512</v>
          </cell>
          <cell r="O114">
            <v>2.4351589240157274</v>
          </cell>
          <cell r="P114">
            <v>2.6403273448313986</v>
          </cell>
          <cell r="Q114">
            <v>2.5225483137770128</v>
          </cell>
          <cell r="R114">
            <v>2.7774195326504221</v>
          </cell>
          <cell r="S114">
            <v>2.608944974994539</v>
          </cell>
          <cell r="T114">
            <v>2.8454585715668808</v>
          </cell>
          <cell r="U114">
            <v>2.8432002456211496</v>
          </cell>
          <cell r="V114">
            <v>3.1320148518483544</v>
          </cell>
          <cell r="W114">
            <v>2.8898668561367589</v>
          </cell>
          <cell r="X114">
            <v>3.2115876851014282</v>
          </cell>
        </row>
        <row r="115">
          <cell r="F115" t="str">
            <v>FFO Net Interest Coverage</v>
          </cell>
          <cell r="I115" t="str">
            <v>x</v>
          </cell>
          <cell r="L115">
            <v>2.4072294094986826</v>
          </cell>
          <cell r="M115">
            <v>2.328587300449958</v>
          </cell>
          <cell r="N115">
            <v>2.4850065803547512</v>
          </cell>
          <cell r="O115">
            <v>2.4351589240157274</v>
          </cell>
          <cell r="P115">
            <v>2.6403273448313986</v>
          </cell>
          <cell r="Q115">
            <v>2.5225483137770128</v>
          </cell>
          <cell r="R115">
            <v>2.7774195326504221</v>
          </cell>
          <cell r="S115">
            <v>2.608944974994539</v>
          </cell>
          <cell r="T115">
            <v>2.8454585715668808</v>
          </cell>
          <cell r="U115">
            <v>2.8432002456211496</v>
          </cell>
          <cell r="V115">
            <v>3.1320148518483544</v>
          </cell>
          <cell r="W115">
            <v>2.8898668561367589</v>
          </cell>
          <cell r="X115">
            <v>3.2115876851014282</v>
          </cell>
        </row>
        <row r="116">
          <cell r="F116" t="str">
            <v>Internal funding</v>
          </cell>
          <cell r="I116" t="str">
            <v>%</v>
          </cell>
          <cell r="L116">
            <v>1.1850877814091552</v>
          </cell>
          <cell r="M116">
            <v>0.96996660895087905</v>
          </cell>
          <cell r="N116">
            <v>1.0349966415546679</v>
          </cell>
          <cell r="O116">
            <v>0.96275114169963583</v>
          </cell>
          <cell r="P116">
            <v>1.0458041861464842</v>
          </cell>
          <cell r="Q116">
            <v>0.98919690811298389</v>
          </cell>
          <cell r="R116">
            <v>1.0531084170757274</v>
          </cell>
          <cell r="S116">
            <v>0.98028541619438292</v>
          </cell>
          <cell r="T116">
            <v>1.0488996311286751</v>
          </cell>
          <cell r="U116">
            <v>1.0379977339813753</v>
          </cell>
          <cell r="V116">
            <v>1.0692836106748294</v>
          </cell>
          <cell r="W116">
            <v>0.93671068548068992</v>
          </cell>
          <cell r="X116">
            <v>1.0671491750931121</v>
          </cell>
        </row>
        <row r="117">
          <cell r="F117" t="str">
            <v>Gearing (Total debt to Total debt + equity)</v>
          </cell>
          <cell r="I117" t="str">
            <v>%</v>
          </cell>
          <cell r="K117">
            <v>0.62962962962962965</v>
          </cell>
          <cell r="L117">
            <v>0.62214833772570666</v>
          </cell>
          <cell r="M117">
            <v>0.61415752453071337</v>
          </cell>
          <cell r="N117">
            <v>0.6066785762942507</v>
          </cell>
          <cell r="O117">
            <v>0.59792253029699671</v>
          </cell>
          <cell r="P117">
            <v>0.58968985564052356</v>
          </cell>
          <cell r="Q117">
            <v>0.58169895960451967</v>
          </cell>
          <cell r="R117">
            <v>0.57473560608601593</v>
          </cell>
          <cell r="S117">
            <v>0.56757005054690557</v>
          </cell>
          <cell r="T117">
            <v>0.56164455565954252</v>
          </cell>
          <cell r="U117">
            <v>0.5563529007264949</v>
          </cell>
          <cell r="V117">
            <v>0.55270537888811933</v>
          </cell>
          <cell r="W117">
            <v>0.54686923048632397</v>
          </cell>
          <cell r="X117">
            <v>0.5427234105540153</v>
          </cell>
        </row>
        <row r="118">
          <cell r="F118" t="str">
            <v>Gearing (Net debt to net debt + equity)</v>
          </cell>
          <cell r="I118" t="str">
            <v>%</v>
          </cell>
          <cell r="K118">
            <v>0.62962962962962965</v>
          </cell>
          <cell r="L118">
            <v>0.62166411279324574</v>
          </cell>
          <cell r="M118">
            <v>0.61391894707437478</v>
          </cell>
          <cell r="N118">
            <v>0.60617721085295251</v>
          </cell>
          <cell r="O118">
            <v>0.59782045233144554</v>
          </cell>
          <cell r="P118">
            <v>0.58918861142309931</v>
          </cell>
          <cell r="Q118">
            <v>0.58129020625928207</v>
          </cell>
          <cell r="R118">
            <v>0.57386738698037287</v>
          </cell>
          <cell r="S118">
            <v>0.56688482925865158</v>
          </cell>
          <cell r="T118">
            <v>0.56052247156652046</v>
          </cell>
          <cell r="U118">
            <v>0.55495522662847829</v>
          </cell>
          <cell r="V118">
            <v>0.55073284596102756</v>
          </cell>
          <cell r="W118">
            <v>0.54551267180681329</v>
          </cell>
          <cell r="X118">
            <v>0.54076625735156469</v>
          </cell>
        </row>
        <row r="119">
          <cell r="F119" t="str">
            <v>Gearing (Net debt to equity)</v>
          </cell>
          <cell r="I119" t="str">
            <v>%</v>
          </cell>
          <cell r="K119">
            <v>1.7000000000000004</v>
          </cell>
          <cell r="L119">
            <v>1.6431539640158874</v>
          </cell>
          <cell r="M119">
            <v>1.5901296953638393</v>
          </cell>
          <cell r="N119">
            <v>1.5392131373753875</v>
          </cell>
          <cell r="O119">
            <v>1.4864516502567735</v>
          </cell>
          <cell r="P119">
            <v>1.4342071028364585</v>
          </cell>
          <cell r="Q119">
            <v>1.3882890129368231</v>
          </cell>
          <cell r="R119">
            <v>1.3466873209113925</v>
          </cell>
          <cell r="S119">
            <v>1.3088547055240161</v>
          </cell>
          <cell r="T119">
            <v>1.2754291978579801</v>
          </cell>
          <cell r="U119">
            <v>1.246964934391452</v>
          </cell>
          <cell r="V119">
            <v>1.2258471179338726</v>
          </cell>
          <cell r="W119">
            <v>1.2002813675256856</v>
          </cell>
          <cell r="X119">
            <v>1.177540339768862</v>
          </cell>
        </row>
        <row r="120">
          <cell r="F120" t="str">
            <v>Gearing (Total debt to total Capital)</v>
          </cell>
          <cell r="I120" t="str">
            <v>%</v>
          </cell>
          <cell r="K120">
            <v>0.62962962962962965</v>
          </cell>
          <cell r="L120">
            <v>0.62214833772570666</v>
          </cell>
          <cell r="M120">
            <v>0.61415752453071337</v>
          </cell>
          <cell r="N120">
            <v>0.6066785762942507</v>
          </cell>
          <cell r="O120">
            <v>0.59792253029699671</v>
          </cell>
          <cell r="P120">
            <v>0.58968985564052356</v>
          </cell>
          <cell r="Q120">
            <v>0.58169895960451967</v>
          </cell>
          <cell r="R120">
            <v>0.57473560608601593</v>
          </cell>
          <cell r="S120">
            <v>0.56757005054690557</v>
          </cell>
          <cell r="T120">
            <v>0.56164455565954252</v>
          </cell>
          <cell r="U120">
            <v>0.5563529007264949</v>
          </cell>
          <cell r="V120">
            <v>0.55270537888811933</v>
          </cell>
          <cell r="W120">
            <v>0.54686923048632397</v>
          </cell>
          <cell r="X120">
            <v>0.5427234105540153</v>
          </cell>
        </row>
        <row r="121">
          <cell r="F121" t="str">
            <v>Gross debt payback period</v>
          </cell>
          <cell r="L121">
            <v>22.189420420953784</v>
          </cell>
          <cell r="M121">
            <v>23.502862766730868</v>
          </cell>
          <cell r="N121">
            <v>21.027250255441533</v>
          </cell>
          <cell r="O121">
            <v>21.757593861956575</v>
          </cell>
          <cell r="P121">
            <v>19.036203410549334</v>
          </cell>
          <cell r="Q121">
            <v>20.508777759987716</v>
          </cell>
          <cell r="R121">
            <v>17.567942977162144</v>
          </cell>
          <cell r="S121">
            <v>19.407503352439253</v>
          </cell>
          <cell r="T121">
            <v>16.920241655484467</v>
          </cell>
          <cell r="U121">
            <v>16.940972675258038</v>
          </cell>
          <cell r="V121">
            <v>14.646054162814908</v>
          </cell>
          <cell r="W121">
            <v>16.522648087457213</v>
          </cell>
          <cell r="X121">
            <v>14.119089741026807</v>
          </cell>
        </row>
        <row r="122">
          <cell r="F122" t="str">
            <v>Net debt payback period</v>
          </cell>
          <cell r="L122">
            <v>22.143772434808508</v>
          </cell>
          <cell r="M122">
            <v>23.47921490362905</v>
          </cell>
          <cell r="N122">
            <v>20.983126001432069</v>
          </cell>
          <cell r="O122">
            <v>21.748357988542839</v>
          </cell>
          <cell r="P122">
            <v>18.996815442148787</v>
          </cell>
          <cell r="Q122">
            <v>20.474359438045582</v>
          </cell>
          <cell r="R122">
            <v>17.505664587414174</v>
          </cell>
          <cell r="S122">
            <v>19.353405795804651</v>
          </cell>
          <cell r="T122">
            <v>16.843322635859828</v>
          </cell>
          <cell r="U122">
            <v>16.845343546956428</v>
          </cell>
          <cell r="V122">
            <v>14.529709480565705</v>
          </cell>
          <cell r="W122">
            <v>16.432467518715324</v>
          </cell>
          <cell r="X122">
            <v>14.008218431987101</v>
          </cell>
        </row>
        <row r="125">
          <cell r="B125">
            <v>2</v>
          </cell>
          <cell r="C125" t="str">
            <v>Profit and Loss</v>
          </cell>
        </row>
        <row r="126">
          <cell r="I126" t="str">
            <v>Period to :</v>
          </cell>
          <cell r="J126">
            <v>36891</v>
          </cell>
          <cell r="K126">
            <v>37072</v>
          </cell>
          <cell r="L126">
            <v>37256</v>
          </cell>
          <cell r="M126">
            <v>37437</v>
          </cell>
          <cell r="N126">
            <v>37621</v>
          </cell>
          <cell r="O126">
            <v>37802</v>
          </cell>
          <cell r="P126">
            <v>37986</v>
          </cell>
          <cell r="Q126">
            <v>38168</v>
          </cell>
          <cell r="R126">
            <v>38352</v>
          </cell>
          <cell r="S126">
            <v>38533</v>
          </cell>
          <cell r="T126">
            <v>38717</v>
          </cell>
          <cell r="U126">
            <v>38898</v>
          </cell>
          <cell r="V126">
            <v>39082</v>
          </cell>
          <cell r="W126">
            <v>39263</v>
          </cell>
          <cell r="X126">
            <v>39447</v>
          </cell>
        </row>
        <row r="128">
          <cell r="D128" t="str">
            <v>Revenue</v>
          </cell>
        </row>
        <row r="130">
          <cell r="F130" t="str">
            <v>Network revenue</v>
          </cell>
          <cell r="K130">
            <v>0</v>
          </cell>
          <cell r="L130">
            <v>73.708736381412066</v>
          </cell>
          <cell r="M130">
            <v>73.254220750036666</v>
          </cell>
          <cell r="N130">
            <v>76.244188943915702</v>
          </cell>
          <cell r="O130">
            <v>75.868497764134986</v>
          </cell>
          <cell r="P130">
            <v>78.96517114226296</v>
          </cell>
          <cell r="Q130">
            <v>78.370208034098255</v>
          </cell>
          <cell r="R130">
            <v>81.568992035490027</v>
          </cell>
          <cell r="S130">
            <v>80.484892171653897</v>
          </cell>
          <cell r="T130">
            <v>83.769989811313238</v>
          </cell>
          <cell r="U130">
            <v>85.706606855511737</v>
          </cell>
          <cell r="V130">
            <v>89.204835706757123</v>
          </cell>
          <cell r="W130">
            <v>87.957167434946442</v>
          </cell>
          <cell r="X130">
            <v>91.547255901678938</v>
          </cell>
        </row>
        <row r="131">
          <cell r="F131" t="str">
            <v>Regulatory capture revenue</v>
          </cell>
          <cell r="K131">
            <v>0</v>
          </cell>
          <cell r="L131">
            <v>-7.94700523997625E-2</v>
          </cell>
          <cell r="M131">
            <v>-8.2713728007916071E-2</v>
          </cell>
          <cell r="N131">
            <v>1.9221463867307467E-2</v>
          </cell>
          <cell r="O131">
            <v>2.000601341291185E-2</v>
          </cell>
          <cell r="P131">
            <v>0.73609880455490462</v>
          </cell>
          <cell r="Q131">
            <v>0.76614365372041093</v>
          </cell>
          <cell r="R131">
            <v>1.7289977885037713</v>
          </cell>
          <cell r="S131">
            <v>1.7289977885037713</v>
          </cell>
          <cell r="T131">
            <v>1.6611939536604861</v>
          </cell>
          <cell r="U131">
            <v>1.3080160549643833</v>
          </cell>
          <cell r="V131">
            <v>1.3614044653710928</v>
          </cell>
          <cell r="W131">
            <v>1.4402518499964141</v>
          </cell>
          <cell r="X131">
            <v>1.4990376397921863</v>
          </cell>
        </row>
        <row r="132">
          <cell r="F132" t="str">
            <v>Efficiency carryover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</row>
        <row r="134">
          <cell r="E134" t="str">
            <v>Total Network revenue ($m nominal)</v>
          </cell>
          <cell r="K134">
            <v>0</v>
          </cell>
          <cell r="L134">
            <v>73.62926632901231</v>
          </cell>
          <cell r="M134">
            <v>73.171507022028749</v>
          </cell>
          <cell r="N134">
            <v>76.263410407783013</v>
          </cell>
          <cell r="O134">
            <v>75.888503777547896</v>
          </cell>
          <cell r="P134">
            <v>79.70126994681786</v>
          </cell>
          <cell r="Q134">
            <v>79.13635168781866</v>
          </cell>
          <cell r="R134">
            <v>83.297989823993802</v>
          </cell>
          <cell r="S134">
            <v>82.213889960157672</v>
          </cell>
          <cell r="T134">
            <v>85.431183764973724</v>
          </cell>
          <cell r="U134">
            <v>87.01462291047612</v>
          </cell>
          <cell r="V134">
            <v>90.566240172128218</v>
          </cell>
          <cell r="W134">
            <v>89.397419284942856</v>
          </cell>
          <cell r="X134">
            <v>93.04629354147113</v>
          </cell>
        </row>
        <row r="136">
          <cell r="F136" t="str">
            <v>Customer contribution</v>
          </cell>
          <cell r="K136">
            <v>0</v>
          </cell>
          <cell r="L136">
            <v>0.7721864924938675</v>
          </cell>
          <cell r="M136">
            <v>0.78909978976227224</v>
          </cell>
          <cell r="N136">
            <v>0.78909978976227224</v>
          </cell>
          <cell r="O136">
            <v>0.86225485585656614</v>
          </cell>
          <cell r="P136">
            <v>0.86225485585656614</v>
          </cell>
          <cell r="Q136">
            <v>0.94273470409339355</v>
          </cell>
          <cell r="R136">
            <v>0.94273470409339355</v>
          </cell>
          <cell r="S136">
            <v>1.0042361620738434</v>
          </cell>
          <cell r="T136">
            <v>1.0042361620738434</v>
          </cell>
          <cell r="U136">
            <v>1.9823621839337671</v>
          </cell>
          <cell r="V136">
            <v>1.9823621839337671</v>
          </cell>
          <cell r="W136">
            <v>2.0814802931304559</v>
          </cell>
          <cell r="X136">
            <v>2.0814802931304559</v>
          </cell>
        </row>
        <row r="137">
          <cell r="F137" t="str">
            <v>Other revenue - new business initiative</v>
          </cell>
          <cell r="K137">
            <v>0</v>
          </cell>
          <cell r="L137">
            <v>2.9375239702329421</v>
          </cell>
          <cell r="M137">
            <v>3.0138995934589978</v>
          </cell>
          <cell r="N137">
            <v>3.0138995934589978</v>
          </cell>
          <cell r="O137">
            <v>3.0922609828889329</v>
          </cell>
          <cell r="P137">
            <v>3.0922609828889329</v>
          </cell>
          <cell r="Q137">
            <v>3.1726597684440447</v>
          </cell>
          <cell r="R137">
            <v>3.1726597684440447</v>
          </cell>
          <cell r="S137">
            <v>3.2551489224235901</v>
          </cell>
          <cell r="T137">
            <v>3.2551489224235901</v>
          </cell>
          <cell r="U137">
            <v>3.4179063685447697</v>
          </cell>
          <cell r="V137">
            <v>3.4179063685447697</v>
          </cell>
          <cell r="W137">
            <v>3.5888016869720083</v>
          </cell>
          <cell r="X137">
            <v>3.5888016869720083</v>
          </cell>
        </row>
        <row r="138">
          <cell r="F138" t="str">
            <v>Meter reading</v>
          </cell>
          <cell r="K138">
            <v>0</v>
          </cell>
          <cell r="L138">
            <v>1.6087218593622241</v>
          </cell>
          <cell r="M138">
            <v>1.6505486277056416</v>
          </cell>
          <cell r="N138">
            <v>1.6505486277056416</v>
          </cell>
          <cell r="O138">
            <v>1.6934628920259889</v>
          </cell>
          <cell r="P138">
            <v>1.6934628920259889</v>
          </cell>
          <cell r="Q138">
            <v>1.7374929272186641</v>
          </cell>
          <cell r="R138">
            <v>1.7374929272186641</v>
          </cell>
          <cell r="S138">
            <v>1.7826677433263498</v>
          </cell>
          <cell r="T138">
            <v>1.7826677433263498</v>
          </cell>
          <cell r="U138">
            <v>1.8718011304926674</v>
          </cell>
          <cell r="V138">
            <v>1.8718011304926674</v>
          </cell>
          <cell r="W138">
            <v>1.9653911870173009</v>
          </cell>
          <cell r="X138">
            <v>1.9653911870173009</v>
          </cell>
        </row>
        <row r="139">
          <cell r="F139" t="str">
            <v>Public lighting</v>
          </cell>
          <cell r="K139">
            <v>0</v>
          </cell>
          <cell r="L139">
            <v>0.47189174541291906</v>
          </cell>
          <cell r="M139">
            <v>0.48416093079365485</v>
          </cell>
          <cell r="N139">
            <v>0.48416093079365485</v>
          </cell>
          <cell r="O139">
            <v>0.49674911499429003</v>
          </cell>
          <cell r="P139">
            <v>0.49674911499429003</v>
          </cell>
          <cell r="Q139">
            <v>0.50966459198414149</v>
          </cell>
          <cell r="R139">
            <v>0.50966459198414149</v>
          </cell>
          <cell r="S139">
            <v>0.52291587137572926</v>
          </cell>
          <cell r="T139">
            <v>0.52291587137572926</v>
          </cell>
          <cell r="U139">
            <v>0.54906166494451569</v>
          </cell>
          <cell r="V139">
            <v>0.54906166494451569</v>
          </cell>
          <cell r="W139">
            <v>0.57651474819174153</v>
          </cell>
          <cell r="X139">
            <v>0.57651474819174153</v>
          </cell>
        </row>
        <row r="141">
          <cell r="E141" t="str">
            <v>Other revenue</v>
          </cell>
          <cell r="K141">
            <v>0</v>
          </cell>
          <cell r="L141">
            <v>5.7903240675019534</v>
          </cell>
          <cell r="M141">
            <v>5.9377089417205662</v>
          </cell>
          <cell r="N141">
            <v>5.9377089417205662</v>
          </cell>
          <cell r="O141">
            <v>6.1447278457657779</v>
          </cell>
          <cell r="P141">
            <v>6.1447278457657779</v>
          </cell>
          <cell r="Q141">
            <v>6.3625519917402444</v>
          </cell>
          <cell r="R141">
            <v>6.3625519917402444</v>
          </cell>
          <cell r="S141">
            <v>6.564968699199512</v>
          </cell>
          <cell r="T141">
            <v>6.564968699199512</v>
          </cell>
          <cell r="U141">
            <v>7.8211313479157187</v>
          </cell>
          <cell r="V141">
            <v>7.8211313479157187</v>
          </cell>
          <cell r="W141">
            <v>8.2121879153115067</v>
          </cell>
          <cell r="X141">
            <v>8.2121879153115067</v>
          </cell>
        </row>
        <row r="143">
          <cell r="E143" t="str">
            <v>Total Revenue ($m nominal)</v>
          </cell>
          <cell r="K143">
            <v>0</v>
          </cell>
          <cell r="L143">
            <v>79.419590396514266</v>
          </cell>
          <cell r="M143">
            <v>79.109215963749321</v>
          </cell>
          <cell r="N143">
            <v>82.201119349503585</v>
          </cell>
          <cell r="O143">
            <v>82.033231623313668</v>
          </cell>
          <cell r="P143">
            <v>85.845997792583631</v>
          </cell>
          <cell r="Q143">
            <v>85.498903679558907</v>
          </cell>
          <cell r="R143">
            <v>89.660541815734049</v>
          </cell>
          <cell r="S143">
            <v>88.778858659357184</v>
          </cell>
          <cell r="T143">
            <v>91.996152464173235</v>
          </cell>
          <cell r="U143">
            <v>94.835754258391844</v>
          </cell>
          <cell r="V143">
            <v>98.387371520043942</v>
          </cell>
          <cell r="W143">
            <v>97.609607200254359</v>
          </cell>
          <cell r="X143">
            <v>101.25848145678263</v>
          </cell>
        </row>
        <row r="145">
          <cell r="D145" t="str">
            <v>Operating Costs</v>
          </cell>
        </row>
        <row r="147">
          <cell r="E147" t="str">
            <v>Cost of Sales</v>
          </cell>
          <cell r="K147">
            <v>0</v>
          </cell>
          <cell r="L147">
            <v>-13.758672848791157</v>
          </cell>
          <cell r="M147">
            <v>-13.56281409412013</v>
          </cell>
          <cell r="N147">
            <v>-14.116398342859727</v>
          </cell>
          <cell r="O147">
            <v>-13.915447260567253</v>
          </cell>
          <cell r="P147">
            <v>-14.483424699774082</v>
          </cell>
          <cell r="Q147">
            <v>-14.277248889342003</v>
          </cell>
          <cell r="R147">
            <v>-14.859993741968209</v>
          </cell>
          <cell r="S147">
            <v>-14.364395028401042</v>
          </cell>
          <cell r="T147">
            <v>-14.950696866294962</v>
          </cell>
          <cell r="U147">
            <v>-14.457666084093402</v>
          </cell>
          <cell r="V147">
            <v>-15.047774903852316</v>
          </cell>
          <cell r="W147">
            <v>-14.819107736195736</v>
          </cell>
          <cell r="X147">
            <v>-15.423969276448624</v>
          </cell>
        </row>
        <row r="148">
          <cell r="E148" t="str">
            <v>Operating and Maintenance</v>
          </cell>
          <cell r="K148">
            <v>0</v>
          </cell>
          <cell r="L148">
            <v>-26.251459542134029</v>
          </cell>
          <cell r="M148">
            <v>-25.170714628351291</v>
          </cell>
          <cell r="N148">
            <v>-25.170714628351291</v>
          </cell>
          <cell r="O148">
            <v>-25.236298859874601</v>
          </cell>
          <cell r="P148">
            <v>-25.236298859874601</v>
          </cell>
          <cell r="Q148">
            <v>-26.252217878312337</v>
          </cell>
          <cell r="R148">
            <v>-26.252217878312337</v>
          </cell>
          <cell r="S148">
            <v>-26.698399396858129</v>
          </cell>
          <cell r="T148">
            <v>-26.698399396858129</v>
          </cell>
          <cell r="U148">
            <v>-26.896207964636645</v>
          </cell>
          <cell r="V148">
            <v>-26.896207964636645</v>
          </cell>
          <cell r="W148">
            <v>-27.519872683031998</v>
          </cell>
          <cell r="X148">
            <v>-27.519872683031998</v>
          </cell>
        </row>
        <row r="149">
          <cell r="E149" t="str">
            <v>Operating synergies</v>
          </cell>
          <cell r="K149">
            <v>0</v>
          </cell>
          <cell r="L149">
            <v>2.2679973326246938</v>
          </cell>
          <cell r="M149">
            <v>0.23467466935660397</v>
          </cell>
          <cell r="N149">
            <v>0.23467466935660397</v>
          </cell>
          <cell r="O149">
            <v>-0.15528140192906648</v>
          </cell>
          <cell r="P149">
            <v>-0.15528140192906648</v>
          </cell>
          <cell r="Q149">
            <v>0.47457313952256541</v>
          </cell>
          <cell r="R149">
            <v>0.47457313952256541</v>
          </cell>
          <cell r="S149">
            <v>0.60019999594398854</v>
          </cell>
          <cell r="T149">
            <v>0.60019999594398854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</row>
        <row r="150">
          <cell r="E150" t="str">
            <v>Additional Agility charges</v>
          </cell>
          <cell r="K150">
            <v>0</v>
          </cell>
          <cell r="L150">
            <v>-2.5</v>
          </cell>
          <cell r="M150">
            <v>-2.5</v>
          </cell>
          <cell r="N150">
            <v>-2.546875</v>
          </cell>
          <cell r="O150">
            <v>-2.546875</v>
          </cell>
          <cell r="P150">
            <v>-2.5946289062500001</v>
          </cell>
          <cell r="Q150">
            <v>-2.5946289062500001</v>
          </cell>
          <cell r="R150">
            <v>-2.643278198242188</v>
          </cell>
          <cell r="S150">
            <v>-2.643278198242188</v>
          </cell>
          <cell r="T150">
            <v>-2.6928396644592287</v>
          </cell>
          <cell r="U150">
            <v>-2.6928396644592287</v>
          </cell>
          <cell r="V150">
            <v>-2.7433304081678394</v>
          </cell>
          <cell r="W150">
            <v>-2.7433304081678394</v>
          </cell>
          <cell r="X150">
            <v>-2.7947678533209865</v>
          </cell>
        </row>
        <row r="151">
          <cell r="E151" t="str">
            <v>Standalone operating costs</v>
          </cell>
          <cell r="K151">
            <v>0</v>
          </cell>
          <cell r="L151">
            <v>-0.89449999999999996</v>
          </cell>
          <cell r="M151">
            <v>-0.91775699999999993</v>
          </cell>
          <cell r="N151">
            <v>-0.91775699999999993</v>
          </cell>
          <cell r="O151">
            <v>-0.94161868199999998</v>
          </cell>
          <cell r="P151">
            <v>-0.94161868199999998</v>
          </cell>
          <cell r="Q151">
            <v>-0.96610076773200004</v>
          </cell>
          <cell r="R151">
            <v>-0.96610076773200004</v>
          </cell>
          <cell r="S151">
            <v>-0.99121938769303208</v>
          </cell>
          <cell r="T151">
            <v>-0.99121938769303208</v>
          </cell>
          <cell r="U151">
            <v>-1.0159998723853578</v>
          </cell>
          <cell r="V151">
            <v>-1.0159998723853578</v>
          </cell>
          <cell r="W151">
            <v>-1.0413998691949917</v>
          </cell>
          <cell r="X151">
            <v>-1.0413998691949917</v>
          </cell>
        </row>
        <row r="153">
          <cell r="E153" t="str">
            <v>Total Operating Costs ($m nominal)</v>
          </cell>
          <cell r="K153">
            <v>0</v>
          </cell>
          <cell r="L153">
            <v>-41.136635058300492</v>
          </cell>
          <cell r="M153">
            <v>-41.916611053114814</v>
          </cell>
          <cell r="N153">
            <v>-42.51707030185441</v>
          </cell>
          <cell r="O153">
            <v>-42.795521204370921</v>
          </cell>
          <cell r="P153">
            <v>-43.411252549827751</v>
          </cell>
          <cell r="Q153">
            <v>-43.615623302113782</v>
          </cell>
          <cell r="R153">
            <v>-44.247017446732173</v>
          </cell>
          <cell r="S153">
            <v>-44.097092015250396</v>
          </cell>
          <cell r="T153">
            <v>-44.732955319361359</v>
          </cell>
          <cell r="U153">
            <v>-45.062713585574635</v>
          </cell>
          <cell r="V153">
            <v>-45.703313149042152</v>
          </cell>
          <cell r="W153">
            <v>-46.123710696590564</v>
          </cell>
          <cell r="X153">
            <v>-46.780009681996596</v>
          </cell>
        </row>
        <row r="156">
          <cell r="D156" t="str">
            <v>EBITDA</v>
          </cell>
          <cell r="K156">
            <v>0</v>
          </cell>
          <cell r="L156">
            <v>38.282955338213775</v>
          </cell>
          <cell r="M156">
            <v>37.192604910634508</v>
          </cell>
          <cell r="N156">
            <v>39.684049047649175</v>
          </cell>
          <cell r="O156">
            <v>39.237710418942747</v>
          </cell>
          <cell r="P156">
            <v>42.434745242755881</v>
          </cell>
          <cell r="Q156">
            <v>41.883280377445125</v>
          </cell>
          <cell r="R156">
            <v>45.413524369001877</v>
          </cell>
          <cell r="S156">
            <v>44.681766644106787</v>
          </cell>
          <cell r="T156">
            <v>47.263197144811876</v>
          </cell>
          <cell r="U156">
            <v>49.77304067281721</v>
          </cell>
          <cell r="V156">
            <v>52.68405837100179</v>
          </cell>
          <cell r="W156">
            <v>51.485896503663795</v>
          </cell>
          <cell r="X156">
            <v>54.478471774786037</v>
          </cell>
        </row>
        <row r="158">
          <cell r="D158" t="str">
            <v>Depreciation &amp; Amortisation</v>
          </cell>
        </row>
        <row r="160">
          <cell r="E160" t="str">
            <v>Depreciation (Existimg Assets)</v>
          </cell>
          <cell r="K160">
            <v>0</v>
          </cell>
          <cell r="L160">
            <v>-4.7118875262719548</v>
          </cell>
          <cell r="M160">
            <v>-5.1793288839228859</v>
          </cell>
          <cell r="N160">
            <v>-5.1793288839228859</v>
          </cell>
          <cell r="O160">
            <v>-5.5865153589650722</v>
          </cell>
          <cell r="P160">
            <v>-5.5865153589650722</v>
          </cell>
          <cell r="Q160">
            <v>-6.0489218585602931</v>
          </cell>
          <cell r="R160">
            <v>-6.0489218585602931</v>
          </cell>
          <cell r="S160">
            <v>-6.5220059639850714</v>
          </cell>
          <cell r="T160">
            <v>-6.5220059639850714</v>
          </cell>
          <cell r="U160">
            <v>-6.9715020233694913</v>
          </cell>
          <cell r="V160">
            <v>-6.9715020233694913</v>
          </cell>
          <cell r="W160">
            <v>-7.4136284637647956</v>
          </cell>
          <cell r="X160">
            <v>-7.4136284637647956</v>
          </cell>
        </row>
        <row r="161">
          <cell r="E161" t="str">
            <v>Depreciation (Revaluation)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</row>
        <row r="162">
          <cell r="E162" t="str">
            <v>Amortisation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</row>
        <row r="164">
          <cell r="E164" t="str">
            <v>Total D&amp;A ($m nominal)</v>
          </cell>
          <cell r="K164">
            <v>0</v>
          </cell>
          <cell r="L164">
            <v>-4.7118875262719548</v>
          </cell>
          <cell r="M164">
            <v>-5.1793288839228859</v>
          </cell>
          <cell r="N164">
            <v>-5.1793288839228859</v>
          </cell>
          <cell r="O164">
            <v>-5.5865153589650722</v>
          </cell>
          <cell r="P164">
            <v>-5.5865153589650722</v>
          </cell>
          <cell r="Q164">
            <v>-6.0489218585602931</v>
          </cell>
          <cell r="R164">
            <v>-6.0489218585602931</v>
          </cell>
          <cell r="S164">
            <v>-6.5220059639850714</v>
          </cell>
          <cell r="T164">
            <v>-6.5220059639850714</v>
          </cell>
          <cell r="U164">
            <v>-6.9715020233694913</v>
          </cell>
          <cell r="V164">
            <v>-6.9715020233694913</v>
          </cell>
          <cell r="W164">
            <v>-7.4136284637647956</v>
          </cell>
          <cell r="X164">
            <v>-7.4136284637647956</v>
          </cell>
        </row>
        <row r="167">
          <cell r="D167" t="str">
            <v>EBIT</v>
          </cell>
          <cell r="K167">
            <v>0</v>
          </cell>
          <cell r="L167">
            <v>33.571067811941816</v>
          </cell>
          <cell r="M167">
            <v>32.013276026711623</v>
          </cell>
          <cell r="N167">
            <v>34.50472016372629</v>
          </cell>
          <cell r="O167">
            <v>33.651195059977674</v>
          </cell>
          <cell r="P167">
            <v>36.848229883790808</v>
          </cell>
          <cell r="Q167">
            <v>35.834358518884834</v>
          </cell>
          <cell r="R167">
            <v>39.364602510441586</v>
          </cell>
          <cell r="S167">
            <v>38.159760680121714</v>
          </cell>
          <cell r="T167">
            <v>40.741191180826803</v>
          </cell>
          <cell r="U167">
            <v>42.801538649447721</v>
          </cell>
          <cell r="V167">
            <v>45.712556347632301</v>
          </cell>
          <cell r="W167">
            <v>44.072268039899001</v>
          </cell>
          <cell r="X167">
            <v>47.064843311021242</v>
          </cell>
        </row>
        <row r="169">
          <cell r="E169" t="str">
            <v>Interest Expense</v>
          </cell>
          <cell r="K169">
            <v>0</v>
          </cell>
          <cell r="L169">
            <v>-15.828652777777778</v>
          </cell>
          <cell r="M169">
            <v>-15.828652777777778</v>
          </cell>
          <cell r="N169">
            <v>-15.828652777777778</v>
          </cell>
          <cell r="O169">
            <v>-15.828652777777778</v>
          </cell>
          <cell r="P169">
            <v>-15.828652777777778</v>
          </cell>
          <cell r="Q169">
            <v>-15.828652777777778</v>
          </cell>
          <cell r="R169">
            <v>-15.828652777777778</v>
          </cell>
          <cell r="S169">
            <v>-15.828652777777778</v>
          </cell>
          <cell r="T169">
            <v>-15.828652777777778</v>
          </cell>
          <cell r="U169">
            <v>-15.828652777777778</v>
          </cell>
          <cell r="V169">
            <v>-15.828652777777778</v>
          </cell>
          <cell r="W169">
            <v>-15.828652777777778</v>
          </cell>
          <cell r="X169">
            <v>-15.828652777777778</v>
          </cell>
        </row>
        <row r="171">
          <cell r="D171" t="str">
            <v>Profit before Tax</v>
          </cell>
          <cell r="K171">
            <v>0</v>
          </cell>
          <cell r="L171">
            <v>17.74241503416404</v>
          </cell>
          <cell r="M171">
            <v>16.184623248933846</v>
          </cell>
          <cell r="N171">
            <v>18.676067385948514</v>
          </cell>
          <cell r="O171">
            <v>17.822542282199898</v>
          </cell>
          <cell r="P171">
            <v>21.019577106013031</v>
          </cell>
          <cell r="Q171">
            <v>20.005705741107057</v>
          </cell>
          <cell r="R171">
            <v>23.535949732663809</v>
          </cell>
          <cell r="S171">
            <v>22.331107902343938</v>
          </cell>
          <cell r="T171">
            <v>24.912538403049027</v>
          </cell>
          <cell r="U171">
            <v>26.972885871669945</v>
          </cell>
          <cell r="V171">
            <v>29.883903569854525</v>
          </cell>
          <cell r="W171">
            <v>28.243615262121224</v>
          </cell>
          <cell r="X171">
            <v>31.236190533243466</v>
          </cell>
        </row>
        <row r="173">
          <cell r="E173" t="str">
            <v>Tax Expense</v>
          </cell>
          <cell r="K173">
            <v>0</v>
          </cell>
          <cell r="L173">
            <v>-6.2356902334924786</v>
          </cell>
          <cell r="M173">
            <v>-5.8589231826351478</v>
          </cell>
          <cell r="N173">
            <v>-6.6063564237395482</v>
          </cell>
          <cell r="O173">
            <v>-6.4291945140849212</v>
          </cell>
          <cell r="P173">
            <v>-7.3883049612288607</v>
          </cell>
          <cell r="Q173">
            <v>-7.1737384926340537</v>
          </cell>
          <cell r="R173">
            <v>-8.2328116901010784</v>
          </cell>
          <cell r="S173">
            <v>-7.9630229530243648</v>
          </cell>
          <cell r="T173">
            <v>-8.7374521032358921</v>
          </cell>
          <cell r="U173">
            <v>-9.4426497841181796</v>
          </cell>
          <cell r="V173">
            <v>-10.315955093573553</v>
          </cell>
          <cell r="W173">
            <v>-9.9095341191951256</v>
          </cell>
          <cell r="X173">
            <v>-10.807306700531798</v>
          </cell>
        </row>
        <row r="175">
          <cell r="D175" t="str">
            <v>Profit After Tax</v>
          </cell>
          <cell r="K175">
            <v>0</v>
          </cell>
          <cell r="L175">
            <v>11.506724800671561</v>
          </cell>
          <cell r="M175">
            <v>10.325700066298698</v>
          </cell>
          <cell r="N175">
            <v>12.069710962208966</v>
          </cell>
          <cell r="O175">
            <v>11.393347768114976</v>
          </cell>
          <cell r="P175">
            <v>13.63127214478417</v>
          </cell>
          <cell r="Q175">
            <v>12.831967248473003</v>
          </cell>
          <cell r="R175">
            <v>15.303138042562731</v>
          </cell>
          <cell r="S175">
            <v>14.368084949319574</v>
          </cell>
          <cell r="T175">
            <v>16.175086299813135</v>
          </cell>
          <cell r="U175">
            <v>17.530236087551764</v>
          </cell>
          <cell r="V175">
            <v>19.567948476280971</v>
          </cell>
          <cell r="W175">
            <v>18.334081142926099</v>
          </cell>
          <cell r="X175">
            <v>20.428883832711669</v>
          </cell>
        </row>
        <row r="177">
          <cell r="E177" t="str">
            <v>Retained Earinings carried forward</v>
          </cell>
          <cell r="K177">
            <v>0</v>
          </cell>
          <cell r="L177">
            <v>0</v>
          </cell>
          <cell r="M177">
            <v>9.4395721863501478</v>
          </cell>
          <cell r="N177">
            <v>19.776037934127569</v>
          </cell>
          <cell r="O177">
            <v>29.697071187715949</v>
          </cell>
          <cell r="P177">
            <v>41.627588382986076</v>
          </cell>
          <cell r="Q177">
            <v>53.168156585282944</v>
          </cell>
          <cell r="R177">
            <v>64.682212935866247</v>
          </cell>
          <cell r="S177">
            <v>74.976751092897587</v>
          </cell>
          <cell r="T177">
            <v>85.833932803528668</v>
          </cell>
          <cell r="U177">
            <v>95.021455347052495</v>
          </cell>
          <cell r="V177">
            <v>103.39162807248287</v>
          </cell>
          <cell r="W177">
            <v>109.25447650530114</v>
          </cell>
          <cell r="X177">
            <v>118.79789482710656</v>
          </cell>
        </row>
        <row r="178">
          <cell r="E178" t="str">
            <v>Provision for Dividend</v>
          </cell>
          <cell r="K178">
            <v>0</v>
          </cell>
          <cell r="L178">
            <v>-2.0671526143214134</v>
          </cell>
          <cell r="M178">
            <v>1.0765681478724698E-2</v>
          </cell>
          <cell r="N178">
            <v>-2.1486777086205859</v>
          </cell>
          <cell r="O178">
            <v>0.53716942715514637</v>
          </cell>
          <cell r="P178">
            <v>-2.0907039424872997</v>
          </cell>
          <cell r="Q178">
            <v>-1.3179108978897076</v>
          </cell>
          <cell r="R178">
            <v>-5.0085998855314005</v>
          </cell>
          <cell r="S178">
            <v>-3.5109032386885</v>
          </cell>
          <cell r="T178">
            <v>-6.98756375628931</v>
          </cell>
          <cell r="U178">
            <v>-9.1600633621213916</v>
          </cell>
          <cell r="V178">
            <v>-13.705100043462711</v>
          </cell>
          <cell r="W178">
            <v>-8.7906628211206748</v>
          </cell>
          <cell r="X178">
            <v>-13.524845321957377</v>
          </cell>
        </row>
        <row r="179">
          <cell r="E179" t="str">
            <v>Retained Earnings at end of period</v>
          </cell>
          <cell r="J179">
            <v>0</v>
          </cell>
          <cell r="K179">
            <v>0</v>
          </cell>
          <cell r="L179">
            <v>9.4395721863501478</v>
          </cell>
          <cell r="M179">
            <v>19.776037934127569</v>
          </cell>
          <cell r="N179">
            <v>29.697071187715949</v>
          </cell>
          <cell r="O179">
            <v>41.627588382986076</v>
          </cell>
          <cell r="P179">
            <v>53.168156585282944</v>
          </cell>
          <cell r="Q179">
            <v>64.682212935866247</v>
          </cell>
          <cell r="R179">
            <v>74.976751092897587</v>
          </cell>
          <cell r="S179">
            <v>85.833932803528668</v>
          </cell>
          <cell r="T179">
            <v>95.021455347052495</v>
          </cell>
          <cell r="U179">
            <v>103.39162807248287</v>
          </cell>
          <cell r="V179">
            <v>109.25447650530114</v>
          </cell>
          <cell r="W179">
            <v>118.79789482710656</v>
          </cell>
          <cell r="X179">
            <v>125.70193333786085</v>
          </cell>
        </row>
        <row r="183">
          <cell r="B183">
            <v>3</v>
          </cell>
          <cell r="C183" t="str">
            <v>Cash Flow Statement</v>
          </cell>
        </row>
        <row r="184">
          <cell r="I184" t="str">
            <v>Period to :</v>
          </cell>
          <cell r="J184">
            <v>37071</v>
          </cell>
          <cell r="K184">
            <v>37072</v>
          </cell>
          <cell r="L184">
            <v>37256</v>
          </cell>
          <cell r="M184">
            <v>37437</v>
          </cell>
          <cell r="N184">
            <v>37621</v>
          </cell>
          <cell r="O184">
            <v>37802</v>
          </cell>
          <cell r="P184">
            <v>37986</v>
          </cell>
          <cell r="Q184">
            <v>38168</v>
          </cell>
          <cell r="R184">
            <v>38352</v>
          </cell>
          <cell r="S184">
            <v>38533</v>
          </cell>
          <cell r="T184">
            <v>38717</v>
          </cell>
          <cell r="U184">
            <v>38898</v>
          </cell>
          <cell r="V184">
            <v>39082</v>
          </cell>
          <cell r="W184">
            <v>39263</v>
          </cell>
          <cell r="X184">
            <v>39447</v>
          </cell>
        </row>
        <row r="186">
          <cell r="D186" t="str">
            <v>Operating Cash Flows</v>
          </cell>
          <cell r="K186" t="str">
            <v>* Cash flow for this period has been pro rataed based on transaction date</v>
          </cell>
        </row>
        <row r="187">
          <cell r="K187" t="str">
            <v>* The consolidation scenarios do not link to the VE cash flow statement</v>
          </cell>
        </row>
        <row r="188">
          <cell r="E188" t="str">
            <v>Revenue</v>
          </cell>
          <cell r="K188">
            <v>0</v>
          </cell>
          <cell r="L188">
            <v>79.419590396514266</v>
          </cell>
          <cell r="M188">
            <v>79.109215963749321</v>
          </cell>
          <cell r="N188">
            <v>82.201119349503585</v>
          </cell>
          <cell r="O188">
            <v>82.033231623313668</v>
          </cell>
          <cell r="P188">
            <v>85.845997792583631</v>
          </cell>
          <cell r="Q188">
            <v>85.498903679558907</v>
          </cell>
          <cell r="R188">
            <v>89.660541815734049</v>
          </cell>
          <cell r="S188">
            <v>88.778858659357184</v>
          </cell>
          <cell r="T188">
            <v>91.996152464173235</v>
          </cell>
          <cell r="U188">
            <v>94.835754258391844</v>
          </cell>
          <cell r="V188">
            <v>98.387371520043942</v>
          </cell>
          <cell r="W188">
            <v>97.609607200254359</v>
          </cell>
          <cell r="X188">
            <v>101.25848145678263</v>
          </cell>
        </row>
        <row r="189">
          <cell r="E189" t="str">
            <v>Operating Costs</v>
          </cell>
          <cell r="K189">
            <v>0</v>
          </cell>
          <cell r="L189">
            <v>-41.136635058300492</v>
          </cell>
          <cell r="M189">
            <v>-41.916611053114814</v>
          </cell>
          <cell r="N189">
            <v>-42.51707030185441</v>
          </cell>
          <cell r="O189">
            <v>-42.795521204370921</v>
          </cell>
          <cell r="P189">
            <v>-43.411252549827751</v>
          </cell>
          <cell r="Q189">
            <v>-43.615623302113782</v>
          </cell>
          <cell r="R189">
            <v>-44.247017446732173</v>
          </cell>
          <cell r="S189">
            <v>-44.097092015250396</v>
          </cell>
          <cell r="T189">
            <v>-44.732955319361359</v>
          </cell>
          <cell r="U189">
            <v>-45.062713585574635</v>
          </cell>
          <cell r="V189">
            <v>-45.703313149042152</v>
          </cell>
          <cell r="W189">
            <v>-46.123710696590564</v>
          </cell>
          <cell r="X189">
            <v>-46.780009681996596</v>
          </cell>
        </row>
        <row r="190">
          <cell r="E190" t="str">
            <v>Change in Working Capital</v>
          </cell>
          <cell r="K190">
            <v>0</v>
          </cell>
          <cell r="L190">
            <v>-2.2199279678504844</v>
          </cell>
          <cell r="M190">
            <v>0.11591983905938275</v>
          </cell>
          <cell r="N190">
            <v>-0.20054324020430681</v>
          </cell>
          <cell r="O190">
            <v>4.6349635065404904E-2</v>
          </cell>
          <cell r="P190">
            <v>-0.26151728334440794</v>
          </cell>
          <cell r="Q190">
            <v>5.3495453593757958E-2</v>
          </cell>
          <cell r="R190">
            <v>-0.29008358536074041</v>
          </cell>
          <cell r="S190">
            <v>5.9614935415865489E-2</v>
          </cell>
          <cell r="T190">
            <v>-0.20741614435034794</v>
          </cell>
          <cell r="U190">
            <v>-0.20945291374870489</v>
          </cell>
          <cell r="V190">
            <v>-0.23596235152843636</v>
          </cell>
          <cell r="W190">
            <v>0.11559081624221346</v>
          </cell>
          <cell r="X190">
            <v>-0.24263397598167202</v>
          </cell>
        </row>
        <row r="191">
          <cell r="E191" t="str">
            <v>Tax Paid</v>
          </cell>
          <cell r="K191">
            <v>0</v>
          </cell>
          <cell r="L191">
            <v>-0.17975685880409023</v>
          </cell>
          <cell r="M191">
            <v>-0.3342050690692201</v>
          </cell>
          <cell r="N191">
            <v>-0.3497427367208833</v>
          </cell>
          <cell r="O191">
            <v>-0.69242535199085464</v>
          </cell>
          <cell r="P191">
            <v>-0.64192048174773919</v>
          </cell>
          <cell r="Q191">
            <v>-1.9547390034999581</v>
          </cell>
          <cell r="R191">
            <v>-1.4507149684605154</v>
          </cell>
          <cell r="S191">
            <v>-3.3856825185901056</v>
          </cell>
          <cell r="T191">
            <v>-2.2234214219281796</v>
          </cell>
          <cell r="U191">
            <v>-4.7690112071875372</v>
          </cell>
          <cell r="V191">
            <v>-3.108482786251078</v>
          </cell>
          <cell r="W191">
            <v>-5.7431974638667489</v>
          </cell>
          <cell r="X191">
            <v>-3.6433654419284096</v>
          </cell>
        </row>
        <row r="193">
          <cell r="E193" t="str">
            <v>Total Operating Cash Flow</v>
          </cell>
          <cell r="K193">
            <v>0</v>
          </cell>
          <cell r="L193">
            <v>35.883270511559196</v>
          </cell>
          <cell r="M193">
            <v>36.974319680624667</v>
          </cell>
          <cell r="N193">
            <v>39.133763070723987</v>
          </cell>
          <cell r="O193">
            <v>38.591634702017295</v>
          </cell>
          <cell r="P193">
            <v>41.531307477663731</v>
          </cell>
          <cell r="Q193">
            <v>39.982036827538927</v>
          </cell>
          <cell r="R193">
            <v>43.67272581518062</v>
          </cell>
          <cell r="S193">
            <v>41.355699060932544</v>
          </cell>
          <cell r="T193">
            <v>44.83235957853335</v>
          </cell>
          <cell r="U193">
            <v>44.794576551880965</v>
          </cell>
          <cell r="V193">
            <v>49.339613233222273</v>
          </cell>
          <cell r="W193">
            <v>45.858289856039256</v>
          </cell>
          <cell r="X193">
            <v>50.592472356875959</v>
          </cell>
        </row>
        <row r="195">
          <cell r="D195" t="str">
            <v>Investing Cash Flows</v>
          </cell>
        </row>
        <row r="197">
          <cell r="E197" t="str">
            <v>Capital Expenditure</v>
          </cell>
          <cell r="K197">
            <v>0</v>
          </cell>
          <cell r="L197">
            <v>-17.487465119460005</v>
          </cell>
          <cell r="M197">
            <v>-21.156432584325618</v>
          </cell>
          <cell r="N197">
            <v>-21.156432584325618</v>
          </cell>
          <cell r="O197">
            <v>-23.456051054396656</v>
          </cell>
          <cell r="P197">
            <v>-23.456051054396656</v>
          </cell>
          <cell r="Q197">
            <v>-22.83547315187144</v>
          </cell>
          <cell r="R197">
            <v>-22.83547315187144</v>
          </cell>
          <cell r="S197">
            <v>-22.016143044466265</v>
          </cell>
          <cell r="T197">
            <v>-22.016143044466265</v>
          </cell>
          <cell r="U197">
            <v>-19.80586041198179</v>
          </cell>
          <cell r="V197">
            <v>-19.80586041198179</v>
          </cell>
          <cell r="W197">
            <v>-21.2389742571408</v>
          </cell>
          <cell r="X197">
            <v>-21.2389742571408</v>
          </cell>
        </row>
        <row r="199">
          <cell r="E199" t="str">
            <v>Total Investing Cash Flow</v>
          </cell>
          <cell r="K199">
            <v>0</v>
          </cell>
          <cell r="L199">
            <v>-17.487465119460005</v>
          </cell>
          <cell r="M199">
            <v>-21.156432584325618</v>
          </cell>
          <cell r="N199">
            <v>-21.156432584325618</v>
          </cell>
          <cell r="O199">
            <v>-23.456051054396656</v>
          </cell>
          <cell r="P199">
            <v>-23.456051054396656</v>
          </cell>
          <cell r="Q199">
            <v>-22.83547315187144</v>
          </cell>
          <cell r="R199">
            <v>-22.83547315187144</v>
          </cell>
          <cell r="S199">
            <v>-22.016143044466265</v>
          </cell>
          <cell r="T199">
            <v>-22.016143044466265</v>
          </cell>
          <cell r="U199">
            <v>-19.80586041198179</v>
          </cell>
          <cell r="V199">
            <v>-19.80586041198179</v>
          </cell>
          <cell r="W199">
            <v>-21.2389742571408</v>
          </cell>
          <cell r="X199">
            <v>-21.2389742571408</v>
          </cell>
        </row>
        <row r="201">
          <cell r="D201" t="str">
            <v>Financing Cash Flows</v>
          </cell>
        </row>
        <row r="203">
          <cell r="E203" t="str">
            <v>Interest Paid</v>
          </cell>
          <cell r="K203">
            <v>0</v>
          </cell>
          <cell r="L203">
            <v>-15.828652777777778</v>
          </cell>
          <cell r="M203">
            <v>-15.828652777777778</v>
          </cell>
          <cell r="N203">
            <v>-15.828652777777778</v>
          </cell>
          <cell r="O203">
            <v>-15.828652777777778</v>
          </cell>
          <cell r="P203">
            <v>-15.828652777777778</v>
          </cell>
          <cell r="Q203">
            <v>-15.828652777777778</v>
          </cell>
          <cell r="R203">
            <v>-15.828652777777778</v>
          </cell>
          <cell r="S203">
            <v>-15.828652777777778</v>
          </cell>
          <cell r="T203">
            <v>-15.828652777777778</v>
          </cell>
          <cell r="U203">
            <v>-15.828652777777778</v>
          </cell>
          <cell r="V203">
            <v>-15.828652777777778</v>
          </cell>
          <cell r="W203">
            <v>-15.828652777777778</v>
          </cell>
          <cell r="X203">
            <v>-15.828652777777778</v>
          </cell>
        </row>
        <row r="204">
          <cell r="E204" t="str">
            <v>Drawdown (repayment) of debt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</row>
        <row r="205">
          <cell r="E205" t="str">
            <v>Dividends Paid</v>
          </cell>
          <cell r="K205">
            <v>0</v>
          </cell>
          <cell r="L205">
            <v>-1.55036446074106</v>
          </cell>
          <cell r="M205">
            <v>-0.50871389247130983</v>
          </cell>
          <cell r="N205">
            <v>-1.6088168610957583</v>
          </cell>
          <cell r="O205">
            <v>-0.1342923567887867</v>
          </cell>
          <cell r="P205">
            <v>-1.4337356000766881</v>
          </cell>
          <cell r="Q205">
            <v>-1.5111091590391057</v>
          </cell>
          <cell r="R205">
            <v>-4.0859276386209773</v>
          </cell>
          <cell r="S205">
            <v>-3.8853274003992251</v>
          </cell>
          <cell r="T205">
            <v>-6.1183986268891069</v>
          </cell>
          <cell r="U205">
            <v>-8.6169384606633717</v>
          </cell>
          <cell r="V205">
            <v>-12.568840873127382</v>
          </cell>
          <cell r="W205">
            <v>-10.019272126706184</v>
          </cell>
          <cell r="X205">
            <v>-12.341299696748202</v>
          </cell>
        </row>
        <row r="206">
          <cell r="E206" t="str">
            <v>Contribution (return) of equity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</row>
        <row r="208">
          <cell r="E208" t="str">
            <v>Total Financing Cash Flow</v>
          </cell>
          <cell r="K208">
            <v>0</v>
          </cell>
          <cell r="L208">
            <v>-17.379017238518838</v>
          </cell>
          <cell r="M208">
            <v>-16.337366670249089</v>
          </cell>
          <cell r="N208">
            <v>-17.437469638873537</v>
          </cell>
          <cell r="O208">
            <v>-15.962945134566565</v>
          </cell>
          <cell r="P208">
            <v>-17.262388377854467</v>
          </cell>
          <cell r="Q208">
            <v>-17.339761936816885</v>
          </cell>
          <cell r="R208">
            <v>-19.914580416398756</v>
          </cell>
          <cell r="S208">
            <v>-19.713980178177003</v>
          </cell>
          <cell r="T208">
            <v>-21.947051404666887</v>
          </cell>
          <cell r="U208">
            <v>-24.44559123844115</v>
          </cell>
          <cell r="V208">
            <v>-28.397493650905162</v>
          </cell>
          <cell r="W208">
            <v>-25.847924904483961</v>
          </cell>
          <cell r="X208">
            <v>-28.169952474525978</v>
          </cell>
        </row>
        <row r="210">
          <cell r="E210" t="str">
            <v>Net Cash Flow</v>
          </cell>
          <cell r="K210">
            <v>0</v>
          </cell>
          <cell r="L210">
            <v>1.0167881535803538</v>
          </cell>
          <cell r="M210">
            <v>-0.51947957395003996</v>
          </cell>
          <cell r="N210">
            <v>0.53986084752483166</v>
          </cell>
          <cell r="O210">
            <v>-0.82736148694592693</v>
          </cell>
          <cell r="P210">
            <v>0.81286804541260693</v>
          </cell>
          <cell r="Q210">
            <v>-0.19319826114939787</v>
          </cell>
          <cell r="R210">
            <v>0.92267224691042315</v>
          </cell>
          <cell r="S210">
            <v>-0.37442416171072423</v>
          </cell>
          <cell r="T210">
            <v>0.86916512940019786</v>
          </cell>
          <cell r="U210">
            <v>0.54312490145802528</v>
          </cell>
          <cell r="V210">
            <v>1.1362591703353218</v>
          </cell>
          <cell r="W210">
            <v>-1.2286093055855041</v>
          </cell>
          <cell r="X210">
            <v>1.1835456252091809</v>
          </cell>
        </row>
        <row r="213">
          <cell r="B213">
            <v>4</v>
          </cell>
          <cell r="C213" t="str">
            <v>Balance Sheet</v>
          </cell>
        </row>
        <row r="214">
          <cell r="I214" t="str">
            <v>Period to :</v>
          </cell>
          <cell r="J214">
            <v>37071</v>
          </cell>
          <cell r="K214">
            <v>37072</v>
          </cell>
          <cell r="L214">
            <v>37256</v>
          </cell>
          <cell r="M214">
            <v>37437</v>
          </cell>
          <cell r="N214">
            <v>37621</v>
          </cell>
          <cell r="O214">
            <v>37802</v>
          </cell>
          <cell r="P214">
            <v>37986</v>
          </cell>
          <cell r="Q214">
            <v>38168</v>
          </cell>
          <cell r="R214">
            <v>38352</v>
          </cell>
          <cell r="S214">
            <v>38533</v>
          </cell>
          <cell r="T214">
            <v>38717</v>
          </cell>
          <cell r="U214">
            <v>38898</v>
          </cell>
          <cell r="V214">
            <v>39082</v>
          </cell>
          <cell r="W214">
            <v>39263</v>
          </cell>
          <cell r="X214">
            <v>39447</v>
          </cell>
        </row>
        <row r="216">
          <cell r="D216" t="str">
            <v>Assets</v>
          </cell>
        </row>
        <row r="218">
          <cell r="E218" t="str">
            <v>Cash</v>
          </cell>
          <cell r="J218">
            <v>0</v>
          </cell>
          <cell r="K218">
            <v>0</v>
          </cell>
          <cell r="L218">
            <v>1.0167881535803538</v>
          </cell>
          <cell r="M218">
            <v>0.49730857963031383</v>
          </cell>
          <cell r="N218">
            <v>1.0371694271551455</v>
          </cell>
          <cell r="O218">
            <v>0.20980794020921856</v>
          </cell>
          <cell r="P218">
            <v>1.0226759856218255</v>
          </cell>
          <cell r="Q218">
            <v>0.82947772447242762</v>
          </cell>
          <cell r="R218">
            <v>1.7521499713828508</v>
          </cell>
          <cell r="S218">
            <v>1.3777258096721265</v>
          </cell>
          <cell r="T218">
            <v>2.2468909390723244</v>
          </cell>
          <cell r="U218">
            <v>2.7900158405303497</v>
          </cell>
          <cell r="V218">
            <v>3.9262750108656714</v>
          </cell>
          <cell r="W218">
            <v>2.6976657052801674</v>
          </cell>
          <cell r="X218">
            <v>3.8812113304893483</v>
          </cell>
        </row>
        <row r="219">
          <cell r="E219" t="str">
            <v>Debtors</v>
          </cell>
          <cell r="J219">
            <v>0</v>
          </cell>
          <cell r="K219">
            <v>0</v>
          </cell>
          <cell r="L219">
            <v>6.9095043644967404</v>
          </cell>
          <cell r="M219">
            <v>6.8825017888461906</v>
          </cell>
          <cell r="N219">
            <v>7.1514973834068112</v>
          </cell>
          <cell r="O219">
            <v>7.1368911512282889</v>
          </cell>
          <cell r="P219">
            <v>7.4686018079547756</v>
          </cell>
          <cell r="Q219">
            <v>7.4384046201216245</v>
          </cell>
          <cell r="R219">
            <v>7.8004671379688615</v>
          </cell>
          <cell r="S219">
            <v>7.7237607033640741</v>
          </cell>
          <cell r="T219">
            <v>8.0036652643830717</v>
          </cell>
          <cell r="U219">
            <v>8.2507106204800902</v>
          </cell>
          <cell r="V219">
            <v>8.5597013222438232</v>
          </cell>
          <cell r="W219">
            <v>8.4920358264221285</v>
          </cell>
          <cell r="X219">
            <v>8.8094878867400883</v>
          </cell>
        </row>
        <row r="220">
          <cell r="E220" t="str">
            <v>Unbilled Electricity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</row>
        <row r="221">
          <cell r="E221" t="str">
            <v>Inventory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</row>
        <row r="222">
          <cell r="E222" t="str">
            <v>Prepayment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</row>
        <row r="224">
          <cell r="E224" t="str">
            <v>Total Current Assets</v>
          </cell>
          <cell r="J224">
            <v>0</v>
          </cell>
          <cell r="K224">
            <v>0</v>
          </cell>
          <cell r="L224">
            <v>7.9262925180770942</v>
          </cell>
          <cell r="M224">
            <v>7.3798103684765044</v>
          </cell>
          <cell r="N224">
            <v>8.1886668105619567</v>
          </cell>
          <cell r="O224">
            <v>7.3466990914375074</v>
          </cell>
          <cell r="P224">
            <v>8.4912777935766002</v>
          </cell>
          <cell r="Q224">
            <v>8.267882344594053</v>
          </cell>
          <cell r="R224">
            <v>9.5526171093517114</v>
          </cell>
          <cell r="S224">
            <v>9.1014865130361997</v>
          </cell>
          <cell r="T224">
            <v>10.250556203455396</v>
          </cell>
          <cell r="U224">
            <v>11.04072646101044</v>
          </cell>
          <cell r="V224">
            <v>12.485976333109495</v>
          </cell>
          <cell r="W224">
            <v>11.189701531702296</v>
          </cell>
          <cell r="X224">
            <v>12.690699217229437</v>
          </cell>
        </row>
        <row r="226">
          <cell r="E226" t="str">
            <v>Property Plant &amp; Equipment</v>
          </cell>
          <cell r="J226">
            <v>455.06925613508218</v>
          </cell>
          <cell r="K226">
            <v>455.06925613508218</v>
          </cell>
          <cell r="L226">
            <v>467.84483372827026</v>
          </cell>
          <cell r="M226">
            <v>483.82193742867298</v>
          </cell>
          <cell r="N226">
            <v>499.7990411290757</v>
          </cell>
          <cell r="O226">
            <v>517.66857682450734</v>
          </cell>
          <cell r="P226">
            <v>535.53811251993898</v>
          </cell>
          <cell r="Q226">
            <v>552.32466381325003</v>
          </cell>
          <cell r="R226">
            <v>569.11121510656108</v>
          </cell>
          <cell r="S226">
            <v>584.60535218704229</v>
          </cell>
          <cell r="T226">
            <v>600.0994892675235</v>
          </cell>
          <cell r="U226">
            <v>612.93384765613587</v>
          </cell>
          <cell r="V226">
            <v>625.76820604474824</v>
          </cell>
          <cell r="W226">
            <v>639.59355183812431</v>
          </cell>
          <cell r="X226">
            <v>653.41889763150039</v>
          </cell>
        </row>
        <row r="227">
          <cell r="E227" t="str">
            <v>Licence Fees</v>
          </cell>
          <cell r="J227">
            <v>329.93074386491782</v>
          </cell>
          <cell r="K227">
            <v>329.93074386491782</v>
          </cell>
          <cell r="L227">
            <v>329.93074386491782</v>
          </cell>
          <cell r="M227">
            <v>329.93074386491782</v>
          </cell>
          <cell r="N227">
            <v>329.93074386491782</v>
          </cell>
          <cell r="O227">
            <v>329.93074386491782</v>
          </cell>
          <cell r="P227">
            <v>329.93074386491782</v>
          </cell>
          <cell r="Q227">
            <v>329.93074386491782</v>
          </cell>
          <cell r="R227">
            <v>329.93074386491782</v>
          </cell>
          <cell r="S227">
            <v>329.93074386491782</v>
          </cell>
          <cell r="T227">
            <v>329.93074386491782</v>
          </cell>
          <cell r="U227">
            <v>329.93074386491782</v>
          </cell>
          <cell r="V227">
            <v>329.93074386491782</v>
          </cell>
          <cell r="W227">
            <v>329.93074386491782</v>
          </cell>
          <cell r="X227">
            <v>329.93074386491782</v>
          </cell>
        </row>
        <row r="228">
          <cell r="E228" t="str">
            <v>Deferred Tax Asset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</row>
        <row r="230">
          <cell r="E230" t="str">
            <v>Total Non-Current Assets</v>
          </cell>
          <cell r="J230">
            <v>785</v>
          </cell>
          <cell r="K230">
            <v>785</v>
          </cell>
          <cell r="L230">
            <v>797.77557759318802</v>
          </cell>
          <cell r="M230">
            <v>813.75268129359074</v>
          </cell>
          <cell r="N230">
            <v>829.72978499399346</v>
          </cell>
          <cell r="O230">
            <v>847.59932068942521</v>
          </cell>
          <cell r="P230">
            <v>865.46885638485674</v>
          </cell>
          <cell r="Q230">
            <v>882.25540767816778</v>
          </cell>
          <cell r="R230">
            <v>899.04195897147883</v>
          </cell>
          <cell r="S230">
            <v>914.53609605196016</v>
          </cell>
          <cell r="T230">
            <v>930.03023313244125</v>
          </cell>
          <cell r="U230">
            <v>942.86459152105363</v>
          </cell>
          <cell r="V230">
            <v>955.698949909666</v>
          </cell>
          <cell r="W230">
            <v>969.52429570304207</v>
          </cell>
          <cell r="X230">
            <v>983.34964149641814</v>
          </cell>
        </row>
        <row r="232">
          <cell r="E232" t="str">
            <v>Total Assets</v>
          </cell>
          <cell r="J232">
            <v>785</v>
          </cell>
          <cell r="K232">
            <v>785</v>
          </cell>
          <cell r="L232">
            <v>805.70187011126507</v>
          </cell>
          <cell r="M232">
            <v>821.1324916620672</v>
          </cell>
          <cell r="N232">
            <v>837.91845180455539</v>
          </cell>
          <cell r="O232">
            <v>854.94601978086268</v>
          </cell>
          <cell r="P232">
            <v>873.96013417843335</v>
          </cell>
          <cell r="Q232">
            <v>890.52329002276178</v>
          </cell>
          <cell r="R232">
            <v>908.59457608083051</v>
          </cell>
          <cell r="S232">
            <v>923.63758256499636</v>
          </cell>
          <cell r="T232">
            <v>940.28078933589666</v>
          </cell>
          <cell r="U232">
            <v>953.90531798206405</v>
          </cell>
          <cell r="V232">
            <v>968.18492624277553</v>
          </cell>
          <cell r="W232">
            <v>980.7139972347444</v>
          </cell>
          <cell r="X232">
            <v>996.04034071364754</v>
          </cell>
        </row>
        <row r="234">
          <cell r="D234" t="str">
            <v>Liabilities</v>
          </cell>
        </row>
        <row r="236">
          <cell r="E236" t="str">
            <v>Creditors</v>
          </cell>
          <cell r="J236">
            <v>0</v>
          </cell>
          <cell r="K236">
            <v>0</v>
          </cell>
          <cell r="L236">
            <v>4.689576396646256</v>
          </cell>
          <cell r="M236">
            <v>4.7784936600550889</v>
          </cell>
          <cell r="N236">
            <v>4.8469460144114027</v>
          </cell>
          <cell r="O236">
            <v>4.8786894172982853</v>
          </cell>
          <cell r="P236">
            <v>4.9488827906803641</v>
          </cell>
          <cell r="Q236">
            <v>4.972181056440971</v>
          </cell>
          <cell r="R236">
            <v>5.0441599889274675</v>
          </cell>
          <cell r="S236">
            <v>5.0270684897385456</v>
          </cell>
          <cell r="T236">
            <v>5.0995569064071953</v>
          </cell>
          <cell r="U236">
            <v>5.1371493487555089</v>
          </cell>
          <cell r="V236">
            <v>5.2101776989908055</v>
          </cell>
          <cell r="W236">
            <v>5.2581030194113243</v>
          </cell>
          <cell r="X236">
            <v>5.3329211037476121</v>
          </cell>
        </row>
        <row r="237">
          <cell r="E237" t="str">
            <v>Provision for Taxation</v>
          </cell>
          <cell r="J237">
            <v>0</v>
          </cell>
          <cell r="K237">
            <v>0</v>
          </cell>
          <cell r="L237">
            <v>0.53927057641227072</v>
          </cell>
          <cell r="M237">
            <v>0.17132064262443669</v>
          </cell>
          <cell r="N237">
            <v>0.5352662822893397</v>
          </cell>
          <cell r="O237">
            <v>0.29028248202910023</v>
          </cell>
          <cell r="P237">
            <v>1.0549139991559162</v>
          </cell>
          <cell r="Q237">
            <v>0.76879233440619865</v>
          </cell>
          <cell r="R237">
            <v>2.0457679021629493</v>
          </cell>
          <cell r="S237">
            <v>1.3558683842148063</v>
          </cell>
          <cell r="T237">
            <v>2.602659113140116</v>
          </cell>
          <cell r="U237">
            <v>1.8788547483003031</v>
          </cell>
          <cell r="V237">
            <v>3.6888841138523238</v>
          </cell>
          <cell r="W237">
            <v>2.3242751672725079</v>
          </cell>
          <cell r="X237">
            <v>3.9572708239677041</v>
          </cell>
        </row>
        <row r="238">
          <cell r="E238" t="str">
            <v>Provision for Return to Shareholders</v>
          </cell>
          <cell r="J238">
            <v>0</v>
          </cell>
          <cell r="K238">
            <v>0</v>
          </cell>
          <cell r="L238">
            <v>0.51678815358035335</v>
          </cell>
          <cell r="M238">
            <v>-2.6914203696811745E-3</v>
          </cell>
          <cell r="N238">
            <v>0.53716942715514637</v>
          </cell>
          <cell r="O238">
            <v>-0.1342923567887867</v>
          </cell>
          <cell r="P238">
            <v>0.52267598562182482</v>
          </cell>
          <cell r="Q238">
            <v>0.32947772447242674</v>
          </cell>
          <cell r="R238">
            <v>1.2521499713828499</v>
          </cell>
          <cell r="S238">
            <v>0.87772580967212477</v>
          </cell>
          <cell r="T238">
            <v>1.746890939072328</v>
          </cell>
          <cell r="U238">
            <v>2.2900158405303479</v>
          </cell>
          <cell r="V238">
            <v>3.4262750108656768</v>
          </cell>
          <cell r="W238">
            <v>2.1976657052801674</v>
          </cell>
          <cell r="X238">
            <v>3.381211330489343</v>
          </cell>
        </row>
        <row r="239">
          <cell r="E239" t="str">
            <v>Total Borrowings</v>
          </cell>
          <cell r="J239">
            <v>494.2592592592593</v>
          </cell>
          <cell r="K239">
            <v>494.2592592592593</v>
          </cell>
          <cell r="L239">
            <v>494.2592592592593</v>
          </cell>
          <cell r="M239">
            <v>494.2592592592593</v>
          </cell>
          <cell r="N239">
            <v>494.2592592592593</v>
          </cell>
          <cell r="O239">
            <v>494.2592592592593</v>
          </cell>
          <cell r="P239">
            <v>494.2592592592593</v>
          </cell>
          <cell r="Q239">
            <v>494.2592592592593</v>
          </cell>
          <cell r="R239">
            <v>494.2592592592593</v>
          </cell>
          <cell r="S239">
            <v>494.2592592592593</v>
          </cell>
          <cell r="T239">
            <v>494.2592592592593</v>
          </cell>
          <cell r="U239">
            <v>494.2592592592593</v>
          </cell>
          <cell r="V239">
            <v>494.2592592592593</v>
          </cell>
          <cell r="W239">
            <v>494.2592592592593</v>
          </cell>
          <cell r="X239">
            <v>494.2592592592593</v>
          </cell>
        </row>
        <row r="240">
          <cell r="E240" t="str">
            <v>Deferred Tax Liability</v>
          </cell>
          <cell r="J240">
            <v>0</v>
          </cell>
          <cell r="K240">
            <v>0</v>
          </cell>
          <cell r="L240">
            <v>5.5166627982761183</v>
          </cell>
          <cell r="M240">
            <v>11.409330845629881</v>
          </cell>
          <cell r="N240">
            <v>17.301998892983644</v>
          </cell>
          <cell r="O240">
            <v>23.28375185533795</v>
          </cell>
          <cell r="P240">
            <v>29.265504817692257</v>
          </cell>
          <cell r="Q240">
            <v>34.770625971576067</v>
          </cell>
          <cell r="R240">
            <v>40.27574712545988</v>
          </cell>
          <cell r="S240">
            <v>45.542987077842284</v>
          </cell>
          <cell r="T240">
            <v>50.810227030224688</v>
          </cell>
          <cell r="U240">
            <v>56.207669971995145</v>
          </cell>
          <cell r="V240">
            <v>61.605112913765602</v>
          </cell>
          <cell r="W240">
            <v>67.136058515673795</v>
          </cell>
          <cell r="X240">
            <v>72.667004117581982</v>
          </cell>
        </row>
        <row r="242">
          <cell r="E242" t="str">
            <v>Total Liabilities</v>
          </cell>
          <cell r="J242">
            <v>494.2592592592593</v>
          </cell>
          <cell r="K242">
            <v>494.2592592592593</v>
          </cell>
          <cell r="L242">
            <v>505.5215571841743</v>
          </cell>
          <cell r="M242">
            <v>510.615712987199</v>
          </cell>
          <cell r="N242">
            <v>517.48063987609885</v>
          </cell>
          <cell r="O242">
            <v>522.5776906571358</v>
          </cell>
          <cell r="P242">
            <v>530.0512368524096</v>
          </cell>
          <cell r="Q242">
            <v>535.10033634615502</v>
          </cell>
          <cell r="R242">
            <v>542.87708424719244</v>
          </cell>
          <cell r="S242">
            <v>547.06290902072703</v>
          </cell>
          <cell r="T242">
            <v>554.51859324810368</v>
          </cell>
          <cell r="U242">
            <v>559.77294916884057</v>
          </cell>
          <cell r="V242">
            <v>568.18970899673377</v>
          </cell>
          <cell r="W242">
            <v>571.17536166689706</v>
          </cell>
          <cell r="X242">
            <v>579.59766663504593</v>
          </cell>
        </row>
        <row r="244">
          <cell r="D244" t="str">
            <v>Shareholders Equity</v>
          </cell>
        </row>
        <row r="246">
          <cell r="E246" t="str">
            <v>Shareholders capital</v>
          </cell>
          <cell r="J246">
            <v>290.7407407407407</v>
          </cell>
          <cell r="K246">
            <v>290.7407407407407</v>
          </cell>
          <cell r="L246">
            <v>290.7407407407407</v>
          </cell>
          <cell r="M246">
            <v>290.7407407407407</v>
          </cell>
          <cell r="N246">
            <v>290.7407407407407</v>
          </cell>
          <cell r="O246">
            <v>290.7407407407407</v>
          </cell>
          <cell r="P246">
            <v>290.7407407407407</v>
          </cell>
          <cell r="Q246">
            <v>290.7407407407407</v>
          </cell>
          <cell r="R246">
            <v>290.7407407407407</v>
          </cell>
          <cell r="S246">
            <v>290.7407407407407</v>
          </cell>
          <cell r="T246">
            <v>290.7407407407407</v>
          </cell>
          <cell r="U246">
            <v>290.7407407407407</v>
          </cell>
          <cell r="V246">
            <v>290.7407407407407</v>
          </cell>
          <cell r="W246">
            <v>290.7407407407407</v>
          </cell>
          <cell r="X246">
            <v>290.7407407407407</v>
          </cell>
        </row>
        <row r="247">
          <cell r="E247" t="str">
            <v>Reserves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</row>
        <row r="248">
          <cell r="E248" t="str">
            <v>Retained Profits</v>
          </cell>
          <cell r="J248">
            <v>0</v>
          </cell>
          <cell r="K248">
            <v>0</v>
          </cell>
          <cell r="L248">
            <v>9.4395721863501478</v>
          </cell>
          <cell r="M248">
            <v>19.776037934127569</v>
          </cell>
          <cell r="N248">
            <v>29.697071187715949</v>
          </cell>
          <cell r="O248">
            <v>41.627588382986076</v>
          </cell>
          <cell r="P248">
            <v>53.168156585282944</v>
          </cell>
          <cell r="Q248">
            <v>64.682212935866247</v>
          </cell>
          <cell r="R248">
            <v>74.976751092897587</v>
          </cell>
          <cell r="S248">
            <v>85.833932803528668</v>
          </cell>
          <cell r="T248">
            <v>95.021455347052495</v>
          </cell>
          <cell r="U248">
            <v>103.39162807248287</v>
          </cell>
          <cell r="V248">
            <v>109.25447650530114</v>
          </cell>
          <cell r="W248">
            <v>118.79789482710656</v>
          </cell>
          <cell r="X248">
            <v>125.70193333786085</v>
          </cell>
        </row>
        <row r="250">
          <cell r="E250" t="str">
            <v>Total Equity</v>
          </cell>
          <cell r="J250">
            <v>290.7407407407407</v>
          </cell>
          <cell r="K250">
            <v>290.7407407407407</v>
          </cell>
          <cell r="L250">
            <v>300.18031292709088</v>
          </cell>
          <cell r="M250">
            <v>310.51677867486825</v>
          </cell>
          <cell r="N250">
            <v>320.43781192845665</v>
          </cell>
          <cell r="O250">
            <v>332.36832912372677</v>
          </cell>
          <cell r="P250">
            <v>343.90889732602363</v>
          </cell>
          <cell r="Q250">
            <v>355.42295367660694</v>
          </cell>
          <cell r="R250">
            <v>365.71749183363829</v>
          </cell>
          <cell r="S250">
            <v>376.57467354426939</v>
          </cell>
          <cell r="T250">
            <v>385.7621960877932</v>
          </cell>
          <cell r="U250">
            <v>394.13236881322359</v>
          </cell>
          <cell r="V250">
            <v>399.99521724604188</v>
          </cell>
          <cell r="W250">
            <v>409.53863556784728</v>
          </cell>
          <cell r="X250">
            <v>416.44267407860156</v>
          </cell>
        </row>
        <row r="252">
          <cell r="E252" t="str">
            <v>Balance</v>
          </cell>
          <cell r="J252" t="str">
            <v>ok</v>
          </cell>
          <cell r="K252" t="str">
            <v>ok</v>
          </cell>
          <cell r="L252" t="str">
            <v>ok</v>
          </cell>
          <cell r="M252" t="str">
            <v>ok</v>
          </cell>
          <cell r="N252" t="str">
            <v>ok</v>
          </cell>
          <cell r="O252" t="str">
            <v>ok</v>
          </cell>
          <cell r="P252" t="str">
            <v>ok</v>
          </cell>
          <cell r="Q252" t="str">
            <v>ok</v>
          </cell>
          <cell r="R252" t="str">
            <v>ok</v>
          </cell>
          <cell r="S252" t="str">
            <v>ok</v>
          </cell>
          <cell r="T252" t="str">
            <v>ok</v>
          </cell>
          <cell r="U252" t="str">
            <v>ok</v>
          </cell>
          <cell r="V252" t="str">
            <v>ok</v>
          </cell>
          <cell r="W252" t="str">
            <v>ok</v>
          </cell>
          <cell r="X252" t="str">
            <v>ok</v>
          </cell>
        </row>
        <row r="255">
          <cell r="B255">
            <v>5</v>
          </cell>
          <cell r="C255" t="str">
            <v>Calculations</v>
          </cell>
        </row>
        <row r="256">
          <cell r="I256" t="str">
            <v>Period to :</v>
          </cell>
          <cell r="J256">
            <v>36891</v>
          </cell>
          <cell r="K256">
            <v>37072</v>
          </cell>
          <cell r="L256">
            <v>37256</v>
          </cell>
          <cell r="M256">
            <v>37437</v>
          </cell>
          <cell r="N256">
            <v>37621</v>
          </cell>
          <cell r="O256">
            <v>37802</v>
          </cell>
          <cell r="P256">
            <v>37986</v>
          </cell>
          <cell r="Q256">
            <v>38168</v>
          </cell>
          <cell r="R256">
            <v>38352</v>
          </cell>
          <cell r="S256">
            <v>38533</v>
          </cell>
          <cell r="T256">
            <v>38717</v>
          </cell>
          <cell r="U256">
            <v>38898</v>
          </cell>
          <cell r="V256">
            <v>39082</v>
          </cell>
          <cell r="W256">
            <v>39263</v>
          </cell>
          <cell r="X256">
            <v>39447</v>
          </cell>
        </row>
        <row r="259">
          <cell r="C259" t="str">
            <v>A)</v>
          </cell>
          <cell r="D259" t="str">
            <v>Tangible Asset Schedule</v>
          </cell>
        </row>
        <row r="261">
          <cell r="D261" t="str">
            <v>Accounting Asset Base</v>
          </cell>
        </row>
        <row r="262">
          <cell r="E262" t="str">
            <v>Opening Asset Value</v>
          </cell>
          <cell r="K262">
            <v>455.06925613508218</v>
          </cell>
          <cell r="L262">
            <v>455.06925613508218</v>
          </cell>
          <cell r="M262">
            <v>467.84483372827026</v>
          </cell>
          <cell r="N262">
            <v>483.82193742867298</v>
          </cell>
          <cell r="O262">
            <v>499.7990411290757</v>
          </cell>
          <cell r="P262">
            <v>517.66857682450734</v>
          </cell>
          <cell r="Q262">
            <v>535.53811251993898</v>
          </cell>
          <cell r="R262">
            <v>552.32466381325003</v>
          </cell>
          <cell r="S262">
            <v>569.11121510656108</v>
          </cell>
          <cell r="T262">
            <v>584.60535218704229</v>
          </cell>
          <cell r="U262">
            <v>600.0994892675235</v>
          </cell>
          <cell r="V262">
            <v>612.93384765613587</v>
          </cell>
          <cell r="W262">
            <v>625.76820604474824</v>
          </cell>
          <cell r="X262">
            <v>639.59355183812431</v>
          </cell>
        </row>
        <row r="263">
          <cell r="E263" t="str">
            <v>Accounting Depreciation</v>
          </cell>
          <cell r="K263">
            <v>0</v>
          </cell>
          <cell r="L263">
            <v>4.7118875262719548</v>
          </cell>
          <cell r="M263">
            <v>5.1793288839228859</v>
          </cell>
          <cell r="N263">
            <v>5.1793288839228859</v>
          </cell>
          <cell r="O263">
            <v>5.5865153589650722</v>
          </cell>
          <cell r="P263">
            <v>5.5865153589650722</v>
          </cell>
          <cell r="Q263">
            <v>6.0489218585602931</v>
          </cell>
          <cell r="R263">
            <v>6.0489218585602931</v>
          </cell>
          <cell r="S263">
            <v>6.5220059639850714</v>
          </cell>
          <cell r="T263">
            <v>6.5220059639850714</v>
          </cell>
          <cell r="U263">
            <v>6.9715020233694913</v>
          </cell>
          <cell r="V263">
            <v>6.9715020233694913</v>
          </cell>
          <cell r="W263">
            <v>7.4136284637647956</v>
          </cell>
          <cell r="X263">
            <v>7.4136284637647956</v>
          </cell>
        </row>
        <row r="264">
          <cell r="E264" t="str">
            <v>Gross Capital Expenditure</v>
          </cell>
          <cell r="K264">
            <v>0</v>
          </cell>
          <cell r="L264">
            <v>17.487465119460005</v>
          </cell>
          <cell r="M264">
            <v>21.156432584325618</v>
          </cell>
          <cell r="N264">
            <v>21.156432584325618</v>
          </cell>
          <cell r="O264">
            <v>23.456051054396656</v>
          </cell>
          <cell r="P264">
            <v>23.456051054396656</v>
          </cell>
          <cell r="Q264">
            <v>22.83547315187144</v>
          </cell>
          <cell r="R264">
            <v>22.83547315187144</v>
          </cell>
          <cell r="S264">
            <v>22.016143044466265</v>
          </cell>
          <cell r="T264">
            <v>22.016143044466265</v>
          </cell>
          <cell r="U264">
            <v>19.80586041198179</v>
          </cell>
          <cell r="V264">
            <v>19.80586041198179</v>
          </cell>
          <cell r="W264">
            <v>21.2389742571408</v>
          </cell>
          <cell r="X264">
            <v>21.2389742571408</v>
          </cell>
        </row>
        <row r="265">
          <cell r="E265" t="str">
            <v>Closing Asset Value</v>
          </cell>
          <cell r="K265">
            <v>455.06925613508218</v>
          </cell>
          <cell r="L265">
            <v>467.84483372827026</v>
          </cell>
          <cell r="M265">
            <v>483.82193742867298</v>
          </cell>
          <cell r="N265">
            <v>499.7990411290757</v>
          </cell>
          <cell r="O265">
            <v>517.66857682450734</v>
          </cell>
          <cell r="P265">
            <v>535.53811251993898</v>
          </cell>
          <cell r="Q265">
            <v>552.32466381325003</v>
          </cell>
          <cell r="R265">
            <v>569.11121510656108</v>
          </cell>
          <cell r="S265">
            <v>584.60535218704229</v>
          </cell>
          <cell r="T265">
            <v>600.0994892675235</v>
          </cell>
          <cell r="U265">
            <v>612.93384765613587</v>
          </cell>
          <cell r="V265">
            <v>625.76820604474824</v>
          </cell>
          <cell r="W265">
            <v>639.59355183812431</v>
          </cell>
          <cell r="X265">
            <v>653.41889763150039</v>
          </cell>
        </row>
        <row r="267">
          <cell r="D267" t="str">
            <v>Regulatory Asset Base</v>
          </cell>
        </row>
        <row r="268">
          <cell r="E268" t="str">
            <v>Nominal $m</v>
          </cell>
        </row>
        <row r="270">
          <cell r="C270" t="str">
            <v>B)</v>
          </cell>
          <cell r="D270" t="str">
            <v>Depreciation &amp; Amortisation</v>
          </cell>
        </row>
        <row r="272">
          <cell r="E272" t="str">
            <v>Depreciation Profile</v>
          </cell>
        </row>
        <row r="274">
          <cell r="F274" t="str">
            <v>Accounting depreciation</v>
          </cell>
          <cell r="K274">
            <v>0</v>
          </cell>
          <cell r="L274">
            <v>4.7118875262719548</v>
          </cell>
          <cell r="M274">
            <v>5.1793288839228859</v>
          </cell>
          <cell r="N274">
            <v>5.1793288839228859</v>
          </cell>
          <cell r="O274">
            <v>5.5865153589650722</v>
          </cell>
          <cell r="P274">
            <v>5.5865153589650722</v>
          </cell>
          <cell r="Q274">
            <v>6.0489218585602931</v>
          </cell>
          <cell r="R274">
            <v>6.0489218585602931</v>
          </cell>
          <cell r="S274">
            <v>6.5220059639850714</v>
          </cell>
          <cell r="T274">
            <v>6.5220059639850714</v>
          </cell>
          <cell r="U274">
            <v>6.9715020233694913</v>
          </cell>
          <cell r="V274">
            <v>6.9715020233694913</v>
          </cell>
          <cell r="W274">
            <v>7.4136284637647956</v>
          </cell>
          <cell r="X274">
            <v>7.4136284637647956</v>
          </cell>
        </row>
        <row r="275">
          <cell r="F275" t="str">
            <v>Tax depreciation</v>
          </cell>
          <cell r="K275">
            <v>19.948536049335907</v>
          </cell>
          <cell r="L275">
            <v>19.948536049335907</v>
          </cell>
          <cell r="M275">
            <v>21.476435015252111</v>
          </cell>
          <cell r="N275">
            <v>21.476435015252111</v>
          </cell>
          <cell r="O275">
            <v>21.91758580206292</v>
          </cell>
          <cell r="P275">
            <v>21.91758580206292</v>
          </cell>
          <cell r="Q275">
            <v>20.492569803833213</v>
          </cell>
          <cell r="R275">
            <v>20.492569803833213</v>
          </cell>
          <cell r="S275">
            <v>19.867170530855802</v>
          </cell>
          <cell r="T275">
            <v>19.867170530855802</v>
          </cell>
          <cell r="U275">
            <v>20.460365087213685</v>
          </cell>
          <cell r="V275">
            <v>20.460365087213685</v>
          </cell>
          <cell r="W275">
            <v>21.061948668262907</v>
          </cell>
          <cell r="X275">
            <v>21.061948668262907</v>
          </cell>
        </row>
        <row r="278">
          <cell r="C278" t="str">
            <v>C)</v>
          </cell>
          <cell r="D278" t="str">
            <v>Debt Financing - stand alone basis</v>
          </cell>
        </row>
        <row r="280">
          <cell r="E280" t="str">
            <v>Target gearing</v>
          </cell>
          <cell r="J280">
            <v>0.62962962962962965</v>
          </cell>
        </row>
        <row r="282">
          <cell r="E282" t="str">
            <v>Profile A - Nominal Bonds</v>
          </cell>
        </row>
        <row r="284">
          <cell r="F284" t="str">
            <v>Opening debt outstanding</v>
          </cell>
          <cell r="I284">
            <v>494.2592592592593</v>
          </cell>
        </row>
        <row r="285">
          <cell r="F285" t="str">
            <v>% of Opening Debt</v>
          </cell>
          <cell r="I285">
            <v>1</v>
          </cell>
        </row>
        <row r="286">
          <cell r="F286" t="str">
            <v>Date of Drawdown</v>
          </cell>
          <cell r="I286">
            <v>37072</v>
          </cell>
        </row>
        <row r="287">
          <cell r="F287" t="str">
            <v>Date Loan Extinguished</v>
          </cell>
          <cell r="I287">
            <v>47848</v>
          </cell>
        </row>
        <row r="288">
          <cell r="F288" t="str">
            <v>Amortising?</v>
          </cell>
          <cell r="I288" t="str">
            <v>no</v>
          </cell>
          <cell r="J288" t="str">
            <v>being &gt;&gt;&gt;</v>
          </cell>
          <cell r="K288">
            <v>0</v>
          </cell>
          <cell r="L288" t="str">
            <v>of opening loan balance per period</v>
          </cell>
        </row>
        <row r="289">
          <cell r="F289" t="str">
            <v>Proportion of period prior to principal instalment</v>
          </cell>
          <cell r="I289">
            <v>0</v>
          </cell>
          <cell r="L289" t="str">
            <v>ie. repaid at end of March and September</v>
          </cell>
        </row>
        <row r="290">
          <cell r="F290" t="str">
            <v>Proportion of period prior to additional drawdown</v>
          </cell>
          <cell r="I290">
            <v>1</v>
          </cell>
          <cell r="L290" t="str">
            <v>ie. further drawdowns are made at the end of either March or September</v>
          </cell>
        </row>
        <row r="291">
          <cell r="F291" t="str">
            <v>Proportion of interest cost hedged</v>
          </cell>
          <cell r="I291">
            <v>0.75</v>
          </cell>
        </row>
        <row r="292">
          <cell r="F292" t="str">
            <v>Debt Fees (as a % of loan amount)</v>
          </cell>
          <cell r="I292">
            <v>6.0000000000000001E-3</v>
          </cell>
          <cell r="J292" t="str">
            <v>being $m &gt;&gt;</v>
          </cell>
          <cell r="K292">
            <v>2.9655555555555559</v>
          </cell>
        </row>
        <row r="294">
          <cell r="F294" t="str">
            <v>Interest Cost in period</v>
          </cell>
        </row>
        <row r="296">
          <cell r="F296" t="str">
            <v>Benchmark Interest Cost</v>
          </cell>
          <cell r="K296">
            <v>37072</v>
          </cell>
          <cell r="L296">
            <v>37256</v>
          </cell>
          <cell r="M296">
            <v>37437</v>
          </cell>
          <cell r="N296">
            <v>37621</v>
          </cell>
          <cell r="O296">
            <v>37802</v>
          </cell>
          <cell r="P296">
            <v>37986</v>
          </cell>
          <cell r="Q296">
            <v>38168</v>
          </cell>
          <cell r="R296">
            <v>38352</v>
          </cell>
          <cell r="S296">
            <v>38533</v>
          </cell>
          <cell r="T296">
            <v>38717</v>
          </cell>
          <cell r="U296">
            <v>38898</v>
          </cell>
          <cell r="V296">
            <v>39082</v>
          </cell>
          <cell r="W296">
            <v>39263</v>
          </cell>
          <cell r="X296">
            <v>39447</v>
          </cell>
        </row>
        <row r="297">
          <cell r="F297">
            <v>1</v>
          </cell>
          <cell r="G297" t="str">
            <v>90 day bank bill rate</v>
          </cell>
          <cell r="K297">
            <v>2.385E-2</v>
          </cell>
          <cell r="L297">
            <v>2.385E-2</v>
          </cell>
          <cell r="M297">
            <v>2.385E-2</v>
          </cell>
          <cell r="N297">
            <v>2.385E-2</v>
          </cell>
          <cell r="O297">
            <v>2.385E-2</v>
          </cell>
          <cell r="P297">
            <v>2.385E-2</v>
          </cell>
          <cell r="Q297">
            <v>2.385E-2</v>
          </cell>
          <cell r="R297">
            <v>2.385E-2</v>
          </cell>
          <cell r="S297">
            <v>2.385E-2</v>
          </cell>
          <cell r="T297">
            <v>2.385E-2</v>
          </cell>
          <cell r="U297">
            <v>2.385E-2</v>
          </cell>
          <cell r="V297">
            <v>2.385E-2</v>
          </cell>
          <cell r="W297">
            <v>2.385E-2</v>
          </cell>
          <cell r="X297">
            <v>2.385E-2</v>
          </cell>
        </row>
        <row r="298">
          <cell r="F298">
            <v>4</v>
          </cell>
          <cell r="G298" t="str">
            <v>5 year swap rate</v>
          </cell>
          <cell r="K298">
            <v>2.8750000000000001E-2</v>
          </cell>
          <cell r="L298">
            <v>2.8750000000000001E-2</v>
          </cell>
          <cell r="M298">
            <v>2.8750000000000001E-2</v>
          </cell>
          <cell r="N298">
            <v>2.8750000000000001E-2</v>
          </cell>
          <cell r="O298">
            <v>2.8750000000000001E-2</v>
          </cell>
          <cell r="P298">
            <v>2.8750000000000001E-2</v>
          </cell>
          <cell r="Q298">
            <v>2.8750000000000001E-2</v>
          </cell>
          <cell r="R298">
            <v>2.8750000000000001E-2</v>
          </cell>
          <cell r="S298">
            <v>2.8750000000000001E-2</v>
          </cell>
          <cell r="T298">
            <v>2.8750000000000001E-2</v>
          </cell>
          <cell r="U298">
            <v>2.8750000000000001E-2</v>
          </cell>
          <cell r="V298">
            <v>2.8750000000000001E-2</v>
          </cell>
          <cell r="W298">
            <v>2.8750000000000001E-2</v>
          </cell>
          <cell r="X298">
            <v>2.8750000000000001E-2</v>
          </cell>
        </row>
        <row r="300">
          <cell r="F300" t="str">
            <v>Aggregate benchmark interest cost</v>
          </cell>
          <cell r="K300">
            <v>2.7525000000000001E-2</v>
          </cell>
          <cell r="L300">
            <v>2.7525000000000001E-2</v>
          </cell>
          <cell r="M300">
            <v>2.7525000000000001E-2</v>
          </cell>
          <cell r="N300">
            <v>2.7525000000000001E-2</v>
          </cell>
          <cell r="O300">
            <v>2.7525000000000001E-2</v>
          </cell>
          <cell r="P300">
            <v>2.7525000000000001E-2</v>
          </cell>
          <cell r="Q300">
            <v>2.7525000000000001E-2</v>
          </cell>
          <cell r="R300">
            <v>2.7525000000000001E-2</v>
          </cell>
          <cell r="S300">
            <v>2.7525000000000001E-2</v>
          </cell>
          <cell r="T300">
            <v>2.7525000000000001E-2</v>
          </cell>
          <cell r="U300">
            <v>2.7525000000000001E-2</v>
          </cell>
          <cell r="V300">
            <v>2.7525000000000001E-2</v>
          </cell>
          <cell r="W300">
            <v>2.7525000000000001E-2</v>
          </cell>
          <cell r="X300">
            <v>2.7525000000000001E-2</v>
          </cell>
        </row>
        <row r="302">
          <cell r="F302" t="str">
            <v>Debt Margin</v>
          </cell>
          <cell r="K302">
            <v>4.4999999999999997E-3</v>
          </cell>
          <cell r="L302">
            <v>4.4999999999999997E-3</v>
          </cell>
          <cell r="M302">
            <v>4.4999999999999997E-3</v>
          </cell>
          <cell r="N302">
            <v>4.4999999999999997E-3</v>
          </cell>
          <cell r="O302">
            <v>4.4999999999999997E-3</v>
          </cell>
          <cell r="P302">
            <v>4.4999999999999997E-3</v>
          </cell>
          <cell r="Q302">
            <v>4.4999999999999997E-3</v>
          </cell>
          <cell r="R302">
            <v>4.4999999999999997E-3</v>
          </cell>
          <cell r="S302">
            <v>4.4999999999999997E-3</v>
          </cell>
          <cell r="T302">
            <v>4.4999999999999997E-3</v>
          </cell>
          <cell r="U302">
            <v>4.4999999999999997E-3</v>
          </cell>
          <cell r="V302">
            <v>4.4999999999999997E-3</v>
          </cell>
          <cell r="W302">
            <v>4.4999999999999997E-3</v>
          </cell>
          <cell r="X302">
            <v>4.4999999999999997E-3</v>
          </cell>
        </row>
        <row r="304">
          <cell r="F304" t="str">
            <v>Interest Cost in period</v>
          </cell>
          <cell r="K304">
            <v>3.2024999999999998E-2</v>
          </cell>
          <cell r="L304">
            <v>3.2024999999999998E-2</v>
          </cell>
          <cell r="M304">
            <v>3.2024999999999998E-2</v>
          </cell>
          <cell r="N304">
            <v>3.2024999999999998E-2</v>
          </cell>
          <cell r="O304">
            <v>3.2024999999999998E-2</v>
          </cell>
          <cell r="P304">
            <v>3.2024999999999998E-2</v>
          </cell>
          <cell r="Q304">
            <v>3.2024999999999998E-2</v>
          </cell>
          <cell r="R304">
            <v>3.2024999999999998E-2</v>
          </cell>
          <cell r="S304">
            <v>3.2024999999999998E-2</v>
          </cell>
          <cell r="T304">
            <v>3.2024999999999998E-2</v>
          </cell>
          <cell r="U304">
            <v>3.2024999999999998E-2</v>
          </cell>
          <cell r="V304">
            <v>3.2024999999999998E-2</v>
          </cell>
          <cell r="W304">
            <v>3.2024999999999998E-2</v>
          </cell>
          <cell r="X304">
            <v>3.2024999999999998E-2</v>
          </cell>
        </row>
        <row r="306">
          <cell r="F306" t="str">
            <v>Debt Repayment and Interest Expense Schedule</v>
          </cell>
        </row>
        <row r="308">
          <cell r="F308" t="str">
            <v>Balance brought forward</v>
          </cell>
          <cell r="K308">
            <v>0</v>
          </cell>
          <cell r="L308">
            <v>494.2592592592593</v>
          </cell>
          <cell r="M308">
            <v>494.2592592592593</v>
          </cell>
          <cell r="N308">
            <v>494.2592592592593</v>
          </cell>
          <cell r="O308">
            <v>494.2592592592593</v>
          </cell>
          <cell r="P308">
            <v>494.2592592592593</v>
          </cell>
          <cell r="Q308">
            <v>494.2592592592593</v>
          </cell>
          <cell r="R308">
            <v>494.2592592592593</v>
          </cell>
          <cell r="S308">
            <v>494.2592592592593</v>
          </cell>
          <cell r="T308">
            <v>494.2592592592593</v>
          </cell>
          <cell r="U308">
            <v>494.2592592592593</v>
          </cell>
          <cell r="V308">
            <v>494.2592592592593</v>
          </cell>
          <cell r="W308">
            <v>494.2592592592593</v>
          </cell>
          <cell r="X308">
            <v>494.2592592592593</v>
          </cell>
        </row>
        <row r="309">
          <cell r="F309" t="str">
            <v>Additional Drawdowns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</row>
        <row r="310">
          <cell r="F310" t="str">
            <v>Subtotal</v>
          </cell>
          <cell r="K310">
            <v>0</v>
          </cell>
          <cell r="L310">
            <v>494.2592592592593</v>
          </cell>
          <cell r="M310">
            <v>494.2592592592593</v>
          </cell>
          <cell r="N310">
            <v>494.2592592592593</v>
          </cell>
          <cell r="O310">
            <v>494.2592592592593</v>
          </cell>
          <cell r="P310">
            <v>494.2592592592593</v>
          </cell>
          <cell r="Q310">
            <v>494.2592592592593</v>
          </cell>
          <cell r="R310">
            <v>494.2592592592593</v>
          </cell>
          <cell r="S310">
            <v>494.2592592592593</v>
          </cell>
          <cell r="T310">
            <v>494.2592592592593</v>
          </cell>
          <cell r="U310">
            <v>494.2592592592593</v>
          </cell>
          <cell r="V310">
            <v>494.2592592592593</v>
          </cell>
          <cell r="W310">
            <v>494.2592592592593</v>
          </cell>
          <cell r="X310">
            <v>494.2592592592593</v>
          </cell>
        </row>
        <row r="312">
          <cell r="F312" t="str">
            <v>Principal repaid in period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</row>
        <row r="313">
          <cell r="F313" t="str">
            <v>Interest Expense</v>
          </cell>
          <cell r="K313">
            <v>0</v>
          </cell>
          <cell r="L313">
            <v>-15.828652777777778</v>
          </cell>
          <cell r="M313">
            <v>-15.828652777777778</v>
          </cell>
          <cell r="N313">
            <v>-15.828652777777778</v>
          </cell>
          <cell r="O313">
            <v>-15.828652777777778</v>
          </cell>
          <cell r="P313">
            <v>-15.828652777777778</v>
          </cell>
          <cell r="Q313">
            <v>-15.828652777777778</v>
          </cell>
          <cell r="R313">
            <v>-15.828652777777778</v>
          </cell>
          <cell r="S313">
            <v>-15.828652777777778</v>
          </cell>
          <cell r="T313">
            <v>-15.828652777777778</v>
          </cell>
          <cell r="U313">
            <v>-15.828652777777778</v>
          </cell>
          <cell r="V313">
            <v>-15.828652777777778</v>
          </cell>
          <cell r="W313">
            <v>-15.828652777777778</v>
          </cell>
          <cell r="X313">
            <v>-15.828652777777778</v>
          </cell>
        </row>
        <row r="314">
          <cell r="F314" t="str">
            <v>Debt Service</v>
          </cell>
          <cell r="K314">
            <v>0</v>
          </cell>
          <cell r="L314">
            <v>-15.828652777777778</v>
          </cell>
          <cell r="M314">
            <v>-15.828652777777778</v>
          </cell>
          <cell r="N314">
            <v>-15.828652777777778</v>
          </cell>
          <cell r="O314">
            <v>-15.828652777777778</v>
          </cell>
          <cell r="P314">
            <v>-15.828652777777778</v>
          </cell>
          <cell r="Q314">
            <v>-15.828652777777778</v>
          </cell>
          <cell r="R314">
            <v>-15.828652777777778</v>
          </cell>
          <cell r="S314">
            <v>-15.828652777777778</v>
          </cell>
          <cell r="T314">
            <v>-15.828652777777778</v>
          </cell>
          <cell r="U314">
            <v>-15.828652777777778</v>
          </cell>
          <cell r="V314">
            <v>-15.828652777777778</v>
          </cell>
          <cell r="W314">
            <v>-15.828652777777778</v>
          </cell>
          <cell r="X314">
            <v>-15.828652777777778</v>
          </cell>
        </row>
        <row r="316">
          <cell r="F316" t="str">
            <v>Balance outstanding at end of period</v>
          </cell>
          <cell r="K316">
            <v>494.2592592592593</v>
          </cell>
          <cell r="L316">
            <v>494.2592592592593</v>
          </cell>
          <cell r="M316">
            <v>494.2592592592593</v>
          </cell>
          <cell r="N316">
            <v>494.2592592592593</v>
          </cell>
          <cell r="O316">
            <v>494.2592592592593</v>
          </cell>
          <cell r="P316">
            <v>494.2592592592593</v>
          </cell>
          <cell r="Q316">
            <v>494.2592592592593</v>
          </cell>
          <cell r="R316">
            <v>494.2592592592593</v>
          </cell>
          <cell r="S316">
            <v>494.2592592592593</v>
          </cell>
          <cell r="T316">
            <v>494.2592592592593</v>
          </cell>
          <cell r="U316">
            <v>494.2592592592593</v>
          </cell>
          <cell r="V316">
            <v>494.2592592592593</v>
          </cell>
          <cell r="W316">
            <v>494.2592592592593</v>
          </cell>
          <cell r="X316">
            <v>494.2592592592593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D"/>
      <sheetName val="GRD_Resync 040217"/>
      <sheetName val="FY_Model"/>
      <sheetName val="Valuation"/>
      <sheetName val="Orange"/>
      <sheetName val="H3G"/>
      <sheetName val="Expenses"/>
      <sheetName val="Capex"/>
      <sheetName val="HY_Model"/>
      <sheetName val="Pan1"/>
      <sheetName val="Pan2"/>
      <sheetName val="GRD old"/>
      <sheetName val="Revenue"/>
      <sheetName val="Page_1"/>
      <sheetName val="Page2"/>
    </sheetNames>
    <sheetDataSet>
      <sheetData sheetId="0" refreshError="1"/>
      <sheetData sheetId="1" refreshError="1"/>
      <sheetData sheetId="2" refreshError="1"/>
      <sheetData sheetId="3" refreshError="1">
        <row r="16">
          <cell r="I16">
            <v>375.16033449881945</v>
          </cell>
        </row>
        <row r="17">
          <cell r="B17">
            <v>4.4999999999999998E-2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come Statement"/>
      <sheetName val="lease expiration"/>
      <sheetName val="Debt Schedule"/>
      <sheetName val="Fixed - Variable"/>
      <sheetName val="Institutional"/>
    </sheetNames>
    <sheetDataSet>
      <sheetData sheetId="0" refreshError="1">
        <row r="99">
          <cell r="F99">
            <v>7.0000000000000007E-2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ssumptions"/>
      <sheetName val="Inc Stmt"/>
      <sheetName val="Bal"/>
      <sheetName val="NAV"/>
      <sheetName val="__FDSCACHE__"/>
      <sheetName val="DCF"/>
      <sheetName val="Lease Roll"/>
      <sheetName val="Variance"/>
      <sheetName val="Developments"/>
      <sheetName val="Supplemental"/>
      <sheetName val="Properties"/>
      <sheetName val="Data Fe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GPTOffer"/>
      <sheetName val="Consensus"/>
      <sheetName val="GRD"/>
      <sheetName val="GRD OLD 050805"/>
      <sheetName val="Summary"/>
      <sheetName val="FinSummary"/>
      <sheetName val="GPT_BS"/>
      <sheetName val="Sheet1"/>
      <sheetName val="FY_Model"/>
      <sheetName val="FY04Result"/>
      <sheetName val="1H05Result"/>
      <sheetName val="YrEndPres"/>
      <sheetName val="HYrPres"/>
      <sheetName val="ForecastChanges"/>
      <sheetName val="FY_Trust"/>
      <sheetName val="FY_Corp"/>
      <sheetName val="Group_Seg"/>
      <sheetName val="Trust_Seg"/>
      <sheetName val="Corp_Seg"/>
      <sheetName val="DevDivision"/>
      <sheetName val="Residential Estates"/>
      <sheetName val="RESummarydata"/>
      <sheetName val="Retail Projects"/>
      <sheetName val="Apartments"/>
      <sheetName val="Hotels"/>
      <sheetName val="CurrRE"/>
      <sheetName val="REanalysis"/>
      <sheetName val="REAnalJune04"/>
      <sheetName val="CurrApts"/>
      <sheetName val="CurrRPs"/>
      <sheetName val="NOISum"/>
      <sheetName val="CommercialAssets"/>
      <sheetName val="IndustrialAssets"/>
      <sheetName val="RetailAssets"/>
      <sheetName val="OfficeParkAssets"/>
      <sheetName val="RetailStats"/>
      <sheetName val="ComStats"/>
      <sheetName val="Ind&amp;OPStats"/>
      <sheetName val="HalfYrPres"/>
      <sheetName val="DCFCorp"/>
      <sheetName val="DCF"/>
      <sheetName val="DDM"/>
      <sheetName val="DPUHist"/>
      <sheetName val="Valuation"/>
      <sheetName val="Rents"/>
      <sheetName val="IDCapex"/>
      <sheetName val="RDevSch"/>
      <sheetName val="Splits"/>
      <sheetName val="Yennora"/>
      <sheetName val="Macro"/>
      <sheetName val="Shares"/>
      <sheetName val="Equity"/>
      <sheetName val="BldCosts"/>
      <sheetName val="Acq."/>
      <sheetName val="WaterfrontPlace"/>
      <sheetName val="M&amp;A"/>
      <sheetName val="ADPBiddersS"/>
      <sheetName val="Mgt"/>
      <sheetName val="apte.g.+qs"/>
      <sheetName val="DebtRecon"/>
      <sheetName val="Recon"/>
      <sheetName val="Notes"/>
      <sheetName val="x"/>
    </sheetNames>
    <sheetDataSet>
      <sheetData sheetId="0"/>
      <sheetData sheetId="1"/>
      <sheetData sheetId="2"/>
      <sheetData sheetId="3"/>
      <sheetData sheetId="4"/>
      <sheetData sheetId="5" refreshError="1">
        <row r="90">
          <cell r="A90" t="str">
            <v>Apts_NT_priceg</v>
          </cell>
          <cell r="C90" t="str">
            <v xml:space="preserve">   NT</v>
          </cell>
          <cell r="D90" t="str">
            <v>n/a</v>
          </cell>
          <cell r="E90" t="str">
            <v>n/a</v>
          </cell>
          <cell r="F90" t="str">
            <v>n/a</v>
          </cell>
          <cell r="G90">
            <v>0</v>
          </cell>
          <cell r="H90">
            <v>1.4999999999999999E-2</v>
          </cell>
          <cell r="I90">
            <v>0.02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Y Model"/>
      <sheetName val="Guidance"/>
      <sheetName val="Sheet4"/>
      <sheetName val="OSH PNG"/>
      <sheetName val="HY Model"/>
      <sheetName val="GRD"/>
      <sheetName val="PNG (2)"/>
      <sheetName val="Composite"/>
      <sheetName val="Bull case"/>
      <sheetName val="Valuation Summary"/>
      <sheetName val="Sheet3"/>
      <sheetName val="Takeover"/>
      <sheetName val="GRD OLD 050705"/>
      <sheetName val="ROE"/>
      <sheetName val="Sheet2"/>
      <sheetName val="Asset sales"/>
      <sheetName val="Telco"/>
      <sheetName val="[AGLDATA.XLS뿼Sheet1"/>
      <sheetName val="Interactive"/>
      <sheetName val="GRD_Resync 040826"/>
      <sheetName val="GRD OLD 040826"/>
      <sheetName val="GRD OLD 040812"/>
      <sheetName val="BT"/>
      <sheetName val="Network"/>
      <sheetName val="Genco Load"/>
      <sheetName val="GRD old"/>
      <sheetName val="Pulse"/>
      <sheetName val="EBIT splits"/>
      <sheetName val="Season"/>
      <sheetName val="NGC-TLT"/>
      <sheetName val="Gen_sum"/>
      <sheetName val="FFF Summary"/>
      <sheetName val="DBExport"/>
      <sheetName val="Network Vals"/>
      <sheetName val="Solaris"/>
      <sheetName val="Reg &amp; Mults"/>
      <sheetName val="Productivity"/>
      <sheetName val="Retailing"/>
      <sheetName val="Pipelines"/>
      <sheetName val="Cust_Vols"/>
      <sheetName val="Rights"/>
      <sheetName val="PNG"/>
      <sheetName val="Gas Info"/>
      <sheetName val="Details"/>
      <sheetName val="EAPL (not used)"/>
      <sheetName val="Property"/>
      <sheetName val="AMP"/>
      <sheetName val="ANZ"/>
      <sheetName val="IVoE"/>
      <sheetName val="DCF_Divisional"/>
      <sheetName val="Retail Study"/>
      <sheetName val="NSW"/>
      <sheetName val="Composite Summary"/>
      <sheetName val="FY tables"/>
      <sheetName val="Jardine"/>
      <sheetName val="BU_B4"/>
      <sheetName val="WACC"/>
      <sheetName val="Pan1"/>
      <sheetName val="Pan2"/>
      <sheetName val="Pan3+"/>
      <sheetName val="PanP"/>
      <sheetName val="GRD_Resync 031027"/>
      <sheetName val="GRD OLD 031027"/>
      <sheetName val="GRD_Resync 030723"/>
      <sheetName val="GRD OLD 030723"/>
      <sheetName val="GRD_Resync 030519"/>
      <sheetName val="Val"/>
      <sheetName val="Justin_Val"/>
      <sheetName val="Dbase"/>
      <sheetName val="JDFleming"/>
      <sheetName val="BU_B3"/>
      <sheetName val="NGC"/>
      <sheetName val="Citi"/>
      <sheetName val="VIC Load"/>
      <sheetName val="Sheet1"/>
    </sheetNames>
    <sheetDataSet>
      <sheetData sheetId="0" refreshError="1">
        <row r="98">
          <cell r="A98" t="str">
            <v>Net_profit_equity_acct_adj</v>
          </cell>
          <cell r="B98" t="str">
            <v>Elec Networks (Vic)</v>
          </cell>
          <cell r="D98">
            <v>11.912000000000061</v>
          </cell>
          <cell r="E98">
            <v>7.582308999999853</v>
          </cell>
          <cell r="F98">
            <v>69.144666666517523</v>
          </cell>
          <cell r="G98">
            <v>40.729999999999997</v>
          </cell>
          <cell r="H98">
            <v>41.2</v>
          </cell>
          <cell r="I98">
            <v>72.269999999999982</v>
          </cell>
          <cell r="J98">
            <v>90.261999999999986</v>
          </cell>
          <cell r="K98">
            <v>95.899999999999977</v>
          </cell>
          <cell r="L98">
            <v>134.50515021459228</v>
          </cell>
          <cell r="M98">
            <v>154.38282647584973</v>
          </cell>
          <cell r="N98">
            <v>114.08</v>
          </cell>
          <cell r="O98">
            <v>172.7</v>
          </cell>
          <cell r="P98">
            <v>172.2</v>
          </cell>
          <cell r="Q98">
            <v>168.7</v>
          </cell>
          <cell r="R98">
            <v>163.5</v>
          </cell>
          <cell r="S98">
            <v>171.10602</v>
          </cell>
          <cell r="T98">
            <v>179.06587205040003</v>
          </cell>
          <cell r="U98">
            <v>187.39601641818464</v>
          </cell>
          <cell r="V98">
            <v>194.19099597350805</v>
          </cell>
          <cell r="W98">
            <v>201.23236148750746</v>
          </cell>
          <cell r="X98">
            <v>208.52904691504446</v>
          </cell>
          <cell r="Y98">
            <v>216.09031015618399</v>
          </cell>
          <cell r="Z98">
            <v>223.92574480244724</v>
          </cell>
          <cell r="AA98" t="str">
            <v>Pipes - incl PNG, EAPL, Pipeliner, wsale backed out in 97</v>
          </cell>
          <cell r="AC98">
            <v>155.38732999999999</v>
          </cell>
          <cell r="AD98">
            <v>333.29829423425639</v>
          </cell>
          <cell r="AE98">
            <v>164.85768000000002</v>
          </cell>
          <cell r="AF98">
            <v>162.68102099999999</v>
          </cell>
          <cell r="AG98">
            <v>162.83409649727361</v>
          </cell>
          <cell r="AH98">
            <v>168.73846083626472</v>
          </cell>
          <cell r="AI98">
            <v>174.85691742618769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Y Model"/>
      <sheetName val="Guidance"/>
      <sheetName val="Sheet4"/>
      <sheetName val="OSH PNG"/>
      <sheetName val="HY Model"/>
      <sheetName val="GRD"/>
      <sheetName val="PNG (2)"/>
      <sheetName val="Composite"/>
      <sheetName val="Bull case"/>
      <sheetName val="Valuation Summary"/>
      <sheetName val="Sheet3"/>
      <sheetName val="Takeover"/>
      <sheetName val="GRD OLD 050705"/>
      <sheetName val="ROE"/>
      <sheetName val="Sheet2"/>
      <sheetName val="Asset sales"/>
      <sheetName val="Telco"/>
      <sheetName val="[AGLDATA.XLS뿼Sheet1"/>
      <sheetName val="Interactive"/>
      <sheetName val="GRD_Resync 040826"/>
      <sheetName val="GRD OLD 040826"/>
      <sheetName val="GRD OLD 040812"/>
      <sheetName val="BT"/>
      <sheetName val="Network"/>
      <sheetName val="Genco Load"/>
      <sheetName val="GRD old"/>
      <sheetName val="Pulse"/>
      <sheetName val="EBIT splits"/>
      <sheetName val="Season"/>
      <sheetName val="NGC-TLT"/>
      <sheetName val="Gen_sum"/>
      <sheetName val="FFF Summary"/>
      <sheetName val="DBExport"/>
      <sheetName val="Network Vals"/>
      <sheetName val="Solaris"/>
      <sheetName val="Reg &amp; Mults"/>
      <sheetName val="Productivity"/>
      <sheetName val="Retailing"/>
      <sheetName val="Pipelines"/>
      <sheetName val="Cust_Vols"/>
      <sheetName val="Rights"/>
      <sheetName val="PNG"/>
      <sheetName val="Gas Info"/>
      <sheetName val="Details"/>
      <sheetName val="EAPL (not used)"/>
      <sheetName val="Property"/>
      <sheetName val="AMP"/>
      <sheetName val="ANZ"/>
      <sheetName val="IVoE"/>
      <sheetName val="DCF_Divisional"/>
      <sheetName val="Retail Study"/>
      <sheetName val="NSW"/>
      <sheetName val="Composite Summary"/>
      <sheetName val="FY tables"/>
      <sheetName val="Jardine"/>
      <sheetName val="BU_B4"/>
      <sheetName val="WACC"/>
      <sheetName val="Pan1"/>
      <sheetName val="Pan2"/>
      <sheetName val="Pan3+"/>
      <sheetName val="PanP"/>
      <sheetName val="GRD_Resync 031027"/>
      <sheetName val="GRD OLD 031027"/>
      <sheetName val="GRD_Resync 030723"/>
      <sheetName val="GRD OLD 030723"/>
      <sheetName val="GRD_Resync 030519"/>
      <sheetName val="Val"/>
      <sheetName val="Justin_Val"/>
      <sheetName val="Dbase"/>
      <sheetName val="JDFleming"/>
      <sheetName val="BU_B3"/>
      <sheetName val="NGC"/>
      <sheetName val="Citi"/>
      <sheetName val="VIC Load"/>
      <sheetName val="Sheet1"/>
    </sheetNames>
    <sheetDataSet>
      <sheetData sheetId="0" refreshError="1"/>
      <sheetData sheetId="1"/>
      <sheetData sheetId="2"/>
      <sheetData sheetId="3"/>
      <sheetData sheetId="4" refreshError="1">
        <row r="36">
          <cell r="B36" t="str">
            <v>Increase - NPAT</v>
          </cell>
          <cell r="Q36">
            <v>370.63240502327471</v>
          </cell>
          <cell r="R36" t="str">
            <v>1H 98</v>
          </cell>
          <cell r="S36" t="str">
            <v>2H 98</v>
          </cell>
          <cell r="T36" t="str">
            <v>1998</v>
          </cell>
          <cell r="U36" t="str">
            <v>1H 99</v>
          </cell>
          <cell r="V36" t="str">
            <v>2H 99</v>
          </cell>
          <cell r="W36" t="str">
            <v>1999A</v>
          </cell>
          <cell r="X36" t="str">
            <v>1H 00</v>
          </cell>
          <cell r="Y36" t="str">
            <v>2H 00A</v>
          </cell>
          <cell r="Z36" t="str">
            <v>2000A</v>
          </cell>
          <cell r="AA36" t="str">
            <v>1H 01A</v>
          </cell>
          <cell r="AB36" t="str">
            <v>2H 01A</v>
          </cell>
          <cell r="AC36" t="str">
            <v>2001A</v>
          </cell>
          <cell r="AD36" t="str">
            <v>1H 02A</v>
          </cell>
          <cell r="AE36" t="str">
            <v>2H 02A</v>
          </cell>
          <cell r="AF36" t="str">
            <v>2002A</v>
          </cell>
          <cell r="AG36">
            <v>0.30410577592205978</v>
          </cell>
          <cell r="AH36" t="str">
            <v>2H 03F</v>
          </cell>
          <cell r="AI36" t="str">
            <v>2003A</v>
          </cell>
          <cell r="AJ36" t="str">
            <v>1H 04F</v>
          </cell>
          <cell r="AK36" t="str">
            <v>2H 04F</v>
          </cell>
          <cell r="AL36" t="str">
            <v>2004F</v>
          </cell>
          <cell r="AM36" t="str">
            <v>1H 05F</v>
          </cell>
          <cell r="AN36" t="str">
            <v>2H 05F</v>
          </cell>
          <cell r="AO36" t="str">
            <v>2005F</v>
          </cell>
          <cell r="AP36" t="str">
            <v>1H 06F</v>
          </cell>
          <cell r="AQ36" t="str">
            <v>2H 06F</v>
          </cell>
          <cell r="AR36" t="str">
            <v>2006F</v>
          </cell>
          <cell r="AS36" t="str">
            <v>1H 07F</v>
          </cell>
          <cell r="AT36" t="str">
            <v>2H 07F</v>
          </cell>
          <cell r="AU36" t="str">
            <v>2007F</v>
          </cell>
          <cell r="AV36" t="str">
            <v>1H 08F</v>
          </cell>
          <cell r="AW36" t="str">
            <v>2H 08F</v>
          </cell>
          <cell r="AX36" t="str">
            <v>2008F</v>
          </cell>
          <cell r="AY36" t="str">
            <v>1H 09F</v>
          </cell>
          <cell r="AZ36" t="str">
            <v>2H 09F</v>
          </cell>
          <cell r="BA36" t="str">
            <v>2009F</v>
          </cell>
          <cell r="BB36" t="str">
            <v>1H 10F</v>
          </cell>
          <cell r="BC36" t="str">
            <v>2H 10F</v>
          </cell>
          <cell r="BD36" t="str">
            <v>2010F</v>
          </cell>
          <cell r="BE36">
            <v>0.23339278383684126</v>
          </cell>
          <cell r="BH36">
            <v>0.29825981384055034</v>
          </cell>
          <cell r="BI36" t="str">
            <v>Other</v>
          </cell>
          <cell r="BN36">
            <v>0</v>
          </cell>
          <cell r="BO36">
            <v>0</v>
          </cell>
          <cell r="BP36">
            <v>-1</v>
          </cell>
          <cell r="BS36" t="str">
            <v>Property (ex Mortlake)</v>
          </cell>
          <cell r="BT36">
            <v>0.5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/>
      <sheetData sheetId="51"/>
      <sheetData sheetId="52"/>
      <sheetData sheetId="53"/>
      <sheetData sheetId="54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sLog"/>
      <sheetName val="SchemeDoc"/>
      <sheetName val="SourceUsesofFunds"/>
      <sheetName val="Distributions"/>
      <sheetName val="Title"/>
      <sheetName val="Structure"/>
      <sheetName val="Gas"/>
      <sheetName val="CentralR"/>
      <sheetName val="Assumptions"/>
      <sheetName val="Scenario1"/>
      <sheetName val="BankPage"/>
      <sheetName val="Valuation"/>
      <sheetName val="Graphs"/>
      <sheetName val="Shareholder Impac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APEX"/>
      <sheetName val="Parameters"/>
      <sheetName val="AnnSumm"/>
      <sheetName val="MonPHFT"/>
      <sheetName val="AnnNOI"/>
      <sheetName val="SeniorNOI"/>
      <sheetName val="SubNOI"/>
      <sheetName val="Chart1"/>
    </sheetNames>
    <sheetDataSet>
      <sheetData sheetId="0" refreshError="1"/>
      <sheetData sheetId="1" refreshError="1"/>
      <sheetData sheetId="2" refreshError="1">
        <row r="75">
          <cell r="H75">
            <v>36454</v>
          </cell>
        </row>
        <row r="78">
          <cell r="H78">
            <v>12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D (Backup)"/>
      <sheetName val="GRD1"/>
      <sheetName val="GRD Old"/>
      <sheetName val="Pan1"/>
      <sheetName val="Pan2"/>
      <sheetName val="Pan3"/>
      <sheetName val="PanP"/>
      <sheetName val="DCF"/>
      <sheetName val="FY_Model"/>
      <sheetName val="Charts"/>
      <sheetName val="Sheet1"/>
      <sheetName val="HY_Model"/>
      <sheetName val="WFT"/>
      <sheetName val="WEA_WFA"/>
      <sheetName val="St Lukes"/>
      <sheetName val="Mgd"/>
      <sheetName val="GSP"/>
      <sheetName val="Assumptions"/>
      <sheetName val="AMP"/>
      <sheetName val="Ownershp (2001)"/>
      <sheetName val="Ownershp"/>
      <sheetName val="DCF_Divisional"/>
      <sheetName val="DBExport"/>
      <sheetName val="NMFM"/>
      <sheetName val="GRD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 refreshError="1"/>
      <sheetData sheetId="7"/>
      <sheetData sheetId="8"/>
      <sheetData sheetId="9" refreshError="1"/>
      <sheetData sheetId="10" refreshError="1"/>
      <sheetData sheetId="11"/>
      <sheetData sheetId="12" refreshError="1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DSTemplate - MCW"/>
      <sheetName val="MCWDIST"/>
      <sheetName val="Data"/>
      <sheetName val="ML Data"/>
      <sheetName val="Bal Sheet"/>
      <sheetName val="ML Segmental"/>
      <sheetName val="ML Porfolio-Mini BS"/>
      <sheetName val="US Property"/>
      <sheetName val="US FirstWashinton"/>
      <sheetName val="REDSTemplate - MCW (OLD)"/>
      <sheetName val="NZ Property"/>
      <sheetName val="Global Assumptions"/>
      <sheetName val="Shops"/>
      <sheetName val="Summary"/>
      <sheetName val="Result Analysis"/>
      <sheetName val="Charts"/>
      <sheetName val="Segmental"/>
      <sheetName val="New Data"/>
      <sheetName val="Sheet1"/>
      <sheetName val="PROP_INC"/>
      <sheetName val="REDSTemplate"/>
      <sheetName val="Porfolio-Mini BS"/>
      <sheetName val="Data Ta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3">
          <cell r="A3" t="str">
            <v>DISTRIBUTION STATEMENT</v>
          </cell>
        </row>
        <row r="4">
          <cell r="B4" t="str">
            <v>FY2002</v>
          </cell>
          <cell r="C4" t="str">
            <v>FY2003</v>
          </cell>
          <cell r="D4" t="str">
            <v>FY2004</v>
          </cell>
          <cell r="E4" t="str">
            <v>FY2005</v>
          </cell>
          <cell r="F4" t="str">
            <v>FY2006</v>
          </cell>
        </row>
        <row r="5">
          <cell r="A5" t="str">
            <v>Jamison</v>
          </cell>
          <cell r="B5">
            <v>0.56237999999999999</v>
          </cell>
          <cell r="C5">
            <v>0.61199999999999999</v>
          </cell>
          <cell r="D5">
            <v>0.63036000000000003</v>
          </cell>
          <cell r="E5">
            <v>0.64296719999999996</v>
          </cell>
          <cell r="F5">
            <v>0.6590413799999999</v>
          </cell>
        </row>
        <row r="6">
          <cell r="A6" t="str">
            <v>Bathurst</v>
          </cell>
          <cell r="B6">
            <v>1.9209499999999999</v>
          </cell>
          <cell r="C6">
            <v>1.347</v>
          </cell>
          <cell r="D6">
            <v>1.38741</v>
          </cell>
          <cell r="E6">
            <v>1.3874110200000001</v>
          </cell>
          <cell r="F6">
            <v>1.4220962955000001</v>
          </cell>
        </row>
        <row r="7">
          <cell r="A7" t="str">
            <v>Cardiff</v>
          </cell>
          <cell r="B7">
            <v>0.25646999999999998</v>
          </cell>
          <cell r="C7">
            <v>0.24099999999999999</v>
          </cell>
          <cell r="D7">
            <v>0.24823000000000001</v>
          </cell>
          <cell r="E7">
            <v>0.24823102</v>
          </cell>
          <cell r="F7">
            <v>0.24823204499999998</v>
          </cell>
        </row>
        <row r="8">
          <cell r="A8" t="str">
            <v>Caringbah</v>
          </cell>
          <cell r="B8">
            <v>0.56752999999999998</v>
          </cell>
          <cell r="C8">
            <v>0.58455590000000002</v>
          </cell>
          <cell r="D8">
            <v>0.60209257700000007</v>
          </cell>
          <cell r="E8">
            <v>0.60209359700000009</v>
          </cell>
          <cell r="F8">
            <v>0.60209462200000008</v>
          </cell>
        </row>
        <row r="9">
          <cell r="A9" t="str">
            <v>Guildford</v>
          </cell>
          <cell r="B9">
            <v>0.18848999999999999</v>
          </cell>
          <cell r="C9">
            <v>0.1941447</v>
          </cell>
          <cell r="D9">
            <v>0.19996904100000001</v>
          </cell>
          <cell r="E9">
            <v>0.20596811223000003</v>
          </cell>
          <cell r="F9">
            <v>0.21214715559690003</v>
          </cell>
        </row>
        <row r="10">
          <cell r="A10" t="str">
            <v>Kings Lanley</v>
          </cell>
          <cell r="B10">
            <v>1.4961660000000001</v>
          </cell>
          <cell r="C10">
            <v>1.5388067309999998</v>
          </cell>
          <cell r="D10">
            <v>1.5849709329299997</v>
          </cell>
          <cell r="E10">
            <v>1.6325200609178998</v>
          </cell>
          <cell r="F10">
            <v>1.6814956627454367</v>
          </cell>
        </row>
        <row r="11">
          <cell r="A11" t="str">
            <v>Moree</v>
          </cell>
          <cell r="B11">
            <v>0.95182500000000003</v>
          </cell>
          <cell r="C11">
            <v>0.97895201249999986</v>
          </cell>
          <cell r="D11">
            <v>1.0083205728749998</v>
          </cell>
          <cell r="E11">
            <v>1.0385701900612498</v>
          </cell>
          <cell r="F11">
            <v>1.0697272957630874</v>
          </cell>
        </row>
        <row r="12">
          <cell r="A12" t="str">
            <v>Orange</v>
          </cell>
          <cell r="B12">
            <v>2.2474599999999998</v>
          </cell>
          <cell r="C12">
            <v>2.3148838000000005</v>
          </cell>
          <cell r="D12">
            <v>2.3843303140000001</v>
          </cell>
          <cell r="E12">
            <v>2.4558602234200002</v>
          </cell>
          <cell r="F12">
            <v>2.5295360301226002</v>
          </cell>
        </row>
        <row r="13">
          <cell r="A13" t="str">
            <v>Tumit</v>
          </cell>
          <cell r="B13">
            <v>0.38728000000000001</v>
          </cell>
          <cell r="C13">
            <v>0.39889840000000004</v>
          </cell>
          <cell r="D13">
            <v>0.41086535200000002</v>
          </cell>
          <cell r="E13">
            <v>0.42319131256000003</v>
          </cell>
          <cell r="F13">
            <v>0.43588705193680005</v>
          </cell>
        </row>
        <row r="14">
          <cell r="A14" t="str">
            <v>Cooma</v>
          </cell>
          <cell r="B14">
            <v>0.70348999999999995</v>
          </cell>
          <cell r="C14">
            <v>0.72459470000000004</v>
          </cell>
          <cell r="D14">
            <v>0.74633254100000013</v>
          </cell>
          <cell r="E14">
            <v>0.76872251723000007</v>
          </cell>
          <cell r="F14">
            <v>0.79178419274690015</v>
          </cell>
        </row>
        <row r="15">
          <cell r="A15" t="str">
            <v>Mudgee</v>
          </cell>
          <cell r="B15">
            <v>1.3245800000000001</v>
          </cell>
          <cell r="C15">
            <v>1.3643174000000002</v>
          </cell>
          <cell r="D15">
            <v>1.4052469220000003</v>
          </cell>
          <cell r="E15">
            <v>1.4474043296600003</v>
          </cell>
          <cell r="F15">
            <v>1.4908264595498002</v>
          </cell>
        </row>
        <row r="16">
          <cell r="A16" t="str">
            <v>Parkes</v>
          </cell>
          <cell r="B16">
            <v>1.02691</v>
          </cell>
          <cell r="C16">
            <v>1.0577173</v>
          </cell>
          <cell r="D16">
            <v>1.0894488190000002</v>
          </cell>
          <cell r="E16">
            <v>1.1221322835700003</v>
          </cell>
          <cell r="F16">
            <v>1.1557962520771004</v>
          </cell>
        </row>
        <row r="17">
          <cell r="A17" t="str">
            <v>Singleton</v>
          </cell>
          <cell r="B17">
            <v>2.2911239999999999</v>
          </cell>
          <cell r="C17">
            <v>2.338092042</v>
          </cell>
          <cell r="D17">
            <v>2.3988824350919997</v>
          </cell>
          <cell r="E17">
            <v>2.461253378404392</v>
          </cell>
          <cell r="F17">
            <v>2.5252459662429061</v>
          </cell>
        </row>
        <row r="18">
          <cell r="A18" t="str">
            <v>Young</v>
          </cell>
          <cell r="B18">
            <v>0.77559</v>
          </cell>
          <cell r="C18">
            <v>0.79885770000000011</v>
          </cell>
          <cell r="D18">
            <v>0.82282343100000011</v>
          </cell>
          <cell r="E18">
            <v>0.84750813393000013</v>
          </cell>
          <cell r="F18">
            <v>0.87293337794790016</v>
          </cell>
        </row>
        <row r="19">
          <cell r="A19" t="str">
            <v>Coorparoo</v>
          </cell>
          <cell r="B19">
            <v>0.50675999999999999</v>
          </cell>
          <cell r="C19">
            <v>0.52196279999999995</v>
          </cell>
          <cell r="D19">
            <v>0.99002168400000001</v>
          </cell>
          <cell r="E19">
            <v>1.0197223345199999</v>
          </cell>
          <cell r="F19">
            <v>1.0503140045556003</v>
          </cell>
        </row>
        <row r="20">
          <cell r="A20" t="str">
            <v>Mackay</v>
          </cell>
          <cell r="B20">
            <v>0.34710999999999997</v>
          </cell>
          <cell r="C20">
            <v>0.35752329999999999</v>
          </cell>
          <cell r="D20">
            <v>0.36824899900000002</v>
          </cell>
          <cell r="E20">
            <v>0.37929646897000002</v>
          </cell>
          <cell r="F20">
            <v>0.39067536303910005</v>
          </cell>
        </row>
        <row r="21">
          <cell r="A21" t="str">
            <v>Moranbah</v>
          </cell>
          <cell r="B21">
            <v>0.87034999999999996</v>
          </cell>
          <cell r="C21">
            <v>0.89602532500000009</v>
          </cell>
          <cell r="D21">
            <v>0.92380211007500002</v>
          </cell>
          <cell r="E21">
            <v>0.95243997548732484</v>
          </cell>
          <cell r="F21">
            <v>0.98196561472743193</v>
          </cell>
        </row>
        <row r="22">
          <cell r="A22" t="str">
            <v>Redcliffe</v>
          </cell>
          <cell r="B22">
            <v>0.21629999999999999</v>
          </cell>
          <cell r="C22">
            <v>0.22268085000000001</v>
          </cell>
          <cell r="D22">
            <v>0.22958395635000001</v>
          </cell>
          <cell r="E22">
            <v>0.23670105899684998</v>
          </cell>
          <cell r="F22">
            <v>0.24403879182575233</v>
          </cell>
        </row>
        <row r="23">
          <cell r="A23" t="str">
            <v>Hervey Bay</v>
          </cell>
          <cell r="B23">
            <v>1.1227</v>
          </cell>
          <cell r="C23">
            <v>1.1558196500000002</v>
          </cell>
          <cell r="D23">
            <v>1.1916500591500001</v>
          </cell>
          <cell r="E23">
            <v>1.2285912109836501</v>
          </cell>
          <cell r="F23">
            <v>1.2666775385241431</v>
          </cell>
        </row>
        <row r="24">
          <cell r="A24" t="e">
            <v>#REF!</v>
          </cell>
          <cell r="B24">
            <v>1.49556</v>
          </cell>
          <cell r="C24">
            <v>1.5396790200000001</v>
          </cell>
          <cell r="D24">
            <v>1.359</v>
          </cell>
          <cell r="E24">
            <v>4.2</v>
          </cell>
          <cell r="F24">
            <v>4.3049999999999997</v>
          </cell>
        </row>
        <row r="25">
          <cell r="A25" t="str">
            <v>Nambour-Franklins</v>
          </cell>
          <cell r="B25">
            <v>0.44805</v>
          </cell>
          <cell r="C25">
            <v>0.46126747500000004</v>
          </cell>
          <cell r="D25">
            <v>0.32500000000000001</v>
          </cell>
          <cell r="E25">
            <v>0.32500000000000001</v>
          </cell>
          <cell r="F25">
            <v>0.33150000000000002</v>
          </cell>
        </row>
        <row r="26">
          <cell r="A26" t="str">
            <v>Oaklands</v>
          </cell>
          <cell r="B26">
            <v>0.37182999999999999</v>
          </cell>
          <cell r="C26">
            <v>0.38298490000000002</v>
          </cell>
          <cell r="D26">
            <v>0.39447444700000006</v>
          </cell>
          <cell r="E26">
            <v>0.40630868041000001</v>
          </cell>
          <cell r="F26">
            <v>0.41849794082230002</v>
          </cell>
        </row>
        <row r="27">
          <cell r="A27" t="str">
            <v>Plymptom</v>
          </cell>
          <cell r="B27">
            <v>0.22042</v>
          </cell>
          <cell r="C27">
            <v>0.2270326</v>
          </cell>
          <cell r="D27">
            <v>0.29949357799999998</v>
          </cell>
          <cell r="E27">
            <v>0.37215888534000002</v>
          </cell>
          <cell r="F27">
            <v>0.38332365190020007</v>
          </cell>
        </row>
        <row r="28">
          <cell r="A28" t="str">
            <v>Devonport</v>
          </cell>
          <cell r="B28">
            <v>0.13492999999999999</v>
          </cell>
          <cell r="C28">
            <v>3.4744474999999997E-2</v>
          </cell>
          <cell r="D28">
            <v>0</v>
          </cell>
          <cell r="E28">
            <v>0</v>
          </cell>
          <cell r="F28">
            <v>0</v>
          </cell>
        </row>
        <row r="29">
          <cell r="A29" t="str">
            <v>Sandy Bay</v>
          </cell>
          <cell r="B29">
            <v>0.32651000000000002</v>
          </cell>
          <cell r="C29">
            <v>0.33630529999999997</v>
          </cell>
          <cell r="D29">
            <v>0.44439445899999996</v>
          </cell>
          <cell r="E29">
            <v>0.55278629276999991</v>
          </cell>
          <cell r="F29">
            <v>0.56936988155309998</v>
          </cell>
        </row>
        <row r="30">
          <cell r="A30" t="str">
            <v>Bairnsdale</v>
          </cell>
          <cell r="B30">
            <v>0.63551000000000002</v>
          </cell>
          <cell r="C30">
            <v>0.65457530000000008</v>
          </cell>
          <cell r="D30">
            <v>0.67421255899999999</v>
          </cell>
          <cell r="E30">
            <v>0.69443893576999993</v>
          </cell>
          <cell r="F30">
            <v>0.71527210384310003</v>
          </cell>
        </row>
        <row r="31">
          <cell r="A31" t="str">
            <v>Benalla</v>
          </cell>
          <cell r="B31">
            <v>0.34814000000000001</v>
          </cell>
          <cell r="C31">
            <v>0.35858420000000002</v>
          </cell>
          <cell r="D31">
            <v>0.36934172600000004</v>
          </cell>
          <cell r="E31">
            <v>0.38042197778000003</v>
          </cell>
          <cell r="F31">
            <v>0.39183463711340005</v>
          </cell>
        </row>
        <row r="32">
          <cell r="A32" t="str">
            <v>Moe - Coles</v>
          </cell>
          <cell r="B32">
            <v>0.36668000000000001</v>
          </cell>
          <cell r="C32">
            <v>0.37768040000000003</v>
          </cell>
          <cell r="D32">
            <v>0.38901081200000004</v>
          </cell>
          <cell r="E32">
            <v>0.40068113636000008</v>
          </cell>
          <cell r="F32">
            <v>0.41270157045080008</v>
          </cell>
        </row>
        <row r="33">
          <cell r="A33" t="str">
            <v>Moe - Kmart</v>
          </cell>
          <cell r="B33">
            <v>0.59792000000000001</v>
          </cell>
          <cell r="C33">
            <v>0.60389919999999997</v>
          </cell>
          <cell r="D33">
            <v>0.61597718400000001</v>
          </cell>
          <cell r="E33">
            <v>0.62829672768</v>
          </cell>
          <cell r="F33">
            <v>0.6408626622336</v>
          </cell>
        </row>
        <row r="34">
          <cell r="A34" t="str">
            <v>Horsham</v>
          </cell>
          <cell r="B34">
            <v>0.42024</v>
          </cell>
          <cell r="C34">
            <v>0.43284719999999999</v>
          </cell>
          <cell r="D34">
            <v>0.44583261600000001</v>
          </cell>
          <cell r="E34">
            <v>0.45920759448000004</v>
          </cell>
          <cell r="F34">
            <v>0.47298382231440006</v>
          </cell>
        </row>
        <row r="35">
          <cell r="A35" t="str">
            <v>Kerang</v>
          </cell>
          <cell r="B35">
            <v>0.76941000000000004</v>
          </cell>
          <cell r="C35">
            <v>0.79249230000000004</v>
          </cell>
          <cell r="D35">
            <v>0.81626706900000001</v>
          </cell>
          <cell r="E35">
            <v>0.84075508107000008</v>
          </cell>
          <cell r="F35">
            <v>0.86597773350210006</v>
          </cell>
        </row>
        <row r="36">
          <cell r="A36" t="str">
            <v>Lilydale</v>
          </cell>
          <cell r="B36">
            <v>0.84028449999999999</v>
          </cell>
          <cell r="C36">
            <v>0.43211630412499996</v>
          </cell>
          <cell r="D36">
            <v>0</v>
          </cell>
          <cell r="E36">
            <v>0</v>
          </cell>
          <cell r="F36">
            <v>0</v>
          </cell>
        </row>
        <row r="37">
          <cell r="A37" t="str">
            <v>Monbulk - Coles</v>
          </cell>
          <cell r="B37">
            <v>0.46246999999999999</v>
          </cell>
          <cell r="C37">
            <v>0.47634410000000005</v>
          </cell>
          <cell r="D37">
            <v>0.49063442300000004</v>
          </cell>
          <cell r="E37">
            <v>0.50535345569000012</v>
          </cell>
          <cell r="F37">
            <v>0.52051405936070005</v>
          </cell>
        </row>
        <row r="38">
          <cell r="A38" t="str">
            <v>Mornington</v>
          </cell>
          <cell r="B38">
            <v>1.4265295</v>
          </cell>
          <cell r="C38">
            <v>1.46718559075</v>
          </cell>
          <cell r="D38">
            <v>1.5104675656771249</v>
          </cell>
          <cell r="E38">
            <v>0.37761689141928123</v>
          </cell>
          <cell r="F38" t="e">
            <v>#VALUE!</v>
          </cell>
        </row>
        <row r="39">
          <cell r="A39" t="str">
            <v>Sourth Preston</v>
          </cell>
          <cell r="B39">
            <v>0.66022999999999998</v>
          </cell>
          <cell r="C39">
            <v>0.68003690000000006</v>
          </cell>
          <cell r="D39">
            <v>0.70043800700000014</v>
          </cell>
          <cell r="E39">
            <v>0.72145114721000003</v>
          </cell>
          <cell r="F39">
            <v>0.7430946816263001</v>
          </cell>
        </row>
        <row r="40">
          <cell r="A40" t="str">
            <v>Monbulk - Woolies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</row>
        <row r="41">
          <cell r="A41" t="str">
            <v>Maylands</v>
          </cell>
          <cell r="B41">
            <v>0.49131000000000002</v>
          </cell>
          <cell r="C41">
            <v>0.50604930000000004</v>
          </cell>
          <cell r="D41">
            <v>0.52123077900000003</v>
          </cell>
          <cell r="E41">
            <v>0.53686770236999992</v>
          </cell>
          <cell r="F41">
            <v>0.55297373344110001</v>
          </cell>
        </row>
        <row r="42">
          <cell r="A42" t="str">
            <v>Narrogin</v>
          </cell>
          <cell r="B42">
            <v>0.39551999999999998</v>
          </cell>
          <cell r="C42">
            <v>0.40738560000000001</v>
          </cell>
          <cell r="D42">
            <v>0.41960716800000009</v>
          </cell>
          <cell r="E42">
            <v>0.4321953830400001</v>
          </cell>
          <cell r="F42">
            <v>0.4451612445312001</v>
          </cell>
        </row>
        <row r="43">
          <cell r="A43" t="str">
            <v>Dickson</v>
          </cell>
          <cell r="B43">
            <v>1.02382</v>
          </cell>
          <cell r="C43">
            <v>1</v>
          </cell>
          <cell r="D43">
            <v>1.03</v>
          </cell>
          <cell r="E43">
            <v>1.0506</v>
          </cell>
          <cell r="F43">
            <v>1.076865</v>
          </cell>
        </row>
        <row r="44">
          <cell r="A44" t="str">
            <v>Kalgoorlie</v>
          </cell>
          <cell r="B44">
            <v>1.1396565000000001</v>
          </cell>
          <cell r="C44">
            <v>1.1732763667500001</v>
          </cell>
          <cell r="D44">
            <v>1.2096479341192499</v>
          </cell>
          <cell r="E44">
            <v>1.4863470200769466</v>
          </cell>
          <cell r="F44">
            <v>1.5324237776993317</v>
          </cell>
        </row>
        <row r="45">
          <cell r="A45" t="str">
            <v>Kyneton</v>
          </cell>
          <cell r="B45">
            <v>0.41921000000000003</v>
          </cell>
          <cell r="C45">
            <v>0.43178630000000001</v>
          </cell>
          <cell r="D45">
            <v>0.444739889</v>
          </cell>
          <cell r="E45">
            <v>0.45808208567000008</v>
          </cell>
          <cell r="F45">
            <v>0.47182454824010012</v>
          </cell>
        </row>
        <row r="46">
          <cell r="A46" t="str">
            <v>Murwillumbah</v>
          </cell>
          <cell r="B46">
            <v>1.8699861264827422</v>
          </cell>
          <cell r="C46">
            <v>1.9232807310875002</v>
          </cell>
          <cell r="D46">
            <v>1.9809791530201253</v>
          </cell>
          <cell r="E46">
            <v>2.0404085276107291</v>
          </cell>
          <cell r="F46">
            <v>2.1016207834390515</v>
          </cell>
        </row>
        <row r="47">
          <cell r="A47" t="str">
            <v>Port Augusta</v>
          </cell>
          <cell r="B47">
            <v>1.00695</v>
          </cell>
          <cell r="C47">
            <v>1.0346411250000003</v>
          </cell>
          <cell r="D47">
            <v>1.0641283970625002</v>
          </cell>
          <cell r="E47">
            <v>1.0944560563787815</v>
          </cell>
          <cell r="F47">
            <v>1.1256480539855769</v>
          </cell>
        </row>
        <row r="48">
          <cell r="A48" t="str">
            <v>Townsville</v>
          </cell>
          <cell r="B48">
            <v>0.491145</v>
          </cell>
          <cell r="C48">
            <v>0.50465148750000011</v>
          </cell>
          <cell r="D48">
            <v>0.5190340548937501</v>
          </cell>
          <cell r="E48">
            <v>0.12975851372343752</v>
          </cell>
          <cell r="F48" t="e">
            <v>#VALUE!</v>
          </cell>
        </row>
        <row r="49">
          <cell r="A49" t="str">
            <v>Wangaratta</v>
          </cell>
          <cell r="B49">
            <v>0.32294899999999999</v>
          </cell>
          <cell r="C49">
            <v>0.33215304649999999</v>
          </cell>
          <cell r="D49">
            <v>0.34195156137175003</v>
          </cell>
          <cell r="E49">
            <v>0.35203913243221668</v>
          </cell>
          <cell r="F49">
            <v>0.18121214341948352</v>
          </cell>
        </row>
        <row r="50">
          <cell r="A50" t="str">
            <v>Wellington</v>
          </cell>
          <cell r="B50">
            <v>0.35637999999999997</v>
          </cell>
          <cell r="C50">
            <v>0.36707140000000005</v>
          </cell>
          <cell r="D50">
            <v>0.37808354199999999</v>
          </cell>
          <cell r="E50">
            <v>0.38942604825999999</v>
          </cell>
          <cell r="F50">
            <v>0.40110882970779999</v>
          </cell>
        </row>
        <row r="52">
          <cell r="A52" t="str">
            <v>Acquisitions</v>
          </cell>
          <cell r="B52" t="e">
            <v>#REF!</v>
          </cell>
          <cell r="C52" t="e">
            <v>#REF!</v>
          </cell>
          <cell r="D52" t="e">
            <v>#REF!</v>
          </cell>
          <cell r="E52" t="e">
            <v>#REF!</v>
          </cell>
          <cell r="F52" t="e">
            <v>#REF!</v>
          </cell>
        </row>
        <row r="53">
          <cell r="A53" t="str">
            <v>Refurbishments Driven by Supermarket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</row>
        <row r="56">
          <cell r="B56" t="str">
            <v>FY2002</v>
          </cell>
          <cell r="C56" t="str">
            <v>FY2003</v>
          </cell>
          <cell r="D56" t="str">
            <v>FY2004</v>
          </cell>
          <cell r="E56" t="str">
            <v>FY2005</v>
          </cell>
          <cell r="F56" t="str">
            <v>FY2006</v>
          </cell>
        </row>
        <row r="58">
          <cell r="A58" t="str">
            <v>ACT</v>
          </cell>
          <cell r="B58">
            <v>1.6885049999999999</v>
          </cell>
          <cell r="C58">
            <v>3.0070000000000001</v>
          </cell>
          <cell r="D58">
            <v>3.09056</v>
          </cell>
          <cell r="E58">
            <v>2.4605052000000001</v>
          </cell>
          <cell r="F58">
            <v>2.5220178300000002</v>
          </cell>
        </row>
        <row r="59">
          <cell r="A59" t="str">
            <v>NSW</v>
          </cell>
          <cell r="B59">
            <v>19.536553626482739</v>
          </cell>
          <cell r="C59">
            <v>20.538187766587498</v>
          </cell>
          <cell r="D59">
            <v>21.602966057667125</v>
          </cell>
          <cell r="E59">
            <v>21.621863096818021</v>
          </cell>
          <cell r="F59">
            <v>21.970714566734777</v>
          </cell>
        </row>
        <row r="60">
          <cell r="A60" t="str">
            <v>QLD</v>
          </cell>
          <cell r="B60">
            <v>15.010405166666668</v>
          </cell>
          <cell r="C60">
            <v>15.759120987499999</v>
          </cell>
          <cell r="D60">
            <v>16.830137884868748</v>
          </cell>
          <cell r="E60">
            <v>22.901252664785762</v>
          </cell>
          <cell r="F60">
            <v>23.013871025886523</v>
          </cell>
        </row>
        <row r="61">
          <cell r="A61" t="str">
            <v>SA</v>
          </cell>
          <cell r="B61">
            <v>1.5992</v>
          </cell>
          <cell r="C61">
            <v>1.6446586250000002</v>
          </cell>
          <cell r="D61">
            <v>1.7580964220625004</v>
          </cell>
          <cell r="E61">
            <v>1.8729236221287817</v>
          </cell>
          <cell r="F61">
            <v>1.9274696467080767</v>
          </cell>
        </row>
        <row r="62">
          <cell r="A62" t="str">
            <v>VIC</v>
          </cell>
          <cell r="B62">
            <v>7.2695730000000003</v>
          </cell>
          <cell r="C62">
            <v>7.0397008413749997</v>
          </cell>
          <cell r="D62">
            <v>6.7988734120488754</v>
          </cell>
          <cell r="E62">
            <v>5.8183441655614985</v>
          </cell>
          <cell r="F62">
            <v>5.416277962103984</v>
          </cell>
        </row>
        <row r="63">
          <cell r="A63" t="str">
            <v>WA</v>
          </cell>
          <cell r="B63">
            <v>6.0818364999999996</v>
          </cell>
          <cell r="C63">
            <v>8.2496778917500002</v>
          </cell>
          <cell r="D63">
            <v>11.242381842994249</v>
          </cell>
          <cell r="E63">
            <v>14.085664247358567</v>
          </cell>
          <cell r="F63">
            <v>19.457723703070194</v>
          </cell>
        </row>
        <row r="64">
          <cell r="A64" t="str">
            <v>Tassie</v>
          </cell>
          <cell r="B64">
            <v>2.46984</v>
          </cell>
          <cell r="C64">
            <v>2.5529972750000005</v>
          </cell>
          <cell r="D64">
            <v>2.6783606464999998</v>
          </cell>
          <cell r="E64">
            <v>2.6170634810512494</v>
          </cell>
          <cell r="F64">
            <v>2.6826475302913804</v>
          </cell>
        </row>
        <row r="66">
          <cell r="A66" t="str">
            <v>Net Income - Australia</v>
          </cell>
          <cell r="B66">
            <v>113.53052977000002</v>
          </cell>
          <cell r="C66">
            <v>128.91647277442499</v>
          </cell>
          <cell r="D66">
            <v>134.82239999999999</v>
          </cell>
          <cell r="E66">
            <v>154.1764521830861</v>
          </cell>
          <cell r="F66">
            <v>166.02576383266384</v>
          </cell>
        </row>
        <row r="67">
          <cell r="A67" t="str">
            <v>Net Income - NZ</v>
          </cell>
          <cell r="B67" t="e">
            <v>#REF!</v>
          </cell>
          <cell r="C67" t="e">
            <v>#REF!</v>
          </cell>
          <cell r="D67" t="e">
            <v>#REF!</v>
          </cell>
          <cell r="E67" t="e">
            <v>#REF!</v>
          </cell>
          <cell r="F67" t="e">
            <v>#REF!</v>
          </cell>
        </row>
        <row r="68">
          <cell r="A68" t="str">
            <v>Net Income - US JV</v>
          </cell>
          <cell r="B68" t="e">
            <v>#REF!</v>
          </cell>
          <cell r="C68" t="e">
            <v>#REF!</v>
          </cell>
          <cell r="D68" t="e">
            <v>#REF!</v>
          </cell>
          <cell r="E68" t="e">
            <v>#REF!</v>
          </cell>
          <cell r="F68" t="e">
            <v>#REF!</v>
          </cell>
        </row>
        <row r="69">
          <cell r="A69" t="str">
            <v>Net Income</v>
          </cell>
          <cell r="B69" t="e">
            <v>#REF!</v>
          </cell>
          <cell r="C69" t="e">
            <v>#REF!</v>
          </cell>
          <cell r="D69" t="e">
            <v>#REF!</v>
          </cell>
          <cell r="E69" t="e">
            <v>#REF!</v>
          </cell>
          <cell r="F69" t="e">
            <v>#REF!</v>
          </cell>
        </row>
        <row r="70">
          <cell r="A70" t="str">
            <v>Manangement/Trustee Fees</v>
          </cell>
          <cell r="B70">
            <v>3.17</v>
          </cell>
          <cell r="C70">
            <v>3.9809999999999999</v>
          </cell>
          <cell r="D70">
            <v>5.0629999999999997</v>
          </cell>
          <cell r="E70">
            <v>6.9109999999999996</v>
          </cell>
          <cell r="F70">
            <v>6.9380916348213129</v>
          </cell>
        </row>
        <row r="71">
          <cell r="A71" t="str">
            <v>Other Expenses</v>
          </cell>
          <cell r="B71">
            <v>1.3759999999999999</v>
          </cell>
          <cell r="C71">
            <v>1.7250000000000001</v>
          </cell>
          <cell r="D71">
            <v>3.0819999999999999</v>
          </cell>
          <cell r="E71">
            <v>5.1269999999999998</v>
          </cell>
          <cell r="F71">
            <v>6.3702995118969667</v>
          </cell>
        </row>
        <row r="72">
          <cell r="A72" t="str">
            <v>Other</v>
          </cell>
        </row>
        <row r="73">
          <cell r="A73" t="str">
            <v>Net Interest Expense</v>
          </cell>
          <cell r="B73">
            <v>12.805999999999999</v>
          </cell>
          <cell r="C73">
            <v>13.429</v>
          </cell>
          <cell r="D73">
            <v>14.621</v>
          </cell>
          <cell r="E73">
            <v>-2.0004801780575403</v>
          </cell>
          <cell r="F73">
            <v>-0.62482632374930291</v>
          </cell>
        </row>
        <row r="74">
          <cell r="A74" t="str">
            <v>Net Profit</v>
          </cell>
          <cell r="B74">
            <v>48.689</v>
          </cell>
          <cell r="C74">
            <v>60.295000000000002</v>
          </cell>
          <cell r="D74">
            <v>79.69</v>
          </cell>
          <cell r="E74">
            <v>116.181</v>
          </cell>
          <cell r="F74">
            <v>184.53731590750903</v>
          </cell>
        </row>
        <row r="75">
          <cell r="A75" t="str">
            <v>Distribution</v>
          </cell>
          <cell r="B75">
            <v>50.116999999999997</v>
          </cell>
          <cell r="C75">
            <v>62.17</v>
          </cell>
          <cell r="D75">
            <v>82.531000000000006</v>
          </cell>
          <cell r="E75">
            <v>134.59399999999999</v>
          </cell>
          <cell r="F75">
            <v>183.35055199999999</v>
          </cell>
        </row>
        <row r="76">
          <cell r="A76" t="str">
            <v>Distribution/Unit (cents)</v>
          </cell>
          <cell r="B76">
            <v>13.396804416609912</v>
          </cell>
          <cell r="C76">
            <v>13.679792341236343</v>
          </cell>
          <cell r="D76">
            <v>14.313753427153287</v>
          </cell>
          <cell r="E76">
            <v>14.799999999999999</v>
          </cell>
          <cell r="F76">
            <v>15.4</v>
          </cell>
        </row>
        <row r="78">
          <cell r="A78" t="str">
            <v>BALANCE SHEET</v>
          </cell>
        </row>
        <row r="79">
          <cell r="B79" t="str">
            <v>FY2002</v>
          </cell>
          <cell r="C79" t="str">
            <v>FY2003</v>
          </cell>
          <cell r="D79" t="str">
            <v>FY2004</v>
          </cell>
          <cell r="E79" t="str">
            <v>FY2005</v>
          </cell>
          <cell r="F79" t="str">
            <v>FY2006</v>
          </cell>
        </row>
        <row r="80">
          <cell r="A80" t="str">
            <v>Current Assets</v>
          </cell>
          <cell r="B80">
            <v>30.655999999999999</v>
          </cell>
          <cell r="C80">
            <v>42.656999999999996</v>
          </cell>
          <cell r="D80">
            <v>19.798999999999999</v>
          </cell>
          <cell r="E80">
            <v>47.808999999999997</v>
          </cell>
          <cell r="F80">
            <v>70.727818999999997</v>
          </cell>
        </row>
        <row r="81">
          <cell r="A81" t="str">
            <v>Non Current Assets (Property)</v>
          </cell>
          <cell r="B81">
            <v>758.37</v>
          </cell>
          <cell r="C81">
            <v>975.23400000000004</v>
          </cell>
          <cell r="D81">
            <v>1337.5840000000001</v>
          </cell>
          <cell r="E81">
            <v>2612.183</v>
          </cell>
          <cell r="F81">
            <v>2800.1094303477012</v>
          </cell>
        </row>
        <row r="82">
          <cell r="A82" t="str">
            <v>Current Liabilities (ex debt)</v>
          </cell>
          <cell r="B82">
            <v>31.38</v>
          </cell>
          <cell r="C82">
            <v>48.805</v>
          </cell>
          <cell r="D82">
            <v>58.66</v>
          </cell>
          <cell r="E82">
            <v>137.91300000000001</v>
          </cell>
          <cell r="F82">
            <v>144.52927600000001</v>
          </cell>
        </row>
        <row r="83">
          <cell r="A83" t="str">
            <v>Non Current Liabilities (incl debt)</v>
          </cell>
          <cell r="B83">
            <v>249.202</v>
          </cell>
          <cell r="C83">
            <v>247.76300000000001</v>
          </cell>
          <cell r="D83">
            <v>295.54599999999999</v>
          </cell>
          <cell r="E83">
            <v>451.70800000000003</v>
          </cell>
          <cell r="F83">
            <v>438.99235192957167</v>
          </cell>
        </row>
        <row r="84">
          <cell r="A84" t="str">
            <v>Net Assets</v>
          </cell>
          <cell r="B84">
            <v>508.44400000000002</v>
          </cell>
          <cell r="C84">
            <v>721.32299999999998</v>
          </cell>
          <cell r="D84">
            <v>1003.177</v>
          </cell>
          <cell r="E84">
            <v>2070.3710000000001</v>
          </cell>
          <cell r="F84">
            <v>2287.3156214181295</v>
          </cell>
        </row>
        <row r="85">
          <cell r="A85" t="str">
            <v>NTA/unit</v>
          </cell>
          <cell r="B85">
            <v>1.2881498197154213</v>
          </cell>
          <cell r="C85">
            <v>1.3964610503577535</v>
          </cell>
          <cell r="D85">
            <v>1.615170669596637</v>
          </cell>
          <cell r="E85">
            <v>1.8011995626423671</v>
          </cell>
          <cell r="F85">
            <v>1.9211646862039005</v>
          </cell>
        </row>
        <row r="87">
          <cell r="A87" t="str">
            <v>RATIOS</v>
          </cell>
        </row>
        <row r="88">
          <cell r="A88" t="str">
            <v>Debt/Gross Assets</v>
          </cell>
          <cell r="B88">
            <v>0.31583496614813711</v>
          </cell>
          <cell r="C88">
            <v>0.24340818417689122</v>
          </cell>
          <cell r="D88">
            <v>0.21773220970057824</v>
          </cell>
          <cell r="E88">
            <v>0.16981554831743856</v>
          </cell>
          <cell r="F88">
            <v>0.15291439876270155</v>
          </cell>
        </row>
        <row r="89">
          <cell r="A89" t="str">
            <v>MER</v>
          </cell>
          <cell r="B89">
            <v>6.2347082471225935E-3</v>
          </cell>
          <cell r="C89">
            <v>5.5190254573887149E-3</v>
          </cell>
          <cell r="D89">
            <v>5.0469657896861668E-3</v>
          </cell>
          <cell r="E89">
            <v>3.3380490742963456E-3</v>
          </cell>
          <cell r="F89">
            <v>3.0332900146590679E-3</v>
          </cell>
        </row>
        <row r="90">
          <cell r="A90" t="str">
            <v>Weighted Units (m)</v>
          </cell>
          <cell r="B90">
            <v>374.09667590476187</v>
          </cell>
          <cell r="C90">
            <v>454.46596299999999</v>
          </cell>
          <cell r="D90">
            <v>576.58531300000004</v>
          </cell>
          <cell r="E90">
            <v>909.41891891891896</v>
          </cell>
          <cell r="F90">
            <v>1190.588</v>
          </cell>
        </row>
        <row r="92">
          <cell r="A92" t="str">
            <v>VALUATION</v>
          </cell>
        </row>
        <row r="93">
          <cell r="A93" t="str">
            <v>NPV</v>
          </cell>
        </row>
        <row r="94">
          <cell r="A94" t="str">
            <v>Discount Rate</v>
          </cell>
        </row>
        <row r="95">
          <cell r="A95" t="str">
            <v>Year 5 Yeild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ial Balance"/>
      <sheetName val="Summary"/>
      <sheetName val="62800-110"/>
      <sheetName val="62800-112"/>
      <sheetName val="62800-130"/>
      <sheetName val="62900-110"/>
      <sheetName val="62900-130"/>
      <sheetName val="62900-660"/>
      <sheetName val="62900-977"/>
      <sheetName val="62900-979"/>
      <sheetName val="62900-997"/>
      <sheetName val="63200-110"/>
      <sheetName val="63200-112"/>
      <sheetName val="63200-130"/>
      <sheetName val="63200-977"/>
      <sheetName val="63200-997"/>
      <sheetName val="63405-110"/>
      <sheetName val="63405-112"/>
      <sheetName val="63405-130"/>
      <sheetName val="71900-110"/>
      <sheetName val="72005-110"/>
      <sheetName val="72005-112"/>
      <sheetName val="72005-130"/>
      <sheetName val="72005-997"/>
      <sheetName val="72710-110"/>
      <sheetName val="72710-112"/>
      <sheetName val="72710-130"/>
      <sheetName val="72710-979"/>
      <sheetName val="72710-997"/>
      <sheetName val="74320-110"/>
      <sheetName val="74320-130"/>
      <sheetName val="Proposed Receivables Recn"/>
      <sheetName val="Proposed Accruals Recn"/>
      <sheetName val="74900-110"/>
      <sheetName val="74900-112"/>
      <sheetName val="74900-130"/>
      <sheetName val="74900-977"/>
      <sheetName val="74900-979"/>
      <sheetName val="74900-997"/>
      <sheetName val="75200-110"/>
      <sheetName val="75200-130"/>
      <sheetName val="Herald_Commercial Bal_Sheet_R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ial Balance"/>
      <sheetName val="Summary"/>
      <sheetName val="62800-110"/>
      <sheetName val="62800-112"/>
      <sheetName val="62800-130"/>
      <sheetName val="62900-110"/>
      <sheetName val="62900-130"/>
      <sheetName val="62900-660"/>
      <sheetName val="62900-977"/>
      <sheetName val="62900-979"/>
      <sheetName val="62900-997"/>
      <sheetName val="63200-110"/>
      <sheetName val="63200-112"/>
      <sheetName val="63200-130"/>
      <sheetName val="63200-977"/>
      <sheetName val="63200-997"/>
      <sheetName val="63405-110"/>
      <sheetName val="63405-112"/>
      <sheetName val="63405-130"/>
      <sheetName val="71900-110"/>
      <sheetName val="72005-110"/>
      <sheetName val="72005-112"/>
      <sheetName val="72005-130"/>
      <sheetName val="72005-997"/>
      <sheetName val="72710-110"/>
      <sheetName val="72710-112"/>
      <sheetName val="72710-130"/>
      <sheetName val="72710-979"/>
      <sheetName val="72710-997"/>
      <sheetName val="74320-110"/>
      <sheetName val="74320-130"/>
      <sheetName val="Proposed Receivables Recn"/>
      <sheetName val="Proposed Accruals Recn"/>
      <sheetName val="74900-110"/>
      <sheetName val="74900-112"/>
      <sheetName val="74900-130"/>
      <sheetName val="74900-977"/>
      <sheetName val="74900-979"/>
      <sheetName val="74900-997"/>
      <sheetName val="75200-110"/>
      <sheetName val="75200-13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D"/>
      <sheetName val="GRD OLD 050525"/>
      <sheetName val="EBIT Splits_FY06"/>
      <sheetName val="EarningsRevisions"/>
      <sheetName val="FinSummary"/>
      <sheetName val="Centrepoint"/>
      <sheetName val="Summary"/>
      <sheetName val="DevDivision"/>
      <sheetName val="FY_Model"/>
      <sheetName val="FY_Corp"/>
      <sheetName val="FY_Trust"/>
      <sheetName val="HalfPres"/>
      <sheetName val="result comp"/>
      <sheetName val="FullPres"/>
      <sheetName val="cmbs"/>
      <sheetName val="DevBook"/>
      <sheetName val="Group_Seg"/>
      <sheetName val="Hotels"/>
      <sheetName val="NOISum"/>
      <sheetName val="CommercialAssets"/>
      <sheetName val="RetailAssets"/>
      <sheetName val="IndustrialAssets"/>
      <sheetName val="DDM"/>
      <sheetName val="JFG"/>
      <sheetName val="JFG (2)"/>
      <sheetName val="JFG2"/>
      <sheetName val="NonResDevelopment"/>
      <sheetName val="DPUHist"/>
      <sheetName val="Splits"/>
      <sheetName val="Shares"/>
      <sheetName val="Consensus"/>
      <sheetName val="SumofpartsVal"/>
      <sheetName val="DCF_ROIC"/>
      <sheetName val="Yarra's Edge"/>
      <sheetName val="IDCapex"/>
      <sheetName val="XXX"/>
      <sheetName val="Recon"/>
      <sheetName val="RestatedFins."/>
      <sheetName val="ComExpiries"/>
      <sheetName val="MGR1H05"/>
      <sheetName val="FY2004 Result"/>
      <sheetName val="Resi prices"/>
      <sheetName val="CurrDDiv"/>
      <sheetName val="stats"/>
      <sheetName val="Rents"/>
      <sheetName val="Sheet2"/>
      <sheetName val="Tenant Ranks"/>
      <sheetName val="Macro"/>
      <sheetName val="Trust_Seg"/>
      <sheetName val="Corp_Seg"/>
      <sheetName val="Charts"/>
      <sheetName val="BldCosts"/>
      <sheetName val="A&amp;DsinceBD"/>
      <sheetName val="Mgt&amp;Structure"/>
      <sheetName val="DebtRecon"/>
      <sheetName val="V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>
        <row r="14">
          <cell r="D14">
            <v>267.74274999999994</v>
          </cell>
          <cell r="E14">
            <v>303.39350000000002</v>
          </cell>
        </row>
      </sheetData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y Sheet"/>
      <sheetName val="Import"/>
      <sheetName val="DS-Location"/>
      <sheetName val="DS-Other"/>
      <sheetName val="US TRusts"/>
      <sheetName val="DPU Growth Charts"/>
      <sheetName val="Analysis and Stats"/>
      <sheetName val="Chart"/>
      <sheetName val="Complete TRUST"/>
      <sheetName val="Stars&amp;Stripes Stats"/>
      <sheetName val="Chart-Template"/>
      <sheetName val="Price to NPV"/>
      <sheetName val="Office Sensitivity"/>
      <sheetName val="Global Comp Sheet"/>
      <sheetName val="EPU DPU NEPU"/>
      <sheetName val="Ex Dates"/>
      <sheetName val="BigSmall Cap"/>
      <sheetName val="Iress Links"/>
      <sheetName val="IRESS Dump"/>
      <sheetName val="analysis for notes"/>
      <sheetName val="Template"/>
      <sheetName val="Data_MR"/>
      <sheetName val="WSF  LLC"/>
      <sheetName val="Input for New Data Ta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 BS"/>
      <sheetName val="Cons P&amp;L"/>
      <sheetName val="Summary P&amp;L"/>
      <sheetName val="Eliminations"/>
      <sheetName val="Control"/>
      <sheetName val="TR001A"/>
      <sheetName val="TR002A"/>
      <sheetName val="TR003A"/>
      <sheetName val="TR004A"/>
      <sheetName val="TR005A"/>
      <sheetName val="TR006A"/>
      <sheetName val="TR007A"/>
      <sheetName val="TR008A"/>
      <sheetName val="TR009A"/>
      <sheetName val="TR010A"/>
      <sheetName val="TR011A"/>
      <sheetName val="TR012A"/>
      <sheetName val="TR015A"/>
      <sheetName val="TR016A"/>
      <sheetName val="TR017A"/>
      <sheetName val="TR019A"/>
      <sheetName val="TR020A"/>
      <sheetName val="TR021A"/>
      <sheetName val="TR022A"/>
      <sheetName val="TR026A"/>
      <sheetName val="TR027A"/>
      <sheetName val="TR035A"/>
      <sheetName val="TR036A"/>
      <sheetName val="TR037A"/>
      <sheetName val="TR038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31">
          <cell r="N131">
            <v>6908291.1700000009</v>
          </cell>
        </row>
        <row r="135">
          <cell r="N135">
            <v>3260612.23</v>
          </cell>
        </row>
        <row r="198">
          <cell r="N198">
            <v>-4857966.6500000004</v>
          </cell>
        </row>
        <row r="205">
          <cell r="N205">
            <v>-5557401.2300000004</v>
          </cell>
        </row>
        <row r="228">
          <cell r="N228">
            <v>-1340249.31</v>
          </cell>
        </row>
        <row r="230">
          <cell r="N230">
            <v>0</v>
          </cell>
        </row>
        <row r="232">
          <cell r="N232">
            <v>0</v>
          </cell>
        </row>
        <row r="235">
          <cell r="N235">
            <v>-1239924.31</v>
          </cell>
        </row>
        <row r="260">
          <cell r="N260">
            <v>-101362.84</v>
          </cell>
        </row>
        <row r="420">
          <cell r="N420">
            <v>1423680.27</v>
          </cell>
        </row>
        <row r="563">
          <cell r="N563">
            <v>-2488576.33</v>
          </cell>
        </row>
        <row r="566">
          <cell r="N566">
            <v>223332</v>
          </cell>
        </row>
        <row r="581">
          <cell r="N581">
            <v>232851.69</v>
          </cell>
        </row>
      </sheetData>
      <sheetData sheetId="6" refreshError="1">
        <row r="87">
          <cell r="N87">
            <v>1638679.44</v>
          </cell>
        </row>
        <row r="91">
          <cell r="N91">
            <v>932134.53</v>
          </cell>
        </row>
        <row r="115">
          <cell r="N115">
            <v>-521581.64</v>
          </cell>
        </row>
        <row r="117">
          <cell r="N117">
            <v>0</v>
          </cell>
        </row>
        <row r="127">
          <cell r="N127">
            <v>-955581</v>
          </cell>
        </row>
        <row r="129">
          <cell r="N129">
            <v>0</v>
          </cell>
        </row>
        <row r="131">
          <cell r="N131">
            <v>0</v>
          </cell>
        </row>
        <row r="134">
          <cell r="N134">
            <v>-163581</v>
          </cell>
        </row>
        <row r="146">
          <cell r="N146">
            <v>-521476.86</v>
          </cell>
        </row>
        <row r="238">
          <cell r="N238">
            <v>379100.04</v>
          </cell>
        </row>
        <row r="320">
          <cell r="N320">
            <v>-19139.98</v>
          </cell>
        </row>
        <row r="323">
          <cell r="N323">
            <v>0</v>
          </cell>
        </row>
      </sheetData>
      <sheetData sheetId="7" refreshError="1">
        <row r="76">
          <cell r="N76">
            <v>778871.63</v>
          </cell>
        </row>
        <row r="78">
          <cell r="N78">
            <v>0</v>
          </cell>
        </row>
        <row r="88">
          <cell r="N88">
            <v>-11352.11</v>
          </cell>
        </row>
        <row r="90">
          <cell r="N90">
            <v>0</v>
          </cell>
        </row>
        <row r="96">
          <cell r="N96">
            <v>-683531.77</v>
          </cell>
        </row>
        <row r="98">
          <cell r="N98">
            <v>0</v>
          </cell>
        </row>
        <row r="100">
          <cell r="N100">
            <v>0</v>
          </cell>
        </row>
        <row r="103">
          <cell r="N103">
            <v>-683530.77</v>
          </cell>
        </row>
        <row r="106">
          <cell r="N106">
            <v>0</v>
          </cell>
        </row>
        <row r="118">
          <cell r="N118">
            <v>0</v>
          </cell>
        </row>
        <row r="129">
          <cell r="N129">
            <v>-83987.75</v>
          </cell>
        </row>
        <row r="132">
          <cell r="N132">
            <v>0</v>
          </cell>
        </row>
      </sheetData>
      <sheetData sheetId="8" refreshError="1">
        <row r="80">
          <cell r="N80">
            <v>174357.47999999998</v>
          </cell>
        </row>
        <row r="84">
          <cell r="N84">
            <v>97491.15</v>
          </cell>
        </row>
        <row r="97">
          <cell r="N97">
            <v>-76672</v>
          </cell>
        </row>
        <row r="100">
          <cell r="N100">
            <v>-200</v>
          </cell>
        </row>
        <row r="106">
          <cell r="N106">
            <v>-102550.19</v>
          </cell>
        </row>
        <row r="108">
          <cell r="N108">
            <v>0</v>
          </cell>
        </row>
        <row r="110">
          <cell r="N110">
            <v>0</v>
          </cell>
        </row>
        <row r="113">
          <cell r="N113">
            <v>-102540.19</v>
          </cell>
        </row>
        <row r="116">
          <cell r="N116">
            <v>0</v>
          </cell>
        </row>
        <row r="137">
          <cell r="N137">
            <v>6670.02</v>
          </cell>
        </row>
        <row r="157">
          <cell r="N157">
            <v>-1805.31</v>
          </cell>
        </row>
        <row r="160">
          <cell r="N160">
            <v>0</v>
          </cell>
        </row>
      </sheetData>
      <sheetData sheetId="9" refreshError="1">
        <row r="73">
          <cell r="N73">
            <v>10</v>
          </cell>
        </row>
        <row r="75">
          <cell r="N75">
            <v>0</v>
          </cell>
        </row>
        <row r="82">
          <cell r="N82">
            <v>0</v>
          </cell>
        </row>
        <row r="84">
          <cell r="N84">
            <v>0</v>
          </cell>
        </row>
        <row r="90">
          <cell r="N90">
            <v>-10</v>
          </cell>
        </row>
        <row r="92">
          <cell r="N92">
            <v>0</v>
          </cell>
        </row>
        <row r="94">
          <cell r="N94">
            <v>0</v>
          </cell>
        </row>
        <row r="97">
          <cell r="N97">
            <v>0</v>
          </cell>
        </row>
        <row r="99">
          <cell r="N99">
            <v>0</v>
          </cell>
        </row>
        <row r="111">
          <cell r="N111">
            <v>0</v>
          </cell>
        </row>
        <row r="121">
          <cell r="N121">
            <v>0</v>
          </cell>
        </row>
        <row r="124">
          <cell r="N124">
            <v>0</v>
          </cell>
        </row>
      </sheetData>
      <sheetData sheetId="10" refreshError="1">
        <row r="75">
          <cell r="N75">
            <v>13051.130000000001</v>
          </cell>
        </row>
        <row r="77">
          <cell r="N77">
            <v>0</v>
          </cell>
        </row>
        <row r="87">
          <cell r="N87">
            <v>0</v>
          </cell>
        </row>
        <row r="89">
          <cell r="N89">
            <v>0</v>
          </cell>
        </row>
        <row r="96">
          <cell r="N96">
            <v>-13051.13</v>
          </cell>
        </row>
        <row r="98">
          <cell r="N98">
            <v>0</v>
          </cell>
        </row>
        <row r="100">
          <cell r="N100">
            <v>0</v>
          </cell>
        </row>
        <row r="103">
          <cell r="N103">
            <v>-13041.13</v>
          </cell>
        </row>
        <row r="105">
          <cell r="N105">
            <v>0</v>
          </cell>
        </row>
        <row r="117">
          <cell r="N117">
            <v>0</v>
          </cell>
        </row>
        <row r="128">
          <cell r="N128">
            <v>0</v>
          </cell>
        </row>
        <row r="133">
          <cell r="N133">
            <v>0</v>
          </cell>
        </row>
      </sheetData>
      <sheetData sheetId="11" refreshError="1">
        <row r="73">
          <cell r="N73">
            <v>10</v>
          </cell>
        </row>
        <row r="75">
          <cell r="N75">
            <v>0</v>
          </cell>
        </row>
        <row r="82">
          <cell r="N82">
            <v>0</v>
          </cell>
        </row>
        <row r="84">
          <cell r="N84">
            <v>0</v>
          </cell>
        </row>
        <row r="90">
          <cell r="N90">
            <v>-10</v>
          </cell>
        </row>
        <row r="92">
          <cell r="N92">
            <v>0</v>
          </cell>
        </row>
        <row r="94">
          <cell r="N94">
            <v>0</v>
          </cell>
        </row>
        <row r="97">
          <cell r="N97">
            <v>0</v>
          </cell>
        </row>
        <row r="99">
          <cell r="N99">
            <v>0</v>
          </cell>
        </row>
        <row r="111">
          <cell r="N111">
            <v>0</v>
          </cell>
        </row>
        <row r="121">
          <cell r="N121">
            <v>0</v>
          </cell>
        </row>
        <row r="123">
          <cell r="N123">
            <v>0</v>
          </cell>
        </row>
      </sheetData>
      <sheetData sheetId="12" refreshError="1">
        <row r="74">
          <cell r="N74">
            <v>350010</v>
          </cell>
        </row>
        <row r="76">
          <cell r="N76">
            <v>0</v>
          </cell>
        </row>
        <row r="84">
          <cell r="N84">
            <v>-350000</v>
          </cell>
        </row>
        <row r="86">
          <cell r="N86">
            <v>0</v>
          </cell>
        </row>
        <row r="93">
          <cell r="N93">
            <v>-10</v>
          </cell>
        </row>
        <row r="95">
          <cell r="N95">
            <v>0</v>
          </cell>
        </row>
        <row r="97">
          <cell r="N97">
            <v>0</v>
          </cell>
        </row>
        <row r="100">
          <cell r="N100">
            <v>0</v>
          </cell>
        </row>
        <row r="102">
          <cell r="N102">
            <v>0</v>
          </cell>
        </row>
        <row r="114">
          <cell r="N114">
            <v>0</v>
          </cell>
        </row>
        <row r="125">
          <cell r="N125">
            <v>0</v>
          </cell>
        </row>
        <row r="127">
          <cell r="N127">
            <v>0</v>
          </cell>
        </row>
      </sheetData>
      <sheetData sheetId="13" refreshError="1">
        <row r="73">
          <cell r="N73">
            <v>200</v>
          </cell>
        </row>
        <row r="75">
          <cell r="N75">
            <v>0</v>
          </cell>
        </row>
        <row r="82">
          <cell r="N82">
            <v>0</v>
          </cell>
        </row>
        <row r="84">
          <cell r="N84">
            <v>0</v>
          </cell>
        </row>
        <row r="90">
          <cell r="N90">
            <v>-200</v>
          </cell>
        </row>
        <row r="92">
          <cell r="N92">
            <v>0</v>
          </cell>
        </row>
        <row r="94">
          <cell r="N94">
            <v>0</v>
          </cell>
        </row>
        <row r="97">
          <cell r="N97">
            <v>0</v>
          </cell>
        </row>
        <row r="99">
          <cell r="N99">
            <v>0</v>
          </cell>
        </row>
        <row r="111">
          <cell r="N111">
            <v>0</v>
          </cell>
        </row>
        <row r="121">
          <cell r="N121">
            <v>0</v>
          </cell>
        </row>
        <row r="123">
          <cell r="N123">
            <v>0</v>
          </cell>
        </row>
      </sheetData>
      <sheetData sheetId="14" refreshError="1">
        <row r="84">
          <cell r="N84">
            <v>68884.079999999842</v>
          </cell>
        </row>
        <row r="87">
          <cell r="N87">
            <v>53565.72</v>
          </cell>
        </row>
        <row r="105">
          <cell r="N105">
            <v>-213</v>
          </cell>
        </row>
        <row r="107">
          <cell r="N107">
            <v>0</v>
          </cell>
        </row>
        <row r="114">
          <cell r="N114">
            <v>-2472152.34</v>
          </cell>
        </row>
        <row r="116">
          <cell r="N116">
            <v>0</v>
          </cell>
        </row>
        <row r="118">
          <cell r="N118">
            <v>0</v>
          </cell>
        </row>
        <row r="121">
          <cell r="N121">
            <v>-2472142.34</v>
          </cell>
        </row>
        <row r="125">
          <cell r="N125">
            <v>-27037.3</v>
          </cell>
        </row>
        <row r="140">
          <cell r="N140">
            <v>1221</v>
          </cell>
        </row>
        <row r="156">
          <cell r="N156">
            <v>29297.559999999998</v>
          </cell>
        </row>
        <row r="160">
          <cell r="N160">
            <v>2400000</v>
          </cell>
        </row>
      </sheetData>
      <sheetData sheetId="15" refreshError="1">
        <row r="76">
          <cell r="N76">
            <v>312502</v>
          </cell>
        </row>
        <row r="78">
          <cell r="N78">
            <v>0</v>
          </cell>
        </row>
        <row r="86">
          <cell r="N86">
            <v>0</v>
          </cell>
        </row>
        <row r="88">
          <cell r="N88">
            <v>0</v>
          </cell>
        </row>
        <row r="94">
          <cell r="N94">
            <v>-2</v>
          </cell>
        </row>
        <row r="96">
          <cell r="N96">
            <v>0</v>
          </cell>
        </row>
        <row r="98">
          <cell r="N98">
            <v>0</v>
          </cell>
        </row>
        <row r="101">
          <cell r="N101">
            <v>0</v>
          </cell>
        </row>
        <row r="104">
          <cell r="N104">
            <v>-312500</v>
          </cell>
        </row>
        <row r="118">
          <cell r="N118">
            <v>0</v>
          </cell>
        </row>
        <row r="130">
          <cell r="N130">
            <v>0</v>
          </cell>
        </row>
        <row r="132">
          <cell r="N132">
            <v>0</v>
          </cell>
        </row>
      </sheetData>
      <sheetData sheetId="16" refreshError="1">
        <row r="106">
          <cell r="N106">
            <v>10924804.559999999</v>
          </cell>
        </row>
        <row r="111">
          <cell r="N111">
            <v>71682.55</v>
          </cell>
        </row>
        <row r="129">
          <cell r="N129">
            <v>-9589836.5</v>
          </cell>
        </row>
        <row r="132">
          <cell r="N132">
            <v>-7820570.3899999997</v>
          </cell>
        </row>
        <row r="139">
          <cell r="N139">
            <v>-1599676.0899999999</v>
          </cell>
        </row>
        <row r="141">
          <cell r="N141">
            <v>0</v>
          </cell>
        </row>
        <row r="144">
          <cell r="N144">
            <v>-1094127</v>
          </cell>
        </row>
        <row r="147">
          <cell r="N147">
            <v>194450.91</v>
          </cell>
        </row>
        <row r="155">
          <cell r="N155">
            <v>-5720</v>
          </cell>
        </row>
        <row r="197">
          <cell r="N197">
            <v>56541.2</v>
          </cell>
        </row>
        <row r="238">
          <cell r="N238">
            <v>-1481.32</v>
          </cell>
        </row>
        <row r="244">
          <cell r="N244">
            <v>215368.15</v>
          </cell>
        </row>
      </sheetData>
      <sheetData sheetId="17" refreshError="1">
        <row r="159">
          <cell r="N159">
            <v>25899702.350000009</v>
          </cell>
        </row>
        <row r="164">
          <cell r="N164">
            <v>614654.77</v>
          </cell>
        </row>
        <row r="184">
          <cell r="N184">
            <v>-12863450.300000001</v>
          </cell>
        </row>
        <row r="192">
          <cell r="N192">
            <v>-12370036.699999999</v>
          </cell>
        </row>
        <row r="207">
          <cell r="N207">
            <v>-1140178.8500000001</v>
          </cell>
        </row>
        <row r="208">
          <cell r="N208">
            <v>-135258.98000000001</v>
          </cell>
        </row>
        <row r="209">
          <cell r="N209">
            <v>-1140178.8400000001</v>
          </cell>
        </row>
        <row r="210">
          <cell r="N210">
            <v>-135258.98000000001</v>
          </cell>
        </row>
        <row r="211">
          <cell r="N211">
            <v>-2280360</v>
          </cell>
        </row>
        <row r="212">
          <cell r="N212">
            <v>-270517.93</v>
          </cell>
        </row>
        <row r="217">
          <cell r="N217">
            <v>-8052908.0599999996</v>
          </cell>
        </row>
        <row r="219">
          <cell r="N219">
            <v>0</v>
          </cell>
        </row>
        <row r="227">
          <cell r="N227">
            <v>-246165.75</v>
          </cell>
        </row>
        <row r="283">
          <cell r="N283">
            <v>60442.44</v>
          </cell>
        </row>
        <row r="338">
          <cell r="N338">
            <v>-6024.75</v>
          </cell>
        </row>
        <row r="353">
          <cell r="N353">
            <v>310157.65000000002</v>
          </cell>
        </row>
      </sheetData>
      <sheetData sheetId="18" refreshError="1">
        <row r="74">
          <cell r="N74">
            <v>310</v>
          </cell>
        </row>
        <row r="76">
          <cell r="N76">
            <v>0</v>
          </cell>
        </row>
        <row r="85">
          <cell r="N85">
            <v>-300</v>
          </cell>
        </row>
        <row r="87">
          <cell r="N87">
            <v>0</v>
          </cell>
        </row>
        <row r="94">
          <cell r="N94">
            <v>-10</v>
          </cell>
        </row>
        <row r="96">
          <cell r="N96">
            <v>0</v>
          </cell>
        </row>
        <row r="98">
          <cell r="N98">
            <v>0</v>
          </cell>
        </row>
        <row r="101">
          <cell r="N101">
            <v>0</v>
          </cell>
        </row>
        <row r="103">
          <cell r="N103">
            <v>0</v>
          </cell>
        </row>
        <row r="115">
          <cell r="N115">
            <v>0</v>
          </cell>
        </row>
        <row r="125">
          <cell r="N125">
            <v>0</v>
          </cell>
        </row>
        <row r="127">
          <cell r="N127">
            <v>0</v>
          </cell>
        </row>
      </sheetData>
      <sheetData sheetId="19" refreshError="1">
        <row r="74">
          <cell r="N74">
            <v>450</v>
          </cell>
        </row>
        <row r="76">
          <cell r="N76">
            <v>0</v>
          </cell>
        </row>
        <row r="84">
          <cell r="N84">
            <v>-150</v>
          </cell>
        </row>
        <row r="86">
          <cell r="N86">
            <v>0</v>
          </cell>
        </row>
        <row r="92">
          <cell r="N92">
            <v>-300</v>
          </cell>
        </row>
        <row r="94">
          <cell r="N94">
            <v>0</v>
          </cell>
        </row>
        <row r="96">
          <cell r="N96">
            <v>0</v>
          </cell>
        </row>
        <row r="99">
          <cell r="N99">
            <v>0</v>
          </cell>
        </row>
        <row r="101">
          <cell r="N101">
            <v>0</v>
          </cell>
        </row>
        <row r="113">
          <cell r="N113">
            <v>0</v>
          </cell>
        </row>
        <row r="123">
          <cell r="N123">
            <v>0</v>
          </cell>
        </row>
        <row r="125">
          <cell r="N125">
            <v>0</v>
          </cell>
        </row>
      </sheetData>
      <sheetData sheetId="20" refreshError="1">
        <row r="73">
          <cell r="N73">
            <v>10</v>
          </cell>
        </row>
        <row r="75">
          <cell r="N75">
            <v>0</v>
          </cell>
        </row>
        <row r="82">
          <cell r="N82">
            <v>0</v>
          </cell>
        </row>
        <row r="84">
          <cell r="N84">
            <v>0</v>
          </cell>
        </row>
        <row r="90">
          <cell r="N90">
            <v>-10</v>
          </cell>
        </row>
        <row r="92">
          <cell r="N92">
            <v>0</v>
          </cell>
        </row>
        <row r="94">
          <cell r="N94">
            <v>0</v>
          </cell>
        </row>
        <row r="97">
          <cell r="N97">
            <v>0</v>
          </cell>
        </row>
        <row r="100">
          <cell r="N100">
            <v>0</v>
          </cell>
        </row>
        <row r="113">
          <cell r="N113">
            <v>0</v>
          </cell>
        </row>
        <row r="124">
          <cell r="N124">
            <v>0</v>
          </cell>
        </row>
        <row r="127">
          <cell r="N127">
            <v>0</v>
          </cell>
        </row>
      </sheetData>
      <sheetData sheetId="21" refreshError="1">
        <row r="73">
          <cell r="N73">
            <v>1</v>
          </cell>
        </row>
        <row r="75">
          <cell r="N75">
            <v>0</v>
          </cell>
        </row>
        <row r="82">
          <cell r="N82">
            <v>0</v>
          </cell>
        </row>
        <row r="84">
          <cell r="N84">
            <v>0</v>
          </cell>
        </row>
        <row r="90">
          <cell r="N90">
            <v>-1</v>
          </cell>
        </row>
        <row r="92">
          <cell r="N92">
            <v>0</v>
          </cell>
        </row>
        <row r="94">
          <cell r="N94">
            <v>0</v>
          </cell>
        </row>
        <row r="97">
          <cell r="N97">
            <v>0</v>
          </cell>
        </row>
        <row r="99">
          <cell r="N99">
            <v>0</v>
          </cell>
        </row>
        <row r="111">
          <cell r="N111">
            <v>0</v>
          </cell>
        </row>
        <row r="121">
          <cell r="N121">
            <v>0</v>
          </cell>
        </row>
        <row r="123">
          <cell r="N123">
            <v>0</v>
          </cell>
        </row>
      </sheetData>
      <sheetData sheetId="22" refreshError="1">
        <row r="73">
          <cell r="N73">
            <v>1</v>
          </cell>
        </row>
        <row r="75">
          <cell r="N75">
            <v>0</v>
          </cell>
        </row>
        <row r="82">
          <cell r="N82">
            <v>0</v>
          </cell>
        </row>
        <row r="84">
          <cell r="N84">
            <v>0</v>
          </cell>
        </row>
        <row r="91">
          <cell r="N91">
            <v>-1</v>
          </cell>
        </row>
        <row r="93">
          <cell r="N93">
            <v>0</v>
          </cell>
        </row>
        <row r="95">
          <cell r="N95">
            <v>0</v>
          </cell>
        </row>
        <row r="99">
          <cell r="N99">
            <v>0</v>
          </cell>
        </row>
        <row r="101">
          <cell r="N101">
            <v>0</v>
          </cell>
        </row>
        <row r="113">
          <cell r="N113">
            <v>0</v>
          </cell>
        </row>
        <row r="123">
          <cell r="N123">
            <v>0</v>
          </cell>
        </row>
        <row r="125">
          <cell r="N125">
            <v>0</v>
          </cell>
        </row>
      </sheetData>
      <sheetData sheetId="23" refreshError="1">
        <row r="73">
          <cell r="N73">
            <v>1</v>
          </cell>
        </row>
        <row r="84">
          <cell r="N84">
            <v>0</v>
          </cell>
        </row>
        <row r="94">
          <cell r="N94">
            <v>0</v>
          </cell>
        </row>
      </sheetData>
      <sheetData sheetId="24" refreshError="1"/>
      <sheetData sheetId="25" refreshError="1">
        <row r="87">
          <cell r="N87">
            <v>-0.19</v>
          </cell>
        </row>
        <row r="135">
          <cell r="N135">
            <v>0</v>
          </cell>
        </row>
        <row r="152">
          <cell r="N152">
            <v>1183.75</v>
          </cell>
        </row>
        <row r="169">
          <cell r="N169">
            <v>-1184.27</v>
          </cell>
        </row>
        <row r="174">
          <cell r="N174">
            <v>0</v>
          </cell>
        </row>
      </sheetData>
      <sheetData sheetId="26" refreshError="1">
        <row r="73">
          <cell r="N73">
            <v>10</v>
          </cell>
        </row>
        <row r="90">
          <cell r="N90">
            <v>-10</v>
          </cell>
        </row>
      </sheetData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58046D8-B229-470F-84ED-555A5D9B63CA}">
  <we:reference id="66cfb7aa-c8b5-4285-ae4a-6140b6c8d0d6" version="1.0.14.0" store="EXCatalog" storeType="EXCatalog"/>
  <we:alternateReferences/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E2548-51EB-4500-B26A-D4D3A62A34D1}">
  <dimension ref="B2:B9"/>
  <sheetViews>
    <sheetView showGridLines="0" showRowColHeaders="0" workbookViewId="0">
      <selection activeCell="Z1" sqref="Z1"/>
    </sheetView>
  </sheetViews>
  <sheetFormatPr defaultColWidth="8.8984375" defaultRowHeight="14.4"/>
  <cols>
    <col min="1" max="1" width="8.8984375" style="389"/>
    <col min="2" max="2" width="101.09765625" style="389" customWidth="1"/>
    <col min="3" max="16384" width="8.8984375" style="389"/>
  </cols>
  <sheetData>
    <row r="2" spans="2:2" ht="51.55">
      <c r="B2" s="388" t="s">
        <v>806</v>
      </c>
    </row>
    <row r="3" spans="2:2" ht="17.2">
      <c r="B3" s="388"/>
    </row>
    <row r="4" spans="2:2" ht="17.2">
      <c r="B4" s="388"/>
    </row>
    <row r="5" spans="2:2" ht="17.2">
      <c r="B5" s="388" t="s">
        <v>807</v>
      </c>
    </row>
    <row r="6" spans="2:2" ht="17.2">
      <c r="B6" s="388" t="s">
        <v>808</v>
      </c>
    </row>
    <row r="7" spans="2:2" ht="17.2">
      <c r="B7" s="388" t="s">
        <v>809</v>
      </c>
    </row>
    <row r="8" spans="2:2" ht="17.2">
      <c r="B8" s="388"/>
    </row>
    <row r="9" spans="2:2" ht="35.450000000000003">
      <c r="B9" s="390" t="s">
        <v>810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37FDB-F66E-4FA4-9F8A-68303122963B}">
  <sheetPr codeName="Sheet3"/>
  <dimension ref="A1:H446"/>
  <sheetViews>
    <sheetView showGridLines="0" workbookViewId="0">
      <selection activeCell="Z1" sqref="Z1"/>
    </sheetView>
  </sheetViews>
  <sheetFormatPr defaultRowHeight="14.4"/>
  <sheetData>
    <row r="1" spans="1:8" ht="23.3" customHeight="1">
      <c r="A1" s="381"/>
      <c r="B1" s="382"/>
      <c r="C1" s="382"/>
      <c r="D1" s="382"/>
      <c r="E1" s="382"/>
      <c r="F1" s="382"/>
      <c r="G1" s="382"/>
      <c r="H1" s="382"/>
    </row>
    <row r="2" spans="1:8">
      <c r="A2" s="379" t="s">
        <v>379</v>
      </c>
      <c r="B2" s="382"/>
      <c r="C2" s="382"/>
      <c r="D2" s="382"/>
      <c r="E2" s="382"/>
      <c r="F2" s="382"/>
      <c r="G2" s="382"/>
      <c r="H2" s="382"/>
    </row>
    <row r="3" spans="1:8">
      <c r="A3" s="379" t="s">
        <v>380</v>
      </c>
      <c r="B3" s="382"/>
      <c r="C3" s="382"/>
      <c r="D3" s="382"/>
      <c r="E3" s="382"/>
      <c r="F3" s="382"/>
      <c r="G3" s="382"/>
      <c r="H3" s="382"/>
    </row>
    <row r="4" spans="1:8">
      <c r="A4" s="379" t="s">
        <v>381</v>
      </c>
      <c r="B4" s="382"/>
      <c r="C4" s="382"/>
      <c r="D4" s="382"/>
      <c r="E4" s="382"/>
      <c r="F4" s="382"/>
      <c r="G4" s="382"/>
      <c r="H4" s="382"/>
    </row>
    <row r="5" spans="1:8">
      <c r="A5" s="379" t="s">
        <v>382</v>
      </c>
      <c r="B5" s="382"/>
      <c r="C5" s="382"/>
      <c r="D5" s="382"/>
      <c r="E5" s="382"/>
      <c r="F5" s="382"/>
      <c r="G5" s="382"/>
      <c r="H5" s="382"/>
    </row>
    <row r="6" spans="1:8">
      <c r="A6" s="379"/>
      <c r="B6" s="382"/>
      <c r="C6" s="382"/>
      <c r="D6" s="382"/>
      <c r="E6" s="382"/>
      <c r="F6" s="382"/>
      <c r="G6" s="382"/>
      <c r="H6" s="382"/>
    </row>
    <row r="7" spans="1:8">
      <c r="A7" s="379" t="s">
        <v>383</v>
      </c>
      <c r="B7" s="382"/>
      <c r="C7" s="382"/>
      <c r="D7" s="382"/>
      <c r="E7" s="382"/>
      <c r="F7" s="382"/>
      <c r="G7" s="382"/>
      <c r="H7" s="382"/>
    </row>
    <row r="8" spans="1:8">
      <c r="A8" s="379" t="s">
        <v>384</v>
      </c>
      <c r="B8" s="382"/>
      <c r="C8" s="382"/>
      <c r="D8" s="382"/>
      <c r="E8" s="382"/>
      <c r="F8" s="382"/>
      <c r="G8" s="382"/>
      <c r="H8" s="382"/>
    </row>
    <row r="9" spans="1:8">
      <c r="A9" s="379"/>
      <c r="B9" s="382"/>
      <c r="C9" s="382"/>
      <c r="D9" s="382"/>
      <c r="E9" s="382"/>
      <c r="F9" s="382"/>
      <c r="G9" s="382"/>
      <c r="H9" s="382"/>
    </row>
    <row r="10" spans="1:8">
      <c r="A10" s="379" t="s">
        <v>385</v>
      </c>
      <c r="B10" s="382"/>
      <c r="C10" s="382"/>
      <c r="D10" s="382"/>
      <c r="E10" s="382"/>
      <c r="F10" s="382"/>
      <c r="G10" s="382"/>
      <c r="H10" s="382"/>
    </row>
    <row r="11" spans="1:8">
      <c r="A11" s="379" t="s">
        <v>386</v>
      </c>
      <c r="B11" s="382"/>
      <c r="C11" s="382"/>
      <c r="D11" s="382"/>
      <c r="E11" s="382"/>
      <c r="F11" s="382"/>
      <c r="G11" s="382"/>
      <c r="H11" s="382"/>
    </row>
    <row r="12" spans="1:8">
      <c r="A12" s="379" t="s">
        <v>387</v>
      </c>
      <c r="B12" s="382"/>
      <c r="C12" s="382"/>
      <c r="D12" s="382"/>
      <c r="E12" s="382"/>
      <c r="F12" s="382"/>
      <c r="G12" s="382"/>
      <c r="H12" s="382"/>
    </row>
    <row r="13" spans="1:8">
      <c r="A13" s="379" t="s">
        <v>388</v>
      </c>
      <c r="B13" s="382"/>
      <c r="C13" s="382"/>
      <c r="D13" s="382"/>
      <c r="E13" s="382"/>
      <c r="F13" s="382"/>
      <c r="G13" s="382"/>
      <c r="H13" s="382"/>
    </row>
    <row r="14" spans="1:8">
      <c r="A14" s="379" t="s">
        <v>389</v>
      </c>
      <c r="B14" s="382"/>
      <c r="C14" s="382"/>
      <c r="D14" s="382"/>
      <c r="E14" s="382"/>
      <c r="F14" s="382"/>
      <c r="G14" s="382"/>
      <c r="H14" s="382"/>
    </row>
    <row r="15" spans="1:8">
      <c r="A15" s="379" t="s">
        <v>390</v>
      </c>
      <c r="B15" s="382"/>
      <c r="C15" s="382"/>
      <c r="D15" s="382"/>
      <c r="E15" s="382"/>
      <c r="F15" s="382"/>
      <c r="G15" s="382"/>
      <c r="H15" s="382"/>
    </row>
    <row r="16" spans="1:8">
      <c r="A16" s="379"/>
      <c r="B16" s="382"/>
      <c r="C16" s="382"/>
      <c r="D16" s="382"/>
      <c r="E16" s="382"/>
      <c r="F16" s="382"/>
      <c r="G16" s="382"/>
      <c r="H16" s="382"/>
    </row>
    <row r="17" spans="1:8">
      <c r="A17" s="379" t="s">
        <v>391</v>
      </c>
      <c r="B17" s="382"/>
      <c r="C17" s="382"/>
      <c r="D17" s="382"/>
      <c r="E17" s="382"/>
      <c r="F17" s="382"/>
      <c r="G17" s="382"/>
      <c r="H17" s="382"/>
    </row>
    <row r="18" spans="1:8">
      <c r="A18" s="379"/>
      <c r="B18" s="382"/>
      <c r="C18" s="382"/>
      <c r="D18" s="382"/>
      <c r="E18" s="382"/>
      <c r="F18" s="382"/>
      <c r="G18" s="382"/>
      <c r="H18" s="382"/>
    </row>
    <row r="19" spans="1:8">
      <c r="A19" s="379" t="s">
        <v>392</v>
      </c>
      <c r="B19" s="382"/>
      <c r="C19" s="382"/>
      <c r="D19" s="382"/>
      <c r="E19" s="382"/>
      <c r="F19" s="382"/>
      <c r="G19" s="382"/>
      <c r="H19" s="382"/>
    </row>
    <row r="20" spans="1:8">
      <c r="A20" s="379"/>
      <c r="B20" s="382"/>
      <c r="C20" s="382"/>
      <c r="D20" s="382"/>
      <c r="E20" s="382"/>
      <c r="F20" s="382"/>
      <c r="G20" s="382"/>
      <c r="H20" s="382"/>
    </row>
    <row r="21" spans="1:8">
      <c r="A21" s="380" t="s">
        <v>393</v>
      </c>
      <c r="B21" s="382"/>
      <c r="C21" s="382"/>
      <c r="D21" s="382"/>
      <c r="E21" s="382"/>
      <c r="F21" s="382"/>
      <c r="G21" s="382"/>
      <c r="H21" s="382"/>
    </row>
    <row r="22" spans="1:8">
      <c r="A22" s="382"/>
      <c r="B22" s="382"/>
      <c r="C22" s="382"/>
      <c r="D22" s="382"/>
      <c r="E22" s="382"/>
      <c r="F22" s="382"/>
      <c r="G22" s="382"/>
      <c r="H22" s="382"/>
    </row>
    <row r="23" spans="1:8">
      <c r="A23" s="383" t="s">
        <v>394</v>
      </c>
      <c r="B23" s="382"/>
      <c r="C23" s="382"/>
      <c r="D23" s="382"/>
      <c r="E23" s="382"/>
      <c r="F23" s="382"/>
      <c r="G23" s="382"/>
      <c r="H23" s="382"/>
    </row>
    <row r="24" spans="1:8">
      <c r="A24" s="383" t="s">
        <v>395</v>
      </c>
      <c r="B24" s="382"/>
      <c r="C24" s="382"/>
      <c r="D24" s="382"/>
      <c r="E24" s="382"/>
      <c r="F24" s="382"/>
      <c r="G24" s="382"/>
      <c r="H24" s="382"/>
    </row>
    <row r="25" spans="1:8">
      <c r="A25" s="383" t="s">
        <v>396</v>
      </c>
      <c r="B25" s="382"/>
      <c r="C25" s="382"/>
      <c r="D25" s="382"/>
      <c r="E25" s="382"/>
      <c r="F25" s="382"/>
      <c r="G25" s="382"/>
      <c r="H25" s="382"/>
    </row>
    <row r="26" spans="1:8">
      <c r="A26" s="383" t="s">
        <v>397</v>
      </c>
      <c r="B26" s="382"/>
      <c r="C26" s="382"/>
      <c r="D26" s="382"/>
      <c r="E26" s="382"/>
      <c r="F26" s="382"/>
      <c r="G26" s="382"/>
      <c r="H26" s="382"/>
    </row>
    <row r="27" spans="1:8">
      <c r="A27" s="382"/>
      <c r="B27" s="382"/>
      <c r="C27" s="382"/>
      <c r="D27" s="382"/>
      <c r="E27" s="382"/>
      <c r="F27" s="382"/>
      <c r="G27" s="382"/>
      <c r="H27" s="382"/>
    </row>
    <row r="28" spans="1:8">
      <c r="A28" s="383" t="s">
        <v>398</v>
      </c>
      <c r="B28" s="382"/>
      <c r="C28" s="382"/>
      <c r="D28" s="382"/>
      <c r="E28" s="382"/>
      <c r="F28" s="382"/>
      <c r="G28" s="382"/>
      <c r="H28" s="382"/>
    </row>
    <row r="29" spans="1:8">
      <c r="A29" s="383" t="s">
        <v>399</v>
      </c>
      <c r="B29" s="382"/>
      <c r="C29" s="382"/>
      <c r="D29" s="382"/>
      <c r="E29" s="382"/>
      <c r="F29" s="382"/>
      <c r="G29" s="382"/>
      <c r="H29" s="382"/>
    </row>
    <row r="30" spans="1:8">
      <c r="A30" s="383" t="s">
        <v>400</v>
      </c>
      <c r="B30" s="382"/>
      <c r="C30" s="382"/>
      <c r="D30" s="382"/>
      <c r="E30" s="382"/>
      <c r="F30" s="382"/>
      <c r="G30" s="382"/>
      <c r="H30" s="382"/>
    </row>
    <row r="31" spans="1:8">
      <c r="A31" s="383" t="s">
        <v>401</v>
      </c>
      <c r="B31" s="382"/>
      <c r="C31" s="382"/>
      <c r="D31" s="382"/>
      <c r="E31" s="382"/>
      <c r="F31" s="382"/>
      <c r="G31" s="382"/>
      <c r="H31" s="382"/>
    </row>
    <row r="32" spans="1:8">
      <c r="A32" s="383" t="s">
        <v>402</v>
      </c>
      <c r="B32" s="382"/>
      <c r="C32" s="382"/>
      <c r="D32" s="382"/>
      <c r="E32" s="382"/>
      <c r="F32" s="382"/>
      <c r="G32" s="382"/>
      <c r="H32" s="382"/>
    </row>
    <row r="33" spans="1:8">
      <c r="A33" s="383" t="s">
        <v>403</v>
      </c>
      <c r="B33" s="382"/>
      <c r="C33" s="382"/>
      <c r="D33" s="382"/>
      <c r="E33" s="382"/>
      <c r="F33" s="382"/>
      <c r="G33" s="382"/>
      <c r="H33" s="382"/>
    </row>
    <row r="34" spans="1:8">
      <c r="A34" s="383" t="s">
        <v>404</v>
      </c>
      <c r="B34" s="382"/>
      <c r="C34" s="382"/>
      <c r="D34" s="382"/>
      <c r="E34" s="382"/>
      <c r="F34" s="382"/>
      <c r="G34" s="382"/>
      <c r="H34" s="382"/>
    </row>
    <row r="35" spans="1:8">
      <c r="A35" s="383" t="s">
        <v>405</v>
      </c>
      <c r="B35" s="382"/>
      <c r="C35" s="382"/>
      <c r="D35" s="382"/>
      <c r="E35" s="382"/>
      <c r="F35" s="382"/>
      <c r="G35" s="382"/>
      <c r="H35" s="382"/>
    </row>
    <row r="36" spans="1:8">
      <c r="A36" s="383" t="s">
        <v>406</v>
      </c>
      <c r="B36" s="382"/>
      <c r="C36" s="382"/>
      <c r="D36" s="382"/>
      <c r="E36" s="382"/>
      <c r="F36" s="382"/>
      <c r="G36" s="382"/>
      <c r="H36" s="382"/>
    </row>
    <row r="37" spans="1:8">
      <c r="A37" s="383" t="s">
        <v>407</v>
      </c>
      <c r="B37" s="382"/>
      <c r="C37" s="382"/>
      <c r="D37" s="382"/>
      <c r="E37" s="382"/>
      <c r="F37" s="382"/>
      <c r="G37" s="382"/>
      <c r="H37" s="382"/>
    </row>
    <row r="38" spans="1:8">
      <c r="A38" s="383" t="s">
        <v>408</v>
      </c>
      <c r="B38" s="382"/>
      <c r="C38" s="382"/>
      <c r="D38" s="382"/>
      <c r="E38" s="382"/>
      <c r="F38" s="382"/>
      <c r="G38" s="382"/>
      <c r="H38" s="382"/>
    </row>
    <row r="39" spans="1:8">
      <c r="A39" s="383" t="s">
        <v>409</v>
      </c>
      <c r="B39" s="382"/>
      <c r="C39" s="382"/>
      <c r="D39" s="382"/>
      <c r="E39" s="382"/>
      <c r="F39" s="382"/>
      <c r="G39" s="382"/>
      <c r="H39" s="382"/>
    </row>
    <row r="40" spans="1:8">
      <c r="A40" s="383" t="s">
        <v>410</v>
      </c>
      <c r="B40" s="382"/>
      <c r="C40" s="382"/>
      <c r="D40" s="382"/>
      <c r="E40" s="382"/>
      <c r="F40" s="382"/>
      <c r="G40" s="382"/>
      <c r="H40" s="382"/>
    </row>
    <row r="41" spans="1:8">
      <c r="A41" s="383" t="s">
        <v>411</v>
      </c>
      <c r="B41" s="382"/>
      <c r="C41" s="382"/>
      <c r="D41" s="382"/>
      <c r="E41" s="382"/>
      <c r="F41" s="382"/>
      <c r="G41" s="382"/>
      <c r="H41" s="382"/>
    </row>
    <row r="42" spans="1:8">
      <c r="A42" s="383" t="s">
        <v>412</v>
      </c>
      <c r="B42" s="382"/>
      <c r="C42" s="382"/>
      <c r="D42" s="382"/>
      <c r="E42" s="382"/>
      <c r="F42" s="382"/>
      <c r="G42" s="382"/>
      <c r="H42" s="382"/>
    </row>
    <row r="43" spans="1:8">
      <c r="A43" s="383" t="s">
        <v>413</v>
      </c>
      <c r="B43" s="382"/>
      <c r="C43" s="382"/>
      <c r="D43" s="382"/>
      <c r="E43" s="382"/>
      <c r="F43" s="382"/>
      <c r="G43" s="382"/>
      <c r="H43" s="382"/>
    </row>
    <row r="44" spans="1:8">
      <c r="A44" s="383" t="s">
        <v>414</v>
      </c>
      <c r="B44" s="382"/>
      <c r="C44" s="382"/>
      <c r="D44" s="382"/>
      <c r="E44" s="382"/>
      <c r="F44" s="382"/>
      <c r="G44" s="382"/>
      <c r="H44" s="382"/>
    </row>
    <row r="45" spans="1:8">
      <c r="A45" s="383" t="s">
        <v>415</v>
      </c>
      <c r="B45" s="382"/>
      <c r="C45" s="382"/>
      <c r="D45" s="382"/>
      <c r="E45" s="382"/>
      <c r="F45" s="382"/>
      <c r="G45" s="382"/>
      <c r="H45" s="382"/>
    </row>
    <row r="46" spans="1:8">
      <c r="A46" s="383" t="s">
        <v>416</v>
      </c>
      <c r="B46" s="382"/>
      <c r="C46" s="382"/>
      <c r="D46" s="382"/>
      <c r="E46" s="382"/>
      <c r="F46" s="382"/>
      <c r="G46" s="382"/>
      <c r="H46" s="382"/>
    </row>
    <row r="47" spans="1:8">
      <c r="A47" s="383" t="s">
        <v>417</v>
      </c>
      <c r="B47" s="382"/>
      <c r="C47" s="382"/>
      <c r="D47" s="382"/>
      <c r="E47" s="382"/>
      <c r="F47" s="382"/>
      <c r="G47" s="382"/>
      <c r="H47" s="382"/>
    </row>
    <row r="48" spans="1:8">
      <c r="A48" s="383" t="s">
        <v>418</v>
      </c>
      <c r="B48" s="382"/>
      <c r="C48" s="382"/>
      <c r="D48" s="382"/>
      <c r="E48" s="382"/>
      <c r="F48" s="382"/>
      <c r="G48" s="382"/>
      <c r="H48" s="382"/>
    </row>
    <row r="49" spans="1:8">
      <c r="A49" s="383" t="s">
        <v>419</v>
      </c>
      <c r="B49" s="382"/>
      <c r="C49" s="382"/>
      <c r="D49" s="382"/>
      <c r="E49" s="382"/>
      <c r="F49" s="382"/>
      <c r="G49" s="382"/>
      <c r="H49" s="382"/>
    </row>
    <row r="50" spans="1:8">
      <c r="A50" s="383" t="s">
        <v>420</v>
      </c>
      <c r="B50" s="382"/>
      <c r="C50" s="382"/>
      <c r="D50" s="382"/>
      <c r="E50" s="382"/>
      <c r="F50" s="382"/>
      <c r="G50" s="382"/>
      <c r="H50" s="382"/>
    </row>
    <row r="51" spans="1:8">
      <c r="A51" s="382"/>
      <c r="B51" s="382"/>
      <c r="C51" s="382"/>
      <c r="D51" s="382"/>
      <c r="E51" s="382"/>
      <c r="F51" s="382"/>
      <c r="G51" s="382"/>
      <c r="H51" s="382"/>
    </row>
    <row r="52" spans="1:8">
      <c r="A52" s="383" t="s">
        <v>421</v>
      </c>
      <c r="B52" s="382"/>
      <c r="C52" s="382"/>
      <c r="D52" s="382"/>
      <c r="E52" s="382"/>
      <c r="F52" s="382"/>
      <c r="G52" s="382"/>
      <c r="H52" s="382"/>
    </row>
    <row r="53" spans="1:8">
      <c r="A53" s="383" t="s">
        <v>422</v>
      </c>
      <c r="B53" s="382"/>
      <c r="C53" s="382"/>
      <c r="D53" s="382"/>
      <c r="E53" s="382"/>
      <c r="F53" s="382"/>
      <c r="G53" s="382"/>
      <c r="H53" s="382"/>
    </row>
    <row r="54" spans="1:8">
      <c r="A54" s="383" t="s">
        <v>423</v>
      </c>
      <c r="B54" s="382"/>
      <c r="C54" s="382"/>
      <c r="D54" s="382"/>
      <c r="E54" s="382"/>
      <c r="F54" s="382"/>
      <c r="G54" s="382"/>
      <c r="H54" s="382"/>
    </row>
    <row r="55" spans="1:8">
      <c r="A55" s="383" t="s">
        <v>424</v>
      </c>
      <c r="B55" s="382"/>
      <c r="C55" s="382"/>
      <c r="D55" s="382"/>
      <c r="E55" s="382"/>
      <c r="F55" s="382"/>
      <c r="G55" s="382"/>
      <c r="H55" s="382"/>
    </row>
    <row r="56" spans="1:8">
      <c r="A56" s="382"/>
      <c r="B56" s="382"/>
      <c r="C56" s="382"/>
      <c r="D56" s="382"/>
      <c r="E56" s="382"/>
      <c r="F56" s="382"/>
      <c r="G56" s="382"/>
      <c r="H56" s="382"/>
    </row>
    <row r="57" spans="1:8">
      <c r="A57" s="383" t="s">
        <v>425</v>
      </c>
      <c r="B57" s="382"/>
      <c r="C57" s="382"/>
      <c r="D57" s="382"/>
      <c r="E57" s="382"/>
      <c r="F57" s="382"/>
      <c r="G57" s="382"/>
      <c r="H57" s="382"/>
    </row>
    <row r="58" spans="1:8">
      <c r="A58" s="383" t="s">
        <v>426</v>
      </c>
      <c r="B58" s="382"/>
      <c r="C58" s="382"/>
      <c r="D58" s="382"/>
      <c r="E58" s="382"/>
      <c r="F58" s="382"/>
      <c r="G58" s="382"/>
      <c r="H58" s="382"/>
    </row>
    <row r="59" spans="1:8">
      <c r="A59" s="383" t="s">
        <v>427</v>
      </c>
      <c r="B59" s="382"/>
      <c r="C59" s="382"/>
      <c r="D59" s="382"/>
      <c r="E59" s="382"/>
      <c r="F59" s="382"/>
      <c r="G59" s="382"/>
      <c r="H59" s="382"/>
    </row>
    <row r="60" spans="1:8">
      <c r="A60" s="383" t="s">
        <v>428</v>
      </c>
      <c r="B60" s="382"/>
      <c r="C60" s="382"/>
      <c r="D60" s="382"/>
      <c r="E60" s="382"/>
      <c r="F60" s="382"/>
      <c r="G60" s="382"/>
      <c r="H60" s="382"/>
    </row>
    <row r="61" spans="1:8">
      <c r="A61" s="383" t="s">
        <v>429</v>
      </c>
      <c r="B61" s="382"/>
      <c r="C61" s="382"/>
      <c r="D61" s="382"/>
      <c r="E61" s="382"/>
      <c r="F61" s="382"/>
      <c r="G61" s="382"/>
      <c r="H61" s="382"/>
    </row>
    <row r="62" spans="1:8">
      <c r="A62" s="383" t="s">
        <v>430</v>
      </c>
      <c r="B62" s="382"/>
      <c r="C62" s="382"/>
      <c r="D62" s="382"/>
      <c r="E62" s="382"/>
      <c r="F62" s="382"/>
      <c r="G62" s="382"/>
      <c r="H62" s="382"/>
    </row>
    <row r="63" spans="1:8">
      <c r="A63" s="382"/>
      <c r="B63" s="382"/>
      <c r="C63" s="382"/>
      <c r="D63" s="382"/>
      <c r="E63" s="382"/>
      <c r="F63" s="382"/>
      <c r="G63" s="382"/>
      <c r="H63" s="382"/>
    </row>
    <row r="64" spans="1:8" ht="15.55">
      <c r="A64" s="384" t="s">
        <v>374</v>
      </c>
      <c r="B64" s="382"/>
      <c r="C64" s="382"/>
      <c r="D64" s="382"/>
      <c r="E64" s="382"/>
      <c r="F64" s="382"/>
      <c r="G64" s="382"/>
      <c r="H64" s="382"/>
    </row>
    <row r="65" spans="1:8">
      <c r="A65" s="382"/>
      <c r="B65" s="382"/>
      <c r="C65" s="382"/>
      <c r="D65" s="382"/>
      <c r="E65" s="382"/>
      <c r="F65" s="382"/>
      <c r="G65" s="382"/>
      <c r="H65" s="382"/>
    </row>
    <row r="66" spans="1:8">
      <c r="A66" s="383" t="s">
        <v>431</v>
      </c>
      <c r="B66" s="382"/>
      <c r="C66" s="382"/>
      <c r="D66" s="382"/>
      <c r="E66" s="382"/>
      <c r="F66" s="382"/>
      <c r="G66" s="382"/>
      <c r="H66" s="382"/>
    </row>
    <row r="67" spans="1:8">
      <c r="A67" s="383" t="s">
        <v>432</v>
      </c>
      <c r="B67" s="382"/>
      <c r="C67" s="382"/>
      <c r="D67" s="382"/>
      <c r="E67" s="382"/>
      <c r="F67" s="382"/>
      <c r="G67" s="382"/>
      <c r="H67" s="382"/>
    </row>
    <row r="68" spans="1:8">
      <c r="A68" s="383" t="s">
        <v>433</v>
      </c>
      <c r="B68" s="382"/>
      <c r="C68" s="382"/>
      <c r="D68" s="382"/>
      <c r="E68" s="382"/>
      <c r="F68" s="382"/>
      <c r="G68" s="382"/>
      <c r="H68" s="382"/>
    </row>
    <row r="69" spans="1:8">
      <c r="A69" s="383" t="s">
        <v>434</v>
      </c>
      <c r="B69" s="382"/>
      <c r="C69" s="382"/>
      <c r="D69" s="382"/>
      <c r="E69" s="382"/>
      <c r="F69" s="382"/>
      <c r="G69" s="382"/>
      <c r="H69" s="382"/>
    </row>
    <row r="70" spans="1:8">
      <c r="A70" s="382"/>
      <c r="B70" s="382"/>
      <c r="C70" s="382"/>
      <c r="D70" s="382"/>
      <c r="E70" s="382"/>
      <c r="F70" s="382"/>
      <c r="G70" s="382"/>
      <c r="H70" s="382"/>
    </row>
    <row r="71" spans="1:8">
      <c r="A71" s="383" t="s">
        <v>375</v>
      </c>
      <c r="B71" s="382"/>
      <c r="C71" s="382"/>
      <c r="D71" s="382"/>
      <c r="E71" s="382"/>
      <c r="F71" s="382"/>
      <c r="G71" s="382"/>
      <c r="H71" s="382"/>
    </row>
    <row r="72" spans="1:8">
      <c r="A72" s="382"/>
      <c r="B72" s="382"/>
      <c r="C72" s="382"/>
      <c r="D72" s="382"/>
      <c r="E72" s="382"/>
      <c r="F72" s="382"/>
      <c r="G72" s="382"/>
      <c r="H72" s="382"/>
    </row>
    <row r="73" spans="1:8" ht="15.55">
      <c r="A73" s="384" t="s">
        <v>435</v>
      </c>
      <c r="B73" s="382"/>
      <c r="C73" s="382"/>
      <c r="D73" s="382"/>
      <c r="E73" s="382"/>
      <c r="F73" s="382"/>
      <c r="G73" s="382"/>
      <c r="H73" s="382"/>
    </row>
    <row r="74" spans="1:8">
      <c r="A74" s="382"/>
      <c r="B74" s="382"/>
      <c r="C74" s="382"/>
      <c r="D74" s="382"/>
      <c r="E74" s="382"/>
      <c r="F74" s="382"/>
      <c r="G74" s="382"/>
      <c r="H74" s="382"/>
    </row>
    <row r="75" spans="1:8">
      <c r="A75" s="383" t="s">
        <v>436</v>
      </c>
      <c r="B75" s="382"/>
      <c r="C75" s="382"/>
      <c r="D75" s="382"/>
      <c r="E75" s="382"/>
      <c r="F75" s="382"/>
      <c r="G75" s="382"/>
      <c r="H75" s="382"/>
    </row>
    <row r="76" spans="1:8">
      <c r="A76" s="383" t="s">
        <v>437</v>
      </c>
      <c r="B76" s="382"/>
      <c r="C76" s="382"/>
      <c r="D76" s="382"/>
      <c r="E76" s="382"/>
      <c r="F76" s="382"/>
      <c r="G76" s="382"/>
      <c r="H76" s="382"/>
    </row>
    <row r="77" spans="1:8">
      <c r="A77" s="383" t="s">
        <v>438</v>
      </c>
      <c r="B77" s="382"/>
      <c r="C77" s="382"/>
      <c r="D77" s="382"/>
      <c r="E77" s="382"/>
      <c r="F77" s="382"/>
      <c r="G77" s="382"/>
      <c r="H77" s="382"/>
    </row>
    <row r="78" spans="1:8">
      <c r="A78" s="382"/>
      <c r="B78" s="382"/>
      <c r="C78" s="382"/>
      <c r="D78" s="382"/>
      <c r="E78" s="382"/>
      <c r="F78" s="382"/>
      <c r="G78" s="382"/>
      <c r="H78" s="382"/>
    </row>
    <row r="79" spans="1:8" ht="15.55">
      <c r="A79" s="384" t="s">
        <v>376</v>
      </c>
      <c r="B79" s="382"/>
      <c r="C79" s="382"/>
      <c r="D79" s="382"/>
      <c r="E79" s="382"/>
      <c r="F79" s="382"/>
      <c r="G79" s="382"/>
      <c r="H79" s="382"/>
    </row>
    <row r="80" spans="1:8">
      <c r="A80" s="382"/>
      <c r="B80" s="382"/>
      <c r="C80" s="382"/>
      <c r="D80" s="382"/>
      <c r="E80" s="382"/>
      <c r="F80" s="382"/>
      <c r="G80" s="382"/>
      <c r="H80" s="382"/>
    </row>
    <row r="81" spans="1:8">
      <c r="A81" s="383" t="s">
        <v>439</v>
      </c>
      <c r="B81" s="382"/>
      <c r="C81" s="382"/>
      <c r="D81" s="382"/>
      <c r="E81" s="382"/>
      <c r="F81" s="382"/>
      <c r="G81" s="382"/>
      <c r="H81" s="382"/>
    </row>
    <row r="82" spans="1:8">
      <c r="A82" s="383" t="s">
        <v>440</v>
      </c>
      <c r="B82" s="382"/>
      <c r="C82" s="382"/>
      <c r="D82" s="382"/>
      <c r="E82" s="382"/>
      <c r="F82" s="382"/>
      <c r="G82" s="382"/>
      <c r="H82" s="382"/>
    </row>
    <row r="83" spans="1:8">
      <c r="A83" s="382"/>
      <c r="B83" s="382"/>
      <c r="C83" s="382"/>
      <c r="D83" s="382"/>
      <c r="E83" s="382"/>
      <c r="F83" s="382"/>
      <c r="G83" s="382"/>
      <c r="H83" s="382"/>
    </row>
    <row r="84" spans="1:8">
      <c r="A84" s="383" t="s">
        <v>441</v>
      </c>
      <c r="B84" s="382"/>
      <c r="C84" s="382"/>
      <c r="D84" s="382"/>
      <c r="E84" s="382"/>
      <c r="F84" s="382"/>
      <c r="G84" s="382"/>
      <c r="H84" s="382"/>
    </row>
    <row r="85" spans="1:8">
      <c r="A85" s="383" t="s">
        <v>442</v>
      </c>
      <c r="B85" s="382"/>
      <c r="C85" s="382"/>
      <c r="D85" s="382"/>
      <c r="E85" s="382"/>
      <c r="F85" s="382"/>
      <c r="G85" s="382"/>
      <c r="H85" s="382"/>
    </row>
    <row r="86" spans="1:8">
      <c r="A86" s="382"/>
      <c r="B86" s="382"/>
      <c r="C86" s="382"/>
      <c r="D86" s="382"/>
      <c r="E86" s="382"/>
      <c r="F86" s="382"/>
      <c r="G86" s="382"/>
      <c r="H86" s="382"/>
    </row>
    <row r="87" spans="1:8">
      <c r="A87" s="383" t="s">
        <v>443</v>
      </c>
      <c r="B87" s="382"/>
      <c r="C87" s="382"/>
      <c r="D87" s="382"/>
      <c r="E87" s="382"/>
      <c r="F87" s="382"/>
      <c r="G87" s="382"/>
      <c r="H87" s="382"/>
    </row>
    <row r="88" spans="1:8">
      <c r="A88" s="383" t="s">
        <v>444</v>
      </c>
      <c r="B88" s="382"/>
      <c r="C88" s="382"/>
      <c r="D88" s="382"/>
      <c r="E88" s="382"/>
      <c r="F88" s="382"/>
      <c r="G88" s="382"/>
      <c r="H88" s="382"/>
    </row>
    <row r="89" spans="1:8">
      <c r="A89" s="382"/>
      <c r="B89" s="382"/>
      <c r="C89" s="382"/>
      <c r="D89" s="382"/>
      <c r="E89" s="382"/>
      <c r="F89" s="382"/>
      <c r="G89" s="382"/>
      <c r="H89" s="382"/>
    </row>
    <row r="90" spans="1:8">
      <c r="A90" s="383" t="s">
        <v>445</v>
      </c>
      <c r="B90" s="382"/>
      <c r="C90" s="382"/>
      <c r="D90" s="382"/>
      <c r="E90" s="382"/>
      <c r="F90" s="382"/>
      <c r="G90" s="382"/>
      <c r="H90" s="382"/>
    </row>
    <row r="91" spans="1:8">
      <c r="A91" s="383" t="s">
        <v>446</v>
      </c>
      <c r="B91" s="382"/>
      <c r="C91" s="382"/>
      <c r="D91" s="382"/>
      <c r="E91" s="382"/>
      <c r="F91" s="382"/>
      <c r="G91" s="382"/>
      <c r="H91" s="382"/>
    </row>
    <row r="92" spans="1:8">
      <c r="A92" s="382"/>
      <c r="B92" s="382"/>
      <c r="C92" s="382"/>
      <c r="D92" s="382"/>
      <c r="E92" s="382"/>
      <c r="F92" s="382"/>
      <c r="G92" s="382"/>
      <c r="H92" s="382"/>
    </row>
    <row r="93" spans="1:8">
      <c r="A93" s="383" t="s">
        <v>447</v>
      </c>
      <c r="B93" s="382"/>
      <c r="C93" s="382"/>
      <c r="D93" s="382"/>
      <c r="E93" s="382"/>
      <c r="F93" s="382"/>
      <c r="G93" s="382"/>
      <c r="H93" s="382"/>
    </row>
    <row r="94" spans="1:8">
      <c r="A94" s="383" t="s">
        <v>448</v>
      </c>
      <c r="B94" s="382"/>
      <c r="C94" s="382"/>
      <c r="D94" s="382"/>
      <c r="E94" s="382"/>
      <c r="F94" s="382"/>
      <c r="G94" s="382"/>
      <c r="H94" s="382"/>
    </row>
    <row r="95" spans="1:8">
      <c r="A95" s="382"/>
      <c r="B95" s="382"/>
      <c r="C95" s="382"/>
      <c r="D95" s="382"/>
      <c r="E95" s="382"/>
      <c r="F95" s="382"/>
      <c r="G95" s="382"/>
      <c r="H95" s="382"/>
    </row>
    <row r="96" spans="1:8">
      <c r="A96" s="383" t="s">
        <v>449</v>
      </c>
      <c r="B96" s="382"/>
      <c r="C96" s="382"/>
      <c r="D96" s="382"/>
      <c r="E96" s="382"/>
      <c r="F96" s="382"/>
      <c r="G96" s="382"/>
      <c r="H96" s="382"/>
    </row>
    <row r="97" spans="1:8">
      <c r="A97" s="383" t="s">
        <v>450</v>
      </c>
      <c r="B97" s="382"/>
      <c r="C97" s="382"/>
      <c r="D97" s="382"/>
      <c r="E97" s="382"/>
      <c r="F97" s="382"/>
      <c r="G97" s="382"/>
      <c r="H97" s="382"/>
    </row>
    <row r="98" spans="1:8">
      <c r="A98" s="383" t="s">
        <v>451</v>
      </c>
      <c r="B98" s="382"/>
      <c r="C98" s="382"/>
      <c r="D98" s="382"/>
      <c r="E98" s="382"/>
      <c r="F98" s="382"/>
      <c r="G98" s="382"/>
      <c r="H98" s="382"/>
    </row>
    <row r="99" spans="1:8">
      <c r="A99" s="382"/>
      <c r="B99" s="382"/>
      <c r="C99" s="382"/>
      <c r="D99" s="382"/>
      <c r="E99" s="382"/>
      <c r="F99" s="382"/>
      <c r="G99" s="382"/>
      <c r="H99" s="382"/>
    </row>
    <row r="100" spans="1:8">
      <c r="A100" s="383" t="s">
        <v>452</v>
      </c>
      <c r="B100" s="382"/>
      <c r="C100" s="382"/>
      <c r="D100" s="382"/>
      <c r="E100" s="382"/>
      <c r="F100" s="382"/>
      <c r="G100" s="382"/>
      <c r="H100" s="382"/>
    </row>
    <row r="101" spans="1:8">
      <c r="A101" s="383" t="s">
        <v>453</v>
      </c>
      <c r="B101" s="382"/>
      <c r="C101" s="382"/>
      <c r="D101" s="382"/>
      <c r="E101" s="382"/>
      <c r="F101" s="382"/>
      <c r="G101" s="382"/>
      <c r="H101" s="382"/>
    </row>
    <row r="102" spans="1:8">
      <c r="A102" s="383" t="s">
        <v>454</v>
      </c>
      <c r="B102" s="382"/>
      <c r="C102" s="382"/>
      <c r="D102" s="382"/>
      <c r="E102" s="382"/>
      <c r="F102" s="382"/>
      <c r="G102" s="382"/>
      <c r="H102" s="382"/>
    </row>
    <row r="103" spans="1:8">
      <c r="A103" s="383" t="s">
        <v>455</v>
      </c>
      <c r="B103" s="382"/>
      <c r="C103" s="382"/>
      <c r="D103" s="382"/>
      <c r="E103" s="382"/>
      <c r="F103" s="382"/>
      <c r="G103" s="382"/>
      <c r="H103" s="382"/>
    </row>
    <row r="104" spans="1:8">
      <c r="A104" s="383" t="s">
        <v>456</v>
      </c>
      <c r="B104" s="382"/>
      <c r="C104" s="382"/>
      <c r="D104" s="382"/>
      <c r="E104" s="382"/>
      <c r="F104" s="382"/>
      <c r="G104" s="382"/>
      <c r="H104" s="382"/>
    </row>
    <row r="105" spans="1:8">
      <c r="A105" s="383" t="s">
        <v>457</v>
      </c>
      <c r="B105" s="382"/>
      <c r="C105" s="382"/>
      <c r="D105" s="382"/>
      <c r="E105" s="382"/>
      <c r="F105" s="382"/>
      <c r="G105" s="382"/>
      <c r="H105" s="382"/>
    </row>
    <row r="106" spans="1:8">
      <c r="A106" s="382"/>
      <c r="B106" s="382"/>
      <c r="C106" s="382"/>
      <c r="D106" s="382"/>
      <c r="E106" s="382"/>
      <c r="F106" s="382"/>
      <c r="G106" s="382"/>
      <c r="H106" s="382"/>
    </row>
    <row r="107" spans="1:8">
      <c r="A107" s="383" t="s">
        <v>458</v>
      </c>
      <c r="B107" s="382"/>
      <c r="C107" s="382"/>
      <c r="D107" s="382"/>
      <c r="E107" s="382"/>
      <c r="F107" s="382"/>
      <c r="G107" s="382"/>
      <c r="H107" s="382"/>
    </row>
    <row r="108" spans="1:8">
      <c r="A108" s="383" t="s">
        <v>459</v>
      </c>
      <c r="B108" s="382"/>
      <c r="C108" s="382"/>
      <c r="D108" s="382"/>
      <c r="E108" s="382"/>
      <c r="F108" s="382"/>
      <c r="G108" s="382"/>
      <c r="H108" s="382"/>
    </row>
    <row r="109" spans="1:8">
      <c r="A109" s="383" t="s">
        <v>460</v>
      </c>
      <c r="B109" s="382"/>
      <c r="C109" s="382"/>
      <c r="D109" s="382"/>
      <c r="E109" s="382"/>
      <c r="F109" s="382"/>
      <c r="G109" s="382"/>
      <c r="H109" s="382"/>
    </row>
    <row r="110" spans="1:8">
      <c r="A110" s="383" t="s">
        <v>461</v>
      </c>
      <c r="B110" s="382"/>
      <c r="C110" s="382"/>
      <c r="D110" s="382"/>
      <c r="E110" s="382"/>
      <c r="F110" s="382"/>
      <c r="G110" s="382"/>
      <c r="H110" s="382"/>
    </row>
    <row r="111" spans="1:8">
      <c r="A111" s="383" t="s">
        <v>462</v>
      </c>
      <c r="B111" s="382"/>
      <c r="C111" s="382"/>
      <c r="D111" s="382"/>
      <c r="E111" s="382"/>
      <c r="F111" s="382"/>
      <c r="G111" s="382"/>
      <c r="H111" s="382"/>
    </row>
    <row r="112" spans="1:8">
      <c r="A112" s="383" t="s">
        <v>463</v>
      </c>
      <c r="B112" s="382"/>
      <c r="C112" s="382"/>
      <c r="D112" s="382"/>
      <c r="E112" s="382"/>
      <c r="F112" s="382"/>
      <c r="G112" s="382"/>
      <c r="H112" s="382"/>
    </row>
    <row r="113" spans="1:8">
      <c r="A113" s="383" t="s">
        <v>464</v>
      </c>
      <c r="B113" s="382"/>
      <c r="C113" s="382"/>
      <c r="D113" s="382"/>
      <c r="E113" s="382"/>
      <c r="F113" s="382"/>
      <c r="G113" s="382"/>
      <c r="H113" s="382"/>
    </row>
    <row r="114" spans="1:8">
      <c r="A114" s="382"/>
      <c r="B114" s="382"/>
      <c r="C114" s="382"/>
      <c r="D114" s="382"/>
      <c r="E114" s="382"/>
      <c r="F114" s="382"/>
      <c r="G114" s="382"/>
      <c r="H114" s="382"/>
    </row>
    <row r="115" spans="1:8">
      <c r="A115" s="383" t="s">
        <v>465</v>
      </c>
      <c r="B115" s="382"/>
      <c r="C115" s="382"/>
      <c r="D115" s="382"/>
      <c r="E115" s="382"/>
      <c r="F115" s="382"/>
      <c r="G115" s="382"/>
      <c r="H115" s="382"/>
    </row>
    <row r="116" spans="1:8">
      <c r="A116" s="383" t="s">
        <v>466</v>
      </c>
      <c r="B116" s="382"/>
      <c r="C116" s="382"/>
      <c r="D116" s="382"/>
      <c r="E116" s="382"/>
      <c r="F116" s="382"/>
      <c r="G116" s="382"/>
      <c r="H116" s="382"/>
    </row>
    <row r="117" spans="1:8">
      <c r="A117" s="382"/>
      <c r="B117" s="382"/>
      <c r="C117" s="382"/>
      <c r="D117" s="382"/>
      <c r="E117" s="382"/>
      <c r="F117" s="382"/>
      <c r="G117" s="382"/>
      <c r="H117" s="382"/>
    </row>
    <row r="118" spans="1:8" ht="15.55">
      <c r="A118" s="384" t="s">
        <v>467</v>
      </c>
      <c r="B118" s="382"/>
      <c r="C118" s="382"/>
      <c r="D118" s="382"/>
      <c r="E118" s="382"/>
      <c r="F118" s="382"/>
      <c r="G118" s="382"/>
      <c r="H118" s="382"/>
    </row>
    <row r="119" spans="1:8">
      <c r="A119" s="382"/>
      <c r="B119" s="382"/>
      <c r="C119" s="382"/>
      <c r="D119" s="382"/>
      <c r="E119" s="382"/>
      <c r="F119" s="382"/>
      <c r="G119" s="382"/>
      <c r="H119" s="382"/>
    </row>
    <row r="120" spans="1:8">
      <c r="A120" s="383" t="s">
        <v>468</v>
      </c>
      <c r="B120" s="382"/>
      <c r="C120" s="382"/>
      <c r="D120" s="382"/>
      <c r="E120" s="382"/>
      <c r="F120" s="382"/>
      <c r="G120" s="382"/>
      <c r="H120" s="382"/>
    </row>
    <row r="121" spans="1:8">
      <c r="A121" s="383" t="s">
        <v>469</v>
      </c>
      <c r="B121" s="382"/>
      <c r="C121" s="382"/>
      <c r="D121" s="382"/>
      <c r="E121" s="382"/>
      <c r="F121" s="382"/>
      <c r="G121" s="382"/>
      <c r="H121" s="382"/>
    </row>
    <row r="122" spans="1:8">
      <c r="A122" s="383" t="s">
        <v>470</v>
      </c>
      <c r="B122" s="382"/>
      <c r="C122" s="382"/>
      <c r="D122" s="382"/>
      <c r="E122" s="382"/>
      <c r="F122" s="382"/>
      <c r="G122" s="382"/>
      <c r="H122" s="382"/>
    </row>
    <row r="123" spans="1:8">
      <c r="A123" s="383" t="s">
        <v>471</v>
      </c>
      <c r="B123" s="382"/>
      <c r="C123" s="382"/>
      <c r="D123" s="382"/>
      <c r="E123" s="382"/>
      <c r="F123" s="382"/>
      <c r="G123" s="382"/>
      <c r="H123" s="382"/>
    </row>
    <row r="124" spans="1:8">
      <c r="A124" s="383" t="s">
        <v>472</v>
      </c>
      <c r="B124" s="382"/>
      <c r="C124" s="382"/>
      <c r="D124" s="382"/>
      <c r="E124" s="382"/>
      <c r="F124" s="382"/>
      <c r="G124" s="382"/>
      <c r="H124" s="382"/>
    </row>
    <row r="125" spans="1:8">
      <c r="A125" s="383" t="s">
        <v>473</v>
      </c>
      <c r="B125" s="382"/>
      <c r="C125" s="382"/>
      <c r="D125" s="382"/>
      <c r="E125" s="382"/>
      <c r="F125" s="382"/>
      <c r="G125" s="382"/>
      <c r="H125" s="382"/>
    </row>
    <row r="126" spans="1:8">
      <c r="A126" s="383" t="s">
        <v>474</v>
      </c>
      <c r="B126" s="382"/>
      <c r="C126" s="382"/>
      <c r="D126" s="382"/>
      <c r="E126" s="382"/>
      <c r="F126" s="382"/>
      <c r="G126" s="382"/>
      <c r="H126" s="382"/>
    </row>
    <row r="127" spans="1:8">
      <c r="A127" s="383" t="s">
        <v>475</v>
      </c>
      <c r="B127" s="382"/>
      <c r="C127" s="382"/>
      <c r="D127" s="382"/>
      <c r="E127" s="382"/>
      <c r="F127" s="382"/>
      <c r="G127" s="382"/>
      <c r="H127" s="382"/>
    </row>
    <row r="128" spans="1:8">
      <c r="A128" s="383" t="s">
        <v>476</v>
      </c>
      <c r="B128" s="382"/>
      <c r="C128" s="382"/>
      <c r="D128" s="382"/>
      <c r="E128" s="382"/>
      <c r="F128" s="382"/>
      <c r="G128" s="382"/>
      <c r="H128" s="382"/>
    </row>
    <row r="129" spans="1:8">
      <c r="A129" s="382"/>
      <c r="B129" s="382"/>
      <c r="C129" s="382"/>
      <c r="D129" s="382"/>
      <c r="E129" s="382"/>
      <c r="F129" s="382"/>
      <c r="G129" s="382"/>
      <c r="H129" s="382"/>
    </row>
    <row r="130" spans="1:8" ht="15.55">
      <c r="A130" s="384" t="s">
        <v>477</v>
      </c>
      <c r="B130" s="382"/>
      <c r="C130" s="382"/>
      <c r="D130" s="382"/>
      <c r="E130" s="382"/>
      <c r="F130" s="382"/>
      <c r="G130" s="382"/>
      <c r="H130" s="382"/>
    </row>
    <row r="131" spans="1:8">
      <c r="A131" s="382"/>
      <c r="B131" s="382"/>
      <c r="C131" s="382"/>
      <c r="D131" s="382"/>
      <c r="E131" s="382"/>
      <c r="F131" s="382"/>
      <c r="G131" s="382"/>
      <c r="H131" s="382"/>
    </row>
    <row r="132" spans="1:8">
      <c r="A132" s="383" t="s">
        <v>478</v>
      </c>
      <c r="B132" s="382"/>
      <c r="C132" s="382"/>
      <c r="D132" s="382"/>
      <c r="E132" s="382"/>
      <c r="F132" s="382"/>
      <c r="G132" s="382"/>
      <c r="H132" s="382"/>
    </row>
    <row r="133" spans="1:8">
      <c r="A133" s="382"/>
      <c r="B133" s="382"/>
      <c r="C133" s="382"/>
      <c r="D133" s="382"/>
      <c r="E133" s="382"/>
      <c r="F133" s="382"/>
      <c r="G133" s="382"/>
      <c r="H133" s="382"/>
    </row>
    <row r="134" spans="1:8">
      <c r="A134" s="383" t="s">
        <v>479</v>
      </c>
      <c r="B134" s="382"/>
      <c r="C134" s="382"/>
      <c r="D134" s="382"/>
      <c r="E134" s="382"/>
      <c r="F134" s="382"/>
      <c r="G134" s="382"/>
      <c r="H134" s="382"/>
    </row>
    <row r="135" spans="1:8">
      <c r="A135" s="383" t="s">
        <v>480</v>
      </c>
      <c r="B135" s="382"/>
      <c r="C135" s="382"/>
      <c r="D135" s="382"/>
      <c r="E135" s="382"/>
      <c r="F135" s="382"/>
      <c r="G135" s="382"/>
      <c r="H135" s="382"/>
    </row>
    <row r="136" spans="1:8">
      <c r="A136" s="382"/>
      <c r="B136" s="382"/>
      <c r="C136" s="382"/>
      <c r="D136" s="382"/>
      <c r="E136" s="382"/>
      <c r="F136" s="382"/>
      <c r="G136" s="382"/>
      <c r="H136" s="382"/>
    </row>
    <row r="137" spans="1:8">
      <c r="A137" s="383" t="s">
        <v>481</v>
      </c>
      <c r="B137" s="382"/>
      <c r="C137" s="382"/>
      <c r="D137" s="382"/>
      <c r="E137" s="382"/>
      <c r="F137" s="382"/>
      <c r="G137" s="382"/>
      <c r="H137" s="382"/>
    </row>
    <row r="138" spans="1:8">
      <c r="A138" s="383" t="s">
        <v>482</v>
      </c>
      <c r="B138" s="382"/>
      <c r="C138" s="382"/>
      <c r="D138" s="382"/>
      <c r="E138" s="382"/>
      <c r="F138" s="382"/>
      <c r="G138" s="382"/>
      <c r="H138" s="382"/>
    </row>
    <row r="139" spans="1:8">
      <c r="A139" s="383" t="s">
        <v>483</v>
      </c>
      <c r="B139" s="382"/>
      <c r="C139" s="382"/>
      <c r="D139" s="382"/>
      <c r="E139" s="382"/>
      <c r="F139" s="382"/>
      <c r="G139" s="382"/>
      <c r="H139" s="382"/>
    </row>
    <row r="140" spans="1:8">
      <c r="A140" s="383" t="s">
        <v>484</v>
      </c>
      <c r="B140" s="382"/>
      <c r="C140" s="382"/>
      <c r="D140" s="382"/>
      <c r="E140" s="382"/>
      <c r="F140" s="382"/>
      <c r="G140" s="382"/>
      <c r="H140" s="382"/>
    </row>
    <row r="141" spans="1:8">
      <c r="A141" s="383" t="s">
        <v>485</v>
      </c>
      <c r="B141" s="382"/>
      <c r="C141" s="382"/>
      <c r="D141" s="382"/>
      <c r="E141" s="382"/>
      <c r="F141" s="382"/>
      <c r="G141" s="382"/>
      <c r="H141" s="382"/>
    </row>
    <row r="142" spans="1:8">
      <c r="A142" s="383" t="s">
        <v>486</v>
      </c>
      <c r="B142" s="382"/>
      <c r="C142" s="382"/>
      <c r="D142" s="382"/>
      <c r="E142" s="382"/>
      <c r="F142" s="382"/>
      <c r="G142" s="382"/>
      <c r="H142" s="382"/>
    </row>
    <row r="143" spans="1:8">
      <c r="A143" s="383" t="s">
        <v>487</v>
      </c>
      <c r="B143" s="382"/>
      <c r="C143" s="382"/>
      <c r="D143" s="382"/>
      <c r="E143" s="382"/>
      <c r="F143" s="382"/>
      <c r="G143" s="382"/>
      <c r="H143" s="382"/>
    </row>
    <row r="144" spans="1:8">
      <c r="A144" s="382"/>
      <c r="B144" s="382"/>
      <c r="C144" s="382"/>
      <c r="D144" s="382"/>
      <c r="E144" s="382"/>
      <c r="F144" s="382"/>
      <c r="G144" s="382"/>
      <c r="H144" s="382"/>
    </row>
    <row r="145" spans="1:8">
      <c r="A145" s="385"/>
      <c r="B145" s="391" t="s">
        <v>488</v>
      </c>
      <c r="C145" s="391"/>
      <c r="D145" s="391" t="s">
        <v>489</v>
      </c>
      <c r="E145" s="391"/>
      <c r="F145" s="391"/>
      <c r="G145" s="391" t="s">
        <v>490</v>
      </c>
      <c r="H145" s="391"/>
    </row>
    <row r="146" spans="1:8">
      <c r="A146" s="385" t="s">
        <v>491</v>
      </c>
      <c r="B146" s="385" t="s">
        <v>492</v>
      </c>
      <c r="C146" s="385" t="s">
        <v>493</v>
      </c>
      <c r="D146" s="385" t="s">
        <v>492</v>
      </c>
      <c r="E146" s="385" t="s">
        <v>494</v>
      </c>
      <c r="F146" s="385" t="s">
        <v>495</v>
      </c>
      <c r="G146" s="385" t="s">
        <v>492</v>
      </c>
      <c r="H146" s="385" t="s">
        <v>496</v>
      </c>
    </row>
    <row r="147" spans="1:8">
      <c r="A147" s="385" t="s">
        <v>497</v>
      </c>
      <c r="B147" s="385">
        <v>1520</v>
      </c>
      <c r="C147" s="385">
        <v>0.41</v>
      </c>
      <c r="D147" s="385">
        <v>425</v>
      </c>
      <c r="E147" s="385">
        <v>0.48</v>
      </c>
      <c r="F147" s="385">
        <v>0.28000000000000003</v>
      </c>
      <c r="G147" s="385">
        <v>685</v>
      </c>
      <c r="H147" s="385">
        <v>0.42</v>
      </c>
    </row>
    <row r="148" spans="1:8">
      <c r="A148" s="385" t="s">
        <v>498</v>
      </c>
      <c r="B148" s="385">
        <v>1579</v>
      </c>
      <c r="C148" s="385">
        <v>0.43</v>
      </c>
      <c r="D148" s="385">
        <v>375</v>
      </c>
      <c r="E148" s="385">
        <v>0.42</v>
      </c>
      <c r="F148" s="385">
        <v>0.24</v>
      </c>
      <c r="G148" s="385">
        <v>713</v>
      </c>
      <c r="H148" s="385">
        <v>0.44</v>
      </c>
    </row>
    <row r="149" spans="1:8">
      <c r="A149" s="385" t="s">
        <v>499</v>
      </c>
      <c r="B149" s="385">
        <v>4</v>
      </c>
      <c r="C149" s="385">
        <v>0</v>
      </c>
      <c r="D149" s="385">
        <v>1</v>
      </c>
      <c r="E149" s="385">
        <v>0</v>
      </c>
      <c r="F149" s="385">
        <v>0.25</v>
      </c>
      <c r="G149" s="385">
        <v>1</v>
      </c>
      <c r="H149" s="385">
        <v>0</v>
      </c>
    </row>
    <row r="150" spans="1:8">
      <c r="A150" s="385" t="s">
        <v>500</v>
      </c>
      <c r="B150" s="385">
        <v>592</v>
      </c>
      <c r="C150" s="385">
        <v>0.16</v>
      </c>
      <c r="D150" s="385">
        <v>89</v>
      </c>
      <c r="E150" s="385">
        <v>0.1</v>
      </c>
      <c r="F150" s="385">
        <v>0.15</v>
      </c>
      <c r="G150" s="385">
        <v>232</v>
      </c>
      <c r="H150" s="385">
        <v>0.14000000000000001</v>
      </c>
    </row>
    <row r="151" spans="1:8">
      <c r="A151" s="385" t="s">
        <v>222</v>
      </c>
      <c r="B151" s="385">
        <v>3695</v>
      </c>
      <c r="C151" s="385"/>
      <c r="D151" s="385">
        <v>890</v>
      </c>
      <c r="E151" s="385"/>
      <c r="F151" s="385"/>
      <c r="G151" s="385">
        <v>1631</v>
      </c>
      <c r="H151" s="385"/>
    </row>
    <row r="152" spans="1:8">
      <c r="A152" s="382"/>
      <c r="B152" s="382"/>
      <c r="C152" s="382"/>
      <c r="D152" s="382"/>
      <c r="E152" s="382"/>
      <c r="F152" s="382"/>
      <c r="G152" s="382"/>
      <c r="H152" s="382"/>
    </row>
    <row r="153" spans="1:8">
      <c r="A153" s="383" t="s">
        <v>501</v>
      </c>
      <c r="B153" s="382"/>
      <c r="C153" s="382"/>
      <c r="D153" s="382"/>
      <c r="E153" s="382"/>
      <c r="F153" s="382"/>
      <c r="G153" s="382"/>
      <c r="H153" s="382"/>
    </row>
    <row r="154" spans="1:8">
      <c r="A154" s="383" t="s">
        <v>502</v>
      </c>
      <c r="B154" s="382"/>
      <c r="C154" s="382"/>
      <c r="D154" s="382"/>
      <c r="E154" s="382"/>
      <c r="F154" s="382"/>
      <c r="G154" s="382"/>
      <c r="H154" s="382"/>
    </row>
    <row r="155" spans="1:8">
      <c r="A155" s="383" t="s">
        <v>503</v>
      </c>
      <c r="B155" s="382"/>
      <c r="C155" s="382"/>
      <c r="D155" s="382"/>
      <c r="E155" s="382"/>
      <c r="F155" s="382"/>
      <c r="G155" s="382"/>
      <c r="H155" s="382"/>
    </row>
    <row r="156" spans="1:8">
      <c r="A156" s="383" t="s">
        <v>504</v>
      </c>
      <c r="B156" s="382"/>
      <c r="C156" s="382"/>
      <c r="D156" s="382"/>
      <c r="E156" s="382"/>
      <c r="F156" s="382"/>
      <c r="G156" s="382"/>
      <c r="H156" s="382"/>
    </row>
    <row r="157" spans="1:8">
      <c r="A157" s="382"/>
      <c r="B157" s="382"/>
      <c r="C157" s="382"/>
      <c r="D157" s="382"/>
      <c r="E157" s="382"/>
      <c r="F157" s="382"/>
      <c r="G157" s="382"/>
      <c r="H157" s="382"/>
    </row>
    <row r="158" spans="1:8" ht="15.55">
      <c r="A158" s="384" t="s">
        <v>505</v>
      </c>
      <c r="B158" s="382"/>
      <c r="C158" s="382"/>
      <c r="D158" s="382"/>
      <c r="E158" s="382"/>
      <c r="F158" s="382"/>
      <c r="G158" s="382"/>
      <c r="H158" s="382"/>
    </row>
    <row r="159" spans="1:8">
      <c r="A159" s="382"/>
      <c r="B159" s="382"/>
      <c r="C159" s="382"/>
      <c r="D159" s="382"/>
      <c r="E159" s="382"/>
      <c r="F159" s="382"/>
      <c r="G159" s="382"/>
      <c r="H159" s="382"/>
    </row>
    <row r="160" spans="1:8">
      <c r="A160" s="383" t="s">
        <v>506</v>
      </c>
      <c r="B160" s="382"/>
      <c r="C160" s="382"/>
      <c r="D160" s="382"/>
      <c r="E160" s="382"/>
      <c r="F160" s="382"/>
      <c r="G160" s="382"/>
      <c r="H160" s="382"/>
    </row>
    <row r="161" spans="1:8">
      <c r="A161" s="383" t="s">
        <v>507</v>
      </c>
      <c r="B161" s="382"/>
      <c r="C161" s="382"/>
      <c r="D161" s="382"/>
      <c r="E161" s="382"/>
      <c r="F161" s="382"/>
      <c r="G161" s="382"/>
      <c r="H161" s="382"/>
    </row>
    <row r="162" spans="1:8">
      <c r="A162" s="382"/>
      <c r="B162" s="382"/>
      <c r="C162" s="382"/>
      <c r="D162" s="382"/>
      <c r="E162" s="382"/>
      <c r="F162" s="382"/>
      <c r="G162" s="382"/>
      <c r="H162" s="382"/>
    </row>
    <row r="163" spans="1:8">
      <c r="A163" s="383" t="s">
        <v>508</v>
      </c>
      <c r="B163" s="382"/>
      <c r="C163" s="382"/>
      <c r="D163" s="382"/>
      <c r="E163" s="382"/>
      <c r="F163" s="382"/>
      <c r="G163" s="382"/>
      <c r="H163" s="382"/>
    </row>
    <row r="164" spans="1:8">
      <c r="A164" s="383" t="s">
        <v>509</v>
      </c>
      <c r="B164" s="382"/>
      <c r="C164" s="382"/>
      <c r="D164" s="382"/>
      <c r="E164" s="382"/>
      <c r="F164" s="382"/>
      <c r="G164" s="382"/>
      <c r="H164" s="382"/>
    </row>
    <row r="165" spans="1:8">
      <c r="A165" s="383" t="s">
        <v>510</v>
      </c>
      <c r="B165" s="382"/>
      <c r="C165" s="382"/>
      <c r="D165" s="382"/>
      <c r="E165" s="382"/>
      <c r="F165" s="382"/>
      <c r="G165" s="382"/>
      <c r="H165" s="382"/>
    </row>
    <row r="166" spans="1:8">
      <c r="A166" s="382"/>
      <c r="B166" s="382"/>
      <c r="C166" s="382"/>
      <c r="D166" s="382"/>
      <c r="E166" s="382"/>
      <c r="F166" s="382"/>
      <c r="G166" s="382"/>
      <c r="H166" s="382"/>
    </row>
    <row r="167" spans="1:8">
      <c r="A167" s="383" t="s">
        <v>511</v>
      </c>
      <c r="B167" s="382"/>
      <c r="C167" s="382"/>
      <c r="D167" s="382"/>
      <c r="E167" s="382"/>
      <c r="F167" s="382"/>
      <c r="G167" s="382"/>
      <c r="H167" s="382"/>
    </row>
    <row r="168" spans="1:8">
      <c r="A168" s="383" t="s">
        <v>512</v>
      </c>
      <c r="B168" s="382"/>
      <c r="C168" s="382"/>
      <c r="D168" s="382"/>
      <c r="E168" s="382"/>
      <c r="F168" s="382"/>
      <c r="G168" s="382"/>
      <c r="H168" s="382"/>
    </row>
    <row r="169" spans="1:8">
      <c r="A169" s="383" t="s">
        <v>513</v>
      </c>
      <c r="B169" s="382"/>
      <c r="C169" s="382"/>
      <c r="D169" s="382"/>
      <c r="E169" s="382"/>
      <c r="F169" s="382"/>
      <c r="G169" s="382"/>
      <c r="H169" s="382"/>
    </row>
    <row r="170" spans="1:8">
      <c r="A170" s="382"/>
      <c r="B170" s="382"/>
      <c r="C170" s="382"/>
      <c r="D170" s="382"/>
      <c r="E170" s="382"/>
      <c r="F170" s="382"/>
      <c r="G170" s="382"/>
      <c r="H170" s="382"/>
    </row>
    <row r="171" spans="1:8">
      <c r="A171" s="383" t="s">
        <v>514</v>
      </c>
      <c r="B171" s="382"/>
      <c r="C171" s="382"/>
      <c r="D171" s="382"/>
      <c r="E171" s="382"/>
      <c r="F171" s="382"/>
      <c r="G171" s="382"/>
      <c r="H171" s="382"/>
    </row>
    <row r="172" spans="1:8">
      <c r="A172" s="383" t="s">
        <v>515</v>
      </c>
      <c r="B172" s="382"/>
      <c r="C172" s="382"/>
      <c r="D172" s="382"/>
      <c r="E172" s="382"/>
      <c r="F172" s="382"/>
      <c r="G172" s="382"/>
      <c r="H172" s="382"/>
    </row>
    <row r="173" spans="1:8">
      <c r="A173" s="383" t="s">
        <v>516</v>
      </c>
      <c r="B173" s="382"/>
      <c r="C173" s="382"/>
      <c r="D173" s="382"/>
      <c r="E173" s="382"/>
      <c r="F173" s="382"/>
      <c r="G173" s="382"/>
      <c r="H173" s="382"/>
    </row>
    <row r="174" spans="1:8">
      <c r="A174" s="382"/>
      <c r="B174" s="382"/>
      <c r="C174" s="382"/>
      <c r="D174" s="382"/>
      <c r="E174" s="382"/>
      <c r="F174" s="382"/>
      <c r="G174" s="382"/>
      <c r="H174" s="382"/>
    </row>
    <row r="175" spans="1:8">
      <c r="A175" s="383" t="s">
        <v>517</v>
      </c>
      <c r="B175" s="382"/>
      <c r="C175" s="382"/>
      <c r="D175" s="382"/>
      <c r="E175" s="382"/>
      <c r="F175" s="382"/>
      <c r="G175" s="382"/>
      <c r="H175" s="382"/>
    </row>
    <row r="176" spans="1:8">
      <c r="A176" s="383" t="s">
        <v>518</v>
      </c>
      <c r="B176" s="382"/>
      <c r="C176" s="382"/>
      <c r="D176" s="382"/>
      <c r="E176" s="382"/>
      <c r="F176" s="382"/>
      <c r="G176" s="382"/>
      <c r="H176" s="382"/>
    </row>
    <row r="177" spans="1:8">
      <c r="A177" s="382"/>
      <c r="B177" s="382"/>
      <c r="C177" s="382"/>
      <c r="D177" s="382"/>
      <c r="E177" s="382"/>
      <c r="F177" s="382"/>
      <c r="G177" s="382"/>
      <c r="H177" s="382"/>
    </row>
    <row r="178" spans="1:8" ht="15.55">
      <c r="A178" s="384" t="s">
        <v>519</v>
      </c>
      <c r="B178" s="382"/>
      <c r="C178" s="382"/>
      <c r="D178" s="382"/>
      <c r="E178" s="382"/>
      <c r="F178" s="382"/>
      <c r="G178" s="382"/>
      <c r="H178" s="382"/>
    </row>
    <row r="179" spans="1:8">
      <c r="A179" s="382"/>
      <c r="B179" s="382"/>
      <c r="C179" s="382"/>
      <c r="D179" s="382"/>
      <c r="E179" s="382"/>
      <c r="F179" s="382"/>
      <c r="G179" s="382"/>
      <c r="H179" s="382"/>
    </row>
    <row r="180" spans="1:8">
      <c r="A180" s="383" t="s">
        <v>520</v>
      </c>
      <c r="B180" s="382"/>
      <c r="C180" s="382"/>
      <c r="D180" s="382"/>
      <c r="E180" s="382"/>
      <c r="F180" s="382"/>
      <c r="G180" s="382"/>
      <c r="H180" s="382"/>
    </row>
    <row r="181" spans="1:8">
      <c r="A181" s="383" t="s">
        <v>521</v>
      </c>
      <c r="B181" s="382"/>
      <c r="C181" s="382"/>
      <c r="D181" s="382"/>
      <c r="E181" s="382"/>
      <c r="F181" s="382"/>
      <c r="G181" s="382"/>
      <c r="H181" s="382"/>
    </row>
    <row r="182" spans="1:8">
      <c r="A182" s="382"/>
      <c r="B182" s="382"/>
      <c r="C182" s="382"/>
      <c r="D182" s="382"/>
      <c r="E182" s="382"/>
      <c r="F182" s="382"/>
      <c r="G182" s="382"/>
      <c r="H182" s="382"/>
    </row>
    <row r="183" spans="1:8">
      <c r="A183" s="383" t="s">
        <v>522</v>
      </c>
      <c r="B183" s="382"/>
      <c r="C183" s="382"/>
      <c r="D183" s="382"/>
      <c r="E183" s="382"/>
      <c r="F183" s="382"/>
      <c r="G183" s="382"/>
      <c r="H183" s="382"/>
    </row>
    <row r="184" spans="1:8">
      <c r="A184" s="383" t="s">
        <v>523</v>
      </c>
      <c r="B184" s="382"/>
      <c r="C184" s="382"/>
      <c r="D184" s="382"/>
      <c r="E184" s="382"/>
      <c r="F184" s="382"/>
      <c r="G184" s="382"/>
      <c r="H184" s="382"/>
    </row>
    <row r="185" spans="1:8">
      <c r="A185" s="382"/>
      <c r="B185" s="382"/>
      <c r="C185" s="382"/>
      <c r="D185" s="382"/>
      <c r="E185" s="382"/>
      <c r="F185" s="382"/>
      <c r="G185" s="382"/>
      <c r="H185" s="382"/>
    </row>
    <row r="186" spans="1:8">
      <c r="A186" s="383" t="s">
        <v>524</v>
      </c>
      <c r="B186" s="382"/>
      <c r="C186" s="382"/>
      <c r="D186" s="382"/>
      <c r="E186" s="382"/>
      <c r="F186" s="382"/>
      <c r="G186" s="382"/>
      <c r="H186" s="382"/>
    </row>
    <row r="187" spans="1:8">
      <c r="A187" s="383" t="s">
        <v>525</v>
      </c>
      <c r="B187" s="382"/>
      <c r="C187" s="382"/>
      <c r="D187" s="382"/>
      <c r="E187" s="382"/>
      <c r="F187" s="382"/>
      <c r="G187" s="382"/>
      <c r="H187" s="382"/>
    </row>
    <row r="188" spans="1:8">
      <c r="A188" s="382"/>
      <c r="B188" s="382"/>
      <c r="C188" s="382"/>
      <c r="D188" s="382"/>
      <c r="E188" s="382"/>
      <c r="F188" s="382"/>
      <c r="G188" s="382"/>
      <c r="H188" s="382"/>
    </row>
    <row r="189" spans="1:8">
      <c r="A189" s="383" t="s">
        <v>526</v>
      </c>
      <c r="B189" s="382"/>
      <c r="C189" s="382"/>
      <c r="D189" s="382"/>
      <c r="E189" s="382"/>
      <c r="F189" s="382"/>
      <c r="G189" s="382"/>
      <c r="H189" s="382"/>
    </row>
    <row r="190" spans="1:8">
      <c r="A190" s="383" t="s">
        <v>527</v>
      </c>
      <c r="B190" s="382"/>
      <c r="C190" s="382"/>
      <c r="D190" s="382"/>
      <c r="E190" s="382"/>
      <c r="F190" s="382"/>
      <c r="G190" s="382"/>
      <c r="H190" s="382"/>
    </row>
    <row r="191" spans="1:8">
      <c r="A191" s="383" t="s">
        <v>528</v>
      </c>
      <c r="B191" s="382"/>
      <c r="C191" s="382"/>
      <c r="D191" s="382"/>
      <c r="E191" s="382"/>
      <c r="F191" s="382"/>
      <c r="G191" s="382"/>
      <c r="H191" s="382"/>
    </row>
    <row r="192" spans="1:8">
      <c r="A192" s="382"/>
      <c r="B192" s="382"/>
      <c r="C192" s="382"/>
      <c r="D192" s="382"/>
      <c r="E192" s="382"/>
      <c r="F192" s="382"/>
      <c r="G192" s="382"/>
      <c r="H192" s="382"/>
    </row>
    <row r="193" spans="1:8">
      <c r="A193" s="383" t="s">
        <v>375</v>
      </c>
      <c r="B193" s="382"/>
      <c r="C193" s="382"/>
      <c r="D193" s="382"/>
      <c r="E193" s="382"/>
      <c r="F193" s="382"/>
      <c r="G193" s="382"/>
      <c r="H193" s="382"/>
    </row>
    <row r="194" spans="1:8">
      <c r="A194" s="382"/>
      <c r="B194" s="382"/>
      <c r="C194" s="382"/>
      <c r="D194" s="382"/>
      <c r="E194" s="382"/>
      <c r="F194" s="382"/>
      <c r="G194" s="382"/>
      <c r="H194" s="382"/>
    </row>
    <row r="195" spans="1:8" ht="15.55">
      <c r="A195" s="384" t="s">
        <v>529</v>
      </c>
      <c r="B195" s="382"/>
      <c r="C195" s="382"/>
      <c r="D195" s="382"/>
      <c r="E195" s="382"/>
      <c r="F195" s="382"/>
      <c r="G195" s="382"/>
      <c r="H195" s="382"/>
    </row>
    <row r="196" spans="1:8">
      <c r="A196" s="382"/>
      <c r="B196" s="382"/>
      <c r="C196" s="382"/>
      <c r="D196" s="382"/>
      <c r="E196" s="382"/>
      <c r="F196" s="382"/>
      <c r="G196" s="382"/>
      <c r="H196" s="382"/>
    </row>
    <row r="197" spans="1:8">
      <c r="A197" s="382"/>
      <c r="B197" s="382"/>
      <c r="C197" s="382"/>
      <c r="D197" s="382"/>
      <c r="E197" s="382"/>
      <c r="F197" s="382"/>
      <c r="G197" s="382"/>
      <c r="H197" s="382"/>
    </row>
    <row r="198" spans="1:8">
      <c r="A198" s="382"/>
      <c r="B198" s="382"/>
      <c r="C198" s="382"/>
      <c r="D198" s="382"/>
      <c r="E198" s="382"/>
      <c r="F198" s="382"/>
      <c r="G198" s="382"/>
      <c r="H198" s="382"/>
    </row>
    <row r="199" spans="1:8">
      <c r="A199" s="382"/>
      <c r="B199" s="382"/>
      <c r="C199" s="382"/>
      <c r="D199" s="382"/>
      <c r="E199" s="382"/>
      <c r="F199" s="382"/>
      <c r="G199" s="382"/>
      <c r="H199" s="382"/>
    </row>
    <row r="200" spans="1:8">
      <c r="A200" s="382"/>
      <c r="B200" s="382"/>
      <c r="C200" s="382"/>
      <c r="D200" s="382"/>
      <c r="E200" s="382"/>
      <c r="F200" s="382"/>
      <c r="G200" s="382"/>
      <c r="H200" s="382"/>
    </row>
    <row r="201" spans="1:8">
      <c r="A201" s="382"/>
      <c r="B201" s="382"/>
      <c r="C201" s="382"/>
      <c r="D201" s="382"/>
      <c r="E201" s="382"/>
      <c r="F201" s="382"/>
      <c r="G201" s="382"/>
      <c r="H201" s="382"/>
    </row>
    <row r="202" spans="1:8">
      <c r="A202" s="382"/>
      <c r="B202" s="382"/>
      <c r="C202" s="382"/>
      <c r="D202" s="382"/>
      <c r="E202" s="382"/>
      <c r="F202" s="382"/>
      <c r="G202" s="382"/>
      <c r="H202" s="382"/>
    </row>
    <row r="203" spans="1:8">
      <c r="A203" s="382"/>
      <c r="B203" s="382"/>
      <c r="C203" s="382"/>
      <c r="D203" s="382"/>
      <c r="E203" s="382"/>
      <c r="F203" s="382"/>
      <c r="G203" s="382"/>
      <c r="H203" s="382"/>
    </row>
    <row r="204" spans="1:8">
      <c r="A204" s="382"/>
      <c r="B204" s="382"/>
      <c r="C204" s="382"/>
      <c r="D204" s="382"/>
      <c r="E204" s="382"/>
      <c r="F204" s="382"/>
      <c r="G204" s="382"/>
      <c r="H204" s="382"/>
    </row>
    <row r="205" spans="1:8">
      <c r="A205" s="382"/>
      <c r="B205" s="382"/>
      <c r="C205" s="382"/>
      <c r="D205" s="382"/>
      <c r="E205" s="382"/>
      <c r="F205" s="382"/>
      <c r="G205" s="382"/>
      <c r="H205" s="382"/>
    </row>
    <row r="206" spans="1:8">
      <c r="A206" s="382"/>
      <c r="B206" s="382"/>
      <c r="C206" s="382"/>
      <c r="D206" s="382"/>
      <c r="E206" s="382"/>
      <c r="F206" s="382"/>
      <c r="G206" s="382"/>
      <c r="H206" s="382"/>
    </row>
    <row r="207" spans="1:8">
      <c r="A207" s="382"/>
      <c r="B207" s="382"/>
      <c r="C207" s="382"/>
      <c r="D207" s="382"/>
      <c r="E207" s="382"/>
      <c r="F207" s="382"/>
      <c r="G207" s="382"/>
      <c r="H207" s="382"/>
    </row>
    <row r="208" spans="1:8">
      <c r="A208" s="382"/>
      <c r="B208" s="382"/>
      <c r="C208" s="382"/>
      <c r="D208" s="382"/>
      <c r="E208" s="382"/>
      <c r="F208" s="382"/>
      <c r="G208" s="382"/>
      <c r="H208" s="382"/>
    </row>
    <row r="209" spans="1:8">
      <c r="A209" s="382"/>
      <c r="B209" s="382"/>
      <c r="C209" s="382"/>
      <c r="D209" s="382"/>
      <c r="E209" s="382"/>
      <c r="F209" s="382"/>
      <c r="G209" s="382"/>
      <c r="H209" s="382"/>
    </row>
    <row r="210" spans="1:8">
      <c r="A210" s="382"/>
      <c r="B210" s="382"/>
      <c r="C210" s="382"/>
      <c r="D210" s="382"/>
      <c r="E210" s="382"/>
      <c r="F210" s="382"/>
      <c r="G210" s="382"/>
      <c r="H210" s="382"/>
    </row>
    <row r="211" spans="1:8">
      <c r="A211" s="382"/>
      <c r="B211" s="382"/>
      <c r="C211" s="382"/>
      <c r="D211" s="382"/>
      <c r="E211" s="382"/>
      <c r="F211" s="382"/>
      <c r="G211" s="382"/>
      <c r="H211" s="382"/>
    </row>
    <row r="212" spans="1:8">
      <c r="A212" s="382"/>
      <c r="B212" s="382"/>
      <c r="C212" s="382"/>
      <c r="D212" s="382"/>
      <c r="E212" s="382"/>
      <c r="F212" s="382"/>
      <c r="G212" s="382"/>
      <c r="H212" s="382"/>
    </row>
    <row r="213" spans="1:8">
      <c r="A213" s="382"/>
      <c r="B213" s="382"/>
      <c r="C213" s="382"/>
      <c r="D213" s="382"/>
      <c r="E213" s="382"/>
      <c r="F213" s="382"/>
      <c r="G213" s="382"/>
      <c r="H213" s="382"/>
    </row>
    <row r="214" spans="1:8">
      <c r="A214" s="382"/>
      <c r="B214" s="382"/>
      <c r="C214" s="382"/>
      <c r="D214" s="382"/>
      <c r="E214" s="382"/>
      <c r="F214" s="382"/>
      <c r="G214" s="382"/>
      <c r="H214" s="382"/>
    </row>
    <row r="215" spans="1:8">
      <c r="A215" s="382"/>
      <c r="B215" s="382"/>
      <c r="C215" s="382"/>
      <c r="D215" s="382"/>
      <c r="E215" s="382"/>
      <c r="F215" s="382"/>
      <c r="G215" s="382"/>
      <c r="H215" s="382"/>
    </row>
    <row r="216" spans="1:8">
      <c r="A216" s="382"/>
      <c r="B216" s="382"/>
      <c r="C216" s="382"/>
      <c r="D216" s="382"/>
      <c r="E216" s="382"/>
      <c r="F216" s="382"/>
      <c r="G216" s="382"/>
      <c r="H216" s="382"/>
    </row>
    <row r="217" spans="1:8">
      <c r="A217" s="382"/>
      <c r="B217" s="382"/>
      <c r="C217" s="382"/>
      <c r="D217" s="382"/>
      <c r="E217" s="382"/>
      <c r="F217" s="382"/>
      <c r="G217" s="382"/>
      <c r="H217" s="382"/>
    </row>
    <row r="218" spans="1:8">
      <c r="A218" s="382"/>
      <c r="B218" s="382"/>
      <c r="C218" s="382"/>
      <c r="D218" s="382"/>
      <c r="E218" s="382"/>
      <c r="F218" s="382"/>
      <c r="G218" s="382"/>
      <c r="H218" s="382"/>
    </row>
    <row r="219" spans="1:8">
      <c r="A219" s="382"/>
      <c r="B219" s="382"/>
      <c r="C219" s="382"/>
      <c r="D219" s="382"/>
      <c r="E219" s="382"/>
      <c r="F219" s="382"/>
      <c r="G219" s="382"/>
      <c r="H219" s="382"/>
    </row>
    <row r="220" spans="1:8" ht="15.55">
      <c r="A220" s="384" t="s">
        <v>530</v>
      </c>
      <c r="B220" s="382"/>
      <c r="C220" s="382"/>
      <c r="D220" s="382"/>
      <c r="E220" s="382"/>
      <c r="F220" s="382"/>
      <c r="G220" s="382"/>
      <c r="H220" s="382"/>
    </row>
    <row r="221" spans="1:8">
      <c r="A221" s="382"/>
      <c r="B221" s="382"/>
      <c r="C221" s="382"/>
      <c r="D221" s="382"/>
      <c r="E221" s="382"/>
      <c r="F221" s="382"/>
      <c r="G221" s="382"/>
      <c r="H221" s="382"/>
    </row>
    <row r="222" spans="1:8">
      <c r="A222" s="383" t="s">
        <v>531</v>
      </c>
      <c r="B222" s="382"/>
      <c r="C222" s="382"/>
      <c r="D222" s="382"/>
      <c r="E222" s="382"/>
      <c r="F222" s="382"/>
      <c r="G222" s="382"/>
      <c r="H222" s="382"/>
    </row>
    <row r="223" spans="1:8">
      <c r="A223" s="383" t="s">
        <v>532</v>
      </c>
      <c r="B223" s="382"/>
      <c r="C223" s="382"/>
      <c r="D223" s="382"/>
      <c r="E223" s="382"/>
      <c r="F223" s="382"/>
      <c r="G223" s="382"/>
      <c r="H223" s="382"/>
    </row>
    <row r="224" spans="1:8">
      <c r="A224" s="383" t="s">
        <v>533</v>
      </c>
      <c r="B224" s="382"/>
      <c r="C224" s="382"/>
      <c r="D224" s="382"/>
      <c r="E224" s="382"/>
      <c r="F224" s="382"/>
      <c r="G224" s="382"/>
      <c r="H224" s="382"/>
    </row>
    <row r="225" spans="1:8">
      <c r="A225" s="383" t="s">
        <v>534</v>
      </c>
      <c r="B225" s="382"/>
      <c r="C225" s="382"/>
      <c r="D225" s="382"/>
      <c r="E225" s="382"/>
      <c r="F225" s="382"/>
      <c r="G225" s="382"/>
      <c r="H225" s="382"/>
    </row>
    <row r="226" spans="1:8">
      <c r="A226" s="383" t="s">
        <v>535</v>
      </c>
      <c r="B226" s="382"/>
      <c r="C226" s="382"/>
      <c r="D226" s="382"/>
      <c r="E226" s="382"/>
      <c r="F226" s="382"/>
      <c r="G226" s="382"/>
      <c r="H226" s="382"/>
    </row>
    <row r="227" spans="1:8">
      <c r="A227" s="382"/>
      <c r="B227" s="382"/>
      <c r="C227" s="382"/>
      <c r="D227" s="382"/>
      <c r="E227" s="382"/>
      <c r="F227" s="382"/>
      <c r="G227" s="382"/>
      <c r="H227" s="382"/>
    </row>
    <row r="228" spans="1:8">
      <c r="A228" s="383" t="s">
        <v>536</v>
      </c>
      <c r="B228" s="382"/>
      <c r="C228" s="382"/>
      <c r="D228" s="382"/>
      <c r="E228" s="382"/>
      <c r="F228" s="382"/>
      <c r="G228" s="382"/>
      <c r="H228" s="382"/>
    </row>
    <row r="229" spans="1:8">
      <c r="A229" s="383" t="s">
        <v>537</v>
      </c>
      <c r="B229" s="382"/>
      <c r="C229" s="382"/>
      <c r="D229" s="382"/>
      <c r="E229" s="382"/>
      <c r="F229" s="382"/>
      <c r="G229" s="382"/>
      <c r="H229" s="382"/>
    </row>
    <row r="230" spans="1:8">
      <c r="A230" s="383" t="s">
        <v>538</v>
      </c>
      <c r="B230" s="382"/>
      <c r="C230" s="382"/>
      <c r="D230" s="382"/>
      <c r="E230" s="382"/>
      <c r="F230" s="382"/>
      <c r="G230" s="382"/>
      <c r="H230" s="382"/>
    </row>
    <row r="231" spans="1:8">
      <c r="A231" s="382"/>
      <c r="B231" s="382"/>
      <c r="C231" s="382"/>
      <c r="D231" s="382"/>
      <c r="E231" s="382"/>
      <c r="F231" s="382"/>
      <c r="G231" s="382"/>
      <c r="H231" s="382"/>
    </row>
    <row r="232" spans="1:8" ht="15.55">
      <c r="A232" s="384" t="s">
        <v>539</v>
      </c>
      <c r="B232" s="382"/>
      <c r="C232" s="382"/>
      <c r="D232" s="382"/>
      <c r="E232" s="382"/>
      <c r="F232" s="382"/>
      <c r="G232" s="382"/>
      <c r="H232" s="382"/>
    </row>
    <row r="233" spans="1:8">
      <c r="A233" s="382"/>
      <c r="B233" s="382"/>
      <c r="C233" s="382"/>
      <c r="D233" s="382"/>
      <c r="E233" s="382"/>
      <c r="F233" s="382"/>
      <c r="G233" s="382"/>
      <c r="H233" s="382"/>
    </row>
    <row r="234" spans="1:8">
      <c r="A234" s="383" t="s">
        <v>540</v>
      </c>
      <c r="B234" s="382"/>
      <c r="C234" s="382"/>
      <c r="D234" s="382"/>
      <c r="E234" s="382"/>
      <c r="F234" s="382"/>
      <c r="G234" s="382"/>
      <c r="H234" s="382"/>
    </row>
    <row r="235" spans="1:8">
      <c r="A235" s="383" t="s">
        <v>541</v>
      </c>
      <c r="B235" s="382"/>
      <c r="C235" s="382"/>
      <c r="D235" s="382"/>
      <c r="E235" s="382"/>
      <c r="F235" s="382"/>
      <c r="G235" s="382"/>
      <c r="H235" s="382"/>
    </row>
    <row r="236" spans="1:8">
      <c r="A236" s="383" t="s">
        <v>542</v>
      </c>
      <c r="B236" s="382"/>
      <c r="C236" s="382"/>
      <c r="D236" s="382"/>
      <c r="E236" s="382"/>
      <c r="F236" s="382"/>
      <c r="G236" s="382"/>
      <c r="H236" s="382"/>
    </row>
    <row r="237" spans="1:8">
      <c r="A237" s="383" t="s">
        <v>543</v>
      </c>
      <c r="B237" s="382"/>
      <c r="C237" s="382"/>
      <c r="D237" s="382"/>
      <c r="E237" s="382"/>
      <c r="F237" s="382"/>
      <c r="G237" s="382"/>
      <c r="H237" s="382"/>
    </row>
    <row r="238" spans="1:8">
      <c r="A238" s="383" t="s">
        <v>544</v>
      </c>
      <c r="B238" s="382"/>
      <c r="C238" s="382"/>
      <c r="D238" s="382"/>
      <c r="E238" s="382"/>
      <c r="F238" s="382"/>
      <c r="G238" s="382"/>
      <c r="H238" s="382"/>
    </row>
    <row r="239" spans="1:8">
      <c r="A239" s="383" t="s">
        <v>545</v>
      </c>
      <c r="B239" s="382"/>
      <c r="C239" s="382"/>
      <c r="D239" s="382"/>
      <c r="E239" s="382"/>
      <c r="F239" s="382"/>
      <c r="G239" s="382"/>
      <c r="H239" s="382"/>
    </row>
    <row r="240" spans="1:8">
      <c r="A240" s="383" t="s">
        <v>546</v>
      </c>
      <c r="B240" s="382"/>
      <c r="C240" s="382"/>
      <c r="D240" s="382"/>
      <c r="E240" s="382"/>
      <c r="F240" s="382"/>
      <c r="G240" s="382"/>
      <c r="H240" s="382"/>
    </row>
    <row r="241" spans="1:8">
      <c r="A241" s="382"/>
      <c r="B241" s="382"/>
      <c r="C241" s="382"/>
      <c r="D241" s="382"/>
      <c r="E241" s="382"/>
      <c r="F241" s="382"/>
      <c r="G241" s="382"/>
      <c r="H241" s="382"/>
    </row>
    <row r="242" spans="1:8">
      <c r="A242" s="383" t="s">
        <v>547</v>
      </c>
      <c r="B242" s="382"/>
      <c r="C242" s="382"/>
      <c r="D242" s="382"/>
      <c r="E242" s="382"/>
      <c r="F242" s="382"/>
      <c r="G242" s="382"/>
      <c r="H242" s="382"/>
    </row>
    <row r="243" spans="1:8">
      <c r="A243" s="383" t="s">
        <v>548</v>
      </c>
      <c r="B243" s="382"/>
      <c r="C243" s="382"/>
      <c r="D243" s="382"/>
      <c r="E243" s="382"/>
      <c r="F243" s="382"/>
      <c r="G243" s="382"/>
      <c r="H243" s="382"/>
    </row>
    <row r="244" spans="1:8">
      <c r="A244" s="383" t="s">
        <v>549</v>
      </c>
      <c r="B244" s="382"/>
      <c r="C244" s="382"/>
      <c r="D244" s="382"/>
      <c r="E244" s="382"/>
      <c r="F244" s="382"/>
      <c r="G244" s="382"/>
      <c r="H244" s="382"/>
    </row>
    <row r="245" spans="1:8">
      <c r="A245" s="382"/>
      <c r="B245" s="382"/>
      <c r="C245" s="382"/>
      <c r="D245" s="382"/>
      <c r="E245" s="382"/>
      <c r="F245" s="382"/>
      <c r="G245" s="382"/>
      <c r="H245" s="382"/>
    </row>
    <row r="246" spans="1:8">
      <c r="A246" s="383" t="s">
        <v>550</v>
      </c>
      <c r="B246" s="382"/>
      <c r="C246" s="382"/>
      <c r="D246" s="382"/>
      <c r="E246" s="382"/>
      <c r="F246" s="382"/>
      <c r="G246" s="382"/>
      <c r="H246" s="382"/>
    </row>
    <row r="247" spans="1:8">
      <c r="A247" s="383" t="s">
        <v>551</v>
      </c>
      <c r="B247" s="382"/>
      <c r="C247" s="382"/>
      <c r="D247" s="382"/>
      <c r="E247" s="382"/>
      <c r="F247" s="382"/>
      <c r="G247" s="382"/>
      <c r="H247" s="382"/>
    </row>
    <row r="248" spans="1:8">
      <c r="A248" s="383" t="s">
        <v>552</v>
      </c>
      <c r="B248" s="382"/>
      <c r="C248" s="382"/>
      <c r="D248" s="382"/>
      <c r="E248" s="382"/>
      <c r="F248" s="382"/>
      <c r="G248" s="382"/>
      <c r="H248" s="382"/>
    </row>
    <row r="249" spans="1:8">
      <c r="A249" s="383" t="s">
        <v>553</v>
      </c>
      <c r="B249" s="382"/>
      <c r="C249" s="382"/>
      <c r="D249" s="382"/>
      <c r="E249" s="382"/>
      <c r="F249" s="382"/>
      <c r="G249" s="382"/>
      <c r="H249" s="382"/>
    </row>
    <row r="250" spans="1:8">
      <c r="A250" s="383" t="s">
        <v>554</v>
      </c>
      <c r="B250" s="382"/>
      <c r="C250" s="382"/>
      <c r="D250" s="382"/>
      <c r="E250" s="382"/>
      <c r="F250" s="382"/>
      <c r="G250" s="382"/>
      <c r="H250" s="382"/>
    </row>
    <row r="251" spans="1:8">
      <c r="A251" s="382"/>
      <c r="B251" s="382"/>
      <c r="C251" s="382"/>
      <c r="D251" s="382"/>
      <c r="E251" s="382"/>
      <c r="F251" s="382"/>
      <c r="G251" s="382"/>
      <c r="H251" s="382"/>
    </row>
    <row r="252" spans="1:8">
      <c r="A252" s="383" t="s">
        <v>555</v>
      </c>
      <c r="B252" s="382"/>
      <c r="C252" s="382"/>
      <c r="D252" s="382"/>
      <c r="E252" s="382"/>
      <c r="F252" s="382"/>
      <c r="G252" s="382"/>
      <c r="H252" s="382"/>
    </row>
    <row r="253" spans="1:8">
      <c r="A253" s="383" t="s">
        <v>556</v>
      </c>
      <c r="B253" s="382"/>
      <c r="C253" s="382"/>
      <c r="D253" s="382"/>
      <c r="E253" s="382"/>
      <c r="F253" s="382"/>
      <c r="G253" s="382"/>
      <c r="H253" s="382"/>
    </row>
    <row r="254" spans="1:8">
      <c r="A254" s="383" t="s">
        <v>557</v>
      </c>
      <c r="B254" s="382"/>
      <c r="C254" s="382"/>
      <c r="D254" s="382"/>
      <c r="E254" s="382"/>
      <c r="F254" s="382"/>
      <c r="G254" s="382"/>
      <c r="H254" s="382"/>
    </row>
    <row r="255" spans="1:8">
      <c r="A255" s="383" t="s">
        <v>558</v>
      </c>
      <c r="B255" s="382"/>
      <c r="C255" s="382"/>
      <c r="D255" s="382"/>
      <c r="E255" s="382"/>
      <c r="F255" s="382"/>
      <c r="G255" s="382"/>
      <c r="H255" s="382"/>
    </row>
    <row r="256" spans="1:8">
      <c r="A256" s="383" t="s">
        <v>559</v>
      </c>
      <c r="B256" s="382"/>
      <c r="C256" s="382"/>
      <c r="D256" s="382"/>
      <c r="E256" s="382"/>
      <c r="F256" s="382"/>
      <c r="G256" s="382"/>
      <c r="H256" s="382"/>
    </row>
    <row r="257" spans="1:8">
      <c r="A257" s="383" t="s">
        <v>560</v>
      </c>
      <c r="B257" s="382"/>
      <c r="C257" s="382"/>
      <c r="D257" s="382"/>
      <c r="E257" s="382"/>
      <c r="F257" s="382"/>
      <c r="G257" s="382"/>
      <c r="H257" s="382"/>
    </row>
    <row r="258" spans="1:8">
      <c r="A258" s="382"/>
      <c r="B258" s="382"/>
      <c r="C258" s="382"/>
      <c r="D258" s="382"/>
      <c r="E258" s="382"/>
      <c r="F258" s="382"/>
      <c r="G258" s="382"/>
      <c r="H258" s="382"/>
    </row>
    <row r="259" spans="1:8">
      <c r="A259" s="383" t="s">
        <v>561</v>
      </c>
      <c r="B259" s="382"/>
      <c r="C259" s="382"/>
      <c r="D259" s="382"/>
      <c r="E259" s="382"/>
      <c r="F259" s="382"/>
      <c r="G259" s="382"/>
      <c r="H259" s="382"/>
    </row>
    <row r="260" spans="1:8">
      <c r="A260" s="383" t="s">
        <v>562</v>
      </c>
      <c r="B260" s="382"/>
      <c r="C260" s="382"/>
      <c r="D260" s="382"/>
      <c r="E260" s="382"/>
      <c r="F260" s="382"/>
      <c r="G260" s="382"/>
      <c r="H260" s="382"/>
    </row>
    <row r="261" spans="1:8">
      <c r="A261" s="383" t="s">
        <v>563</v>
      </c>
      <c r="B261" s="382"/>
      <c r="C261" s="382"/>
      <c r="D261" s="382"/>
      <c r="E261" s="382"/>
      <c r="F261" s="382"/>
      <c r="G261" s="382"/>
      <c r="H261" s="382"/>
    </row>
    <row r="262" spans="1:8">
      <c r="A262" s="383" t="s">
        <v>564</v>
      </c>
      <c r="B262" s="382"/>
      <c r="C262" s="382"/>
      <c r="D262" s="382"/>
      <c r="E262" s="382"/>
      <c r="F262" s="382"/>
      <c r="G262" s="382"/>
      <c r="H262" s="382"/>
    </row>
    <row r="263" spans="1:8">
      <c r="A263" s="383" t="s">
        <v>565</v>
      </c>
      <c r="B263" s="382"/>
      <c r="C263" s="382"/>
      <c r="D263" s="382"/>
      <c r="E263" s="382"/>
      <c r="F263" s="382"/>
      <c r="G263" s="382"/>
      <c r="H263" s="382"/>
    </row>
    <row r="264" spans="1:8">
      <c r="A264" s="383" t="s">
        <v>566</v>
      </c>
      <c r="B264" s="382"/>
      <c r="C264" s="382"/>
      <c r="D264" s="382"/>
      <c r="E264" s="382"/>
      <c r="F264" s="382"/>
      <c r="G264" s="382"/>
      <c r="H264" s="382"/>
    </row>
    <row r="265" spans="1:8">
      <c r="A265" s="383" t="s">
        <v>567</v>
      </c>
      <c r="B265" s="382"/>
      <c r="C265" s="382"/>
      <c r="D265" s="382"/>
      <c r="E265" s="382"/>
      <c r="F265" s="382"/>
      <c r="G265" s="382"/>
      <c r="H265" s="382"/>
    </row>
    <row r="266" spans="1:8">
      <c r="A266" s="383" t="s">
        <v>568</v>
      </c>
      <c r="B266" s="382"/>
      <c r="C266" s="382"/>
      <c r="D266" s="382"/>
      <c r="E266" s="382"/>
      <c r="F266" s="382"/>
      <c r="G266" s="382"/>
      <c r="H266" s="382"/>
    </row>
    <row r="267" spans="1:8">
      <c r="A267" s="383" t="s">
        <v>569</v>
      </c>
      <c r="B267" s="382"/>
      <c r="C267" s="382"/>
      <c r="D267" s="382"/>
      <c r="E267" s="382"/>
      <c r="F267" s="382"/>
      <c r="G267" s="382"/>
      <c r="H267" s="382"/>
    </row>
    <row r="268" spans="1:8">
      <c r="A268" s="383" t="s">
        <v>570</v>
      </c>
      <c r="B268" s="382"/>
      <c r="C268" s="382"/>
      <c r="D268" s="382"/>
      <c r="E268" s="382"/>
      <c r="F268" s="382"/>
      <c r="G268" s="382"/>
      <c r="H268" s="382"/>
    </row>
    <row r="269" spans="1:8">
      <c r="A269" s="383" t="s">
        <v>571</v>
      </c>
      <c r="B269" s="382"/>
      <c r="C269" s="382"/>
      <c r="D269" s="382"/>
      <c r="E269" s="382"/>
      <c r="F269" s="382"/>
      <c r="G269" s="382"/>
      <c r="H269" s="382"/>
    </row>
    <row r="270" spans="1:8">
      <c r="A270" s="383" t="s">
        <v>572</v>
      </c>
      <c r="B270" s="382"/>
      <c r="C270" s="382"/>
      <c r="D270" s="382"/>
      <c r="E270" s="382"/>
      <c r="F270" s="382"/>
      <c r="G270" s="382"/>
      <c r="H270" s="382"/>
    </row>
    <row r="271" spans="1:8">
      <c r="A271" s="383" t="s">
        <v>573</v>
      </c>
      <c r="B271" s="382"/>
      <c r="C271" s="382"/>
      <c r="D271" s="382"/>
      <c r="E271" s="382"/>
      <c r="F271" s="382"/>
      <c r="G271" s="382"/>
      <c r="H271" s="382"/>
    </row>
    <row r="272" spans="1:8">
      <c r="A272" s="383" t="s">
        <v>574</v>
      </c>
      <c r="B272" s="382"/>
      <c r="C272" s="382"/>
      <c r="D272" s="382"/>
      <c r="E272" s="382"/>
      <c r="F272" s="382"/>
      <c r="G272" s="382"/>
      <c r="H272" s="382"/>
    </row>
    <row r="273" spans="1:8">
      <c r="A273" s="382"/>
      <c r="B273" s="382"/>
      <c r="C273" s="382"/>
      <c r="D273" s="382"/>
      <c r="E273" s="382"/>
      <c r="F273" s="382"/>
      <c r="G273" s="382"/>
      <c r="H273" s="382"/>
    </row>
    <row r="274" spans="1:8">
      <c r="A274" s="383" t="s">
        <v>575</v>
      </c>
      <c r="B274" s="382"/>
      <c r="C274" s="382"/>
      <c r="D274" s="382"/>
      <c r="E274" s="382"/>
      <c r="F274" s="382"/>
      <c r="G274" s="382"/>
      <c r="H274" s="382"/>
    </row>
    <row r="275" spans="1:8">
      <c r="A275" s="383" t="s">
        <v>576</v>
      </c>
      <c r="B275" s="382"/>
      <c r="C275" s="382"/>
      <c r="D275" s="382"/>
      <c r="E275" s="382"/>
      <c r="F275" s="382"/>
      <c r="G275" s="382"/>
      <c r="H275" s="382"/>
    </row>
    <row r="276" spans="1:8">
      <c r="A276" s="382"/>
      <c r="B276" s="382"/>
      <c r="C276" s="382"/>
      <c r="D276" s="382"/>
      <c r="E276" s="382"/>
      <c r="F276" s="382"/>
      <c r="G276" s="382"/>
      <c r="H276" s="382"/>
    </row>
    <row r="277" spans="1:8">
      <c r="A277" s="383" t="s">
        <v>577</v>
      </c>
      <c r="B277" s="382"/>
      <c r="C277" s="382"/>
      <c r="D277" s="382"/>
      <c r="E277" s="382"/>
      <c r="F277" s="382"/>
      <c r="G277" s="382"/>
      <c r="H277" s="382"/>
    </row>
    <row r="278" spans="1:8">
      <c r="A278" s="383" t="s">
        <v>578</v>
      </c>
      <c r="B278" s="382"/>
      <c r="C278" s="382"/>
      <c r="D278" s="382"/>
      <c r="E278" s="382"/>
      <c r="F278" s="382"/>
      <c r="G278" s="382"/>
      <c r="H278" s="382"/>
    </row>
    <row r="279" spans="1:8">
      <c r="A279" s="383" t="s">
        <v>579</v>
      </c>
      <c r="B279" s="382"/>
      <c r="C279" s="382"/>
      <c r="D279" s="382"/>
      <c r="E279" s="382"/>
      <c r="F279" s="382"/>
      <c r="G279" s="382"/>
      <c r="H279" s="382"/>
    </row>
    <row r="280" spans="1:8">
      <c r="A280" s="383" t="s">
        <v>580</v>
      </c>
      <c r="B280" s="382"/>
      <c r="C280" s="382"/>
      <c r="D280" s="382"/>
      <c r="E280" s="382"/>
      <c r="F280" s="382"/>
      <c r="G280" s="382"/>
      <c r="H280" s="382"/>
    </row>
    <row r="281" spans="1:8">
      <c r="A281" s="383" t="s">
        <v>581</v>
      </c>
      <c r="B281" s="382"/>
      <c r="C281" s="382"/>
      <c r="D281" s="382"/>
      <c r="E281" s="382"/>
      <c r="F281" s="382"/>
      <c r="G281" s="382"/>
      <c r="H281" s="382"/>
    </row>
    <row r="282" spans="1:8">
      <c r="A282" s="383" t="s">
        <v>582</v>
      </c>
      <c r="B282" s="382"/>
      <c r="C282" s="382"/>
      <c r="D282" s="382"/>
      <c r="E282" s="382"/>
      <c r="F282" s="382"/>
      <c r="G282" s="382"/>
      <c r="H282" s="382"/>
    </row>
    <row r="283" spans="1:8">
      <c r="A283" s="383" t="s">
        <v>583</v>
      </c>
      <c r="B283" s="382"/>
      <c r="C283" s="382"/>
      <c r="D283" s="382"/>
      <c r="E283" s="382"/>
      <c r="F283" s="382"/>
      <c r="G283" s="382"/>
      <c r="H283" s="382"/>
    </row>
    <row r="284" spans="1:8">
      <c r="A284" s="383" t="s">
        <v>584</v>
      </c>
      <c r="B284" s="382"/>
      <c r="C284" s="382"/>
      <c r="D284" s="382"/>
      <c r="E284" s="382"/>
      <c r="F284" s="382"/>
      <c r="G284" s="382"/>
      <c r="H284" s="382"/>
    </row>
    <row r="285" spans="1:8">
      <c r="A285" s="383" t="s">
        <v>585</v>
      </c>
      <c r="B285" s="382"/>
      <c r="C285" s="382"/>
      <c r="D285" s="382"/>
      <c r="E285" s="382"/>
      <c r="F285" s="382"/>
      <c r="G285" s="382"/>
      <c r="H285" s="382"/>
    </row>
    <row r="286" spans="1:8">
      <c r="A286" s="383" t="s">
        <v>586</v>
      </c>
      <c r="B286" s="382"/>
      <c r="C286" s="382"/>
      <c r="D286" s="382"/>
      <c r="E286" s="382"/>
      <c r="F286" s="382"/>
      <c r="G286" s="382"/>
      <c r="H286" s="382"/>
    </row>
    <row r="287" spans="1:8">
      <c r="A287" s="383" t="s">
        <v>587</v>
      </c>
      <c r="B287" s="382"/>
      <c r="C287" s="382"/>
      <c r="D287" s="382"/>
      <c r="E287" s="382"/>
      <c r="F287" s="382"/>
      <c r="G287" s="382"/>
      <c r="H287" s="382"/>
    </row>
    <row r="288" spans="1:8">
      <c r="A288" s="383" t="s">
        <v>588</v>
      </c>
      <c r="B288" s="382"/>
      <c r="C288" s="382"/>
      <c r="D288" s="382"/>
      <c r="E288" s="382"/>
      <c r="F288" s="382"/>
      <c r="G288" s="382"/>
      <c r="H288" s="382"/>
    </row>
    <row r="289" spans="1:8">
      <c r="A289" s="383" t="s">
        <v>589</v>
      </c>
      <c r="B289" s="382"/>
      <c r="C289" s="382"/>
      <c r="D289" s="382"/>
      <c r="E289" s="382"/>
      <c r="F289" s="382"/>
      <c r="G289" s="382"/>
      <c r="H289" s="382"/>
    </row>
    <row r="290" spans="1:8">
      <c r="A290" s="383" t="s">
        <v>590</v>
      </c>
      <c r="B290" s="382"/>
      <c r="C290" s="382"/>
      <c r="D290" s="382"/>
      <c r="E290" s="382"/>
      <c r="F290" s="382"/>
      <c r="G290" s="382"/>
      <c r="H290" s="382"/>
    </row>
    <row r="291" spans="1:8">
      <c r="A291" s="383" t="s">
        <v>591</v>
      </c>
      <c r="B291" s="382"/>
      <c r="C291" s="382"/>
      <c r="D291" s="382"/>
      <c r="E291" s="382"/>
      <c r="F291" s="382"/>
      <c r="G291" s="382"/>
      <c r="H291" s="382"/>
    </row>
    <row r="292" spans="1:8">
      <c r="A292" s="383" t="s">
        <v>592</v>
      </c>
      <c r="B292" s="382"/>
      <c r="C292" s="382"/>
      <c r="D292" s="382"/>
      <c r="E292" s="382"/>
      <c r="F292" s="382"/>
      <c r="G292" s="382"/>
      <c r="H292" s="382"/>
    </row>
    <row r="293" spans="1:8">
      <c r="A293" s="382"/>
      <c r="B293" s="382"/>
      <c r="C293" s="382"/>
      <c r="D293" s="382"/>
      <c r="E293" s="382"/>
      <c r="F293" s="382"/>
      <c r="G293" s="382"/>
      <c r="H293" s="382"/>
    </row>
    <row r="294" spans="1:8">
      <c r="A294" s="383" t="s">
        <v>593</v>
      </c>
      <c r="B294" s="382"/>
      <c r="C294" s="382"/>
      <c r="D294" s="382"/>
      <c r="E294" s="382"/>
      <c r="F294" s="382"/>
      <c r="G294" s="382"/>
      <c r="H294" s="382"/>
    </row>
    <row r="295" spans="1:8">
      <c r="A295" s="383" t="s">
        <v>594</v>
      </c>
      <c r="B295" s="382"/>
      <c r="C295" s="382"/>
      <c r="D295" s="382"/>
      <c r="E295" s="382"/>
      <c r="F295" s="382"/>
      <c r="G295" s="382"/>
      <c r="H295" s="382"/>
    </row>
    <row r="296" spans="1:8">
      <c r="A296" s="383" t="s">
        <v>595</v>
      </c>
      <c r="B296" s="382"/>
      <c r="C296" s="382"/>
      <c r="D296" s="382"/>
      <c r="E296" s="382"/>
      <c r="F296" s="382"/>
      <c r="G296" s="382"/>
      <c r="H296" s="382"/>
    </row>
    <row r="297" spans="1:8">
      <c r="A297" s="383" t="s">
        <v>596</v>
      </c>
      <c r="B297" s="382"/>
      <c r="C297" s="382"/>
      <c r="D297" s="382"/>
      <c r="E297" s="382"/>
      <c r="F297" s="382"/>
      <c r="G297" s="382"/>
      <c r="H297" s="382"/>
    </row>
    <row r="298" spans="1:8">
      <c r="A298" s="383" t="s">
        <v>597</v>
      </c>
      <c r="B298" s="382"/>
      <c r="C298" s="382"/>
      <c r="D298" s="382"/>
      <c r="E298" s="382"/>
      <c r="F298" s="382"/>
      <c r="G298" s="382"/>
      <c r="H298" s="382"/>
    </row>
    <row r="299" spans="1:8">
      <c r="A299" s="383" t="s">
        <v>598</v>
      </c>
      <c r="B299" s="382"/>
      <c r="C299" s="382"/>
      <c r="D299" s="382"/>
      <c r="E299" s="382"/>
      <c r="F299" s="382"/>
      <c r="G299" s="382"/>
      <c r="H299" s="382"/>
    </row>
    <row r="300" spans="1:8">
      <c r="A300" s="383" t="s">
        <v>457</v>
      </c>
      <c r="B300" s="382"/>
      <c r="C300" s="382"/>
      <c r="D300" s="382"/>
      <c r="E300" s="382"/>
      <c r="F300" s="382"/>
      <c r="G300" s="382"/>
      <c r="H300" s="382"/>
    </row>
    <row r="301" spans="1:8">
      <c r="A301" s="382"/>
      <c r="B301" s="382"/>
      <c r="C301" s="382"/>
      <c r="D301" s="382"/>
      <c r="E301" s="382"/>
      <c r="F301" s="382"/>
      <c r="G301" s="382"/>
      <c r="H301" s="382"/>
    </row>
    <row r="302" spans="1:8">
      <c r="A302" s="383" t="s">
        <v>599</v>
      </c>
      <c r="B302" s="382"/>
      <c r="C302" s="382"/>
      <c r="D302" s="382"/>
      <c r="E302" s="382"/>
      <c r="F302" s="382"/>
      <c r="G302" s="382"/>
      <c r="H302" s="382"/>
    </row>
    <row r="303" spans="1:8">
      <c r="A303" s="383" t="s">
        <v>600</v>
      </c>
      <c r="B303" s="382"/>
      <c r="C303" s="382"/>
      <c r="D303" s="382"/>
      <c r="E303" s="382"/>
      <c r="F303" s="382"/>
      <c r="G303" s="382"/>
      <c r="H303" s="382"/>
    </row>
    <row r="304" spans="1:8">
      <c r="A304" s="383" t="s">
        <v>601</v>
      </c>
      <c r="B304" s="382"/>
      <c r="C304" s="382"/>
      <c r="D304" s="382"/>
      <c r="E304" s="382"/>
      <c r="F304" s="382"/>
      <c r="G304" s="382"/>
      <c r="H304" s="382"/>
    </row>
    <row r="305" spans="1:8">
      <c r="A305" s="383" t="s">
        <v>602</v>
      </c>
      <c r="B305" s="382"/>
      <c r="C305" s="382"/>
      <c r="D305" s="382"/>
      <c r="E305" s="382"/>
      <c r="F305" s="382"/>
      <c r="G305" s="382"/>
      <c r="H305" s="382"/>
    </row>
    <row r="306" spans="1:8">
      <c r="A306" s="383" t="s">
        <v>603</v>
      </c>
      <c r="B306" s="382"/>
      <c r="C306" s="382"/>
      <c r="D306" s="382"/>
      <c r="E306" s="382"/>
      <c r="F306" s="382"/>
      <c r="G306" s="382"/>
      <c r="H306" s="382"/>
    </row>
    <row r="307" spans="1:8">
      <c r="A307" s="383" t="s">
        <v>604</v>
      </c>
      <c r="B307" s="382"/>
      <c r="C307" s="382"/>
      <c r="D307" s="382"/>
      <c r="E307" s="382"/>
      <c r="F307" s="382"/>
      <c r="G307" s="382"/>
      <c r="H307" s="382"/>
    </row>
    <row r="308" spans="1:8">
      <c r="A308" s="383" t="s">
        <v>605</v>
      </c>
      <c r="B308" s="382"/>
      <c r="C308" s="382"/>
      <c r="D308" s="382"/>
      <c r="E308" s="382"/>
      <c r="F308" s="382"/>
      <c r="G308" s="382"/>
      <c r="H308" s="382"/>
    </row>
    <row r="309" spans="1:8">
      <c r="A309" s="383" t="s">
        <v>606</v>
      </c>
      <c r="B309" s="382"/>
      <c r="C309" s="382"/>
      <c r="D309" s="382"/>
      <c r="E309" s="382"/>
      <c r="F309" s="382"/>
      <c r="G309" s="382"/>
      <c r="H309" s="382"/>
    </row>
    <row r="310" spans="1:8">
      <c r="A310" s="383" t="s">
        <v>607</v>
      </c>
      <c r="B310" s="382"/>
      <c r="C310" s="382"/>
      <c r="D310" s="382"/>
      <c r="E310" s="382"/>
      <c r="F310" s="382"/>
      <c r="G310" s="382"/>
      <c r="H310" s="382"/>
    </row>
    <row r="311" spans="1:8">
      <c r="A311" s="382"/>
      <c r="B311" s="382"/>
      <c r="C311" s="382"/>
      <c r="D311" s="382"/>
      <c r="E311" s="382"/>
      <c r="F311" s="382"/>
      <c r="G311" s="382"/>
      <c r="H311" s="382"/>
    </row>
    <row r="312" spans="1:8">
      <c r="A312" s="383" t="s">
        <v>608</v>
      </c>
      <c r="B312" s="382"/>
      <c r="C312" s="382"/>
      <c r="D312" s="382"/>
      <c r="E312" s="382"/>
      <c r="F312" s="382"/>
      <c r="G312" s="382"/>
      <c r="H312" s="382"/>
    </row>
    <row r="313" spans="1:8">
      <c r="A313" s="383" t="s">
        <v>609</v>
      </c>
      <c r="B313" s="382"/>
      <c r="C313" s="382"/>
      <c r="D313" s="382"/>
      <c r="E313" s="382"/>
      <c r="F313" s="382"/>
      <c r="G313" s="382"/>
      <c r="H313" s="382"/>
    </row>
    <row r="314" spans="1:8">
      <c r="A314" s="383" t="s">
        <v>610</v>
      </c>
      <c r="B314" s="382"/>
      <c r="C314" s="382"/>
      <c r="D314" s="382"/>
      <c r="E314" s="382"/>
      <c r="F314" s="382"/>
      <c r="G314" s="382"/>
      <c r="H314" s="382"/>
    </row>
    <row r="315" spans="1:8">
      <c r="A315" s="383" t="s">
        <v>611</v>
      </c>
      <c r="B315" s="382"/>
      <c r="C315" s="382"/>
      <c r="D315" s="382"/>
      <c r="E315" s="382"/>
      <c r="F315" s="382"/>
      <c r="G315" s="382"/>
      <c r="H315" s="382"/>
    </row>
    <row r="316" spans="1:8">
      <c r="A316" s="383" t="s">
        <v>612</v>
      </c>
      <c r="B316" s="382"/>
      <c r="C316" s="382"/>
      <c r="D316" s="382"/>
      <c r="E316" s="382"/>
      <c r="F316" s="382"/>
      <c r="G316" s="382"/>
      <c r="H316" s="382"/>
    </row>
    <row r="317" spans="1:8">
      <c r="A317" s="383" t="s">
        <v>613</v>
      </c>
      <c r="B317" s="382"/>
      <c r="C317" s="382"/>
      <c r="D317" s="382"/>
      <c r="E317" s="382"/>
      <c r="F317" s="382"/>
      <c r="G317" s="382"/>
      <c r="H317" s="382"/>
    </row>
    <row r="318" spans="1:8">
      <c r="A318" s="383" t="s">
        <v>614</v>
      </c>
      <c r="B318" s="382"/>
      <c r="C318" s="382"/>
      <c r="D318" s="382"/>
      <c r="E318" s="382"/>
      <c r="F318" s="382"/>
      <c r="G318" s="382"/>
      <c r="H318" s="382"/>
    </row>
    <row r="319" spans="1:8">
      <c r="A319" s="382"/>
      <c r="B319" s="382"/>
      <c r="C319" s="382"/>
      <c r="D319" s="382"/>
      <c r="E319" s="382"/>
      <c r="F319" s="382"/>
      <c r="G319" s="382"/>
      <c r="H319" s="382"/>
    </row>
    <row r="320" spans="1:8">
      <c r="A320" s="383" t="s">
        <v>615</v>
      </c>
      <c r="B320" s="382"/>
      <c r="C320" s="382"/>
      <c r="D320" s="382"/>
      <c r="E320" s="382"/>
      <c r="F320" s="382"/>
      <c r="G320" s="382"/>
      <c r="H320" s="382"/>
    </row>
    <row r="321" spans="1:8">
      <c r="A321" s="383" t="s">
        <v>616</v>
      </c>
      <c r="B321" s="382"/>
      <c r="C321" s="382"/>
      <c r="D321" s="382"/>
      <c r="E321" s="382"/>
      <c r="F321" s="382"/>
      <c r="G321" s="382"/>
      <c r="H321" s="382"/>
    </row>
    <row r="322" spans="1:8">
      <c r="A322" s="383" t="s">
        <v>617</v>
      </c>
      <c r="B322" s="382"/>
      <c r="C322" s="382"/>
      <c r="D322" s="382"/>
      <c r="E322" s="382"/>
      <c r="F322" s="382"/>
      <c r="G322" s="382"/>
      <c r="H322" s="382"/>
    </row>
    <row r="323" spans="1:8">
      <c r="A323" s="382"/>
      <c r="B323" s="382"/>
      <c r="C323" s="382"/>
      <c r="D323" s="382"/>
      <c r="E323" s="382"/>
      <c r="F323" s="382"/>
      <c r="G323" s="382"/>
      <c r="H323" s="382"/>
    </row>
    <row r="324" spans="1:8">
      <c r="A324" s="383" t="s">
        <v>618</v>
      </c>
      <c r="B324" s="382"/>
      <c r="C324" s="382"/>
      <c r="D324" s="382"/>
      <c r="E324" s="382"/>
      <c r="F324" s="382"/>
      <c r="G324" s="382"/>
      <c r="H324" s="382"/>
    </row>
    <row r="325" spans="1:8">
      <c r="A325" s="383" t="s">
        <v>619</v>
      </c>
      <c r="B325" s="382"/>
      <c r="C325" s="382"/>
      <c r="D325" s="382"/>
      <c r="E325" s="382"/>
      <c r="F325" s="382"/>
      <c r="G325" s="382"/>
      <c r="H325" s="382"/>
    </row>
    <row r="326" spans="1:8">
      <c r="A326" s="382"/>
      <c r="B326" s="382"/>
      <c r="C326" s="382"/>
      <c r="D326" s="382"/>
      <c r="E326" s="382"/>
      <c r="F326" s="382"/>
      <c r="G326" s="382"/>
      <c r="H326" s="382"/>
    </row>
    <row r="327" spans="1:8">
      <c r="A327" s="383" t="s">
        <v>620</v>
      </c>
      <c r="B327" s="382"/>
      <c r="C327" s="382"/>
      <c r="D327" s="382"/>
      <c r="E327" s="382"/>
      <c r="F327" s="382"/>
      <c r="G327" s="382"/>
      <c r="H327" s="382"/>
    </row>
    <row r="328" spans="1:8">
      <c r="A328" s="383" t="s">
        <v>621</v>
      </c>
      <c r="B328" s="382"/>
      <c r="C328" s="382"/>
      <c r="D328" s="382"/>
      <c r="E328" s="382"/>
      <c r="F328" s="382"/>
      <c r="G328" s="382"/>
      <c r="H328" s="382"/>
    </row>
    <row r="329" spans="1:8">
      <c r="A329" s="383" t="s">
        <v>622</v>
      </c>
      <c r="B329" s="382"/>
      <c r="C329" s="382"/>
      <c r="D329" s="382"/>
      <c r="E329" s="382"/>
      <c r="F329" s="382"/>
      <c r="G329" s="382"/>
      <c r="H329" s="382"/>
    </row>
    <row r="330" spans="1:8">
      <c r="A330" s="383" t="s">
        <v>623</v>
      </c>
      <c r="B330" s="382"/>
      <c r="C330" s="382"/>
      <c r="D330" s="382"/>
      <c r="E330" s="382"/>
      <c r="F330" s="382"/>
      <c r="G330" s="382"/>
      <c r="H330" s="382"/>
    </row>
    <row r="331" spans="1:8">
      <c r="A331" s="383" t="s">
        <v>624</v>
      </c>
      <c r="B331" s="382"/>
      <c r="C331" s="382"/>
      <c r="D331" s="382"/>
      <c r="E331" s="382"/>
      <c r="F331" s="382"/>
      <c r="G331" s="382"/>
      <c r="H331" s="382"/>
    </row>
    <row r="332" spans="1:8">
      <c r="A332" s="383" t="s">
        <v>625</v>
      </c>
      <c r="B332" s="382"/>
      <c r="C332" s="382"/>
      <c r="D332" s="382"/>
      <c r="E332" s="382"/>
      <c r="F332" s="382"/>
      <c r="G332" s="382"/>
      <c r="H332" s="382"/>
    </row>
    <row r="333" spans="1:8">
      <c r="A333" s="383" t="s">
        <v>626</v>
      </c>
      <c r="B333" s="382"/>
      <c r="C333" s="382"/>
      <c r="D333" s="382"/>
      <c r="E333" s="382"/>
      <c r="F333" s="382"/>
      <c r="G333" s="382"/>
      <c r="H333" s="382"/>
    </row>
    <row r="334" spans="1:8">
      <c r="A334" s="383" t="s">
        <v>627</v>
      </c>
      <c r="B334" s="382"/>
      <c r="C334" s="382"/>
      <c r="D334" s="382"/>
      <c r="E334" s="382"/>
      <c r="F334" s="382"/>
      <c r="G334" s="382"/>
      <c r="H334" s="382"/>
    </row>
    <row r="335" spans="1:8">
      <c r="A335" s="383" t="s">
        <v>628</v>
      </c>
      <c r="B335" s="382"/>
      <c r="C335" s="382"/>
      <c r="D335" s="382"/>
      <c r="E335" s="382"/>
      <c r="F335" s="382"/>
      <c r="G335" s="382"/>
      <c r="H335" s="382"/>
    </row>
    <row r="336" spans="1:8">
      <c r="A336" s="383" t="s">
        <v>629</v>
      </c>
      <c r="B336" s="382"/>
      <c r="C336" s="382"/>
      <c r="D336" s="382"/>
      <c r="E336" s="382"/>
      <c r="F336" s="382"/>
      <c r="G336" s="382"/>
      <c r="H336" s="382"/>
    </row>
    <row r="337" spans="1:8">
      <c r="A337" s="383" t="s">
        <v>630</v>
      </c>
      <c r="B337" s="382"/>
      <c r="C337" s="382"/>
      <c r="D337" s="382"/>
      <c r="E337" s="382"/>
      <c r="F337" s="382"/>
      <c r="G337" s="382"/>
      <c r="H337" s="382"/>
    </row>
    <row r="338" spans="1:8">
      <c r="A338" s="383" t="s">
        <v>631</v>
      </c>
      <c r="B338" s="382"/>
      <c r="C338" s="382"/>
      <c r="D338" s="382"/>
      <c r="E338" s="382"/>
      <c r="F338" s="382"/>
      <c r="G338" s="382"/>
      <c r="H338" s="382"/>
    </row>
    <row r="339" spans="1:8">
      <c r="A339" s="383" t="s">
        <v>632</v>
      </c>
      <c r="B339" s="382"/>
      <c r="C339" s="382"/>
      <c r="D339" s="382"/>
      <c r="E339" s="382"/>
      <c r="F339" s="382"/>
      <c r="G339" s="382"/>
      <c r="H339" s="382"/>
    </row>
    <row r="340" spans="1:8">
      <c r="A340" s="382"/>
      <c r="B340" s="382"/>
      <c r="C340" s="382"/>
      <c r="D340" s="382"/>
      <c r="E340" s="382"/>
      <c r="F340" s="382"/>
      <c r="G340" s="382"/>
      <c r="H340" s="382"/>
    </row>
    <row r="341" spans="1:8">
      <c r="A341" s="383" t="s">
        <v>633</v>
      </c>
      <c r="B341" s="382"/>
      <c r="C341" s="382"/>
      <c r="D341" s="382"/>
      <c r="E341" s="382"/>
      <c r="F341" s="382"/>
      <c r="G341" s="382"/>
      <c r="H341" s="382"/>
    </row>
    <row r="342" spans="1:8">
      <c r="A342" s="383" t="s">
        <v>634</v>
      </c>
      <c r="B342" s="382"/>
      <c r="C342" s="382"/>
      <c r="D342" s="382"/>
      <c r="E342" s="382"/>
      <c r="F342" s="382"/>
      <c r="G342" s="382"/>
      <c r="H342" s="382"/>
    </row>
    <row r="343" spans="1:8">
      <c r="A343" s="382"/>
      <c r="B343" s="382"/>
      <c r="C343" s="382"/>
      <c r="D343" s="382"/>
      <c r="E343" s="382"/>
      <c r="F343" s="382"/>
      <c r="G343" s="382"/>
      <c r="H343" s="382"/>
    </row>
    <row r="344" spans="1:8">
      <c r="A344" s="383" t="s">
        <v>635</v>
      </c>
      <c r="B344" s="382"/>
      <c r="C344" s="382"/>
      <c r="D344" s="382"/>
      <c r="E344" s="382"/>
      <c r="F344" s="382"/>
      <c r="G344" s="382"/>
      <c r="H344" s="382"/>
    </row>
    <row r="345" spans="1:8">
      <c r="A345" s="383" t="s">
        <v>636</v>
      </c>
      <c r="B345" s="382"/>
      <c r="C345" s="382"/>
      <c r="D345" s="382"/>
      <c r="E345" s="382"/>
      <c r="F345" s="382"/>
      <c r="G345" s="382"/>
      <c r="H345" s="382"/>
    </row>
    <row r="346" spans="1:8">
      <c r="A346" s="383" t="s">
        <v>637</v>
      </c>
      <c r="B346" s="382"/>
      <c r="C346" s="382"/>
      <c r="D346" s="382"/>
      <c r="E346" s="382"/>
      <c r="F346" s="382"/>
      <c r="G346" s="382"/>
      <c r="H346" s="382"/>
    </row>
    <row r="347" spans="1:8">
      <c r="A347" s="383" t="s">
        <v>638</v>
      </c>
      <c r="B347" s="382"/>
      <c r="C347" s="382"/>
      <c r="D347" s="382"/>
      <c r="E347" s="382"/>
      <c r="F347" s="382"/>
      <c r="G347" s="382"/>
      <c r="H347" s="382"/>
    </row>
    <row r="348" spans="1:8">
      <c r="A348" s="383" t="s">
        <v>639</v>
      </c>
      <c r="B348" s="382"/>
      <c r="C348" s="382"/>
      <c r="D348" s="382"/>
      <c r="E348" s="382"/>
      <c r="F348" s="382"/>
      <c r="G348" s="382"/>
      <c r="H348" s="382"/>
    </row>
    <row r="349" spans="1:8">
      <c r="A349" s="383" t="s">
        <v>640</v>
      </c>
      <c r="B349" s="382"/>
      <c r="C349" s="382"/>
      <c r="D349" s="382"/>
      <c r="E349" s="382"/>
      <c r="F349" s="382"/>
      <c r="G349" s="382"/>
      <c r="H349" s="382"/>
    </row>
    <row r="350" spans="1:8">
      <c r="A350" s="383" t="s">
        <v>641</v>
      </c>
      <c r="B350" s="382"/>
      <c r="C350" s="382"/>
      <c r="D350" s="382"/>
      <c r="E350" s="382"/>
      <c r="F350" s="382"/>
      <c r="G350" s="382"/>
      <c r="H350" s="382"/>
    </row>
    <row r="351" spans="1:8">
      <c r="A351" s="383" t="s">
        <v>642</v>
      </c>
      <c r="B351" s="382"/>
      <c r="C351" s="382"/>
      <c r="D351" s="382"/>
      <c r="E351" s="382"/>
      <c r="F351" s="382"/>
      <c r="G351" s="382"/>
      <c r="H351" s="382"/>
    </row>
    <row r="352" spans="1:8">
      <c r="A352" s="382"/>
      <c r="B352" s="382"/>
      <c r="C352" s="382"/>
      <c r="D352" s="382"/>
      <c r="E352" s="382"/>
      <c r="F352" s="382"/>
      <c r="G352" s="382"/>
      <c r="H352" s="382"/>
    </row>
    <row r="353" spans="1:8">
      <c r="A353" s="383" t="s">
        <v>643</v>
      </c>
      <c r="B353" s="382"/>
      <c r="C353" s="382"/>
      <c r="D353" s="382"/>
      <c r="E353" s="382"/>
      <c r="F353" s="382"/>
      <c r="G353" s="382"/>
      <c r="H353" s="382"/>
    </row>
    <row r="354" spans="1:8">
      <c r="A354" s="383" t="s">
        <v>644</v>
      </c>
      <c r="B354" s="382"/>
      <c r="C354" s="382"/>
      <c r="D354" s="382"/>
      <c r="E354" s="382"/>
      <c r="F354" s="382"/>
      <c r="G354" s="382"/>
      <c r="H354" s="382"/>
    </row>
    <row r="355" spans="1:8">
      <c r="A355" s="383" t="s">
        <v>645</v>
      </c>
      <c r="B355" s="382"/>
      <c r="C355" s="382"/>
      <c r="D355" s="382"/>
      <c r="E355" s="382"/>
      <c r="F355" s="382"/>
      <c r="G355" s="382"/>
      <c r="H355" s="382"/>
    </row>
    <row r="356" spans="1:8">
      <c r="A356" s="383" t="s">
        <v>646</v>
      </c>
      <c r="B356" s="382"/>
      <c r="C356" s="382"/>
      <c r="D356" s="382"/>
      <c r="E356" s="382"/>
      <c r="F356" s="382"/>
      <c r="G356" s="382"/>
      <c r="H356" s="382"/>
    </row>
    <row r="357" spans="1:8">
      <c r="A357" s="383" t="s">
        <v>647</v>
      </c>
      <c r="B357" s="382"/>
      <c r="C357" s="382"/>
      <c r="D357" s="382"/>
      <c r="E357" s="382"/>
      <c r="F357" s="382"/>
      <c r="G357" s="382"/>
      <c r="H357" s="382"/>
    </row>
    <row r="358" spans="1:8">
      <c r="A358" s="383" t="s">
        <v>648</v>
      </c>
      <c r="B358" s="382"/>
      <c r="C358" s="382"/>
      <c r="D358" s="382"/>
      <c r="E358" s="382"/>
      <c r="F358" s="382"/>
      <c r="G358" s="382"/>
      <c r="H358" s="382"/>
    </row>
    <row r="359" spans="1:8">
      <c r="A359" s="383" t="s">
        <v>649</v>
      </c>
      <c r="B359" s="382"/>
      <c r="C359" s="382"/>
      <c r="D359" s="382"/>
      <c r="E359" s="382"/>
      <c r="F359" s="382"/>
      <c r="G359" s="382"/>
      <c r="H359" s="382"/>
    </row>
    <row r="360" spans="1:8">
      <c r="A360" s="383" t="s">
        <v>650</v>
      </c>
      <c r="B360" s="382"/>
      <c r="C360" s="382"/>
      <c r="D360" s="382"/>
      <c r="E360" s="382"/>
      <c r="F360" s="382"/>
      <c r="G360" s="382"/>
      <c r="H360" s="382"/>
    </row>
    <row r="361" spans="1:8">
      <c r="A361" s="383" t="s">
        <v>651</v>
      </c>
      <c r="B361" s="382"/>
      <c r="C361" s="382"/>
      <c r="D361" s="382"/>
      <c r="E361" s="382"/>
      <c r="F361" s="382"/>
      <c r="G361" s="382"/>
      <c r="H361" s="382"/>
    </row>
    <row r="362" spans="1:8">
      <c r="A362" s="383" t="s">
        <v>652</v>
      </c>
      <c r="B362" s="382"/>
      <c r="C362" s="382"/>
      <c r="D362" s="382"/>
      <c r="E362" s="382"/>
      <c r="F362" s="382"/>
      <c r="G362" s="382"/>
      <c r="H362" s="382"/>
    </row>
    <row r="363" spans="1:8">
      <c r="A363" s="383" t="s">
        <v>653</v>
      </c>
      <c r="B363" s="382"/>
      <c r="C363" s="382"/>
      <c r="D363" s="382"/>
      <c r="E363" s="382"/>
      <c r="F363" s="382"/>
      <c r="G363" s="382"/>
      <c r="H363" s="382"/>
    </row>
    <row r="364" spans="1:8">
      <c r="A364" s="383" t="s">
        <v>654</v>
      </c>
      <c r="B364" s="382"/>
      <c r="C364" s="382"/>
      <c r="D364" s="382"/>
      <c r="E364" s="382"/>
      <c r="F364" s="382"/>
      <c r="G364" s="382"/>
      <c r="H364" s="382"/>
    </row>
    <row r="365" spans="1:8">
      <c r="A365" s="383" t="s">
        <v>655</v>
      </c>
      <c r="B365" s="382"/>
      <c r="C365" s="382"/>
      <c r="D365" s="382"/>
      <c r="E365" s="382"/>
      <c r="F365" s="382"/>
      <c r="G365" s="382"/>
      <c r="H365" s="382"/>
    </row>
    <row r="366" spans="1:8">
      <c r="A366" s="383" t="s">
        <v>656</v>
      </c>
      <c r="B366" s="382"/>
      <c r="C366" s="382"/>
      <c r="D366" s="382"/>
      <c r="E366" s="382"/>
      <c r="F366" s="382"/>
      <c r="G366" s="382"/>
      <c r="H366" s="382"/>
    </row>
    <row r="367" spans="1:8">
      <c r="A367" s="383" t="s">
        <v>657</v>
      </c>
      <c r="B367" s="382"/>
      <c r="C367" s="382"/>
      <c r="D367" s="382"/>
      <c r="E367" s="382"/>
      <c r="F367" s="382"/>
      <c r="G367" s="382"/>
      <c r="H367" s="382"/>
    </row>
    <row r="368" spans="1:8">
      <c r="A368" s="383" t="s">
        <v>658</v>
      </c>
      <c r="B368" s="382"/>
      <c r="C368" s="382"/>
      <c r="D368" s="382"/>
      <c r="E368" s="382"/>
      <c r="F368" s="382"/>
      <c r="G368" s="382"/>
      <c r="H368" s="382"/>
    </row>
    <row r="369" spans="1:8">
      <c r="A369" s="383" t="s">
        <v>659</v>
      </c>
      <c r="B369" s="382"/>
      <c r="C369" s="382"/>
      <c r="D369" s="382"/>
      <c r="E369" s="382"/>
      <c r="F369" s="382"/>
      <c r="G369" s="382"/>
      <c r="H369" s="382"/>
    </row>
    <row r="370" spans="1:8">
      <c r="A370" s="383" t="s">
        <v>660</v>
      </c>
      <c r="B370" s="382"/>
      <c r="C370" s="382"/>
      <c r="D370" s="382"/>
      <c r="E370" s="382"/>
      <c r="F370" s="382"/>
      <c r="G370" s="382"/>
      <c r="H370" s="382"/>
    </row>
    <row r="371" spans="1:8">
      <c r="A371" s="383" t="s">
        <v>661</v>
      </c>
      <c r="B371" s="382"/>
      <c r="C371" s="382"/>
      <c r="D371" s="382"/>
      <c r="E371" s="382"/>
      <c r="F371" s="382"/>
      <c r="G371" s="382"/>
      <c r="H371" s="382"/>
    </row>
    <row r="372" spans="1:8">
      <c r="A372" s="383" t="s">
        <v>662</v>
      </c>
      <c r="B372" s="382"/>
      <c r="C372" s="382"/>
      <c r="D372" s="382"/>
      <c r="E372" s="382"/>
      <c r="F372" s="382"/>
      <c r="G372" s="382"/>
      <c r="H372" s="382"/>
    </row>
    <row r="373" spans="1:8">
      <c r="A373" s="383" t="s">
        <v>663</v>
      </c>
      <c r="B373" s="382"/>
      <c r="C373" s="382"/>
      <c r="D373" s="382"/>
      <c r="E373" s="382"/>
      <c r="F373" s="382"/>
      <c r="G373" s="382"/>
      <c r="H373" s="382"/>
    </row>
    <row r="374" spans="1:8">
      <c r="A374" s="383" t="s">
        <v>664</v>
      </c>
      <c r="B374" s="382"/>
      <c r="C374" s="382"/>
      <c r="D374" s="382"/>
      <c r="E374" s="382"/>
      <c r="F374" s="382"/>
      <c r="G374" s="382"/>
      <c r="H374" s="382"/>
    </row>
    <row r="375" spans="1:8">
      <c r="A375" s="383" t="s">
        <v>665</v>
      </c>
      <c r="B375" s="382"/>
      <c r="C375" s="382"/>
      <c r="D375" s="382"/>
      <c r="E375" s="382"/>
      <c r="F375" s="382"/>
      <c r="G375" s="382"/>
      <c r="H375" s="382"/>
    </row>
    <row r="376" spans="1:8">
      <c r="A376" s="383" t="s">
        <v>666</v>
      </c>
      <c r="B376" s="382"/>
      <c r="C376" s="382"/>
      <c r="D376" s="382"/>
      <c r="E376" s="382"/>
      <c r="F376" s="382"/>
      <c r="G376" s="382"/>
      <c r="H376" s="382"/>
    </row>
    <row r="377" spans="1:8">
      <c r="A377" s="383" t="s">
        <v>667</v>
      </c>
      <c r="B377" s="382"/>
      <c r="C377" s="382"/>
      <c r="D377" s="382"/>
      <c r="E377" s="382"/>
      <c r="F377" s="382"/>
      <c r="G377" s="382"/>
      <c r="H377" s="382"/>
    </row>
    <row r="378" spans="1:8">
      <c r="A378" s="383" t="s">
        <v>668</v>
      </c>
      <c r="B378" s="382"/>
      <c r="C378" s="382"/>
      <c r="D378" s="382"/>
      <c r="E378" s="382"/>
      <c r="F378" s="382"/>
      <c r="G378" s="382"/>
      <c r="H378" s="382"/>
    </row>
    <row r="379" spans="1:8">
      <c r="A379" s="383" t="s">
        <v>669</v>
      </c>
      <c r="B379" s="382"/>
      <c r="C379" s="382"/>
      <c r="D379" s="382"/>
      <c r="E379" s="382"/>
      <c r="F379" s="382"/>
      <c r="G379" s="382"/>
      <c r="H379" s="382"/>
    </row>
    <row r="380" spans="1:8">
      <c r="A380" s="383" t="s">
        <v>670</v>
      </c>
      <c r="B380" s="382"/>
      <c r="C380" s="382"/>
      <c r="D380" s="382"/>
      <c r="E380" s="382"/>
      <c r="F380" s="382"/>
      <c r="G380" s="382"/>
      <c r="H380" s="382"/>
    </row>
    <row r="381" spans="1:8">
      <c r="A381" s="383" t="s">
        <v>671</v>
      </c>
      <c r="B381" s="382"/>
      <c r="C381" s="382"/>
      <c r="D381" s="382"/>
      <c r="E381" s="382"/>
      <c r="F381" s="382"/>
      <c r="G381" s="382"/>
      <c r="H381" s="382"/>
    </row>
    <row r="382" spans="1:8">
      <c r="A382" s="383" t="s">
        <v>672</v>
      </c>
      <c r="B382" s="382"/>
      <c r="C382" s="382"/>
      <c r="D382" s="382"/>
      <c r="E382" s="382"/>
      <c r="F382" s="382"/>
      <c r="G382" s="382"/>
      <c r="H382" s="382"/>
    </row>
    <row r="383" spans="1:8">
      <c r="A383" s="383" t="s">
        <v>673</v>
      </c>
      <c r="B383" s="382"/>
      <c r="C383" s="382"/>
      <c r="D383" s="382"/>
      <c r="E383" s="382"/>
      <c r="F383" s="382"/>
      <c r="G383" s="382"/>
      <c r="H383" s="382"/>
    </row>
    <row r="384" spans="1:8">
      <c r="A384" s="383" t="s">
        <v>674</v>
      </c>
      <c r="B384" s="382"/>
      <c r="C384" s="382"/>
      <c r="D384" s="382"/>
      <c r="E384" s="382"/>
      <c r="F384" s="382"/>
      <c r="G384" s="382"/>
      <c r="H384" s="382"/>
    </row>
    <row r="385" spans="1:8">
      <c r="A385" s="383" t="s">
        <v>675</v>
      </c>
      <c r="B385" s="382"/>
      <c r="C385" s="382"/>
      <c r="D385" s="382"/>
      <c r="E385" s="382"/>
      <c r="F385" s="382"/>
      <c r="G385" s="382"/>
      <c r="H385" s="382"/>
    </row>
    <row r="386" spans="1:8">
      <c r="A386" s="383" t="s">
        <v>676</v>
      </c>
      <c r="B386" s="382"/>
      <c r="C386" s="382"/>
      <c r="D386" s="382"/>
      <c r="E386" s="382"/>
      <c r="F386" s="382"/>
      <c r="G386" s="382"/>
      <c r="H386" s="382"/>
    </row>
    <row r="387" spans="1:8">
      <c r="A387" s="383" t="s">
        <v>677</v>
      </c>
      <c r="B387" s="382"/>
      <c r="C387" s="382"/>
      <c r="D387" s="382"/>
      <c r="E387" s="382"/>
      <c r="F387" s="382"/>
      <c r="G387" s="382"/>
      <c r="H387" s="382"/>
    </row>
    <row r="388" spans="1:8">
      <c r="A388" s="383" t="s">
        <v>678</v>
      </c>
      <c r="B388" s="382"/>
      <c r="C388" s="382"/>
      <c r="D388" s="382"/>
      <c r="E388" s="382"/>
      <c r="F388" s="382"/>
      <c r="G388" s="382"/>
      <c r="H388" s="382"/>
    </row>
    <row r="389" spans="1:8">
      <c r="A389" s="383" t="s">
        <v>679</v>
      </c>
      <c r="B389" s="382"/>
      <c r="C389" s="382"/>
      <c r="D389" s="382"/>
      <c r="E389" s="382"/>
      <c r="F389" s="382"/>
      <c r="G389" s="382"/>
      <c r="H389" s="382"/>
    </row>
    <row r="390" spans="1:8">
      <c r="A390" s="383" t="s">
        <v>680</v>
      </c>
      <c r="B390" s="382"/>
      <c r="C390" s="382"/>
      <c r="D390" s="382"/>
      <c r="E390" s="382"/>
      <c r="F390" s="382"/>
      <c r="G390" s="382"/>
      <c r="H390" s="382"/>
    </row>
    <row r="391" spans="1:8">
      <c r="A391" s="383" t="s">
        <v>681</v>
      </c>
      <c r="B391" s="382"/>
      <c r="C391" s="382"/>
      <c r="D391" s="382"/>
      <c r="E391" s="382"/>
      <c r="F391" s="382"/>
      <c r="G391" s="382"/>
      <c r="H391" s="382"/>
    </row>
    <row r="392" spans="1:8">
      <c r="A392" s="383" t="s">
        <v>682</v>
      </c>
      <c r="B392" s="382"/>
      <c r="C392" s="382"/>
      <c r="D392" s="382"/>
      <c r="E392" s="382"/>
      <c r="F392" s="382"/>
      <c r="G392" s="382"/>
      <c r="H392" s="382"/>
    </row>
    <row r="393" spans="1:8">
      <c r="A393" s="383" t="s">
        <v>683</v>
      </c>
      <c r="B393" s="382"/>
      <c r="C393" s="382"/>
      <c r="D393" s="382"/>
      <c r="E393" s="382"/>
      <c r="F393" s="382"/>
      <c r="G393" s="382"/>
      <c r="H393" s="382"/>
    </row>
    <row r="394" spans="1:8">
      <c r="A394" s="383" t="s">
        <v>684</v>
      </c>
      <c r="B394" s="382"/>
      <c r="C394" s="382"/>
      <c r="D394" s="382"/>
      <c r="E394" s="382"/>
      <c r="F394" s="382"/>
      <c r="G394" s="382"/>
      <c r="H394" s="382"/>
    </row>
    <row r="395" spans="1:8">
      <c r="A395" s="383" t="s">
        <v>685</v>
      </c>
      <c r="B395" s="382"/>
      <c r="C395" s="382"/>
      <c r="D395" s="382"/>
      <c r="E395" s="382"/>
      <c r="F395" s="382"/>
      <c r="G395" s="382"/>
      <c r="H395" s="382"/>
    </row>
    <row r="396" spans="1:8">
      <c r="A396" s="383" t="s">
        <v>686</v>
      </c>
      <c r="B396" s="382"/>
      <c r="C396" s="382"/>
      <c r="D396" s="382"/>
      <c r="E396" s="382"/>
      <c r="F396" s="382"/>
      <c r="G396" s="382"/>
      <c r="H396" s="382"/>
    </row>
    <row r="397" spans="1:8">
      <c r="A397" s="383" t="s">
        <v>687</v>
      </c>
      <c r="B397" s="382"/>
      <c r="C397" s="382"/>
      <c r="D397" s="382"/>
      <c r="E397" s="382"/>
      <c r="F397" s="382"/>
      <c r="G397" s="382"/>
      <c r="H397" s="382"/>
    </row>
    <row r="398" spans="1:8">
      <c r="A398" s="383" t="s">
        <v>688</v>
      </c>
      <c r="B398" s="382"/>
      <c r="C398" s="382"/>
      <c r="D398" s="382"/>
      <c r="E398" s="382"/>
      <c r="F398" s="382"/>
      <c r="G398" s="382"/>
      <c r="H398" s="382"/>
    </row>
    <row r="399" spans="1:8">
      <c r="A399" s="382"/>
      <c r="B399" s="382"/>
      <c r="C399" s="382"/>
      <c r="D399" s="382"/>
      <c r="E399" s="382"/>
      <c r="F399" s="382"/>
      <c r="G399" s="382"/>
      <c r="H399" s="382"/>
    </row>
    <row r="400" spans="1:8">
      <c r="A400" s="383" t="s">
        <v>689</v>
      </c>
      <c r="B400" s="382"/>
      <c r="C400" s="382"/>
      <c r="D400" s="382"/>
      <c r="E400" s="382"/>
      <c r="F400" s="382"/>
      <c r="G400" s="382"/>
      <c r="H400" s="382"/>
    </row>
    <row r="401" spans="1:8">
      <c r="A401" s="383" t="s">
        <v>690</v>
      </c>
      <c r="B401" s="382"/>
      <c r="C401" s="382"/>
      <c r="D401" s="382"/>
      <c r="E401" s="382"/>
      <c r="F401" s="382"/>
      <c r="G401" s="382"/>
      <c r="H401" s="382"/>
    </row>
    <row r="402" spans="1:8">
      <c r="A402" s="383" t="s">
        <v>691</v>
      </c>
      <c r="B402" s="382"/>
      <c r="C402" s="382"/>
      <c r="D402" s="382"/>
      <c r="E402" s="382"/>
      <c r="F402" s="382"/>
      <c r="G402" s="382"/>
      <c r="H402" s="382"/>
    </row>
    <row r="403" spans="1:8">
      <c r="A403" s="383" t="s">
        <v>692</v>
      </c>
      <c r="B403" s="382"/>
      <c r="C403" s="382"/>
      <c r="D403" s="382"/>
      <c r="E403" s="382"/>
      <c r="F403" s="382"/>
      <c r="G403" s="382"/>
      <c r="H403" s="382"/>
    </row>
    <row r="404" spans="1:8">
      <c r="A404" s="383" t="s">
        <v>693</v>
      </c>
      <c r="B404" s="382"/>
      <c r="C404" s="382"/>
      <c r="D404" s="382"/>
      <c r="E404" s="382"/>
      <c r="F404" s="382"/>
      <c r="G404" s="382"/>
      <c r="H404" s="382"/>
    </row>
    <row r="405" spans="1:8">
      <c r="A405" s="383" t="s">
        <v>694</v>
      </c>
      <c r="B405" s="382"/>
      <c r="C405" s="382"/>
      <c r="D405" s="382"/>
      <c r="E405" s="382"/>
      <c r="F405" s="382"/>
      <c r="G405" s="382"/>
      <c r="H405" s="382"/>
    </row>
    <row r="406" spans="1:8">
      <c r="A406" s="383" t="s">
        <v>695</v>
      </c>
      <c r="B406" s="382"/>
      <c r="C406" s="382"/>
      <c r="D406" s="382"/>
      <c r="E406" s="382"/>
      <c r="F406" s="382"/>
      <c r="G406" s="382"/>
      <c r="H406" s="382"/>
    </row>
    <row r="407" spans="1:8">
      <c r="A407" s="383" t="s">
        <v>696</v>
      </c>
      <c r="B407" s="382"/>
      <c r="C407" s="382"/>
      <c r="D407" s="382"/>
      <c r="E407" s="382"/>
      <c r="F407" s="382"/>
      <c r="G407" s="382"/>
      <c r="H407" s="382"/>
    </row>
    <row r="408" spans="1:8">
      <c r="A408" s="382"/>
      <c r="B408" s="382"/>
      <c r="C408" s="382"/>
      <c r="D408" s="382"/>
      <c r="E408" s="382"/>
      <c r="F408" s="382"/>
      <c r="G408" s="382"/>
      <c r="H408" s="382"/>
    </row>
    <row r="409" spans="1:8">
      <c r="A409" s="383" t="s">
        <v>689</v>
      </c>
      <c r="B409" s="382"/>
      <c r="C409" s="382"/>
      <c r="D409" s="382"/>
      <c r="E409" s="382"/>
      <c r="F409" s="382"/>
      <c r="G409" s="382"/>
      <c r="H409" s="382"/>
    </row>
    <row r="410" spans="1:8">
      <c r="A410" s="383" t="s">
        <v>697</v>
      </c>
      <c r="B410" s="382"/>
      <c r="C410" s="382"/>
      <c r="D410" s="382"/>
      <c r="E410" s="382"/>
      <c r="F410" s="382"/>
      <c r="G410" s="382"/>
      <c r="H410" s="382"/>
    </row>
    <row r="411" spans="1:8">
      <c r="A411" s="383" t="s">
        <v>698</v>
      </c>
      <c r="B411" s="382"/>
      <c r="C411" s="382"/>
      <c r="D411" s="382"/>
      <c r="E411" s="382"/>
      <c r="F411" s="382"/>
      <c r="G411" s="382"/>
      <c r="H411" s="382"/>
    </row>
    <row r="412" spans="1:8">
      <c r="A412" s="383" t="s">
        <v>699</v>
      </c>
      <c r="B412" s="382"/>
      <c r="C412" s="382"/>
      <c r="D412" s="382"/>
      <c r="E412" s="382"/>
      <c r="F412" s="382"/>
      <c r="G412" s="382"/>
      <c r="H412" s="382"/>
    </row>
    <row r="413" spans="1:8">
      <c r="A413" s="382"/>
      <c r="B413" s="382"/>
      <c r="C413" s="382"/>
      <c r="D413" s="382"/>
      <c r="E413" s="382"/>
      <c r="F413" s="382"/>
      <c r="G413" s="382"/>
      <c r="H413" s="382"/>
    </row>
    <row r="414" spans="1:8">
      <c r="A414" s="383" t="s">
        <v>700</v>
      </c>
      <c r="B414" s="382"/>
      <c r="C414" s="382"/>
      <c r="D414" s="382"/>
      <c r="E414" s="382"/>
      <c r="F414" s="382"/>
      <c r="G414" s="382"/>
      <c r="H414" s="382"/>
    </row>
    <row r="415" spans="1:8">
      <c r="A415" s="383" t="s">
        <v>701</v>
      </c>
      <c r="B415" s="382"/>
      <c r="C415" s="382"/>
      <c r="D415" s="382"/>
      <c r="E415" s="382"/>
      <c r="F415" s="382"/>
      <c r="G415" s="382"/>
      <c r="H415" s="382"/>
    </row>
    <row r="416" spans="1:8">
      <c r="A416" s="383" t="s">
        <v>702</v>
      </c>
      <c r="B416" s="382"/>
      <c r="C416" s="382"/>
      <c r="D416" s="382"/>
      <c r="E416" s="382"/>
      <c r="F416" s="382"/>
      <c r="G416" s="382"/>
      <c r="H416" s="382"/>
    </row>
    <row r="417" spans="1:8">
      <c r="A417" s="383" t="s">
        <v>703</v>
      </c>
      <c r="B417" s="382"/>
      <c r="C417" s="382"/>
      <c r="D417" s="382"/>
      <c r="E417" s="382"/>
      <c r="F417" s="382"/>
      <c r="G417" s="382"/>
      <c r="H417" s="382"/>
    </row>
    <row r="418" spans="1:8">
      <c r="A418" s="383" t="s">
        <v>704</v>
      </c>
      <c r="B418" s="382"/>
      <c r="C418" s="382"/>
      <c r="D418" s="382"/>
      <c r="E418" s="382"/>
      <c r="F418" s="382"/>
      <c r="G418" s="382"/>
      <c r="H418" s="382"/>
    </row>
    <row r="419" spans="1:8">
      <c r="A419" s="383" t="s">
        <v>705</v>
      </c>
      <c r="B419" s="382"/>
      <c r="C419" s="382"/>
      <c r="D419" s="382"/>
      <c r="E419" s="382"/>
      <c r="F419" s="382"/>
      <c r="G419" s="382"/>
      <c r="H419" s="382"/>
    </row>
    <row r="420" spans="1:8">
      <c r="A420" s="382"/>
      <c r="B420" s="382"/>
      <c r="C420" s="382"/>
      <c r="D420" s="382"/>
      <c r="E420" s="382"/>
      <c r="F420" s="382"/>
      <c r="G420" s="382"/>
      <c r="H420" s="382"/>
    </row>
    <row r="421" spans="1:8">
      <c r="A421" s="383" t="s">
        <v>706</v>
      </c>
      <c r="B421" s="382"/>
      <c r="C421" s="382"/>
      <c r="D421" s="382"/>
      <c r="E421" s="382"/>
      <c r="F421" s="382"/>
      <c r="G421" s="382"/>
      <c r="H421" s="382"/>
    </row>
    <row r="422" spans="1:8">
      <c r="A422" s="383" t="s">
        <v>707</v>
      </c>
      <c r="B422" s="382"/>
      <c r="C422" s="382"/>
      <c r="D422" s="382"/>
      <c r="E422" s="382"/>
      <c r="F422" s="382"/>
      <c r="G422" s="382"/>
      <c r="H422" s="382"/>
    </row>
    <row r="423" spans="1:8">
      <c r="A423" s="383" t="s">
        <v>708</v>
      </c>
      <c r="B423" s="382"/>
      <c r="C423" s="382"/>
      <c r="D423" s="382"/>
      <c r="E423" s="382"/>
      <c r="F423" s="382"/>
      <c r="G423" s="382"/>
      <c r="H423" s="382"/>
    </row>
    <row r="424" spans="1:8">
      <c r="A424" s="383" t="s">
        <v>709</v>
      </c>
      <c r="B424" s="382"/>
      <c r="C424" s="382"/>
      <c r="D424" s="382"/>
      <c r="E424" s="382"/>
      <c r="F424" s="382"/>
      <c r="G424" s="382"/>
      <c r="H424" s="382"/>
    </row>
    <row r="425" spans="1:8">
      <c r="A425" s="383" t="s">
        <v>710</v>
      </c>
      <c r="B425" s="382"/>
      <c r="C425" s="382"/>
      <c r="D425" s="382"/>
      <c r="E425" s="382"/>
      <c r="F425" s="382"/>
      <c r="G425" s="382"/>
      <c r="H425" s="382"/>
    </row>
    <row r="426" spans="1:8">
      <c r="A426" s="382"/>
      <c r="B426" s="382"/>
      <c r="C426" s="382"/>
      <c r="D426" s="382"/>
      <c r="E426" s="382"/>
      <c r="F426" s="382"/>
      <c r="G426" s="382"/>
      <c r="H426" s="382"/>
    </row>
    <row r="427" spans="1:8">
      <c r="A427" s="383" t="s">
        <v>711</v>
      </c>
      <c r="B427" s="382"/>
      <c r="C427" s="382"/>
      <c r="D427" s="382"/>
      <c r="E427" s="382"/>
      <c r="F427" s="382"/>
      <c r="G427" s="382"/>
      <c r="H427" s="382"/>
    </row>
    <row r="428" spans="1:8">
      <c r="A428" s="383" t="s">
        <v>712</v>
      </c>
      <c r="B428" s="382"/>
      <c r="C428" s="382"/>
      <c r="D428" s="382"/>
      <c r="E428" s="382"/>
      <c r="F428" s="382"/>
      <c r="G428" s="382"/>
      <c r="H428" s="382"/>
    </row>
    <row r="429" spans="1:8">
      <c r="A429" s="382"/>
      <c r="B429" s="382"/>
      <c r="C429" s="382"/>
      <c r="D429" s="382"/>
      <c r="E429" s="382"/>
      <c r="F429" s="382"/>
      <c r="G429" s="382"/>
      <c r="H429" s="382"/>
    </row>
    <row r="430" spans="1:8">
      <c r="A430" s="383" t="s">
        <v>713</v>
      </c>
      <c r="B430" s="382"/>
      <c r="C430" s="382"/>
      <c r="D430" s="382"/>
      <c r="E430" s="382"/>
      <c r="F430" s="382"/>
      <c r="G430" s="382"/>
      <c r="H430" s="382"/>
    </row>
    <row r="431" spans="1:8">
      <c r="A431" s="383" t="s">
        <v>714</v>
      </c>
      <c r="B431" s="382"/>
      <c r="C431" s="382"/>
      <c r="D431" s="382"/>
      <c r="E431" s="382"/>
      <c r="F431" s="382"/>
      <c r="G431" s="382"/>
      <c r="H431" s="382"/>
    </row>
    <row r="432" spans="1:8">
      <c r="A432" s="382"/>
      <c r="B432" s="382"/>
      <c r="C432" s="382"/>
      <c r="D432" s="382"/>
      <c r="E432" s="382"/>
      <c r="F432" s="382"/>
      <c r="G432" s="382"/>
      <c r="H432" s="382"/>
    </row>
    <row r="433" spans="1:8">
      <c r="A433" s="383" t="s">
        <v>715</v>
      </c>
      <c r="B433" s="382"/>
      <c r="C433" s="382"/>
      <c r="D433" s="382"/>
      <c r="E433" s="382"/>
      <c r="F433" s="382"/>
      <c r="G433" s="382"/>
      <c r="H433" s="382"/>
    </row>
    <row r="434" spans="1:8">
      <c r="A434" s="383" t="s">
        <v>716</v>
      </c>
      <c r="B434" s="382"/>
      <c r="C434" s="382"/>
      <c r="D434" s="382"/>
      <c r="E434" s="382"/>
      <c r="F434" s="382"/>
      <c r="G434" s="382"/>
      <c r="H434" s="382"/>
    </row>
    <row r="435" spans="1:8">
      <c r="A435" s="383" t="s">
        <v>717</v>
      </c>
      <c r="B435" s="382"/>
      <c r="C435" s="382"/>
      <c r="D435" s="382"/>
      <c r="E435" s="382"/>
      <c r="F435" s="382"/>
      <c r="G435" s="382"/>
      <c r="H435" s="382"/>
    </row>
    <row r="436" spans="1:8">
      <c r="A436" s="383" t="s">
        <v>718</v>
      </c>
      <c r="B436" s="382"/>
      <c r="C436" s="382"/>
      <c r="D436" s="382"/>
      <c r="E436" s="382"/>
      <c r="F436" s="382"/>
      <c r="G436" s="382"/>
      <c r="H436" s="382"/>
    </row>
    <row r="437" spans="1:8">
      <c r="A437" s="382"/>
      <c r="B437" s="382"/>
      <c r="C437" s="382"/>
      <c r="D437" s="382"/>
      <c r="E437" s="382"/>
      <c r="F437" s="382"/>
      <c r="G437" s="382"/>
      <c r="H437" s="382"/>
    </row>
    <row r="438" spans="1:8">
      <c r="A438" s="383" t="s">
        <v>719</v>
      </c>
      <c r="B438" s="382"/>
      <c r="C438" s="382"/>
      <c r="D438" s="382"/>
      <c r="E438" s="382"/>
      <c r="F438" s="382"/>
      <c r="G438" s="382"/>
      <c r="H438" s="382"/>
    </row>
    <row r="439" spans="1:8">
      <c r="A439" s="383" t="s">
        <v>720</v>
      </c>
      <c r="B439" s="382"/>
      <c r="C439" s="382"/>
      <c r="D439" s="382"/>
      <c r="E439" s="382"/>
      <c r="F439" s="382"/>
      <c r="G439" s="382"/>
      <c r="H439" s="382"/>
    </row>
    <row r="440" spans="1:8">
      <c r="A440" s="382"/>
      <c r="B440" s="382"/>
      <c r="C440" s="382"/>
      <c r="D440" s="382"/>
      <c r="E440" s="382"/>
      <c r="F440" s="382"/>
      <c r="G440" s="382"/>
      <c r="H440" s="382"/>
    </row>
    <row r="441" spans="1:8">
      <c r="A441" s="383" t="s">
        <v>721</v>
      </c>
      <c r="B441" s="382"/>
      <c r="C441" s="382"/>
      <c r="D441" s="382"/>
      <c r="E441" s="382"/>
      <c r="F441" s="382"/>
      <c r="G441" s="382"/>
      <c r="H441" s="382"/>
    </row>
    <row r="442" spans="1:8">
      <c r="A442" s="383" t="s">
        <v>722</v>
      </c>
      <c r="B442" s="382"/>
      <c r="C442" s="382"/>
      <c r="D442" s="382"/>
      <c r="E442" s="382"/>
      <c r="F442" s="382"/>
      <c r="G442" s="382"/>
      <c r="H442" s="382"/>
    </row>
    <row r="443" spans="1:8">
      <c r="A443" s="383" t="s">
        <v>723</v>
      </c>
      <c r="B443" s="382"/>
      <c r="C443" s="382"/>
      <c r="D443" s="382"/>
      <c r="E443" s="382"/>
      <c r="F443" s="382"/>
      <c r="G443" s="382"/>
      <c r="H443" s="382"/>
    </row>
    <row r="444" spans="1:8">
      <c r="A444" s="383" t="s">
        <v>724</v>
      </c>
      <c r="B444" s="382"/>
      <c r="C444" s="382"/>
      <c r="D444" s="382"/>
      <c r="E444" s="382"/>
      <c r="F444" s="382"/>
      <c r="G444" s="382"/>
      <c r="H444" s="382"/>
    </row>
    <row r="446" spans="1:8">
      <c r="A446" s="386" t="s">
        <v>725</v>
      </c>
    </row>
  </sheetData>
  <mergeCells count="3">
    <mergeCell ref="B145:C145"/>
    <mergeCell ref="D145:F145"/>
    <mergeCell ref="G145:H14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indexed="63"/>
  </sheetPr>
  <dimension ref="A1:EG315"/>
  <sheetViews>
    <sheetView tabSelected="1" zoomScaleNormal="100" workbookViewId="0">
      <pane xSplit="23" ySplit="5" topLeftCell="AG108" activePane="bottomRight" state="frozen"/>
      <selection activeCell="A3" sqref="A3"/>
      <selection pane="topRight" activeCell="X3" sqref="X3"/>
      <selection pane="bottomLeft" activeCell="A6" sqref="A6"/>
      <selection pane="bottomRight" activeCell="BZ25" sqref="BZ25"/>
    </sheetView>
  </sheetViews>
  <sheetFormatPr defaultColWidth="9.09765625" defaultRowHeight="14.4" outlineLevelRow="1" outlineLevelCol="1"/>
  <cols>
    <col min="1" max="1" width="4.296875" style="2" customWidth="1"/>
    <col min="2" max="2" width="39.3984375" style="2" customWidth="1"/>
    <col min="3" max="3" width="8.09765625" style="2" customWidth="1"/>
    <col min="4" max="5" width="8.09765625" style="2" hidden="1" customWidth="1" outlineLevel="1"/>
    <col min="6" max="6" width="8.09765625" style="2" hidden="1" customWidth="1" collapsed="1"/>
    <col min="7" max="8" width="8.09765625" style="2" hidden="1" customWidth="1" outlineLevel="1"/>
    <col min="9" max="9" width="8.09765625" style="2" hidden="1" customWidth="1" collapsed="1"/>
    <col min="10" max="11" width="8.09765625" style="2" hidden="1" customWidth="1" outlineLevel="1"/>
    <col min="12" max="12" width="8.09765625" style="2" hidden="1" customWidth="1" collapsed="1"/>
    <col min="13" max="14" width="8.09765625" style="2" hidden="1" customWidth="1" outlineLevel="1"/>
    <col min="15" max="15" width="8.09765625" style="2" hidden="1" customWidth="1" collapsed="1"/>
    <col min="16" max="17" width="8.09765625" style="2" hidden="1" customWidth="1" outlineLevel="1"/>
    <col min="18" max="18" width="8.09765625" style="2" hidden="1" customWidth="1" collapsed="1"/>
    <col min="19" max="19" width="8.09765625" style="2" hidden="1" customWidth="1" outlineLevel="1"/>
    <col min="20" max="20" width="9.296875" style="2" hidden="1" customWidth="1" outlineLevel="1"/>
    <col min="21" max="21" width="8.09765625" style="2" hidden="1" customWidth="1" collapsed="1"/>
    <col min="22" max="23" width="8.09765625" style="2" hidden="1" customWidth="1" outlineLevel="1"/>
    <col min="24" max="24" width="8.09765625" style="2" customWidth="1" collapsed="1"/>
    <col min="25" max="26" width="8.09765625" style="2" hidden="1" customWidth="1" outlineLevel="1"/>
    <col min="27" max="27" width="8.09765625" style="2" customWidth="1" collapsed="1"/>
    <col min="28" max="28" width="9.3984375" style="2" hidden="1" customWidth="1" outlineLevel="1"/>
    <col min="29" max="29" width="8.09765625" style="2" hidden="1" customWidth="1" outlineLevel="1"/>
    <col min="30" max="30" width="8.09765625" style="2" customWidth="1" collapsed="1"/>
    <col min="31" max="32" width="8.09765625" style="2" hidden="1" customWidth="1" outlineLevel="1"/>
    <col min="33" max="33" width="8.09765625" style="2" customWidth="1" collapsed="1"/>
    <col min="34" max="34" width="10.3984375" style="2" hidden="1" customWidth="1" outlineLevel="1"/>
    <col min="35" max="35" width="8.09765625" style="2" hidden="1" customWidth="1" outlineLevel="1"/>
    <col min="36" max="36" width="8.09765625" style="2" customWidth="1" collapsed="1"/>
    <col min="37" max="38" width="8.09765625" style="2" hidden="1" customWidth="1" outlineLevel="1"/>
    <col min="39" max="39" width="8.09765625" style="2" customWidth="1" collapsed="1"/>
    <col min="40" max="40" width="8.09765625" style="2" hidden="1" customWidth="1" outlineLevel="1"/>
    <col min="41" max="41" width="8.59765625" style="2" hidden="1" customWidth="1" outlineLevel="1"/>
    <col min="42" max="42" width="8.09765625" style="2" customWidth="1" collapsed="1"/>
    <col min="43" max="43" width="8.69921875" style="2" hidden="1" customWidth="1" outlineLevel="1"/>
    <col min="44" max="44" width="8.59765625" style="2" hidden="1" customWidth="1" outlineLevel="1"/>
    <col min="45" max="45" width="8.59765625" style="2" customWidth="1" collapsed="1"/>
    <col min="46" max="47" width="8.8984375" style="2" hidden="1" customWidth="1" outlineLevel="1"/>
    <col min="48" max="48" width="8.3984375" style="2" customWidth="1" collapsed="1"/>
    <col min="49" max="50" width="8.8984375" style="2" customWidth="1" outlineLevel="1"/>
    <col min="51" max="51" width="8.3984375" style="2" customWidth="1"/>
    <col min="52" max="53" width="8.8984375" style="2" customWidth="1" outlineLevel="1"/>
    <col min="54" max="54" width="8.3984375" style="2" customWidth="1"/>
    <col min="55" max="56" width="8.8984375" style="2" customWidth="1" outlineLevel="1"/>
    <col min="57" max="57" width="8.3984375" style="2" customWidth="1"/>
    <col min="58" max="59" width="8.8984375" style="2" customWidth="1" outlineLevel="1"/>
    <col min="60" max="60" width="8.3984375" style="2" customWidth="1"/>
    <col min="61" max="62" width="8.8984375" style="2" customWidth="1" outlineLevel="1"/>
    <col min="63" max="81" width="8.3984375" style="2" customWidth="1"/>
    <col min="82" max="82" width="4.69921875" style="2" customWidth="1"/>
    <col min="83" max="88" width="8.09765625" style="2" customWidth="1"/>
    <col min="89" max="89" width="8.09765625" style="1" customWidth="1"/>
    <col min="90" max="109" width="8.09765625" style="2" customWidth="1" collapsed="1"/>
    <col min="110" max="115" width="9.09765625" style="1" customWidth="1"/>
    <col min="116" max="131" width="9.09765625" style="2" customWidth="1"/>
    <col min="132" max="132" width="37.296875" customWidth="1"/>
    <col min="133" max="133" width="5.296875" customWidth="1"/>
    <col min="136" max="137" width="5.296875" customWidth="1"/>
    <col min="138" max="16384" width="9.09765625" style="2"/>
  </cols>
  <sheetData>
    <row r="1" spans="1:137">
      <c r="B1" s="25">
        <f ca="1">TODAY()</f>
        <v>46073</v>
      </c>
      <c r="D1" s="2" t="s">
        <v>44</v>
      </c>
      <c r="E1" s="2" t="s">
        <v>45</v>
      </c>
      <c r="F1" s="2" t="s">
        <v>46</v>
      </c>
      <c r="G1" s="2" t="s">
        <v>44</v>
      </c>
      <c r="H1" s="2" t="s">
        <v>45</v>
      </c>
      <c r="I1" s="2" t="s">
        <v>46</v>
      </c>
      <c r="J1" s="2" t="s">
        <v>44</v>
      </c>
      <c r="K1" s="2" t="s">
        <v>45</v>
      </c>
      <c r="L1" s="2" t="s">
        <v>46</v>
      </c>
      <c r="M1" s="2" t="s">
        <v>44</v>
      </c>
      <c r="N1" s="2" t="s">
        <v>45</v>
      </c>
      <c r="O1" s="2" t="s">
        <v>46</v>
      </c>
      <c r="P1" s="2" t="s">
        <v>44</v>
      </c>
      <c r="Q1" s="2" t="s">
        <v>45</v>
      </c>
      <c r="R1" s="2" t="s">
        <v>46</v>
      </c>
      <c r="S1" s="2" t="s">
        <v>44</v>
      </c>
      <c r="T1" s="2" t="s">
        <v>45</v>
      </c>
      <c r="U1" s="5" t="s">
        <v>46</v>
      </c>
      <c r="V1" s="5" t="s">
        <v>44</v>
      </c>
      <c r="W1" s="5" t="s">
        <v>45</v>
      </c>
      <c r="X1" s="5" t="s">
        <v>46</v>
      </c>
      <c r="Y1" s="5" t="s">
        <v>44</v>
      </c>
      <c r="Z1" s="5" t="s">
        <v>45</v>
      </c>
      <c r="AA1" s="5" t="s">
        <v>46</v>
      </c>
      <c r="AB1" s="5" t="s">
        <v>44</v>
      </c>
      <c r="AC1" s="5" t="s">
        <v>45</v>
      </c>
      <c r="AD1" s="5" t="s">
        <v>46</v>
      </c>
      <c r="AE1" s="5" t="s">
        <v>44</v>
      </c>
      <c r="AF1" s="5" t="s">
        <v>45</v>
      </c>
      <c r="AG1" s="5" t="s">
        <v>46</v>
      </c>
      <c r="AH1" s="5" t="s">
        <v>44</v>
      </c>
      <c r="AI1" s="5" t="s">
        <v>45</v>
      </c>
      <c r="AJ1" s="5" t="s">
        <v>46</v>
      </c>
      <c r="AK1" s="5" t="s">
        <v>44</v>
      </c>
      <c r="AL1" s="5" t="s">
        <v>45</v>
      </c>
      <c r="AM1" s="5" t="s">
        <v>46</v>
      </c>
      <c r="AN1" s="5" t="s">
        <v>44</v>
      </c>
      <c r="AO1" s="5" t="s">
        <v>45</v>
      </c>
      <c r="AP1" s="5" t="s">
        <v>46</v>
      </c>
      <c r="AQ1" s="5" t="s">
        <v>44</v>
      </c>
      <c r="AR1" s="5" t="s">
        <v>45</v>
      </c>
      <c r="AS1" s="5" t="s">
        <v>46</v>
      </c>
      <c r="AT1" s="5" t="s">
        <v>44</v>
      </c>
      <c r="AU1" s="5" t="s">
        <v>45</v>
      </c>
      <c r="AV1" s="5" t="s">
        <v>46</v>
      </c>
      <c r="AW1" s="5" t="s">
        <v>44</v>
      </c>
      <c r="AX1" s="5" t="s">
        <v>45</v>
      </c>
      <c r="AY1" s="5" t="s">
        <v>46</v>
      </c>
      <c r="AZ1" s="5" t="s">
        <v>44</v>
      </c>
      <c r="BA1" s="5" t="s">
        <v>45</v>
      </c>
      <c r="BB1" s="5" t="s">
        <v>46</v>
      </c>
      <c r="BC1" s="5" t="s">
        <v>44</v>
      </c>
      <c r="BD1" s="5" t="s">
        <v>45</v>
      </c>
      <c r="BE1" s="5" t="s">
        <v>46</v>
      </c>
      <c r="BF1" s="5" t="s">
        <v>44</v>
      </c>
      <c r="BG1" s="5" t="s">
        <v>45</v>
      </c>
      <c r="BH1" s="5" t="s">
        <v>46</v>
      </c>
      <c r="BI1" s="5" t="s">
        <v>44</v>
      </c>
      <c r="BJ1" s="5" t="s">
        <v>45</v>
      </c>
      <c r="BK1" s="5" t="s">
        <v>46</v>
      </c>
      <c r="BL1" s="5" t="s">
        <v>44</v>
      </c>
      <c r="BM1" s="5" t="s">
        <v>45</v>
      </c>
      <c r="BN1" s="5" t="s">
        <v>46</v>
      </c>
      <c r="BO1" s="5" t="s">
        <v>44</v>
      </c>
      <c r="BP1" s="5" t="s">
        <v>45</v>
      </c>
      <c r="BQ1" s="5" t="s">
        <v>46</v>
      </c>
      <c r="BR1" s="5" t="s">
        <v>44</v>
      </c>
      <c r="BS1" s="5" t="s">
        <v>45</v>
      </c>
      <c r="BT1" s="5" t="s">
        <v>46</v>
      </c>
      <c r="BU1" s="5" t="s">
        <v>44</v>
      </c>
      <c r="BV1" s="5" t="s">
        <v>45</v>
      </c>
      <c r="BW1" s="5" t="s">
        <v>46</v>
      </c>
      <c r="BX1" s="5" t="s">
        <v>44</v>
      </c>
      <c r="BY1" s="5" t="s">
        <v>45</v>
      </c>
      <c r="BZ1" s="5" t="s">
        <v>46</v>
      </c>
      <c r="CA1" s="5" t="s">
        <v>44</v>
      </c>
      <c r="CB1" s="5" t="s">
        <v>45</v>
      </c>
      <c r="CC1" s="5" t="s">
        <v>46</v>
      </c>
      <c r="CE1" s="2" t="s">
        <v>46</v>
      </c>
      <c r="CF1" s="2" t="s">
        <v>46</v>
      </c>
      <c r="CG1" s="2" t="s">
        <v>46</v>
      </c>
      <c r="CH1" s="2" t="s">
        <v>46</v>
      </c>
      <c r="CI1" s="2" t="s">
        <v>46</v>
      </c>
      <c r="CJ1" s="2" t="s">
        <v>46</v>
      </c>
      <c r="CL1" s="26" t="s">
        <v>46</v>
      </c>
      <c r="CM1" s="27" t="s">
        <v>46</v>
      </c>
      <c r="CN1" s="27" t="s">
        <v>46</v>
      </c>
      <c r="CO1" s="27" t="s">
        <v>46</v>
      </c>
      <c r="CP1" s="27" t="s">
        <v>46</v>
      </c>
      <c r="CQ1" s="27" t="s">
        <v>46</v>
      </c>
      <c r="CR1" s="27" t="s">
        <v>46</v>
      </c>
      <c r="CS1" s="27" t="s">
        <v>46</v>
      </c>
      <c r="CT1" s="27" t="s">
        <v>46</v>
      </c>
      <c r="CU1" s="27" t="s">
        <v>46</v>
      </c>
      <c r="CV1" s="27" t="s">
        <v>46</v>
      </c>
      <c r="CW1" s="27" t="s">
        <v>46</v>
      </c>
      <c r="CX1" s="27" t="s">
        <v>46</v>
      </c>
      <c r="CY1" s="27" t="s">
        <v>46</v>
      </c>
      <c r="CZ1" s="27" t="s">
        <v>46</v>
      </c>
      <c r="DA1" s="27" t="s">
        <v>46</v>
      </c>
      <c r="DB1" s="27" t="s">
        <v>46</v>
      </c>
      <c r="DC1" s="27" t="s">
        <v>46</v>
      </c>
      <c r="DD1" s="27" t="s">
        <v>46</v>
      </c>
      <c r="DE1" s="27" t="s">
        <v>46</v>
      </c>
    </row>
    <row r="2" spans="1:137" ht="14.95" thickBot="1">
      <c r="B2" s="25"/>
      <c r="D2" s="2">
        <v>2006</v>
      </c>
      <c r="E2" s="2">
        <v>2006</v>
      </c>
      <c r="F2" s="2">
        <v>2006</v>
      </c>
      <c r="G2" s="2">
        <f t="shared" ref="G2:BK2" si="0">D2+1</f>
        <v>2007</v>
      </c>
      <c r="H2" s="2">
        <f t="shared" si="0"/>
        <v>2007</v>
      </c>
      <c r="I2" s="2">
        <f t="shared" si="0"/>
        <v>2007</v>
      </c>
      <c r="J2" s="2">
        <f t="shared" si="0"/>
        <v>2008</v>
      </c>
      <c r="K2" s="2">
        <f t="shared" si="0"/>
        <v>2008</v>
      </c>
      <c r="L2" s="2">
        <f t="shared" si="0"/>
        <v>2008</v>
      </c>
      <c r="M2" s="2">
        <f t="shared" si="0"/>
        <v>2009</v>
      </c>
      <c r="N2" s="2">
        <f t="shared" si="0"/>
        <v>2009</v>
      </c>
      <c r="O2" s="2">
        <f t="shared" si="0"/>
        <v>2009</v>
      </c>
      <c r="P2" s="2">
        <f t="shared" si="0"/>
        <v>2010</v>
      </c>
      <c r="Q2" s="2">
        <f t="shared" si="0"/>
        <v>2010</v>
      </c>
      <c r="R2" s="2">
        <f t="shared" si="0"/>
        <v>2010</v>
      </c>
      <c r="S2" s="2">
        <f t="shared" si="0"/>
        <v>2011</v>
      </c>
      <c r="T2" s="2">
        <f t="shared" si="0"/>
        <v>2011</v>
      </c>
      <c r="U2" s="5">
        <f t="shared" si="0"/>
        <v>2011</v>
      </c>
      <c r="V2" s="5">
        <f t="shared" si="0"/>
        <v>2012</v>
      </c>
      <c r="W2" s="5">
        <f t="shared" si="0"/>
        <v>2012</v>
      </c>
      <c r="X2" s="5">
        <f t="shared" si="0"/>
        <v>2012</v>
      </c>
      <c r="Y2" s="5">
        <f t="shared" si="0"/>
        <v>2013</v>
      </c>
      <c r="Z2" s="5">
        <f t="shared" si="0"/>
        <v>2013</v>
      </c>
      <c r="AA2" s="5">
        <f t="shared" si="0"/>
        <v>2013</v>
      </c>
      <c r="AB2" s="5">
        <f t="shared" si="0"/>
        <v>2014</v>
      </c>
      <c r="AC2" s="5">
        <f t="shared" si="0"/>
        <v>2014</v>
      </c>
      <c r="AD2" s="5">
        <f t="shared" si="0"/>
        <v>2014</v>
      </c>
      <c r="AE2" s="5">
        <f t="shared" si="0"/>
        <v>2015</v>
      </c>
      <c r="AF2" s="5">
        <f t="shared" si="0"/>
        <v>2015</v>
      </c>
      <c r="AG2" s="5">
        <f t="shared" si="0"/>
        <v>2015</v>
      </c>
      <c r="AH2" s="5">
        <f t="shared" si="0"/>
        <v>2016</v>
      </c>
      <c r="AI2" s="5">
        <f t="shared" si="0"/>
        <v>2016</v>
      </c>
      <c r="AJ2" s="5">
        <f t="shared" si="0"/>
        <v>2016</v>
      </c>
      <c r="AK2" s="5">
        <f t="shared" si="0"/>
        <v>2017</v>
      </c>
      <c r="AL2" s="5">
        <f t="shared" si="0"/>
        <v>2017</v>
      </c>
      <c r="AM2" s="5">
        <f t="shared" si="0"/>
        <v>2017</v>
      </c>
      <c r="AN2" s="5">
        <f t="shared" si="0"/>
        <v>2018</v>
      </c>
      <c r="AO2" s="5">
        <f t="shared" si="0"/>
        <v>2018</v>
      </c>
      <c r="AP2" s="5">
        <f t="shared" si="0"/>
        <v>2018</v>
      </c>
      <c r="AQ2" s="5">
        <f t="shared" si="0"/>
        <v>2019</v>
      </c>
      <c r="AR2" s="5">
        <f t="shared" si="0"/>
        <v>2019</v>
      </c>
      <c r="AS2" s="5">
        <f t="shared" si="0"/>
        <v>2019</v>
      </c>
      <c r="AT2" s="5">
        <f t="shared" si="0"/>
        <v>2020</v>
      </c>
      <c r="AU2" s="5">
        <f t="shared" si="0"/>
        <v>2020</v>
      </c>
      <c r="AV2" s="5">
        <f t="shared" si="0"/>
        <v>2020</v>
      </c>
      <c r="AW2" s="5">
        <f t="shared" si="0"/>
        <v>2021</v>
      </c>
      <c r="AX2" s="5">
        <f t="shared" si="0"/>
        <v>2021</v>
      </c>
      <c r="AY2" s="5">
        <f t="shared" si="0"/>
        <v>2021</v>
      </c>
      <c r="AZ2" s="5">
        <f t="shared" si="0"/>
        <v>2022</v>
      </c>
      <c r="BA2" s="5">
        <f t="shared" si="0"/>
        <v>2022</v>
      </c>
      <c r="BB2" s="5">
        <f t="shared" si="0"/>
        <v>2022</v>
      </c>
      <c r="BC2" s="5">
        <f t="shared" si="0"/>
        <v>2023</v>
      </c>
      <c r="BD2" s="5">
        <f t="shared" si="0"/>
        <v>2023</v>
      </c>
      <c r="BE2" s="5">
        <f t="shared" si="0"/>
        <v>2023</v>
      </c>
      <c r="BF2" s="5">
        <f t="shared" si="0"/>
        <v>2024</v>
      </c>
      <c r="BG2" s="5">
        <f t="shared" si="0"/>
        <v>2024</v>
      </c>
      <c r="BH2" s="5">
        <f t="shared" si="0"/>
        <v>2024</v>
      </c>
      <c r="BI2" s="5">
        <f t="shared" si="0"/>
        <v>2025</v>
      </c>
      <c r="BJ2" s="5">
        <f t="shared" si="0"/>
        <v>2025</v>
      </c>
      <c r="BK2" s="5">
        <f t="shared" si="0"/>
        <v>2025</v>
      </c>
      <c r="BL2" s="5">
        <f t="shared" ref="BL2" si="1">BI2+1</f>
        <v>2026</v>
      </c>
      <c r="BM2" s="5">
        <f t="shared" ref="BM2" si="2">BJ2+1</f>
        <v>2026</v>
      </c>
      <c r="BN2" s="5">
        <f t="shared" ref="BN2" si="3">BK2+1</f>
        <v>2026</v>
      </c>
      <c r="BO2" s="5">
        <f t="shared" ref="BO2" si="4">BL2+1</f>
        <v>2027</v>
      </c>
      <c r="BP2" s="5">
        <f t="shared" ref="BP2" si="5">BM2+1</f>
        <v>2027</v>
      </c>
      <c r="BQ2" s="5">
        <f t="shared" ref="BQ2" si="6">BN2+1</f>
        <v>2027</v>
      </c>
      <c r="BR2" s="5">
        <f t="shared" ref="BR2" si="7">BO2+1</f>
        <v>2028</v>
      </c>
      <c r="BS2" s="5">
        <f t="shared" ref="BS2" si="8">BP2+1</f>
        <v>2028</v>
      </c>
      <c r="BT2" s="5">
        <f t="shared" ref="BT2" si="9">BQ2+1</f>
        <v>2028</v>
      </c>
      <c r="BU2" s="5">
        <f t="shared" ref="BU2" si="10">BR2+1</f>
        <v>2029</v>
      </c>
      <c r="BV2" s="5">
        <f t="shared" ref="BV2" si="11">BS2+1</f>
        <v>2029</v>
      </c>
      <c r="BW2" s="5">
        <f t="shared" ref="BW2" si="12">BT2+1</f>
        <v>2029</v>
      </c>
      <c r="BX2" s="5">
        <f t="shared" ref="BX2" si="13">BU2+1</f>
        <v>2030</v>
      </c>
      <c r="BY2" s="5">
        <f t="shared" ref="BY2" si="14">BV2+1</f>
        <v>2030</v>
      </c>
      <c r="BZ2" s="5">
        <f t="shared" ref="BZ2" si="15">BW2+1</f>
        <v>2030</v>
      </c>
      <c r="CA2" s="5">
        <f t="shared" ref="CA2" si="16">BX2+1</f>
        <v>2031</v>
      </c>
      <c r="CB2" s="5">
        <f t="shared" ref="CB2" si="17">BY2+1</f>
        <v>2031</v>
      </c>
      <c r="CC2" s="5">
        <f t="shared" ref="CC2" si="18">BZ2+1</f>
        <v>2031</v>
      </c>
      <c r="CE2" s="2">
        <f>D2</f>
        <v>2006</v>
      </c>
      <c r="CF2" s="2">
        <f>CE2+1</f>
        <v>2007</v>
      </c>
      <c r="CG2" s="2">
        <f>CF2+1</f>
        <v>2008</v>
      </c>
      <c r="CH2" s="2">
        <f>CG2+1</f>
        <v>2009</v>
      </c>
      <c r="CI2" s="2">
        <f>CH2+1</f>
        <v>2010</v>
      </c>
      <c r="CJ2" s="2">
        <f>CI2+1</f>
        <v>2011</v>
      </c>
      <c r="CL2" s="10">
        <f>CJ2+1</f>
        <v>2012</v>
      </c>
      <c r="CM2" s="2">
        <f t="shared" ref="CM2:CZ2" si="19">CL2+1</f>
        <v>2013</v>
      </c>
      <c r="CN2" s="2">
        <f t="shared" si="19"/>
        <v>2014</v>
      </c>
      <c r="CO2" s="2">
        <f t="shared" si="19"/>
        <v>2015</v>
      </c>
      <c r="CP2" s="2">
        <f t="shared" si="19"/>
        <v>2016</v>
      </c>
      <c r="CQ2" s="2">
        <f t="shared" si="19"/>
        <v>2017</v>
      </c>
      <c r="CR2" s="2">
        <f t="shared" si="19"/>
        <v>2018</v>
      </c>
      <c r="CS2" s="2">
        <f t="shared" si="19"/>
        <v>2019</v>
      </c>
      <c r="CT2" s="2">
        <f t="shared" si="19"/>
        <v>2020</v>
      </c>
      <c r="CU2" s="2">
        <f t="shared" si="19"/>
        <v>2021</v>
      </c>
      <c r="CV2" s="2">
        <f t="shared" si="19"/>
        <v>2022</v>
      </c>
      <c r="CW2" s="2">
        <f t="shared" si="19"/>
        <v>2023</v>
      </c>
      <c r="CX2" s="2">
        <f t="shared" si="19"/>
        <v>2024</v>
      </c>
      <c r="CY2" s="2">
        <f t="shared" si="19"/>
        <v>2025</v>
      </c>
      <c r="CZ2" s="2">
        <f t="shared" si="19"/>
        <v>2026</v>
      </c>
      <c r="DA2" s="2">
        <f t="shared" ref="DA2" si="20">CZ2+1</f>
        <v>2027</v>
      </c>
      <c r="DB2" s="2">
        <f t="shared" ref="DB2" si="21">DA2+1</f>
        <v>2028</v>
      </c>
      <c r="DC2" s="2">
        <f t="shared" ref="DC2" si="22">DB2+1</f>
        <v>2029</v>
      </c>
      <c r="DD2" s="2">
        <f t="shared" ref="DD2:DE2" si="23">DC2+1</f>
        <v>2030</v>
      </c>
      <c r="DE2" s="2">
        <f t="shared" si="23"/>
        <v>2031</v>
      </c>
    </row>
    <row r="3" spans="1:137">
      <c r="A3" s="28" t="s">
        <v>47</v>
      </c>
      <c r="B3" s="28"/>
      <c r="C3" s="29"/>
      <c r="D3" s="30">
        <f>DATE(D2,2,28)</f>
        <v>38776</v>
      </c>
      <c r="E3" s="30">
        <f>DATE(E2,7,30)</f>
        <v>38928</v>
      </c>
      <c r="F3" s="30">
        <f>DATE(F2,12,30)</f>
        <v>39081</v>
      </c>
      <c r="G3" s="30">
        <f>DATE(G2,2,28)</f>
        <v>39141</v>
      </c>
      <c r="H3" s="30">
        <f>DATE(H2,7,30)</f>
        <v>39293</v>
      </c>
      <c r="I3" s="30">
        <f>DATE(I2,12,30)</f>
        <v>39446</v>
      </c>
      <c r="J3" s="30">
        <f>DATE(J2,2,28)</f>
        <v>39506</v>
      </c>
      <c r="K3" s="30">
        <f>DATE(K2,7,30)</f>
        <v>39659</v>
      </c>
      <c r="L3" s="30">
        <f>DATE(L2,12,30)</f>
        <v>39812</v>
      </c>
      <c r="M3" s="30">
        <f>DATE(M2,2,28)</f>
        <v>39872</v>
      </c>
      <c r="N3" s="30">
        <f>DATE(N2,7,30)</f>
        <v>40024</v>
      </c>
      <c r="O3" s="30">
        <f>DATE(O2,12,30)</f>
        <v>40177</v>
      </c>
      <c r="P3" s="30">
        <f>DATE(P2,2,28)</f>
        <v>40237</v>
      </c>
      <c r="Q3" s="30">
        <f>DATE(Q2,7,30)</f>
        <v>40389</v>
      </c>
      <c r="R3" s="30">
        <f>DATE(R2,12,30)</f>
        <v>40542</v>
      </c>
      <c r="S3" s="30">
        <f>DATE(S2,2,28)</f>
        <v>40602</v>
      </c>
      <c r="T3" s="30">
        <f>DATE(T2,7,30)</f>
        <v>40754</v>
      </c>
      <c r="U3" s="31">
        <f>DATE(U2,12,30)</f>
        <v>40907</v>
      </c>
      <c r="V3" s="31">
        <f>DATE(V2,2,28)</f>
        <v>40967</v>
      </c>
      <c r="W3" s="31">
        <f>DATE(W2,7,30)</f>
        <v>41120</v>
      </c>
      <c r="X3" s="31">
        <f>DATE(X2,12,30)</f>
        <v>41273</v>
      </c>
      <c r="Y3" s="31">
        <f>DATE(Y2,2,28)</f>
        <v>41333</v>
      </c>
      <c r="Z3" s="31">
        <f>DATE(Z2,7,30)</f>
        <v>41485</v>
      </c>
      <c r="AA3" s="31">
        <f>DATE(AA2,12,30)</f>
        <v>41638</v>
      </c>
      <c r="AB3" s="31">
        <f>DATE(AB2,2,28)</f>
        <v>41698</v>
      </c>
      <c r="AC3" s="31">
        <f>DATE(AC2,7,30)</f>
        <v>41850</v>
      </c>
      <c r="AD3" s="31">
        <f>DATE(AD2,12,30)</f>
        <v>42003</v>
      </c>
      <c r="AE3" s="31">
        <f>DATE(AE2,2,28)</f>
        <v>42063</v>
      </c>
      <c r="AF3" s="31">
        <f>DATE(AF2,7,30)</f>
        <v>42215</v>
      </c>
      <c r="AG3" s="31">
        <f>DATE(AG2,12,30)</f>
        <v>42368</v>
      </c>
      <c r="AH3" s="31">
        <f>DATE(AH2,2,28)</f>
        <v>42428</v>
      </c>
      <c r="AI3" s="31">
        <f>DATE(AI2,7,30)</f>
        <v>42581</v>
      </c>
      <c r="AJ3" s="31">
        <f>DATE(AJ2,12,30)</f>
        <v>42734</v>
      </c>
      <c r="AK3" s="31">
        <f>DATE(AK2,2,28)</f>
        <v>42794</v>
      </c>
      <c r="AL3" s="31">
        <f>DATE(AL2,7,30)</f>
        <v>42946</v>
      </c>
      <c r="AM3" s="31">
        <f>DATE(AM2,12,30)</f>
        <v>43099</v>
      </c>
      <c r="AN3" s="31">
        <f>DATE(AN2,2,28)</f>
        <v>43159</v>
      </c>
      <c r="AO3" s="31">
        <f>DATE(AO2,7,30)</f>
        <v>43311</v>
      </c>
      <c r="AP3" s="31">
        <f>DATE(AP2,12,30)</f>
        <v>43464</v>
      </c>
      <c r="AQ3" s="31">
        <f>DATE(AQ2,2,28)</f>
        <v>43524</v>
      </c>
      <c r="AR3" s="31">
        <f>DATE(AR2,7,30)</f>
        <v>43676</v>
      </c>
      <c r="AS3" s="31">
        <f>AR3</f>
        <v>43676</v>
      </c>
      <c r="AT3" s="31">
        <f>DATE(AT2,2,28)</f>
        <v>43889</v>
      </c>
      <c r="AU3" s="31">
        <f>DATE(AU2,7,30)</f>
        <v>44042</v>
      </c>
      <c r="AV3" s="31">
        <f>DATE(AV2,12,30)</f>
        <v>44195</v>
      </c>
      <c r="AW3" s="31">
        <f>DATE(AW2,2,28)</f>
        <v>44255</v>
      </c>
      <c r="AX3" s="31">
        <f>DATE(AX2,7,30)</f>
        <v>44407</v>
      </c>
      <c r="AY3" s="31">
        <f>DATE(AY2,12,30)</f>
        <v>44560</v>
      </c>
      <c r="AZ3" s="31">
        <f>DATE(AZ2,2,28)</f>
        <v>44620</v>
      </c>
      <c r="BA3" s="31">
        <f>DATE(BA2,7,30)</f>
        <v>44772</v>
      </c>
      <c r="BB3" s="31">
        <f>DATE(BB2,12,30)</f>
        <v>44925</v>
      </c>
      <c r="BC3" s="31">
        <f>DATE(BC2,2,28)</f>
        <v>44985</v>
      </c>
      <c r="BD3" s="31">
        <f>DATE(BD2,7,30)</f>
        <v>45137</v>
      </c>
      <c r="BE3" s="31">
        <f>DATE(BE2,12,30)</f>
        <v>45290</v>
      </c>
      <c r="BF3" s="31">
        <f>DATE(BF2,2,28)</f>
        <v>45350</v>
      </c>
      <c r="BG3" s="31">
        <f>DATE(BG2,7,30)</f>
        <v>45503</v>
      </c>
      <c r="BH3" s="31">
        <f>DATE(BH2,12,30)</f>
        <v>45656</v>
      </c>
      <c r="BI3" s="31">
        <v>45657</v>
      </c>
      <c r="BJ3" s="31">
        <v>45838</v>
      </c>
      <c r="BK3" s="31">
        <v>45838</v>
      </c>
      <c r="BL3" s="31">
        <f>DATE(BL2,2,28)</f>
        <v>46081</v>
      </c>
      <c r="BM3" s="31">
        <f>DATE(BM2,7,30)</f>
        <v>46233</v>
      </c>
      <c r="BN3" s="31">
        <f>DATE(BN2,12,30)</f>
        <v>46386</v>
      </c>
      <c r="BO3" s="31">
        <f>DATE(BO2,2,28)</f>
        <v>46446</v>
      </c>
      <c r="BP3" s="31">
        <f>DATE(BP2,7,30)</f>
        <v>46598</v>
      </c>
      <c r="BQ3" s="31">
        <f>DATE(BQ2,12,30)</f>
        <v>46751</v>
      </c>
      <c r="BR3" s="31">
        <f>DATE(BR2,2,28)</f>
        <v>46811</v>
      </c>
      <c r="BS3" s="31">
        <f>DATE(BS2,7,30)</f>
        <v>46964</v>
      </c>
      <c r="BT3" s="31">
        <f>DATE(BT2,12,30)</f>
        <v>47117</v>
      </c>
      <c r="BU3" s="31">
        <f>DATE(BU2,2,28)</f>
        <v>47177</v>
      </c>
      <c r="BV3" s="31">
        <f>DATE(BV2,7,30)</f>
        <v>47329</v>
      </c>
      <c r="BW3" s="31">
        <f>DATE(BW2,12,30)</f>
        <v>47482</v>
      </c>
      <c r="BX3" s="31">
        <f>DATE(BX2,2,28)</f>
        <v>47542</v>
      </c>
      <c r="BY3" s="31">
        <f>DATE(BY2,7,30)</f>
        <v>47694</v>
      </c>
      <c r="BZ3" s="31">
        <f>DATE(BZ2,12,30)</f>
        <v>47847</v>
      </c>
      <c r="CA3" s="31">
        <f>DATE(CA2,2,28)</f>
        <v>47907</v>
      </c>
      <c r="CB3" s="31">
        <f>DATE(CB2,7,30)</f>
        <v>48059</v>
      </c>
      <c r="CC3" s="31">
        <f>DATE(CC2,12,30)</f>
        <v>48212</v>
      </c>
      <c r="CD3" s="33"/>
      <c r="CE3" s="34"/>
      <c r="CF3" s="34"/>
      <c r="CG3" s="34"/>
      <c r="CH3" s="34"/>
      <c r="CI3" s="34"/>
      <c r="CJ3" s="34"/>
      <c r="CL3" s="35"/>
      <c r="CM3" s="32"/>
      <c r="CN3" s="32"/>
      <c r="CO3" s="32"/>
      <c r="CP3" s="32"/>
      <c r="CQ3" s="32"/>
      <c r="CR3" s="32"/>
      <c r="CS3" s="32"/>
      <c r="CT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</row>
    <row r="4" spans="1:137">
      <c r="A4" s="36" t="s">
        <v>48</v>
      </c>
      <c r="B4" s="36"/>
      <c r="C4" s="34"/>
      <c r="D4" s="37" t="str">
        <f t="shared" ref="D4:BK4" ca="1" si="24">IF($B$1&gt;D3,"Actuals","Estimate")</f>
        <v>Actuals</v>
      </c>
      <c r="E4" s="37" t="str">
        <f t="shared" ca="1" si="24"/>
        <v>Actuals</v>
      </c>
      <c r="F4" s="37" t="str">
        <f t="shared" ca="1" si="24"/>
        <v>Actuals</v>
      </c>
      <c r="G4" s="37" t="str">
        <f t="shared" ca="1" si="24"/>
        <v>Actuals</v>
      </c>
      <c r="H4" s="37" t="str">
        <f t="shared" ca="1" si="24"/>
        <v>Actuals</v>
      </c>
      <c r="I4" s="37" t="str">
        <f t="shared" ca="1" si="24"/>
        <v>Actuals</v>
      </c>
      <c r="J4" s="37" t="str">
        <f t="shared" ca="1" si="24"/>
        <v>Actuals</v>
      </c>
      <c r="K4" s="37" t="str">
        <f t="shared" ca="1" si="24"/>
        <v>Actuals</v>
      </c>
      <c r="L4" s="37" t="str">
        <f t="shared" ca="1" si="24"/>
        <v>Actuals</v>
      </c>
      <c r="M4" s="37" t="str">
        <f t="shared" ca="1" si="24"/>
        <v>Actuals</v>
      </c>
      <c r="N4" s="37" t="str">
        <f t="shared" ca="1" si="24"/>
        <v>Actuals</v>
      </c>
      <c r="O4" s="37" t="str">
        <f t="shared" ca="1" si="24"/>
        <v>Actuals</v>
      </c>
      <c r="P4" s="37" t="str">
        <f t="shared" ca="1" si="24"/>
        <v>Actuals</v>
      </c>
      <c r="Q4" s="37" t="str">
        <f t="shared" ca="1" si="24"/>
        <v>Actuals</v>
      </c>
      <c r="R4" s="37" t="str">
        <f t="shared" ca="1" si="24"/>
        <v>Actuals</v>
      </c>
      <c r="S4" s="37" t="str">
        <f t="shared" ca="1" si="24"/>
        <v>Actuals</v>
      </c>
      <c r="T4" s="37" t="str">
        <f t="shared" ca="1" si="24"/>
        <v>Actuals</v>
      </c>
      <c r="U4" s="38" t="str">
        <f t="shared" ca="1" si="24"/>
        <v>Actuals</v>
      </c>
      <c r="V4" s="38" t="str">
        <f t="shared" ca="1" si="24"/>
        <v>Actuals</v>
      </c>
      <c r="W4" s="38" t="str">
        <f t="shared" ca="1" si="24"/>
        <v>Actuals</v>
      </c>
      <c r="X4" s="38" t="str">
        <f t="shared" ca="1" si="24"/>
        <v>Actuals</v>
      </c>
      <c r="Y4" s="38" t="str">
        <f t="shared" ca="1" si="24"/>
        <v>Actuals</v>
      </c>
      <c r="Z4" s="38" t="str">
        <f t="shared" ca="1" si="24"/>
        <v>Actuals</v>
      </c>
      <c r="AA4" s="38" t="str">
        <f t="shared" ca="1" si="24"/>
        <v>Actuals</v>
      </c>
      <c r="AB4" s="38" t="str">
        <f t="shared" ca="1" si="24"/>
        <v>Actuals</v>
      </c>
      <c r="AC4" s="38" t="str">
        <f t="shared" ca="1" si="24"/>
        <v>Actuals</v>
      </c>
      <c r="AD4" s="38" t="str">
        <f t="shared" ca="1" si="24"/>
        <v>Actuals</v>
      </c>
      <c r="AE4" s="38" t="str">
        <f t="shared" ca="1" si="24"/>
        <v>Actuals</v>
      </c>
      <c r="AF4" s="38" t="str">
        <f t="shared" ca="1" si="24"/>
        <v>Actuals</v>
      </c>
      <c r="AG4" s="38" t="str">
        <f t="shared" ca="1" si="24"/>
        <v>Actuals</v>
      </c>
      <c r="AH4" s="38" t="str">
        <f t="shared" ca="1" si="24"/>
        <v>Actuals</v>
      </c>
      <c r="AI4" s="38" t="str">
        <f t="shared" ca="1" si="24"/>
        <v>Actuals</v>
      </c>
      <c r="AJ4" s="38" t="str">
        <f t="shared" ca="1" si="24"/>
        <v>Actuals</v>
      </c>
      <c r="AK4" s="38" t="str">
        <f t="shared" ca="1" si="24"/>
        <v>Actuals</v>
      </c>
      <c r="AL4" s="38" t="str">
        <f t="shared" ca="1" si="24"/>
        <v>Actuals</v>
      </c>
      <c r="AM4" s="38" t="str">
        <f t="shared" ca="1" si="24"/>
        <v>Actuals</v>
      </c>
      <c r="AN4" s="38" t="str">
        <f t="shared" ca="1" si="24"/>
        <v>Actuals</v>
      </c>
      <c r="AO4" s="38" t="str">
        <f t="shared" ca="1" si="24"/>
        <v>Actuals</v>
      </c>
      <c r="AP4" s="38" t="str">
        <f t="shared" ca="1" si="24"/>
        <v>Actuals</v>
      </c>
      <c r="AQ4" s="38" t="str">
        <f t="shared" ca="1" si="24"/>
        <v>Actuals</v>
      </c>
      <c r="AR4" s="38" t="str">
        <f t="shared" ca="1" si="24"/>
        <v>Actuals</v>
      </c>
      <c r="AS4" s="38" t="str">
        <f t="shared" ca="1" si="24"/>
        <v>Actuals</v>
      </c>
      <c r="AT4" s="38" t="str">
        <f t="shared" ca="1" si="24"/>
        <v>Actuals</v>
      </c>
      <c r="AU4" s="38" t="str">
        <f t="shared" ca="1" si="24"/>
        <v>Actuals</v>
      </c>
      <c r="AV4" s="38" t="str">
        <f t="shared" ca="1" si="24"/>
        <v>Actuals</v>
      </c>
      <c r="AW4" s="38" t="str">
        <f t="shared" ca="1" si="24"/>
        <v>Actuals</v>
      </c>
      <c r="AX4" s="38" t="str">
        <f t="shared" ca="1" si="24"/>
        <v>Actuals</v>
      </c>
      <c r="AY4" s="38" t="str">
        <f t="shared" ca="1" si="24"/>
        <v>Actuals</v>
      </c>
      <c r="AZ4" s="38" t="str">
        <f t="shared" ca="1" si="24"/>
        <v>Actuals</v>
      </c>
      <c r="BA4" s="38" t="str">
        <f t="shared" ca="1" si="24"/>
        <v>Actuals</v>
      </c>
      <c r="BB4" s="38" t="str">
        <f t="shared" ca="1" si="24"/>
        <v>Actuals</v>
      </c>
      <c r="BC4" s="38" t="str">
        <f t="shared" ca="1" si="24"/>
        <v>Actuals</v>
      </c>
      <c r="BD4" s="38" t="str">
        <f t="shared" ca="1" si="24"/>
        <v>Actuals</v>
      </c>
      <c r="BE4" s="38" t="str">
        <f t="shared" ca="1" si="24"/>
        <v>Actuals</v>
      </c>
      <c r="BF4" s="38" t="str">
        <f t="shared" ca="1" si="24"/>
        <v>Actuals</v>
      </c>
      <c r="BG4" s="38" t="str">
        <f t="shared" ca="1" si="24"/>
        <v>Actuals</v>
      </c>
      <c r="BH4" s="38" t="str">
        <f t="shared" ca="1" si="24"/>
        <v>Actuals</v>
      </c>
      <c r="BI4" s="38" t="str">
        <f t="shared" ca="1" si="24"/>
        <v>Actuals</v>
      </c>
      <c r="BJ4" s="38" t="str">
        <f t="shared" ca="1" si="24"/>
        <v>Actuals</v>
      </c>
      <c r="BK4" s="38" t="str">
        <f t="shared" ca="1" si="24"/>
        <v>Actuals</v>
      </c>
      <c r="BL4" s="38" t="str">
        <f t="shared" ref="BL4:BN4" ca="1" si="25">IF($B$1&gt;BL3,"Actuals","Estimate")</f>
        <v>Estimate</v>
      </c>
      <c r="BM4" s="38" t="str">
        <f t="shared" ca="1" si="25"/>
        <v>Estimate</v>
      </c>
      <c r="BN4" s="38" t="str">
        <f t="shared" ca="1" si="25"/>
        <v>Estimate</v>
      </c>
      <c r="BO4" s="38" t="str">
        <f t="shared" ref="BO4:BQ4" ca="1" si="26">IF($B$1&gt;BO3,"Actuals","Estimate")</f>
        <v>Estimate</v>
      </c>
      <c r="BP4" s="38" t="str">
        <f t="shared" ca="1" si="26"/>
        <v>Estimate</v>
      </c>
      <c r="BQ4" s="38" t="str">
        <f t="shared" ca="1" si="26"/>
        <v>Estimate</v>
      </c>
      <c r="BR4" s="38" t="str">
        <f t="shared" ref="BR4:BT4" ca="1" si="27">IF($B$1&gt;BR3,"Actuals","Estimate")</f>
        <v>Estimate</v>
      </c>
      <c r="BS4" s="38" t="str">
        <f t="shared" ca="1" si="27"/>
        <v>Estimate</v>
      </c>
      <c r="BT4" s="38" t="str">
        <f t="shared" ca="1" si="27"/>
        <v>Estimate</v>
      </c>
      <c r="BU4" s="38" t="str">
        <f t="shared" ref="BU4:BZ4" ca="1" si="28">IF($B$1&gt;BU3,"Actuals","Estimate")</f>
        <v>Estimate</v>
      </c>
      <c r="BV4" s="38" t="str">
        <f t="shared" ca="1" si="28"/>
        <v>Estimate</v>
      </c>
      <c r="BW4" s="38" t="str">
        <f t="shared" ca="1" si="28"/>
        <v>Estimate</v>
      </c>
      <c r="BX4" s="38" t="str">
        <f t="shared" ca="1" si="28"/>
        <v>Estimate</v>
      </c>
      <c r="BY4" s="38" t="str">
        <f t="shared" ca="1" si="28"/>
        <v>Estimate</v>
      </c>
      <c r="BZ4" s="38" t="str">
        <f t="shared" ca="1" si="28"/>
        <v>Estimate</v>
      </c>
      <c r="CA4" s="38" t="str">
        <f t="shared" ref="CA4:CC4" ca="1" si="29">IF($B$1&gt;CA3,"Actuals","Estimate")</f>
        <v>Estimate</v>
      </c>
      <c r="CB4" s="38" t="str">
        <f t="shared" ca="1" si="29"/>
        <v>Estimate</v>
      </c>
      <c r="CC4" s="38" t="str">
        <f t="shared" ca="1" si="29"/>
        <v>Estimate</v>
      </c>
      <c r="CD4" s="39"/>
      <c r="CE4" s="34"/>
      <c r="CF4" s="34"/>
      <c r="CG4" s="34"/>
      <c r="CH4" s="34"/>
      <c r="CI4" s="34"/>
      <c r="CJ4" s="34"/>
      <c r="CL4" s="40"/>
      <c r="CM4" s="37"/>
      <c r="CN4" s="37"/>
      <c r="CO4" s="37"/>
      <c r="CP4" s="37"/>
      <c r="CQ4" s="41">
        <f>(CQ8/CN8)^(1/3)-1</f>
        <v>8.9817485024608068E-3</v>
      </c>
      <c r="CR4" s="37"/>
      <c r="CS4" s="37"/>
      <c r="CT4" s="41">
        <f>(CT8/CQ8)^(1/3)-1</f>
        <v>2.3395929189302889E-2</v>
      </c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</row>
    <row r="5" spans="1:137" s="47" customFormat="1">
      <c r="A5" s="36"/>
      <c r="B5" s="36" t="s">
        <v>49</v>
      </c>
      <c r="C5" s="42"/>
      <c r="D5" s="42" t="str">
        <f t="shared" ref="D5:BK5" ca="1" si="30">D1&amp;RIGHT(D2,2)&amp;IF($B$1&gt;D3,"A","E")</f>
        <v>1H06A</v>
      </c>
      <c r="E5" s="42" t="str">
        <f t="shared" ca="1" si="30"/>
        <v>2H06A</v>
      </c>
      <c r="F5" s="42" t="str">
        <f t="shared" ca="1" si="30"/>
        <v>FY06A</v>
      </c>
      <c r="G5" s="42" t="str">
        <f t="shared" ca="1" si="30"/>
        <v>1H07A</v>
      </c>
      <c r="H5" s="42" t="str">
        <f t="shared" ca="1" si="30"/>
        <v>2H07A</v>
      </c>
      <c r="I5" s="42" t="str">
        <f t="shared" ca="1" si="30"/>
        <v>FY07A</v>
      </c>
      <c r="J5" s="42" t="str">
        <f t="shared" ca="1" si="30"/>
        <v>1H08A</v>
      </c>
      <c r="K5" s="42" t="str">
        <f t="shared" ca="1" si="30"/>
        <v>2H08A</v>
      </c>
      <c r="L5" s="42" t="str">
        <f t="shared" ca="1" si="30"/>
        <v>FY08A</v>
      </c>
      <c r="M5" s="42" t="str">
        <f t="shared" ca="1" si="30"/>
        <v>1H09A</v>
      </c>
      <c r="N5" s="42" t="str">
        <f t="shared" ca="1" si="30"/>
        <v>2H09A</v>
      </c>
      <c r="O5" s="42" t="str">
        <f t="shared" ca="1" si="30"/>
        <v>FY09A</v>
      </c>
      <c r="P5" s="42" t="str">
        <f t="shared" ca="1" si="30"/>
        <v>1H10A</v>
      </c>
      <c r="Q5" s="42" t="str">
        <f t="shared" ca="1" si="30"/>
        <v>2H10A</v>
      </c>
      <c r="R5" s="42" t="str">
        <f t="shared" ca="1" si="30"/>
        <v>FY10A</v>
      </c>
      <c r="S5" s="42" t="str">
        <f t="shared" ca="1" si="30"/>
        <v>1H11A</v>
      </c>
      <c r="T5" s="42" t="str">
        <f t="shared" ca="1" si="30"/>
        <v>2H11A</v>
      </c>
      <c r="U5" s="43" t="str">
        <f t="shared" ca="1" si="30"/>
        <v>FY11A</v>
      </c>
      <c r="V5" s="43" t="str">
        <f t="shared" ca="1" si="30"/>
        <v>1H12A</v>
      </c>
      <c r="W5" s="43" t="str">
        <f t="shared" ca="1" si="30"/>
        <v>2H12A</v>
      </c>
      <c r="X5" s="43" t="str">
        <f t="shared" ca="1" si="30"/>
        <v>FY12A</v>
      </c>
      <c r="Y5" s="43" t="str">
        <f t="shared" ca="1" si="30"/>
        <v>1H13A</v>
      </c>
      <c r="Z5" s="43" t="str">
        <f t="shared" ca="1" si="30"/>
        <v>2H13A</v>
      </c>
      <c r="AA5" s="43" t="str">
        <f t="shared" ca="1" si="30"/>
        <v>FY13A</v>
      </c>
      <c r="AB5" s="43" t="str">
        <f t="shared" ca="1" si="30"/>
        <v>1H14A</v>
      </c>
      <c r="AC5" s="43" t="str">
        <f t="shared" ca="1" si="30"/>
        <v>2H14A</v>
      </c>
      <c r="AD5" s="43" t="str">
        <f t="shared" ca="1" si="30"/>
        <v>FY14A</v>
      </c>
      <c r="AE5" s="43" t="str">
        <f t="shared" ca="1" si="30"/>
        <v>1H15A</v>
      </c>
      <c r="AF5" s="43" t="str">
        <f t="shared" ca="1" si="30"/>
        <v>2H15A</v>
      </c>
      <c r="AG5" s="43" t="str">
        <f t="shared" ca="1" si="30"/>
        <v>FY15A</v>
      </c>
      <c r="AH5" s="43" t="str">
        <f t="shared" ca="1" si="30"/>
        <v>1H16A</v>
      </c>
      <c r="AI5" s="43" t="str">
        <f t="shared" ca="1" si="30"/>
        <v>2H16A</v>
      </c>
      <c r="AJ5" s="43" t="str">
        <f t="shared" ca="1" si="30"/>
        <v>FY16A</v>
      </c>
      <c r="AK5" s="43" t="str">
        <f t="shared" ca="1" si="30"/>
        <v>1H17A</v>
      </c>
      <c r="AL5" s="43" t="str">
        <f t="shared" ca="1" si="30"/>
        <v>2H17A</v>
      </c>
      <c r="AM5" s="43" t="str">
        <f t="shared" ca="1" si="30"/>
        <v>FY17A</v>
      </c>
      <c r="AN5" s="43" t="str">
        <f t="shared" ca="1" si="30"/>
        <v>1H18A</v>
      </c>
      <c r="AO5" s="43" t="str">
        <f t="shared" ca="1" si="30"/>
        <v>2H18A</v>
      </c>
      <c r="AP5" s="43" t="str">
        <f t="shared" ca="1" si="30"/>
        <v>FY18A</v>
      </c>
      <c r="AQ5" s="43" t="str">
        <f t="shared" ca="1" si="30"/>
        <v>1H19A</v>
      </c>
      <c r="AR5" s="43" t="str">
        <f t="shared" ca="1" si="30"/>
        <v>2H19A</v>
      </c>
      <c r="AS5" s="43" t="str">
        <f t="shared" ca="1" si="30"/>
        <v>FY19A</v>
      </c>
      <c r="AT5" s="43" t="str">
        <f t="shared" ca="1" si="30"/>
        <v>1H20A</v>
      </c>
      <c r="AU5" s="43" t="str">
        <f t="shared" ca="1" si="30"/>
        <v>2H20A</v>
      </c>
      <c r="AV5" s="43" t="str">
        <f t="shared" ca="1" si="30"/>
        <v>FY20A</v>
      </c>
      <c r="AW5" s="43" t="str">
        <f t="shared" ca="1" si="30"/>
        <v>1H21A</v>
      </c>
      <c r="AX5" s="43" t="str">
        <f t="shared" ca="1" si="30"/>
        <v>2H21A</v>
      </c>
      <c r="AY5" s="43" t="s">
        <v>362</v>
      </c>
      <c r="AZ5" s="43" t="str">
        <f t="shared" ca="1" si="30"/>
        <v>1H22A</v>
      </c>
      <c r="BA5" s="43" t="str">
        <f t="shared" ca="1" si="30"/>
        <v>2H22A</v>
      </c>
      <c r="BB5" s="43" t="str">
        <f t="shared" ca="1" si="30"/>
        <v>FY22A</v>
      </c>
      <c r="BC5" s="43" t="str">
        <f t="shared" ca="1" si="30"/>
        <v>1H23A</v>
      </c>
      <c r="BD5" s="43" t="str">
        <f t="shared" ca="1" si="30"/>
        <v>2H23A</v>
      </c>
      <c r="BE5" s="43" t="s">
        <v>365</v>
      </c>
      <c r="BF5" s="43" t="str">
        <f t="shared" ca="1" si="30"/>
        <v>1H24A</v>
      </c>
      <c r="BG5" s="43" t="str">
        <f t="shared" ca="1" si="30"/>
        <v>2H24A</v>
      </c>
      <c r="BH5" s="43" t="str">
        <f t="shared" ca="1" si="30"/>
        <v>FY24A</v>
      </c>
      <c r="BI5" s="43" t="str">
        <f t="shared" ca="1" si="30"/>
        <v>1H25A</v>
      </c>
      <c r="BJ5" s="43" t="str">
        <f t="shared" ca="1" si="30"/>
        <v>2H25A</v>
      </c>
      <c r="BK5" s="43" t="str">
        <f t="shared" ca="1" si="30"/>
        <v>FY25A</v>
      </c>
      <c r="BL5" s="43" t="str">
        <f t="shared" ref="BL5:BN5" ca="1" si="31">BL1&amp;RIGHT(BL2,2)&amp;IF($B$1&gt;BL3,"A","E")</f>
        <v>1H26E</v>
      </c>
      <c r="BM5" s="43" t="str">
        <f t="shared" ca="1" si="31"/>
        <v>2H26E</v>
      </c>
      <c r="BN5" s="43" t="str">
        <f t="shared" ca="1" si="31"/>
        <v>FY26E</v>
      </c>
      <c r="BO5" s="43" t="str">
        <f t="shared" ref="BO5:BQ5" ca="1" si="32">BO1&amp;RIGHT(BO2,2)&amp;IF($B$1&gt;BO3,"A","E")</f>
        <v>1H27E</v>
      </c>
      <c r="BP5" s="43" t="str">
        <f t="shared" ca="1" si="32"/>
        <v>2H27E</v>
      </c>
      <c r="BQ5" s="43" t="str">
        <f t="shared" ca="1" si="32"/>
        <v>FY27E</v>
      </c>
      <c r="BR5" s="43" t="str">
        <f t="shared" ref="BR5:BT5" ca="1" si="33">BR1&amp;RIGHT(BR2,2)&amp;IF($B$1&gt;BR3,"A","E")</f>
        <v>1H28E</v>
      </c>
      <c r="BS5" s="43" t="str">
        <f t="shared" ca="1" si="33"/>
        <v>2H28E</v>
      </c>
      <c r="BT5" s="43" t="str">
        <f t="shared" ca="1" si="33"/>
        <v>FY28E</v>
      </c>
      <c r="BU5" s="43" t="str">
        <f t="shared" ref="BU5:BZ5" ca="1" si="34">BU1&amp;RIGHT(BU2,2)&amp;IF($B$1&gt;BU3,"A","E")</f>
        <v>1H29E</v>
      </c>
      <c r="BV5" s="43" t="str">
        <f t="shared" ca="1" si="34"/>
        <v>2H29E</v>
      </c>
      <c r="BW5" s="43" t="str">
        <f t="shared" ca="1" si="34"/>
        <v>FY29E</v>
      </c>
      <c r="BX5" s="43" t="str">
        <f t="shared" ca="1" si="34"/>
        <v>1H30E</v>
      </c>
      <c r="BY5" s="43" t="str">
        <f t="shared" ca="1" si="34"/>
        <v>2H30E</v>
      </c>
      <c r="BZ5" s="43" t="str">
        <f t="shared" ca="1" si="34"/>
        <v>FY30E</v>
      </c>
      <c r="CA5" s="43" t="str">
        <f t="shared" ref="CA5:CC5" ca="1" si="35">CA1&amp;RIGHT(CA2,2)&amp;IF($B$1&gt;CA3,"A","E")</f>
        <v>1H31E</v>
      </c>
      <c r="CB5" s="43" t="str">
        <f t="shared" ca="1" si="35"/>
        <v>2H31E</v>
      </c>
      <c r="CC5" s="43" t="str">
        <f t="shared" ca="1" si="35"/>
        <v>FY31E</v>
      </c>
      <c r="CD5" s="44"/>
      <c r="CE5" s="42" t="str">
        <f t="shared" ref="CE5:CJ5" si="36">CE1&amp;RIGHT(CE2,2)</f>
        <v>FY06</v>
      </c>
      <c r="CF5" s="42" t="str">
        <f t="shared" si="36"/>
        <v>FY07</v>
      </c>
      <c r="CG5" s="42" t="str">
        <f t="shared" si="36"/>
        <v>FY08</v>
      </c>
      <c r="CH5" s="42" t="str">
        <f t="shared" si="36"/>
        <v>FY09</v>
      </c>
      <c r="CI5" s="42" t="str">
        <f t="shared" si="36"/>
        <v>FY10</v>
      </c>
      <c r="CJ5" s="42" t="str">
        <f t="shared" si="36"/>
        <v>FY11</v>
      </c>
      <c r="CK5" s="45"/>
      <c r="CL5" s="46" t="str">
        <f t="shared" ref="CL5:CR5" si="37">CL1&amp;RIGHT(CL2,2)</f>
        <v>FY12</v>
      </c>
      <c r="CM5" s="43" t="str">
        <f t="shared" si="37"/>
        <v>FY13</v>
      </c>
      <c r="CN5" s="43" t="str">
        <f t="shared" si="37"/>
        <v>FY14</v>
      </c>
      <c r="CO5" s="43" t="str">
        <f t="shared" si="37"/>
        <v>FY15</v>
      </c>
      <c r="CP5" s="43" t="str">
        <f t="shared" si="37"/>
        <v>FY16</v>
      </c>
      <c r="CQ5" s="43" t="str">
        <f t="shared" si="37"/>
        <v>FY17</v>
      </c>
      <c r="CR5" s="43" t="str">
        <f t="shared" si="37"/>
        <v>FY18</v>
      </c>
      <c r="CS5" s="43" t="s">
        <v>27</v>
      </c>
      <c r="CT5" s="43" t="s">
        <v>38</v>
      </c>
      <c r="CU5" s="43" t="s">
        <v>39</v>
      </c>
      <c r="CV5" s="43" t="s">
        <v>40</v>
      </c>
      <c r="CW5" s="43" t="s">
        <v>41</v>
      </c>
      <c r="CX5" s="43" t="s">
        <v>223</v>
      </c>
      <c r="CY5" s="43" t="s">
        <v>224</v>
      </c>
      <c r="CZ5" s="43" t="s">
        <v>225</v>
      </c>
      <c r="DA5" s="43" t="s">
        <v>226</v>
      </c>
      <c r="DB5" s="43" t="s">
        <v>227</v>
      </c>
      <c r="DC5" s="43" t="s">
        <v>228</v>
      </c>
      <c r="DD5" s="43" t="s">
        <v>229</v>
      </c>
      <c r="DE5" s="43" t="s">
        <v>359</v>
      </c>
      <c r="DF5" s="45"/>
      <c r="DG5" s="45"/>
      <c r="DH5" s="45"/>
      <c r="DI5" s="45"/>
      <c r="DJ5" s="45"/>
      <c r="DK5" s="45"/>
      <c r="EB5"/>
      <c r="EC5"/>
      <c r="ED5"/>
      <c r="EE5"/>
      <c r="EF5"/>
      <c r="EG5"/>
    </row>
    <row r="6" spans="1:137" customFormat="1"/>
    <row r="7" spans="1:137" s="55" customFormat="1" ht="12.75" customHeight="1">
      <c r="A7" s="48"/>
      <c r="B7" s="49" t="s">
        <v>50</v>
      </c>
      <c r="C7" s="48"/>
      <c r="D7" s="50"/>
      <c r="E7" s="50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1"/>
      <c r="BO7" s="51"/>
      <c r="BP7" s="51"/>
      <c r="BQ7" s="51"/>
      <c r="BR7" s="51"/>
      <c r="BS7" s="51"/>
      <c r="BT7" s="51"/>
      <c r="BU7" s="51"/>
      <c r="BV7" s="51"/>
      <c r="BW7" s="51"/>
      <c r="BX7" s="51"/>
      <c r="BY7" s="51"/>
      <c r="BZ7" s="51"/>
      <c r="CA7" s="51"/>
      <c r="CB7" s="51"/>
      <c r="CC7" s="51"/>
      <c r="CD7" s="52"/>
      <c r="CE7" s="53"/>
      <c r="CF7" s="53"/>
      <c r="CG7" s="53"/>
      <c r="CH7" s="53"/>
      <c r="CI7" s="53"/>
      <c r="CJ7" s="53"/>
      <c r="CK7" s="51"/>
      <c r="CL7" s="54"/>
      <c r="CM7" s="51"/>
      <c r="CN7" s="51"/>
      <c r="CO7" s="51"/>
      <c r="CP7" s="51"/>
      <c r="CQ7" s="51"/>
      <c r="CR7" s="51"/>
      <c r="CS7" s="51"/>
      <c r="CT7" s="51"/>
      <c r="CU7" s="51"/>
      <c r="CV7" s="51"/>
      <c r="CW7" s="51"/>
      <c r="CX7" s="51"/>
      <c r="CY7" s="51"/>
      <c r="CZ7" s="51"/>
      <c r="DA7" s="51"/>
      <c r="DB7" s="51"/>
      <c r="DC7" s="51"/>
      <c r="DD7" s="51"/>
      <c r="DE7" s="51"/>
      <c r="DF7" s="48"/>
      <c r="DG7" s="48"/>
      <c r="DH7" s="48"/>
      <c r="DI7" s="48"/>
      <c r="DJ7" s="48"/>
      <c r="DK7" s="48"/>
      <c r="EB7"/>
      <c r="EC7"/>
      <c r="ED7"/>
      <c r="EE7"/>
      <c r="EF7"/>
      <c r="EG7"/>
    </row>
    <row r="8" spans="1:137" s="55" customFormat="1" ht="12.75" customHeight="1">
      <c r="A8" s="48"/>
      <c r="B8" s="13" t="s">
        <v>51</v>
      </c>
      <c r="C8" s="48"/>
      <c r="D8" s="50"/>
      <c r="E8" s="50"/>
      <c r="F8" s="51"/>
      <c r="G8" s="51"/>
      <c r="H8" s="51"/>
      <c r="I8" s="51"/>
      <c r="J8" s="51"/>
      <c r="K8" s="51"/>
      <c r="L8" s="56">
        <v>449</v>
      </c>
      <c r="M8" s="56">
        <f>SUM(M9:M11)</f>
        <v>176</v>
      </c>
      <c r="N8" s="56">
        <f t="shared" ref="N8:BK8" si="38">SUM(N9:N11)</f>
        <v>203</v>
      </c>
      <c r="O8" s="56">
        <f t="shared" si="38"/>
        <v>378.84897959183672</v>
      </c>
      <c r="P8" s="56">
        <f t="shared" si="38"/>
        <v>165.5</v>
      </c>
      <c r="Q8" s="56">
        <f t="shared" si="38"/>
        <v>163.70000000000005</v>
      </c>
      <c r="R8" s="56">
        <f t="shared" si="38"/>
        <v>329.2</v>
      </c>
      <c r="S8" s="56">
        <f t="shared" si="38"/>
        <v>164.8</v>
      </c>
      <c r="T8" s="56">
        <f t="shared" si="38"/>
        <v>164.7</v>
      </c>
      <c r="U8" s="56">
        <f t="shared" si="38"/>
        <v>329.50000000000006</v>
      </c>
      <c r="V8" s="56">
        <f t="shared" si="38"/>
        <v>171.1</v>
      </c>
      <c r="W8" s="56">
        <f t="shared" si="38"/>
        <v>181.40000000000003</v>
      </c>
      <c r="X8" s="56">
        <f t="shared" si="38"/>
        <v>352.5</v>
      </c>
      <c r="Y8" s="56">
        <f t="shared" si="38"/>
        <v>190.4</v>
      </c>
      <c r="Z8" s="56">
        <f t="shared" si="38"/>
        <v>192.7</v>
      </c>
      <c r="AA8" s="56">
        <f t="shared" si="38"/>
        <v>383.09999999999997</v>
      </c>
      <c r="AB8" s="56">
        <f t="shared" si="38"/>
        <v>186.59999999999997</v>
      </c>
      <c r="AC8" s="56">
        <f t="shared" si="38"/>
        <v>199.59999999999997</v>
      </c>
      <c r="AD8" s="56">
        <f t="shared" si="38"/>
        <v>386.19999999999993</v>
      </c>
      <c r="AE8" s="56">
        <f t="shared" si="38"/>
        <v>195.4</v>
      </c>
      <c r="AF8" s="56">
        <f t="shared" si="38"/>
        <v>199.20000000000002</v>
      </c>
      <c r="AG8" s="56">
        <f t="shared" si="38"/>
        <v>394.6</v>
      </c>
      <c r="AH8" s="56">
        <f t="shared" si="38"/>
        <v>205.89999999999998</v>
      </c>
      <c r="AI8" s="56">
        <f t="shared" si="38"/>
        <v>200.70000000000002</v>
      </c>
      <c r="AJ8" s="56">
        <f t="shared" si="38"/>
        <v>406.6</v>
      </c>
      <c r="AK8" s="23">
        <f t="shared" si="38"/>
        <v>196.10000000000002</v>
      </c>
      <c r="AL8" s="23">
        <f t="shared" si="38"/>
        <v>200.59999999999997</v>
      </c>
      <c r="AM8" s="23">
        <f t="shared" si="38"/>
        <v>396.7</v>
      </c>
      <c r="AN8" s="23">
        <f t="shared" si="38"/>
        <v>193.10000000000002</v>
      </c>
      <c r="AO8" s="23">
        <f t="shared" si="38"/>
        <v>191.70000000000002</v>
      </c>
      <c r="AP8" s="23">
        <f t="shared" si="38"/>
        <v>384.8</v>
      </c>
      <c r="AQ8" s="23">
        <f t="shared" si="38"/>
        <v>181.79999999999998</v>
      </c>
      <c r="AR8" s="23">
        <f t="shared" si="38"/>
        <v>190.3</v>
      </c>
      <c r="AS8" s="23">
        <f t="shared" si="38"/>
        <v>372.1</v>
      </c>
      <c r="AT8" s="23">
        <f t="shared" si="38"/>
        <v>213.3</v>
      </c>
      <c r="AU8" s="23">
        <f t="shared" si="38"/>
        <v>211.89999999999998</v>
      </c>
      <c r="AV8" s="23">
        <f t="shared" si="38"/>
        <v>425.20000000000005</v>
      </c>
      <c r="AW8" s="23">
        <f t="shared" si="38"/>
        <v>196.10000000000002</v>
      </c>
      <c r="AX8" s="23">
        <f t="shared" si="38"/>
        <v>215.39999999999998</v>
      </c>
      <c r="AY8" s="23">
        <f t="shared" si="38"/>
        <v>411.5</v>
      </c>
      <c r="AZ8" s="23">
        <f t="shared" si="38"/>
        <v>234</v>
      </c>
      <c r="BA8" s="23">
        <f t="shared" si="38"/>
        <v>260.60000000000002</v>
      </c>
      <c r="BB8" s="23">
        <f t="shared" si="38"/>
        <v>494.6</v>
      </c>
      <c r="BC8" s="23">
        <f t="shared" si="38"/>
        <v>260.10000000000002</v>
      </c>
      <c r="BD8" s="23">
        <f t="shared" si="38"/>
        <v>271.29999999999995</v>
      </c>
      <c r="BE8" s="23">
        <f t="shared" ref="BE8:BE13" si="39">SUM(BC8:BD8)</f>
        <v>531.4</v>
      </c>
      <c r="BF8" s="23">
        <f t="shared" si="38"/>
        <v>278.2</v>
      </c>
      <c r="BG8" s="23">
        <f t="shared" si="38"/>
        <v>288.90000000000009</v>
      </c>
      <c r="BH8" s="23">
        <f t="shared" si="38"/>
        <v>567.1</v>
      </c>
      <c r="BI8" s="23">
        <f t="shared" si="38"/>
        <v>311.89999999999998</v>
      </c>
      <c r="BJ8" s="23">
        <f t="shared" si="38"/>
        <v>365.80000000000007</v>
      </c>
      <c r="BK8" s="23">
        <f t="shared" si="38"/>
        <v>677.70000000000016</v>
      </c>
      <c r="BL8" s="23">
        <f t="shared" ref="BL8:BN8" si="40">SUM(BL9:BL11)</f>
        <v>366.00000000000006</v>
      </c>
      <c r="BM8" s="23">
        <f t="shared" si="40"/>
        <v>379.9738076225201</v>
      </c>
      <c r="BN8" s="23">
        <f t="shared" si="40"/>
        <v>745.9738076225201</v>
      </c>
      <c r="BO8" s="23">
        <f t="shared" ref="BO8:BQ8" si="41">SUM(BO9:BO11)</f>
        <v>400.74551188353098</v>
      </c>
      <c r="BP8" s="23">
        <f t="shared" si="41"/>
        <v>423.44969557262374</v>
      </c>
      <c r="BQ8" s="23">
        <f t="shared" si="41"/>
        <v>824.19520745615466</v>
      </c>
      <c r="BR8" s="23">
        <f t="shared" ref="BR8:BT8" si="42">SUM(BR9:BR11)</f>
        <v>451.61841153318585</v>
      </c>
      <c r="BS8" s="23">
        <f t="shared" si="42"/>
        <v>476.72336774846201</v>
      </c>
      <c r="BT8" s="23">
        <f t="shared" si="42"/>
        <v>928.34177928164797</v>
      </c>
      <c r="BU8" s="23">
        <f t="shared" ref="BU8:BZ8" si="43">SUM(BU9:BU11)</f>
        <v>507.39890293703928</v>
      </c>
      <c r="BV8" s="23">
        <f t="shared" si="43"/>
        <v>535.12121814777379</v>
      </c>
      <c r="BW8" s="23">
        <f t="shared" si="43"/>
        <v>1042.5201210848131</v>
      </c>
      <c r="BX8" s="23">
        <f t="shared" si="43"/>
        <v>568.52933057999212</v>
      </c>
      <c r="BY8" s="23">
        <f t="shared" si="43"/>
        <v>599.10431270144591</v>
      </c>
      <c r="BZ8" s="23">
        <f t="shared" si="43"/>
        <v>1167.6336432814383</v>
      </c>
      <c r="CA8" s="23">
        <f t="shared" ref="CA8:CC8" si="44">SUM(CA9:CA11)</f>
        <v>635.49025389342444</v>
      </c>
      <c r="CB8" s="23">
        <f t="shared" si="44"/>
        <v>669.17350770752466</v>
      </c>
      <c r="CC8" s="23">
        <f t="shared" si="44"/>
        <v>1304.6637616009493</v>
      </c>
      <c r="CD8" s="57">
        <f>(BB8/AS8)^(1/3)-1</f>
        <v>9.9507376459085473E-2</v>
      </c>
      <c r="CE8" s="53"/>
      <c r="CF8" s="53"/>
      <c r="CG8" s="53"/>
      <c r="CH8" s="53"/>
      <c r="CI8" s="53"/>
      <c r="CJ8" s="53"/>
      <c r="CK8" s="57">
        <f>(BB8/AS8)^(1/3)-1</f>
        <v>9.9507376459085473E-2</v>
      </c>
      <c r="CL8" s="58">
        <f t="shared" ref="CL8:CL14" si="45">X8</f>
        <v>352.5</v>
      </c>
      <c r="CM8" s="19">
        <f t="shared" ref="CM8:CM14" si="46">AA8</f>
        <v>383.09999999999997</v>
      </c>
      <c r="CN8" s="19">
        <f t="shared" ref="CN8:CN14" si="47">AD8</f>
        <v>386.19999999999993</v>
      </c>
      <c r="CO8" s="19">
        <f t="shared" ref="CO8:CO14" si="48">AG8</f>
        <v>394.6</v>
      </c>
      <c r="CP8" s="19">
        <f t="shared" ref="CP8:CP14" si="49">AJ8</f>
        <v>406.6</v>
      </c>
      <c r="CQ8" s="19">
        <f t="shared" ref="CQ8:CQ14" si="50">AM8</f>
        <v>396.7</v>
      </c>
      <c r="CR8" s="19">
        <f t="shared" ref="CR8:CR14" si="51">AP8</f>
        <v>384.8</v>
      </c>
      <c r="CS8" s="19">
        <f t="shared" ref="CS8:CS14" si="52">AS8</f>
        <v>372.1</v>
      </c>
      <c r="CT8" s="19">
        <f t="shared" ref="CT8:CT14" si="53">AV8</f>
        <v>425.20000000000005</v>
      </c>
      <c r="CU8" s="19">
        <f t="shared" ref="CU8:CU14" si="54">AY8</f>
        <v>411.5</v>
      </c>
      <c r="CV8" s="19">
        <f t="shared" ref="CV8:CV14" si="55">BB8</f>
        <v>494.6</v>
      </c>
      <c r="CW8" s="19">
        <f t="shared" ref="CW8:CW14" si="56">BE8</f>
        <v>531.4</v>
      </c>
      <c r="CX8" s="19">
        <f t="shared" ref="CX8:CX14" si="57">BH8</f>
        <v>567.1</v>
      </c>
      <c r="CY8" s="19">
        <f t="shared" ref="CY8:CY14" si="58">BK8</f>
        <v>677.70000000000016</v>
      </c>
      <c r="CZ8" s="19">
        <f t="shared" ref="CZ8:CZ14" si="59">BN8</f>
        <v>745.9738076225201</v>
      </c>
      <c r="DA8" s="19">
        <f t="shared" ref="DA8:DA14" si="60">BQ8</f>
        <v>824.19520745615466</v>
      </c>
      <c r="DB8" s="19">
        <f t="shared" ref="DB8:DB14" si="61">BT8</f>
        <v>928.34177928164797</v>
      </c>
      <c r="DC8" s="19">
        <f t="shared" ref="DC8:DC14" si="62">BW8</f>
        <v>1042.5201210848131</v>
      </c>
      <c r="DD8" s="19">
        <f t="shared" ref="DD8:DD14" si="63">BZ8</f>
        <v>1167.6336432814383</v>
      </c>
      <c r="DE8" s="19">
        <f t="shared" ref="DE8:DE14" si="64">CC8</f>
        <v>1304.6637616009493</v>
      </c>
      <c r="DF8" s="59">
        <f>(CU8/CR8)^(1/3)-1</f>
        <v>2.261366554992339E-2</v>
      </c>
      <c r="DG8" s="55" t="s">
        <v>52</v>
      </c>
      <c r="DH8" s="51">
        <f>+CO8</f>
        <v>394.6</v>
      </c>
      <c r="DI8" s="60">
        <f>+DH8/DH12</f>
        <v>0.42063745869310315</v>
      </c>
      <c r="DJ8" s="48">
        <f>DB8/DA8</f>
        <v>1.126361535329643</v>
      </c>
      <c r="DK8" s="48"/>
      <c r="EB8"/>
      <c r="EC8"/>
      <c r="ED8"/>
      <c r="EE8"/>
      <c r="EF8"/>
      <c r="EG8"/>
    </row>
    <row r="9" spans="1:137" s="55" customFormat="1" ht="12.75" customHeight="1">
      <c r="A9" s="48"/>
      <c r="B9" s="61" t="s">
        <v>0</v>
      </c>
      <c r="C9" s="48"/>
      <c r="D9" s="50"/>
      <c r="E9" s="50"/>
      <c r="F9" s="51"/>
      <c r="G9" s="51"/>
      <c r="H9" s="51"/>
      <c r="I9" s="51"/>
      <c r="J9" s="51"/>
      <c r="K9" s="51"/>
      <c r="L9" s="62"/>
      <c r="M9" s="56">
        <v>245.8</v>
      </c>
      <c r="N9" s="56">
        <v>288.2</v>
      </c>
      <c r="O9" s="56">
        <v>533.84897959183672</v>
      </c>
      <c r="P9" s="56">
        <v>150.69999999999999</v>
      </c>
      <c r="Q9" s="56">
        <v>121.40000000000003</v>
      </c>
      <c r="R9" s="56">
        <v>272.10000000000002</v>
      </c>
      <c r="S9" s="56">
        <v>142.80000000000001</v>
      </c>
      <c r="T9" s="56">
        <v>133.80000000000001</v>
      </c>
      <c r="U9" s="56">
        <v>276.60000000000002</v>
      </c>
      <c r="V9" s="56">
        <v>154.9</v>
      </c>
      <c r="W9" s="56">
        <v>151.4</v>
      </c>
      <c r="X9" s="56">
        <v>306.3</v>
      </c>
      <c r="Y9" s="56">
        <v>173.8</v>
      </c>
      <c r="Z9" s="56">
        <v>169.39999999999998</v>
      </c>
      <c r="AA9" s="56">
        <v>343.2</v>
      </c>
      <c r="AB9" s="56">
        <v>167.2</v>
      </c>
      <c r="AC9" s="56">
        <v>172.5</v>
      </c>
      <c r="AD9" s="56">
        <v>339.7</v>
      </c>
      <c r="AE9" s="56">
        <v>174.1</v>
      </c>
      <c r="AF9" s="56">
        <v>180.6</v>
      </c>
      <c r="AG9" s="56">
        <v>354.7</v>
      </c>
      <c r="AH9" s="56">
        <v>191.3</v>
      </c>
      <c r="AI9" s="56">
        <v>180.3</v>
      </c>
      <c r="AJ9" s="56">
        <v>371.6</v>
      </c>
      <c r="AK9" s="56">
        <v>183.9</v>
      </c>
      <c r="AL9" s="56">
        <v>179.29999999999998</v>
      </c>
      <c r="AM9" s="56">
        <v>363.2</v>
      </c>
      <c r="AN9" s="56">
        <v>175.5</v>
      </c>
      <c r="AO9" s="56">
        <v>183.3</v>
      </c>
      <c r="AP9" s="56">
        <v>358.8</v>
      </c>
      <c r="AQ9" s="56">
        <v>193.6</v>
      </c>
      <c r="AR9" s="56">
        <v>203.90000000000003</v>
      </c>
      <c r="AS9" s="56">
        <v>397.5</v>
      </c>
      <c r="AT9" s="56">
        <v>223.5</v>
      </c>
      <c r="AU9" s="56">
        <v>232.10000000000002</v>
      </c>
      <c r="AV9" s="56">
        <v>455.6</v>
      </c>
      <c r="AW9" s="56">
        <v>220.5</v>
      </c>
      <c r="AX9" s="56">
        <v>224.7</v>
      </c>
      <c r="AY9" s="56">
        <v>445.2</v>
      </c>
      <c r="AZ9" s="56">
        <v>243.4</v>
      </c>
      <c r="BA9" s="56">
        <v>273.5</v>
      </c>
      <c r="BB9" s="56">
        <v>516.9</v>
      </c>
      <c r="BC9" s="56">
        <v>299</v>
      </c>
      <c r="BD9" s="56">
        <v>319.39999999999998</v>
      </c>
      <c r="BE9" s="56">
        <f t="shared" si="39"/>
        <v>618.4</v>
      </c>
      <c r="BF9" s="56">
        <v>303.39999999999998</v>
      </c>
      <c r="BG9" s="56">
        <v>321.70000000000005</v>
      </c>
      <c r="BH9" s="56">
        <v>625.1</v>
      </c>
      <c r="BI9" s="56">
        <v>342.3</v>
      </c>
      <c r="BJ9" s="56">
        <v>324.80000000000007</v>
      </c>
      <c r="BK9" s="56">
        <v>667.10000000000014</v>
      </c>
      <c r="BL9" s="56">
        <v>363.40000000000003</v>
      </c>
      <c r="BM9" s="23">
        <v>387.8241357467117</v>
      </c>
      <c r="BN9" s="23">
        <v>751.22413574671168</v>
      </c>
      <c r="BO9" s="23">
        <v>408.64947821384123</v>
      </c>
      <c r="BP9" s="23">
        <v>435.46359619664315</v>
      </c>
      <c r="BQ9" s="23">
        <v>844.11307441048439</v>
      </c>
      <c r="BR9" s="23">
        <v>468.45131018405232</v>
      </c>
      <c r="BS9" s="23">
        <v>498.14128322223394</v>
      </c>
      <c r="BT9" s="23">
        <v>966.59259340628626</v>
      </c>
      <c r="BU9" s="23">
        <v>534.13195380602929</v>
      </c>
      <c r="BV9" s="23">
        <v>566.95735615249998</v>
      </c>
      <c r="BW9" s="23">
        <v>1101.0893099585292</v>
      </c>
      <c r="BX9" s="23">
        <v>606.22152101612937</v>
      </c>
      <c r="BY9" s="23">
        <v>642.46430491543765</v>
      </c>
      <c r="BZ9" s="23">
        <v>1248.685825931567</v>
      </c>
      <c r="CA9" s="23">
        <v>685.295800260026</v>
      </c>
      <c r="CB9" s="23">
        <v>725.26217426208461</v>
      </c>
      <c r="CC9" s="23">
        <v>1410.5579745221107</v>
      </c>
      <c r="CD9" s="57"/>
      <c r="CE9" s="53"/>
      <c r="CF9" s="53"/>
      <c r="CG9" s="53"/>
      <c r="CH9" s="53"/>
      <c r="CI9" s="53"/>
      <c r="CJ9" s="53"/>
      <c r="CK9" s="60"/>
      <c r="CL9" s="58">
        <f t="shared" si="45"/>
        <v>306.3</v>
      </c>
      <c r="CM9" s="19">
        <f t="shared" si="46"/>
        <v>343.2</v>
      </c>
      <c r="CN9" s="19">
        <f t="shared" si="47"/>
        <v>339.7</v>
      </c>
      <c r="CO9" s="19">
        <f t="shared" si="48"/>
        <v>354.7</v>
      </c>
      <c r="CP9" s="19">
        <f t="shared" si="49"/>
        <v>371.6</v>
      </c>
      <c r="CQ9" s="19">
        <f t="shared" si="50"/>
        <v>363.2</v>
      </c>
      <c r="CR9" s="19">
        <f t="shared" si="51"/>
        <v>358.8</v>
      </c>
      <c r="CS9" s="19">
        <f t="shared" si="52"/>
        <v>397.5</v>
      </c>
      <c r="CT9" s="19">
        <f t="shared" si="53"/>
        <v>455.6</v>
      </c>
      <c r="CU9" s="19">
        <f t="shared" si="54"/>
        <v>445.2</v>
      </c>
      <c r="CV9" s="19">
        <f t="shared" si="55"/>
        <v>516.9</v>
      </c>
      <c r="CW9" s="19">
        <f t="shared" si="56"/>
        <v>618.4</v>
      </c>
      <c r="CX9" s="19">
        <f t="shared" si="57"/>
        <v>625.1</v>
      </c>
      <c r="CY9" s="19">
        <f t="shared" si="58"/>
        <v>667.10000000000014</v>
      </c>
      <c r="CZ9" s="19">
        <f t="shared" si="59"/>
        <v>751.22413574671168</v>
      </c>
      <c r="DA9" s="19">
        <f t="shared" si="60"/>
        <v>844.11307441048439</v>
      </c>
      <c r="DB9" s="19">
        <f t="shared" si="61"/>
        <v>966.59259340628626</v>
      </c>
      <c r="DC9" s="19">
        <f t="shared" si="62"/>
        <v>1101.0893099585292</v>
      </c>
      <c r="DD9" s="19">
        <f t="shared" si="63"/>
        <v>1248.685825931567</v>
      </c>
      <c r="DE9" s="19">
        <f t="shared" si="64"/>
        <v>1410.5579745221107</v>
      </c>
      <c r="DF9" s="59">
        <f t="shared" ref="DF9:DF14" si="65">(CU9/CR9)^(1/3)-1</f>
        <v>7.4568833928092104E-2</v>
      </c>
      <c r="DG9" s="48" t="str">
        <f>+B12</f>
        <v>Management</v>
      </c>
      <c r="DH9" s="51">
        <f>+CO12</f>
        <v>215.7</v>
      </c>
      <c r="DI9" s="60">
        <f>+DH9/DH12</f>
        <v>0.22993284298049249</v>
      </c>
      <c r="DJ9" s="48">
        <f>DB9/DA9</f>
        <v>1.1450984740182346</v>
      </c>
      <c r="DK9" s="48"/>
      <c r="EB9"/>
      <c r="EC9"/>
      <c r="ED9"/>
      <c r="EE9"/>
      <c r="EF9"/>
      <c r="EG9"/>
    </row>
    <row r="10" spans="1:137" s="55" customFormat="1" ht="12.75" customHeight="1">
      <c r="A10" s="48"/>
      <c r="B10" s="61" t="s">
        <v>53</v>
      </c>
      <c r="C10" s="48"/>
      <c r="D10" s="50"/>
      <c r="E10" s="50"/>
      <c r="F10" s="51"/>
      <c r="G10" s="51"/>
      <c r="H10" s="51"/>
      <c r="I10" s="51"/>
      <c r="J10" s="51"/>
      <c r="K10" s="51"/>
      <c r="L10" s="62"/>
      <c r="M10" s="62"/>
      <c r="N10" s="62"/>
      <c r="O10" s="62"/>
      <c r="P10" s="56">
        <v>85.4</v>
      </c>
      <c r="Q10" s="56">
        <v>91</v>
      </c>
      <c r="R10" s="56">
        <v>176.4</v>
      </c>
      <c r="S10" s="56">
        <v>81.7</v>
      </c>
      <c r="T10" s="56">
        <v>84.899999999999991</v>
      </c>
      <c r="U10" s="56">
        <v>166.6</v>
      </c>
      <c r="V10" s="56">
        <v>84.1</v>
      </c>
      <c r="W10" s="56">
        <v>87.200000000000017</v>
      </c>
      <c r="X10" s="56">
        <v>171.3</v>
      </c>
      <c r="Y10" s="56">
        <v>81.099999999999994</v>
      </c>
      <c r="Z10" s="56">
        <v>77.5</v>
      </c>
      <c r="AA10" s="56">
        <v>158.6</v>
      </c>
      <c r="AB10" s="56">
        <v>77.2</v>
      </c>
      <c r="AC10" s="56">
        <v>74.899999999999991</v>
      </c>
      <c r="AD10" s="56">
        <v>152.1</v>
      </c>
      <c r="AE10" s="56">
        <v>74.7</v>
      </c>
      <c r="AF10" s="56">
        <v>71.2</v>
      </c>
      <c r="AG10" s="56">
        <v>145.9</v>
      </c>
      <c r="AH10" s="56">
        <v>69.599999999999994</v>
      </c>
      <c r="AI10" s="56">
        <v>71.900000000000006</v>
      </c>
      <c r="AJ10" s="56">
        <v>141.5</v>
      </c>
      <c r="AK10" s="56">
        <v>69.900000000000006</v>
      </c>
      <c r="AL10" s="56">
        <v>60.599999999999994</v>
      </c>
      <c r="AM10" s="56">
        <v>130.5</v>
      </c>
      <c r="AN10" s="56">
        <v>60.3</v>
      </c>
      <c r="AO10" s="56">
        <v>52.900000000000006</v>
      </c>
      <c r="AP10" s="56">
        <v>113.2</v>
      </c>
      <c r="AQ10" s="56">
        <v>37.799999999999997</v>
      </c>
      <c r="AR10" s="56">
        <v>36.200000000000003</v>
      </c>
      <c r="AS10" s="56">
        <v>74</v>
      </c>
      <c r="AT10" s="56">
        <v>44.6</v>
      </c>
      <c r="AU10" s="56">
        <v>33.9</v>
      </c>
      <c r="AV10" s="56">
        <v>78.5</v>
      </c>
      <c r="AW10" s="56">
        <v>32.799999999999997</v>
      </c>
      <c r="AX10" s="56">
        <v>46.5</v>
      </c>
      <c r="AY10" s="56">
        <v>79.3</v>
      </c>
      <c r="AZ10" s="56">
        <v>52.6</v>
      </c>
      <c r="BA10" s="56">
        <v>51.1</v>
      </c>
      <c r="BB10" s="56">
        <v>103.7</v>
      </c>
      <c r="BC10" s="56">
        <v>49.6</v>
      </c>
      <c r="BD10" s="56">
        <v>37.800000000000004</v>
      </c>
      <c r="BE10" s="56">
        <f t="shared" si="39"/>
        <v>87.4</v>
      </c>
      <c r="BF10" s="56">
        <v>41.3</v>
      </c>
      <c r="BG10" s="56">
        <v>36.299999999999997</v>
      </c>
      <c r="BH10" s="56">
        <v>77.599999999999994</v>
      </c>
      <c r="BI10" s="56">
        <v>44.9</v>
      </c>
      <c r="BJ10" s="56">
        <v>112.1</v>
      </c>
      <c r="BK10" s="56">
        <v>157</v>
      </c>
      <c r="BL10" s="56">
        <v>103.9</v>
      </c>
      <c r="BM10" s="23">
        <v>100.33095960921005</v>
      </c>
      <c r="BN10" s="23">
        <v>204.23095960921006</v>
      </c>
      <c r="BO10" s="23">
        <v>101.71276471752637</v>
      </c>
      <c r="BP10" s="23">
        <v>103.11360069492642</v>
      </c>
      <c r="BQ10" s="23">
        <v>204.82636541245279</v>
      </c>
      <c r="BR10" s="23">
        <v>104.53372964347938</v>
      </c>
      <c r="BS10" s="23">
        <v>105.97341727504725</v>
      </c>
      <c r="BT10" s="23">
        <v>210.50714691852664</v>
      </c>
      <c r="BU10" s="23">
        <v>107.43293296100062</v>
      </c>
      <c r="BV10" s="23">
        <v>108.91254978261912</v>
      </c>
      <c r="BW10" s="23">
        <v>216.34548274361975</v>
      </c>
      <c r="BX10" s="23">
        <v>110.41254458218609</v>
      </c>
      <c r="BY10" s="23">
        <v>111.93319801478678</v>
      </c>
      <c r="BZ10" s="23">
        <v>222.34574259697285</v>
      </c>
      <c r="CA10" s="23">
        <v>113.47479460082019</v>
      </c>
      <c r="CB10" s="23">
        <v>115.03762277923386</v>
      </c>
      <c r="CC10" s="23">
        <v>228.51241738005405</v>
      </c>
      <c r="CD10" s="57"/>
      <c r="CE10" s="53"/>
      <c r="CF10" s="53"/>
      <c r="CG10" s="53"/>
      <c r="CH10" s="53"/>
      <c r="CI10" s="53"/>
      <c r="CJ10" s="53"/>
      <c r="CK10" s="60"/>
      <c r="CL10" s="58">
        <f t="shared" si="45"/>
        <v>171.3</v>
      </c>
      <c r="CM10" s="19">
        <f t="shared" si="46"/>
        <v>158.6</v>
      </c>
      <c r="CN10" s="19">
        <f t="shared" si="47"/>
        <v>152.1</v>
      </c>
      <c r="CO10" s="19">
        <f t="shared" si="48"/>
        <v>145.9</v>
      </c>
      <c r="CP10" s="19">
        <f t="shared" si="49"/>
        <v>141.5</v>
      </c>
      <c r="CQ10" s="19">
        <f t="shared" si="50"/>
        <v>130.5</v>
      </c>
      <c r="CR10" s="19">
        <f t="shared" si="51"/>
        <v>113.2</v>
      </c>
      <c r="CS10" s="19">
        <f t="shared" si="52"/>
        <v>74</v>
      </c>
      <c r="CT10" s="19">
        <f t="shared" si="53"/>
        <v>78.5</v>
      </c>
      <c r="CU10" s="19">
        <f t="shared" si="54"/>
        <v>79.3</v>
      </c>
      <c r="CV10" s="19">
        <f t="shared" si="55"/>
        <v>103.7</v>
      </c>
      <c r="CW10" s="19">
        <f t="shared" si="56"/>
        <v>87.4</v>
      </c>
      <c r="CX10" s="19">
        <f t="shared" si="57"/>
        <v>77.599999999999994</v>
      </c>
      <c r="CY10" s="19">
        <f t="shared" si="58"/>
        <v>157</v>
      </c>
      <c r="CZ10" s="19">
        <f t="shared" si="59"/>
        <v>204.23095960921006</v>
      </c>
      <c r="DA10" s="19">
        <f t="shared" si="60"/>
        <v>204.82636541245279</v>
      </c>
      <c r="DB10" s="19">
        <f t="shared" si="61"/>
        <v>210.50714691852664</v>
      </c>
      <c r="DC10" s="19">
        <f t="shared" si="62"/>
        <v>216.34548274361975</v>
      </c>
      <c r="DD10" s="19">
        <f t="shared" si="63"/>
        <v>222.34574259697285</v>
      </c>
      <c r="DE10" s="19">
        <f t="shared" si="64"/>
        <v>228.51241738005405</v>
      </c>
      <c r="DF10" s="59">
        <f t="shared" si="65"/>
        <v>-0.11187194979930493</v>
      </c>
      <c r="DG10" s="48" t="str">
        <f>+B13</f>
        <v>Development</v>
      </c>
      <c r="DH10" s="51">
        <f>+CO13</f>
        <v>327.8</v>
      </c>
      <c r="DI10" s="60">
        <f>+DH10/DH12</f>
        <v>0.34942969832640447</v>
      </c>
      <c r="DJ10" s="48">
        <f>DB10/DA10</f>
        <v>1.0277346204656546</v>
      </c>
      <c r="DK10" s="48"/>
      <c r="EB10"/>
      <c r="EC10"/>
      <c r="ED10"/>
      <c r="EE10"/>
      <c r="EF10"/>
      <c r="EG10"/>
    </row>
    <row r="11" spans="1:137" s="55" customFormat="1" ht="12.75" customHeight="1">
      <c r="A11" s="48"/>
      <c r="B11" s="61" t="s">
        <v>54</v>
      </c>
      <c r="C11" s="48"/>
      <c r="D11" s="50"/>
      <c r="E11" s="50"/>
      <c r="F11" s="51"/>
      <c r="G11" s="51"/>
      <c r="H11" s="51"/>
      <c r="I11" s="51"/>
      <c r="J11" s="51"/>
      <c r="K11" s="51"/>
      <c r="L11" s="62"/>
      <c r="M11" s="56">
        <v>-69.8</v>
      </c>
      <c r="N11" s="56">
        <v>-85.2</v>
      </c>
      <c r="O11" s="56">
        <v>-155</v>
      </c>
      <c r="P11" s="56">
        <v>-70.599999999999994</v>
      </c>
      <c r="Q11" s="56">
        <v>-48.7</v>
      </c>
      <c r="R11" s="56">
        <v>-119.3</v>
      </c>
      <c r="S11" s="56">
        <v>-59.7</v>
      </c>
      <c r="T11" s="56">
        <v>-54</v>
      </c>
      <c r="U11" s="56">
        <v>-113.7</v>
      </c>
      <c r="V11" s="56">
        <v>-67.900000000000006</v>
      </c>
      <c r="W11" s="56">
        <v>-57.199999999999989</v>
      </c>
      <c r="X11" s="56">
        <v>-125.1</v>
      </c>
      <c r="Y11" s="56">
        <v>-64.5</v>
      </c>
      <c r="Z11" s="56">
        <v>-54.2</v>
      </c>
      <c r="AA11" s="56">
        <v>-118.7</v>
      </c>
      <c r="AB11" s="63">
        <v>-57.8</v>
      </c>
      <c r="AC11" s="63">
        <f>-105.6-AB11</f>
        <v>-47.8</v>
      </c>
      <c r="AD11" s="63">
        <f>SUM(AB11:AC11)</f>
        <v>-105.6</v>
      </c>
      <c r="AE11" s="64">
        <v>-53.4</v>
      </c>
      <c r="AF11" s="64">
        <v>-52.6</v>
      </c>
      <c r="AG11" s="64">
        <v>-106</v>
      </c>
      <c r="AH11" s="64">
        <v>-55</v>
      </c>
      <c r="AI11" s="64">
        <v>-51.5</v>
      </c>
      <c r="AJ11" s="64">
        <v>-106.5</v>
      </c>
      <c r="AK11" s="64">
        <v>-57.7</v>
      </c>
      <c r="AL11" s="64">
        <v>-39.299999999999997</v>
      </c>
      <c r="AM11" s="64">
        <v>-97</v>
      </c>
      <c r="AN11" s="64">
        <v>-42.7</v>
      </c>
      <c r="AO11" s="64">
        <v>-44.5</v>
      </c>
      <c r="AP11" s="64">
        <v>-87.2</v>
      </c>
      <c r="AQ11" s="64">
        <v>-49.6</v>
      </c>
      <c r="AR11" s="64">
        <v>-49.800000000000004</v>
      </c>
      <c r="AS11" s="64">
        <v>-99.4</v>
      </c>
      <c r="AT11" s="64">
        <v>-54.8</v>
      </c>
      <c r="AU11" s="56">
        <v>-54.100000000000009</v>
      </c>
      <c r="AV11" s="56">
        <v>-108.9</v>
      </c>
      <c r="AW11" s="56">
        <v>-57.2</v>
      </c>
      <c r="AX11" s="56">
        <v>-55.8</v>
      </c>
      <c r="AY11" s="56">
        <v>-113</v>
      </c>
      <c r="AZ11" s="56">
        <v>-62</v>
      </c>
      <c r="BA11" s="56">
        <v>-64</v>
      </c>
      <c r="BB11" s="56">
        <v>-126</v>
      </c>
      <c r="BC11" s="56">
        <v>-88.5</v>
      </c>
      <c r="BD11" s="56">
        <v>-85.9</v>
      </c>
      <c r="BE11" s="56">
        <f t="shared" si="39"/>
        <v>-174.4</v>
      </c>
      <c r="BF11" s="56">
        <v>-66.5</v>
      </c>
      <c r="BG11" s="56">
        <v>-69.099999999999994</v>
      </c>
      <c r="BH11" s="56">
        <v>-135.6</v>
      </c>
      <c r="BI11" s="56">
        <v>-75.3</v>
      </c>
      <c r="BJ11" s="56">
        <v>-71.100000000000009</v>
      </c>
      <c r="BK11" s="56">
        <v>-146.4</v>
      </c>
      <c r="BL11" s="56">
        <v>-101.3</v>
      </c>
      <c r="BM11" s="23">
        <v>-108.18128773340165</v>
      </c>
      <c r="BN11" s="23">
        <v>-209.48128773340164</v>
      </c>
      <c r="BO11" s="23">
        <v>-109.61673104783668</v>
      </c>
      <c r="BP11" s="23">
        <v>-115.1275013189458</v>
      </c>
      <c r="BQ11" s="23">
        <v>-224.74423236678248</v>
      </c>
      <c r="BR11" s="23">
        <v>-121.36662829434582</v>
      </c>
      <c r="BS11" s="23">
        <v>-127.3913327488192</v>
      </c>
      <c r="BT11" s="23">
        <v>-248.75796104316501</v>
      </c>
      <c r="BU11" s="23">
        <v>-134.16598382999058</v>
      </c>
      <c r="BV11" s="23">
        <v>-140.74868778734532</v>
      </c>
      <c r="BW11" s="23">
        <v>-274.9146716173359</v>
      </c>
      <c r="BX11" s="23">
        <v>-148.1047350183234</v>
      </c>
      <c r="BY11" s="23">
        <v>-155.29319022877849</v>
      </c>
      <c r="BZ11" s="23">
        <v>-303.39792524710185</v>
      </c>
      <c r="CA11" s="23">
        <v>-163.28034096742172</v>
      </c>
      <c r="CB11" s="23">
        <v>-171.12628933379381</v>
      </c>
      <c r="CC11" s="23">
        <v>-334.4066303012155</v>
      </c>
      <c r="CD11" s="57"/>
      <c r="CE11" s="53"/>
      <c r="CF11" s="53"/>
      <c r="CG11" s="53"/>
      <c r="CH11" s="53"/>
      <c r="CI11" s="53"/>
      <c r="CJ11" s="53"/>
      <c r="CK11" s="60"/>
      <c r="CL11" s="58"/>
      <c r="CM11" s="19"/>
      <c r="CN11" s="19"/>
      <c r="CO11" s="19"/>
      <c r="CP11" s="19">
        <f t="shared" si="49"/>
        <v>-106.5</v>
      </c>
      <c r="CQ11" s="19">
        <f t="shared" si="50"/>
        <v>-97</v>
      </c>
      <c r="CR11" s="19">
        <f t="shared" si="51"/>
        <v>-87.2</v>
      </c>
      <c r="CS11" s="19">
        <f t="shared" si="52"/>
        <v>-99.4</v>
      </c>
      <c r="CT11" s="19">
        <f t="shared" si="53"/>
        <v>-108.9</v>
      </c>
      <c r="CU11" s="19">
        <f t="shared" si="54"/>
        <v>-113</v>
      </c>
      <c r="CV11" s="19">
        <f t="shared" si="55"/>
        <v>-126</v>
      </c>
      <c r="CW11" s="19">
        <f t="shared" si="56"/>
        <v>-174.4</v>
      </c>
      <c r="CX11" s="19">
        <f t="shared" si="57"/>
        <v>-135.6</v>
      </c>
      <c r="CY11" s="19">
        <f t="shared" si="58"/>
        <v>-146.4</v>
      </c>
      <c r="CZ11" s="19">
        <f t="shared" si="59"/>
        <v>-209.48128773340164</v>
      </c>
      <c r="DA11" s="19">
        <f t="shared" si="60"/>
        <v>-224.74423236678248</v>
      </c>
      <c r="DB11" s="19">
        <f t="shared" si="61"/>
        <v>-248.75796104316501</v>
      </c>
      <c r="DC11" s="19">
        <f t="shared" si="62"/>
        <v>-274.9146716173359</v>
      </c>
      <c r="DD11" s="19">
        <f t="shared" si="63"/>
        <v>-303.39792524710185</v>
      </c>
      <c r="DE11" s="19">
        <f t="shared" si="64"/>
        <v>-334.4066303012155</v>
      </c>
      <c r="DF11" s="59">
        <f t="shared" si="65"/>
        <v>9.0236337281643264E-2</v>
      </c>
      <c r="DG11" s="48"/>
      <c r="DH11" s="51"/>
      <c r="DI11" s="60"/>
      <c r="DJ11" s="48"/>
      <c r="DK11" s="48"/>
      <c r="EB11"/>
      <c r="EC11"/>
      <c r="ED11"/>
      <c r="EE11"/>
      <c r="EF11"/>
      <c r="EG11"/>
    </row>
    <row r="12" spans="1:137" ht="12.75" customHeight="1">
      <c r="A12" s="1"/>
      <c r="B12" s="13" t="s">
        <v>4</v>
      </c>
      <c r="C12" s="1"/>
      <c r="D12" s="1"/>
      <c r="E12" s="1"/>
      <c r="F12" s="19"/>
      <c r="G12" s="19"/>
      <c r="H12" s="19"/>
      <c r="I12" s="19"/>
      <c r="J12" s="19"/>
      <c r="K12" s="19"/>
      <c r="L12" s="56">
        <v>96</v>
      </c>
      <c r="M12" s="56">
        <v>43.8</v>
      </c>
      <c r="N12" s="56">
        <v>20.200000000000003</v>
      </c>
      <c r="O12" s="56">
        <v>64</v>
      </c>
      <c r="P12" s="56">
        <f>'Funds fee streams'!B12</f>
        <v>61.7</v>
      </c>
      <c r="Q12" s="56">
        <f>'Funds fee streams'!C12</f>
        <v>63.899999999999991</v>
      </c>
      <c r="R12" s="56">
        <f>'Funds fee streams'!D12</f>
        <v>125.6</v>
      </c>
      <c r="S12" s="56">
        <f>'Funds fee streams'!E12</f>
        <v>59.8</v>
      </c>
      <c r="T12" s="56">
        <f>'Funds fee streams'!F12</f>
        <v>61.2</v>
      </c>
      <c r="U12" s="56">
        <f>'Funds fee streams'!G12</f>
        <v>121</v>
      </c>
      <c r="V12" s="56">
        <f>'Funds fee streams'!H12</f>
        <v>67.099999999999994</v>
      </c>
      <c r="W12" s="56">
        <f>'Funds fee streams'!I12</f>
        <v>72</v>
      </c>
      <c r="X12" s="56">
        <f>'Funds fee streams'!J12</f>
        <v>139.10000000000002</v>
      </c>
      <c r="Y12" s="56">
        <f>'Funds fee streams'!K12</f>
        <v>86.800000000000011</v>
      </c>
      <c r="Z12" s="56">
        <f>'Funds fee streams'!L12</f>
        <v>94.199999999999989</v>
      </c>
      <c r="AA12" s="56">
        <f>'Funds fee streams'!M12</f>
        <v>181</v>
      </c>
      <c r="AB12" s="56">
        <f>'Funds fee streams'!N12</f>
        <v>97.6</v>
      </c>
      <c r="AC12" s="56">
        <f>'Funds fee streams'!O12</f>
        <v>108.3</v>
      </c>
      <c r="AD12" s="56">
        <f>'Funds fee streams'!P12</f>
        <v>205.89999999999998</v>
      </c>
      <c r="AE12" s="56">
        <f>'Funds fee streams'!Q12</f>
        <v>105</v>
      </c>
      <c r="AF12" s="56">
        <f>'Funds fee streams'!R12</f>
        <v>110.69999999999999</v>
      </c>
      <c r="AG12" s="56">
        <f>'Funds fee streams'!S12</f>
        <v>215.7</v>
      </c>
      <c r="AH12" s="56">
        <f>'Funds fee streams'!T12</f>
        <v>147.19999999999999</v>
      </c>
      <c r="AI12" s="56">
        <f>'Funds fee streams'!U12</f>
        <v>112.5</v>
      </c>
      <c r="AJ12" s="56">
        <f>'Funds fee streams'!V12</f>
        <v>259.7</v>
      </c>
      <c r="AK12" s="56">
        <f>'Funds fee streams'!W12</f>
        <v>156.5</v>
      </c>
      <c r="AL12" s="56">
        <f>'Funds fee streams'!X12</f>
        <v>110.10000000000002</v>
      </c>
      <c r="AM12" s="56">
        <f>'Funds fee streams'!Y12</f>
        <v>266.60000000000002</v>
      </c>
      <c r="AN12" s="56">
        <f>'Funds fee streams'!Z12</f>
        <v>164.7</v>
      </c>
      <c r="AO12" s="56">
        <f>'Funds fee streams'!AA12</f>
        <v>151.80000000000001</v>
      </c>
      <c r="AP12" s="56">
        <f>'Funds fee streams'!AB12</f>
        <v>316.5</v>
      </c>
      <c r="AQ12" s="56">
        <f>'Funds fee streams'!AC12</f>
        <v>189.4</v>
      </c>
      <c r="AR12" s="56">
        <f>'Funds fee streams'!AD12</f>
        <v>280.29999999999995</v>
      </c>
      <c r="AS12" s="56">
        <f>'Funds fee streams'!AE12</f>
        <v>469.69999999999993</v>
      </c>
      <c r="AT12" s="56">
        <f>'Funds fee streams'!AF12</f>
        <v>219</v>
      </c>
      <c r="AU12" s="56">
        <f>'Funds fee streams'!AG12</f>
        <v>292.2</v>
      </c>
      <c r="AV12" s="56">
        <f>'Funds fee streams'!AH12</f>
        <v>511.2</v>
      </c>
      <c r="AW12" s="56">
        <f>'Funds fee streams'!AI12</f>
        <v>219.2</v>
      </c>
      <c r="AX12" s="56">
        <f>'Funds fee streams'!AJ12</f>
        <v>239.90000000000003</v>
      </c>
      <c r="AY12" s="56">
        <f>'Funds fee streams'!AK12</f>
        <v>459.1</v>
      </c>
      <c r="AZ12" s="56">
        <f>'Funds fee streams'!AL12</f>
        <v>258.2</v>
      </c>
      <c r="BA12" s="56">
        <f>'Funds fee streams'!AM12</f>
        <v>330.2</v>
      </c>
      <c r="BB12" s="56">
        <f>'Funds fee streams'!AN12</f>
        <v>588.4</v>
      </c>
      <c r="BC12" s="56">
        <f>'Funds fee streams'!AO12</f>
        <v>264.7</v>
      </c>
      <c r="BD12" s="56">
        <f>'Funds fee streams'!AP12</f>
        <v>215.90000000000003</v>
      </c>
      <c r="BE12" s="56">
        <f t="shared" si="39"/>
        <v>480.6</v>
      </c>
      <c r="BF12" s="56">
        <f>'Funds fee streams'!AR12</f>
        <v>360.8</v>
      </c>
      <c r="BG12" s="56">
        <f>'Funds fee streams'!AS12</f>
        <v>415.59999999999997</v>
      </c>
      <c r="BH12" s="56">
        <f>'Funds fee streams'!AT12</f>
        <v>776.4</v>
      </c>
      <c r="BI12" s="56">
        <f>'Funds fee streams'!AU12</f>
        <v>462.3</v>
      </c>
      <c r="BJ12" s="56">
        <f>'Funds fee streams'!AV12</f>
        <v>375.09999999999997</v>
      </c>
      <c r="BK12" s="56">
        <f>'Funds fee streams'!AW12</f>
        <v>837.4</v>
      </c>
      <c r="BL12" s="56">
        <f>'Funds fee streams'!AX12</f>
        <v>325</v>
      </c>
      <c r="BM12" s="23">
        <f>'Funds fee streams'!AY12</f>
        <v>381.08928904798461</v>
      </c>
      <c r="BN12" s="23">
        <f>'Funds fee streams'!AZ12</f>
        <v>706.08928904798461</v>
      </c>
      <c r="BO12" s="23">
        <f>'Funds fee streams'!BA12</f>
        <v>366.90750000000003</v>
      </c>
      <c r="BP12" s="23">
        <f>'Funds fee streams'!BB12</f>
        <v>385.48141461309331</v>
      </c>
      <c r="BQ12" s="23">
        <f>'Funds fee streams'!BC12</f>
        <v>752.38891461309333</v>
      </c>
      <c r="BR12" s="23">
        <f>'Funds fee streams'!BD12</f>
        <v>468.50049042600023</v>
      </c>
      <c r="BS12" s="23">
        <f>'Funds fee streams'!BE12</f>
        <v>493.35020419551051</v>
      </c>
      <c r="BT12" s="23">
        <f>'Funds fee streams'!BF12</f>
        <v>961.85069462151068</v>
      </c>
      <c r="BU12" s="23">
        <f>'Funds fee streams'!BG12</f>
        <v>518.47108353044837</v>
      </c>
      <c r="BV12" s="23">
        <f>'Funds fee streams'!BH12</f>
        <v>544.68308821045923</v>
      </c>
      <c r="BW12" s="23">
        <f>'Funds fee streams'!BI12</f>
        <v>1063.1541717409077</v>
      </c>
      <c r="BX12" s="23">
        <f>'Funds fee streams'!BJ12</f>
        <v>572.11222506379829</v>
      </c>
      <c r="BY12" s="23">
        <f>'Funds fee streams'!BK12</f>
        <v>599.83483851676954</v>
      </c>
      <c r="BZ12" s="23">
        <f>'Funds fee streams'!BL12</f>
        <v>1171.9470635805678</v>
      </c>
      <c r="CA12" s="23">
        <f>'Funds fee streams'!BM12</f>
        <v>628.4563674874023</v>
      </c>
      <c r="CB12" s="23">
        <f>'Funds fee streams'!BN12</f>
        <v>657.79175404661123</v>
      </c>
      <c r="CC12" s="23">
        <f>'Funds fee streams'!BO12</f>
        <v>1286.2481215340135</v>
      </c>
      <c r="CD12" s="57">
        <f>(BB12/AS12)^(1/3)-1</f>
        <v>7.7996542584265249E-2</v>
      </c>
      <c r="CE12" s="65"/>
      <c r="CF12" s="65"/>
      <c r="CG12" s="65"/>
      <c r="CH12" s="65"/>
      <c r="CI12" s="65"/>
      <c r="CJ12" s="65"/>
      <c r="CK12" s="57">
        <f>(BB12/AS12)^(1/3)-1</f>
        <v>7.7996542584265249E-2</v>
      </c>
      <c r="CL12" s="58">
        <f t="shared" si="45"/>
        <v>139.10000000000002</v>
      </c>
      <c r="CM12" s="19">
        <f t="shared" si="46"/>
        <v>181</v>
      </c>
      <c r="CN12" s="19">
        <f t="shared" si="47"/>
        <v>205.89999999999998</v>
      </c>
      <c r="CO12" s="19">
        <f t="shared" si="48"/>
        <v>215.7</v>
      </c>
      <c r="CP12" s="19">
        <f t="shared" si="49"/>
        <v>259.7</v>
      </c>
      <c r="CQ12" s="19">
        <f t="shared" si="50"/>
        <v>266.60000000000002</v>
      </c>
      <c r="CR12" s="19">
        <f t="shared" si="51"/>
        <v>316.5</v>
      </c>
      <c r="CS12" s="19">
        <f t="shared" si="52"/>
        <v>469.69999999999993</v>
      </c>
      <c r="CT12" s="19">
        <f t="shared" si="53"/>
        <v>511.2</v>
      </c>
      <c r="CU12" s="19">
        <f t="shared" si="54"/>
        <v>459.1</v>
      </c>
      <c r="CV12" s="19">
        <f t="shared" si="55"/>
        <v>588.4</v>
      </c>
      <c r="CW12" s="19">
        <f t="shared" si="56"/>
        <v>480.6</v>
      </c>
      <c r="CX12" s="19">
        <f t="shared" si="57"/>
        <v>776.4</v>
      </c>
      <c r="CY12" s="19">
        <f t="shared" si="58"/>
        <v>837.4</v>
      </c>
      <c r="CZ12" s="19">
        <f t="shared" si="59"/>
        <v>706.08928904798461</v>
      </c>
      <c r="DA12" s="19">
        <f t="shared" si="60"/>
        <v>752.38891461309333</v>
      </c>
      <c r="DB12" s="19">
        <f t="shared" si="61"/>
        <v>961.85069462151068</v>
      </c>
      <c r="DC12" s="19">
        <f t="shared" si="62"/>
        <v>1063.1541717409077</v>
      </c>
      <c r="DD12" s="19">
        <f t="shared" si="63"/>
        <v>1171.9470635805678</v>
      </c>
      <c r="DE12" s="19">
        <f t="shared" si="64"/>
        <v>1286.2481215340135</v>
      </c>
      <c r="DF12" s="59">
        <f t="shared" si="65"/>
        <v>0.13199504574792931</v>
      </c>
      <c r="DH12" s="51">
        <f>+SUM(DH8:DH10)</f>
        <v>938.09999999999991</v>
      </c>
      <c r="DJ12" s="48">
        <f>DB12/DA12</f>
        <v>1.2783956221844794</v>
      </c>
    </row>
    <row r="13" spans="1:137" ht="12.75" customHeight="1">
      <c r="A13" s="1"/>
      <c r="B13" s="13" t="s">
        <v>2</v>
      </c>
      <c r="C13" s="1"/>
      <c r="D13" s="1"/>
      <c r="E13" s="1"/>
      <c r="F13" s="19"/>
      <c r="G13" s="19"/>
      <c r="H13" s="19"/>
      <c r="I13" s="19"/>
      <c r="J13" s="19"/>
      <c r="K13" s="19"/>
      <c r="L13" s="56">
        <v>299</v>
      </c>
      <c r="M13" s="56">
        <v>63.2</v>
      </c>
      <c r="N13" s="56">
        <v>26.799999999999997</v>
      </c>
      <c r="O13" s="56">
        <v>90</v>
      </c>
      <c r="P13" s="56">
        <f>'Funds fee streams'!B33</f>
        <v>19.5</v>
      </c>
      <c r="Q13" s="56">
        <f>'Funds fee streams'!C33</f>
        <v>53.200000000000017</v>
      </c>
      <c r="R13" s="56">
        <f>'Funds fee streams'!D33</f>
        <v>72.700000000000017</v>
      </c>
      <c r="S13" s="56">
        <f>'Funds fee streams'!E33</f>
        <v>48.699999999999989</v>
      </c>
      <c r="T13" s="56">
        <f>'Funds fee streams'!F33</f>
        <v>108.9</v>
      </c>
      <c r="U13" s="56">
        <f>'Funds fee streams'!G33</f>
        <v>157.6</v>
      </c>
      <c r="V13" s="56">
        <f>'Funds fee streams'!H33</f>
        <v>86</v>
      </c>
      <c r="W13" s="56">
        <f>'Funds fee streams'!I33</f>
        <v>97.6</v>
      </c>
      <c r="X13" s="56">
        <f>'Funds fee streams'!J33</f>
        <v>183.6</v>
      </c>
      <c r="Y13" s="56">
        <f>'Funds fee streams'!K33</f>
        <v>102.1</v>
      </c>
      <c r="Z13" s="56">
        <f>'Funds fee streams'!L33</f>
        <v>105.70000000000002</v>
      </c>
      <c r="AA13" s="56">
        <f>'Funds fee streams'!M33</f>
        <v>207.8</v>
      </c>
      <c r="AB13" s="56">
        <f>'Funds fee streams'!N33</f>
        <v>132.80000000000001</v>
      </c>
      <c r="AC13" s="56">
        <f>'Funds fee streams'!O33</f>
        <v>143.69999999999999</v>
      </c>
      <c r="AD13" s="56">
        <f>'Funds fee streams'!P33</f>
        <v>276.5</v>
      </c>
      <c r="AE13" s="56">
        <f>'Funds fee streams'!Q33</f>
        <v>157.80000000000001</v>
      </c>
      <c r="AF13" s="56">
        <f>'Funds fee streams'!R33</f>
        <v>170</v>
      </c>
      <c r="AG13" s="56">
        <f>'Funds fee streams'!S33</f>
        <v>327.8</v>
      </c>
      <c r="AH13" s="56">
        <f>'Funds fee streams'!T33</f>
        <v>218</v>
      </c>
      <c r="AI13" s="56">
        <f>'Funds fee streams'!U33</f>
        <v>246.10000000000002</v>
      </c>
      <c r="AJ13" s="56">
        <f>'Funds fee streams'!V33</f>
        <v>464.1</v>
      </c>
      <c r="AK13" s="56">
        <f>'Funds fee streams'!W33</f>
        <v>257.2</v>
      </c>
      <c r="AL13" s="56">
        <f>'Funds fee streams'!X33</f>
        <v>225.7</v>
      </c>
      <c r="AM13" s="56">
        <f>'Funds fee streams'!Y33</f>
        <v>482.9</v>
      </c>
      <c r="AN13" s="56">
        <f>'Funds fee streams'!Z33</f>
        <v>243.4</v>
      </c>
      <c r="AO13" s="56">
        <f>'Funds fee streams'!AA33</f>
        <v>247.20000000000002</v>
      </c>
      <c r="AP13" s="56">
        <f>'Funds fee streams'!AB33</f>
        <v>490.6</v>
      </c>
      <c r="AQ13" s="56">
        <f>'Funds fee streams'!AC33</f>
        <v>273.3</v>
      </c>
      <c r="AR13" s="56">
        <f>'Funds fee streams'!AD33</f>
        <v>235.89999999999998</v>
      </c>
      <c r="AS13" s="56">
        <f>'Funds fee streams'!AE33</f>
        <v>509.2</v>
      </c>
      <c r="AT13" s="56">
        <f>'Funds fee streams'!AF33</f>
        <v>300.10000000000002</v>
      </c>
      <c r="AU13" s="56">
        <f>'Funds fee streams'!AG33</f>
        <v>275.60000000000002</v>
      </c>
      <c r="AV13" s="56">
        <f>'Funds fee streams'!AH33</f>
        <v>575.70000000000005</v>
      </c>
      <c r="AW13" s="56">
        <f>'Funds fee streams'!AI33</f>
        <v>397.2</v>
      </c>
      <c r="AX13" s="56">
        <f>'Funds fee streams'!AJ33</f>
        <v>320.7</v>
      </c>
      <c r="AY13" s="56">
        <f>'Funds fee streams'!AK33</f>
        <v>717.9</v>
      </c>
      <c r="AZ13" s="56">
        <f>'Funds fee streams'!AL33</f>
        <v>562.79999999999995</v>
      </c>
      <c r="BA13" s="56">
        <f>'Funds fee streams'!AM33</f>
        <v>397.90000000000009</v>
      </c>
      <c r="BB13" s="56">
        <f>'Funds fee streams'!AN33</f>
        <v>960.7</v>
      </c>
      <c r="BC13" s="56">
        <f>'Funds fee streams'!AO33</f>
        <v>602.4</v>
      </c>
      <c r="BD13" s="56">
        <f>'Funds fee streams'!AP33</f>
        <v>698.80000000000007</v>
      </c>
      <c r="BE13" s="56">
        <f t="shared" si="39"/>
        <v>1301.2</v>
      </c>
      <c r="BF13" s="56">
        <f>'Funds fee streams'!AR33</f>
        <v>804.7</v>
      </c>
      <c r="BG13" s="56">
        <f>'Funds fee streams'!AS33</f>
        <v>472.09999999999991</v>
      </c>
      <c r="BH13" s="56">
        <f>'Funds fee streams'!AT33</f>
        <v>1276.8</v>
      </c>
      <c r="BI13" s="56">
        <f>'Funds fee streams'!AU33</f>
        <v>700.7</v>
      </c>
      <c r="BJ13" s="56">
        <f>'Funds fee streams'!AV33</f>
        <v>637.79999999999995</v>
      </c>
      <c r="BK13" s="56">
        <f>'Funds fee streams'!AW33</f>
        <v>1338.5</v>
      </c>
      <c r="BL13" s="56">
        <f>'Funds fee streams'!AX33</f>
        <v>665.2</v>
      </c>
      <c r="BM13" s="23">
        <f>'Funds fee streams'!AY33</f>
        <v>1000</v>
      </c>
      <c r="BN13" s="23">
        <f>'Funds fee streams'!AZ33</f>
        <v>1665.2</v>
      </c>
      <c r="BO13" s="23">
        <f>'Funds fee streams'!BA33</f>
        <v>980</v>
      </c>
      <c r="BP13" s="23">
        <f>'Funds fee streams'!BB33</f>
        <v>980</v>
      </c>
      <c r="BQ13" s="23">
        <f>'Funds fee streams'!BC33</f>
        <v>1960</v>
      </c>
      <c r="BR13" s="23">
        <f>'Funds fee streams'!BD33</f>
        <v>1050</v>
      </c>
      <c r="BS13" s="23">
        <f>'Funds fee streams'!BE33</f>
        <v>1050</v>
      </c>
      <c r="BT13" s="23">
        <f>'Funds fee streams'!BF33</f>
        <v>2100</v>
      </c>
      <c r="BU13" s="23">
        <f>'Funds fee streams'!BG33</f>
        <v>1120</v>
      </c>
      <c r="BV13" s="23">
        <f>'Funds fee streams'!BH33</f>
        <v>1120</v>
      </c>
      <c r="BW13" s="23">
        <f>'Funds fee streams'!BI33</f>
        <v>2240</v>
      </c>
      <c r="BX13" s="23">
        <f>'Funds fee streams'!BJ33</f>
        <v>1171.5</v>
      </c>
      <c r="BY13" s="23">
        <f>'Funds fee streams'!BK33</f>
        <v>1155</v>
      </c>
      <c r="BZ13" s="23">
        <f>'Funds fee streams'!BL33</f>
        <v>2326.5</v>
      </c>
      <c r="CA13" s="23">
        <f>'Funds fee streams'!BM33</f>
        <v>1207</v>
      </c>
      <c r="CB13" s="23">
        <f>'Funds fee streams'!BN33</f>
        <v>1190</v>
      </c>
      <c r="CC13" s="23">
        <f>'Funds fee streams'!BO33</f>
        <v>2397</v>
      </c>
      <c r="CD13" s="57">
        <f>(BB13/AS13)^(1/3)-1</f>
        <v>0.23566230568994673</v>
      </c>
      <c r="CE13" s="65"/>
      <c r="CF13" s="65"/>
      <c r="CG13" s="65"/>
      <c r="CH13" s="65"/>
      <c r="CI13" s="65"/>
      <c r="CJ13" s="65"/>
      <c r="CK13" s="57">
        <f>(BB13/AS13)^(1/3)-1</f>
        <v>0.23566230568994673</v>
      </c>
      <c r="CL13" s="58">
        <f t="shared" si="45"/>
        <v>183.6</v>
      </c>
      <c r="CM13" s="19">
        <f t="shared" si="46"/>
        <v>207.8</v>
      </c>
      <c r="CN13" s="19">
        <f t="shared" si="47"/>
        <v>276.5</v>
      </c>
      <c r="CO13" s="19">
        <f t="shared" si="48"/>
        <v>327.8</v>
      </c>
      <c r="CP13" s="19">
        <f t="shared" si="49"/>
        <v>464.1</v>
      </c>
      <c r="CQ13" s="19">
        <f t="shared" si="50"/>
        <v>482.9</v>
      </c>
      <c r="CR13" s="19">
        <f t="shared" si="51"/>
        <v>490.6</v>
      </c>
      <c r="CS13" s="19">
        <f t="shared" si="52"/>
        <v>509.2</v>
      </c>
      <c r="CT13" s="19">
        <f t="shared" si="53"/>
        <v>575.70000000000005</v>
      </c>
      <c r="CU13" s="19">
        <f t="shared" si="54"/>
        <v>717.9</v>
      </c>
      <c r="CV13" s="19">
        <f t="shared" si="55"/>
        <v>960.7</v>
      </c>
      <c r="CW13" s="19">
        <f t="shared" si="56"/>
        <v>1301.2</v>
      </c>
      <c r="CX13" s="19">
        <f t="shared" si="57"/>
        <v>1276.8</v>
      </c>
      <c r="CY13" s="19">
        <f t="shared" si="58"/>
        <v>1338.5</v>
      </c>
      <c r="CZ13" s="19">
        <f t="shared" si="59"/>
        <v>1665.2</v>
      </c>
      <c r="DA13" s="19">
        <f t="shared" si="60"/>
        <v>1960</v>
      </c>
      <c r="DB13" s="19">
        <f t="shared" si="61"/>
        <v>2100</v>
      </c>
      <c r="DC13" s="19">
        <f t="shared" si="62"/>
        <v>2240</v>
      </c>
      <c r="DD13" s="19">
        <f t="shared" si="63"/>
        <v>2326.5</v>
      </c>
      <c r="DE13" s="19">
        <f t="shared" si="64"/>
        <v>2397</v>
      </c>
      <c r="DF13" s="59">
        <f t="shared" si="65"/>
        <v>0.13530391762166194</v>
      </c>
      <c r="DH13" s="51"/>
      <c r="DJ13" s="48">
        <f>DB13/DA13</f>
        <v>1.0714285714285714</v>
      </c>
    </row>
    <row r="14" spans="1:137" ht="12.75" customHeight="1">
      <c r="A14" s="1"/>
      <c r="B14" s="13" t="s">
        <v>55</v>
      </c>
      <c r="C14" s="1"/>
      <c r="D14" s="1"/>
      <c r="E14" s="1"/>
      <c r="F14" s="19"/>
      <c r="G14" s="19"/>
      <c r="H14" s="19"/>
      <c r="I14" s="19"/>
      <c r="J14" s="19"/>
      <c r="K14" s="19"/>
      <c r="L14" s="56">
        <v>-46.8</v>
      </c>
      <c r="M14" s="56">
        <v>-11.099999999999989</v>
      </c>
      <c r="N14" s="56">
        <v>-12.400000000000011</v>
      </c>
      <c r="O14" s="56">
        <v>-23.5</v>
      </c>
      <c r="P14" s="56">
        <v>-62.399999999999984</v>
      </c>
      <c r="Q14" s="56">
        <v>-123.9</v>
      </c>
      <c r="R14" s="56">
        <v>-137.6</v>
      </c>
      <c r="S14" s="56">
        <v>-55.7</v>
      </c>
      <c r="T14" s="56">
        <v>-75.999999999999986</v>
      </c>
      <c r="U14" s="56">
        <v>-131.69999999999999</v>
      </c>
      <c r="V14" s="56">
        <v>-63.3</v>
      </c>
      <c r="W14" s="56">
        <v>-79.699999999999989</v>
      </c>
      <c r="X14" s="56">
        <v>-142.99999999999997</v>
      </c>
      <c r="Y14" s="56">
        <v>-69.700000000000017</v>
      </c>
      <c r="Z14" s="56">
        <v>-87.199999999999989</v>
      </c>
      <c r="AA14" s="56">
        <v>-156.9</v>
      </c>
      <c r="AB14" s="56">
        <v>-95.2</v>
      </c>
      <c r="AC14" s="56">
        <v>-105.3</v>
      </c>
      <c r="AD14" s="56">
        <v>-200.5</v>
      </c>
      <c r="AE14" s="56">
        <v>-101.30000000000001</v>
      </c>
      <c r="AF14" s="56">
        <v>-113.09999999999998</v>
      </c>
      <c r="AG14" s="56">
        <v>-214.39999999999998</v>
      </c>
      <c r="AH14" s="56">
        <v>-113.30000000000001</v>
      </c>
      <c r="AI14" s="56">
        <v>-130.69999999999999</v>
      </c>
      <c r="AJ14" s="56">
        <v>-243.99999999999997</v>
      </c>
      <c r="AK14" s="56">
        <v>-131.89999999999998</v>
      </c>
      <c r="AL14" s="56">
        <f>-239.7-AK14</f>
        <v>-107.80000000000001</v>
      </c>
      <c r="AM14" s="56">
        <f>+AL14+AK14</f>
        <v>-239.7</v>
      </c>
      <c r="AN14" s="56">
        <v>-125.1</v>
      </c>
      <c r="AO14" s="56">
        <f>AP14-AN14</f>
        <v>-118.1</v>
      </c>
      <c r="AP14" s="56">
        <v>-243.2</v>
      </c>
      <c r="AQ14" s="56">
        <v>-129</v>
      </c>
      <c r="AR14" s="56">
        <f>AS14-AQ14</f>
        <v>-132.10000000000002</v>
      </c>
      <c r="AS14" s="56">
        <v>-261.10000000000002</v>
      </c>
      <c r="AT14" s="56">
        <v>-139.69999999999999</v>
      </c>
      <c r="AU14" s="56">
        <f t="shared" ref="AU14" si="66">AV14-AT14</f>
        <v>-152.60000000000002</v>
      </c>
      <c r="AV14" s="56">
        <v>-292.3</v>
      </c>
      <c r="AW14" s="56">
        <v>-138.9</v>
      </c>
      <c r="AX14" s="56">
        <f t="shared" ref="AX14" si="67">AY14-AW14</f>
        <v>-155.1</v>
      </c>
      <c r="AY14" s="56">
        <v>-294</v>
      </c>
      <c r="AZ14" s="56">
        <v>-196.1</v>
      </c>
      <c r="BA14" s="56">
        <f>-349.3-AZ14</f>
        <v>-153.20000000000002</v>
      </c>
      <c r="BB14" s="56">
        <f>SUM(AZ14:BA14)</f>
        <v>-349.3</v>
      </c>
      <c r="BC14" s="56">
        <v>-179.6</v>
      </c>
      <c r="BD14" s="56">
        <f>-372.5-BC14</f>
        <v>-192.9</v>
      </c>
      <c r="BE14" s="56">
        <f>SUM(BC14:BD14)</f>
        <v>-372.5</v>
      </c>
      <c r="BF14" s="56">
        <v>-211.4</v>
      </c>
      <c r="BG14" s="56">
        <f t="shared" ref="BG14" si="68">BH14-BF14</f>
        <v>-171.29999999999998</v>
      </c>
      <c r="BH14" s="56">
        <v>-382.7</v>
      </c>
      <c r="BI14" s="56">
        <v>-203.9</v>
      </c>
      <c r="BJ14" s="56">
        <f>-400.8-BI14</f>
        <v>-196.9</v>
      </c>
      <c r="BK14" s="56">
        <f>SUM(BI14:BJ14)</f>
        <v>-400.8</v>
      </c>
      <c r="BL14" s="56">
        <v>-185.5</v>
      </c>
      <c r="BM14" s="23">
        <f t="shared" ref="BM14" si="69">BN14-BL14</f>
        <v>-215.3</v>
      </c>
      <c r="BN14" s="23">
        <f>BK14</f>
        <v>-400.8</v>
      </c>
      <c r="BO14" s="23">
        <f t="shared" ref="BO14" si="70">BQ14*BL14/BN14</f>
        <v>-191.065</v>
      </c>
      <c r="BP14" s="23">
        <f t="shared" ref="BP14" si="71">BQ14-BO14</f>
        <v>-221.75900000000001</v>
      </c>
      <c r="BQ14" s="23">
        <f>BN14*1.03</f>
        <v>-412.82400000000001</v>
      </c>
      <c r="BR14" s="23">
        <f t="shared" ref="BR14" si="72">BT14*BO14/BQ14</f>
        <v>-196.79695000000001</v>
      </c>
      <c r="BS14" s="23">
        <f t="shared" ref="BS14" si="73">BT14-BR14</f>
        <v>-228.41177000000002</v>
      </c>
      <c r="BT14" s="23">
        <f>BQ14*1.03</f>
        <v>-425.20872000000003</v>
      </c>
      <c r="BU14" s="23">
        <f t="shared" ref="BU14" si="74">BW14*BR14/BT14</f>
        <v>-202.70085850000001</v>
      </c>
      <c r="BV14" s="23">
        <f t="shared" ref="BV14" si="75">BW14-BU14</f>
        <v>-235.26412310000003</v>
      </c>
      <c r="BW14" s="23">
        <f>BT14*1.03</f>
        <v>-437.96498160000004</v>
      </c>
      <c r="BX14" s="23">
        <f t="shared" ref="BX14" si="76">BZ14*BU14/BW14</f>
        <v>-208.78188425500002</v>
      </c>
      <c r="BY14" s="23">
        <f t="shared" ref="BY14" si="77">BZ14-BX14</f>
        <v>-242.32204679300003</v>
      </c>
      <c r="BZ14" s="23">
        <f>BW14*1.03</f>
        <v>-451.10393104800005</v>
      </c>
      <c r="CA14" s="23">
        <f t="shared" ref="CA14" si="78">CC14*BX14/BZ14</f>
        <v>-215.04534078265004</v>
      </c>
      <c r="CB14" s="23">
        <f t="shared" ref="CB14" si="79">CC14-CA14</f>
        <v>-249.59170819679002</v>
      </c>
      <c r="CC14" s="23">
        <f>BZ14*1.03</f>
        <v>-464.63704897944007</v>
      </c>
      <c r="CD14" s="57"/>
      <c r="CE14" s="65"/>
      <c r="CF14" s="65"/>
      <c r="CG14" s="65"/>
      <c r="CH14" s="65"/>
      <c r="CI14" s="65"/>
      <c r="CJ14" s="65"/>
      <c r="CK14" s="60"/>
      <c r="CL14" s="58">
        <f t="shared" si="45"/>
        <v>-142.99999999999997</v>
      </c>
      <c r="CM14" s="19">
        <f t="shared" si="46"/>
        <v>-156.9</v>
      </c>
      <c r="CN14" s="19">
        <f t="shared" si="47"/>
        <v>-200.5</v>
      </c>
      <c r="CO14" s="19">
        <f t="shared" si="48"/>
        <v>-214.39999999999998</v>
      </c>
      <c r="CP14" s="19">
        <f t="shared" si="49"/>
        <v>-243.99999999999997</v>
      </c>
      <c r="CQ14" s="19">
        <f t="shared" si="50"/>
        <v>-239.7</v>
      </c>
      <c r="CR14" s="19">
        <f t="shared" si="51"/>
        <v>-243.2</v>
      </c>
      <c r="CS14" s="19">
        <f t="shared" si="52"/>
        <v>-261.10000000000002</v>
      </c>
      <c r="CT14" s="19">
        <f t="shared" si="53"/>
        <v>-292.3</v>
      </c>
      <c r="CU14" s="19">
        <f t="shared" si="54"/>
        <v>-294</v>
      </c>
      <c r="CV14" s="19">
        <f t="shared" si="55"/>
        <v>-349.3</v>
      </c>
      <c r="CW14" s="19">
        <f t="shared" si="56"/>
        <v>-372.5</v>
      </c>
      <c r="CX14" s="19">
        <f t="shared" si="57"/>
        <v>-382.7</v>
      </c>
      <c r="CY14" s="19">
        <f t="shared" si="58"/>
        <v>-400.8</v>
      </c>
      <c r="CZ14" s="19">
        <f t="shared" si="59"/>
        <v>-400.8</v>
      </c>
      <c r="DA14" s="19">
        <f t="shared" si="60"/>
        <v>-412.82400000000001</v>
      </c>
      <c r="DB14" s="19">
        <f t="shared" si="61"/>
        <v>-425.20872000000003</v>
      </c>
      <c r="DC14" s="19">
        <f t="shared" si="62"/>
        <v>-437.96498160000004</v>
      </c>
      <c r="DD14" s="19">
        <f t="shared" si="63"/>
        <v>-451.10393104800005</v>
      </c>
      <c r="DE14" s="19">
        <f t="shared" si="64"/>
        <v>-464.63704897944007</v>
      </c>
      <c r="DF14" s="59">
        <f t="shared" si="65"/>
        <v>6.5273818209850232E-2</v>
      </c>
      <c r="DG14" s="55" t="s">
        <v>52</v>
      </c>
      <c r="DH14" s="51">
        <f>+AH8</f>
        <v>205.89999999999998</v>
      </c>
      <c r="DI14" s="60">
        <f>+DH14/DH18</f>
        <v>0.36053230607599374</v>
      </c>
    </row>
    <row r="15" spans="1:137" ht="12.75" customHeight="1">
      <c r="A15" s="1"/>
      <c r="B15" s="13"/>
      <c r="C15" s="1"/>
      <c r="D15" s="1"/>
      <c r="E15" s="1"/>
      <c r="F15" s="19"/>
      <c r="G15" s="19"/>
      <c r="H15" s="19"/>
      <c r="I15" s="19"/>
      <c r="J15" s="19"/>
      <c r="K15" s="19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7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32" t="s">
        <v>360</v>
      </c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68"/>
      <c r="CE15" s="65"/>
      <c r="CF15" s="65"/>
      <c r="CG15" s="65"/>
      <c r="CH15" s="65"/>
      <c r="CI15" s="65"/>
      <c r="CJ15" s="65"/>
      <c r="CK15" s="60"/>
      <c r="CL15" s="58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G15" s="48" t="str">
        <f>+B18</f>
        <v>Operating EBITDA (look-through)</v>
      </c>
      <c r="DH15" s="51">
        <f>+AH12</f>
        <v>147.19999999999999</v>
      </c>
      <c r="DI15" s="60">
        <f>+DH15/DH18</f>
        <v>0.25774820521800035</v>
      </c>
      <c r="DJ15" s="69"/>
      <c r="DK15" s="69"/>
    </row>
    <row r="16" spans="1:137" s="75" customFormat="1" ht="12.75" customHeight="1">
      <c r="A16" s="70"/>
      <c r="B16" s="71" t="s">
        <v>56</v>
      </c>
      <c r="C16" s="70"/>
      <c r="D16" s="70"/>
      <c r="E16" s="70"/>
      <c r="F16" s="70"/>
      <c r="G16" s="70"/>
      <c r="H16" s="70"/>
      <c r="I16" s="70"/>
      <c r="J16" s="70"/>
      <c r="K16" s="70"/>
      <c r="L16" s="72">
        <f>L18/SUM(L8:L13)</f>
        <v>0.94454976303317539</v>
      </c>
      <c r="M16" s="72">
        <f>M18/SUM(M8:M13)</f>
        <v>0.97581699346405237</v>
      </c>
      <c r="N16" s="72">
        <f>N18/SUM(N8:N13)</f>
        <v>0.97262693156732882</v>
      </c>
      <c r="O16" s="72">
        <f>O18/SUM(O8:O13)</f>
        <v>0.97422391948640352</v>
      </c>
      <c r="P16" s="72">
        <f>P18/SUM(P9:P13)</f>
        <v>0.74706120794487241</v>
      </c>
      <c r="Q16" s="72">
        <f t="shared" ref="Q16" si="80">Q18/SUM(Q9:Q13)</f>
        <v>0.55876068376068388</v>
      </c>
      <c r="R16" s="72">
        <f>R18/SUM(R9:R13)</f>
        <v>0.73914691943127953</v>
      </c>
      <c r="S16" s="72">
        <f>S14/SUM(S9:S13)</f>
        <v>-0.20380534211489207</v>
      </c>
      <c r="T16" s="72">
        <f t="shared" ref="T16:AL16" si="81">T14/SUM(T9:T13)</f>
        <v>-0.22700119474313021</v>
      </c>
      <c r="U16" s="72">
        <f t="shared" si="81"/>
        <v>-0.21657622101628018</v>
      </c>
      <c r="V16" s="72">
        <f t="shared" si="81"/>
        <v>-0.19524984577421345</v>
      </c>
      <c r="W16" s="72">
        <f t="shared" si="81"/>
        <v>-0.22706552706552705</v>
      </c>
      <c r="X16" s="72">
        <f t="shared" si="81"/>
        <v>-0.21178909952606628</v>
      </c>
      <c r="Y16" s="72">
        <f t="shared" si="81"/>
        <v>-0.18375955707882943</v>
      </c>
      <c r="Z16" s="72">
        <f t="shared" si="81"/>
        <v>-0.22210901681100353</v>
      </c>
      <c r="AA16" s="72">
        <f t="shared" si="81"/>
        <v>-0.20326467158958419</v>
      </c>
      <c r="AB16" s="72">
        <f t="shared" si="81"/>
        <v>-0.22829736211031179</v>
      </c>
      <c r="AC16" s="72">
        <f t="shared" si="81"/>
        <v>-0.23317094774136404</v>
      </c>
      <c r="AD16" s="72">
        <f t="shared" si="81"/>
        <v>-0.23083122265714945</v>
      </c>
      <c r="AE16" s="72">
        <f t="shared" si="81"/>
        <v>-0.22108249672632041</v>
      </c>
      <c r="AF16" s="72">
        <f t="shared" si="81"/>
        <v>-0.23567409877057718</v>
      </c>
      <c r="AG16" s="72">
        <f t="shared" si="81"/>
        <v>-0.2285470632128771</v>
      </c>
      <c r="AH16" s="72">
        <f t="shared" si="81"/>
        <v>-0.19838907371738754</v>
      </c>
      <c r="AI16" s="72">
        <f t="shared" si="81"/>
        <v>-0.23368496334704089</v>
      </c>
      <c r="AJ16" s="72">
        <f t="shared" si="81"/>
        <v>-0.21585279547062983</v>
      </c>
      <c r="AK16" s="72">
        <f t="shared" si="81"/>
        <v>-0.21630042636930139</v>
      </c>
      <c r="AL16" s="72">
        <f t="shared" si="81"/>
        <v>-0.20096942580164059</v>
      </c>
      <c r="AM16" s="73">
        <f>AM14/SUM(AM9:AM13)</f>
        <v>-0.20912580701448266</v>
      </c>
      <c r="AN16" s="72"/>
      <c r="AO16" s="72"/>
      <c r="AP16" s="73">
        <f>AP14/SUM(AP9:AP13)</f>
        <v>-0.20404396341974995</v>
      </c>
      <c r="AQ16" s="72"/>
      <c r="AR16" s="72"/>
      <c r="AS16" s="73">
        <f>AS14/SUM(AS9:AS13)</f>
        <v>-0.19326424870466322</v>
      </c>
      <c r="AT16" s="72"/>
      <c r="AU16" s="72"/>
      <c r="AV16" s="72">
        <v>-0.182</v>
      </c>
      <c r="AW16" s="72"/>
      <c r="AX16" s="72"/>
      <c r="AY16" s="72">
        <v>-0.185</v>
      </c>
      <c r="AZ16" s="72"/>
      <c r="BA16" s="72"/>
      <c r="BB16" s="72">
        <v>-0.17</v>
      </c>
      <c r="BC16" s="72"/>
      <c r="BD16" s="72"/>
      <c r="BE16" s="72">
        <f>BE14/SUM(BE9:BE13)</f>
        <v>-0.16103233615770363</v>
      </c>
      <c r="BF16" s="72"/>
      <c r="BG16" s="72"/>
      <c r="BH16" s="72">
        <v>-0.154</v>
      </c>
      <c r="BI16" s="72"/>
      <c r="BJ16" s="72"/>
      <c r="BK16" s="72">
        <f>BH16</f>
        <v>-0.154</v>
      </c>
      <c r="BL16" s="72"/>
      <c r="BM16" s="72"/>
      <c r="BN16" s="72">
        <f>BK16</f>
        <v>-0.154</v>
      </c>
      <c r="BO16" s="72"/>
      <c r="BP16" s="72"/>
      <c r="BQ16" s="72">
        <f>BN16</f>
        <v>-0.154</v>
      </c>
      <c r="BR16" s="72"/>
      <c r="BS16" s="72"/>
      <c r="BT16" s="72">
        <f>BQ16</f>
        <v>-0.154</v>
      </c>
      <c r="BU16" s="72"/>
      <c r="BV16" s="72"/>
      <c r="BW16" s="72">
        <f>BT16</f>
        <v>-0.154</v>
      </c>
      <c r="BX16" s="72"/>
      <c r="BY16" s="72"/>
      <c r="BZ16" s="72">
        <f>BW16</f>
        <v>-0.154</v>
      </c>
      <c r="CA16" s="72"/>
      <c r="CB16" s="72"/>
      <c r="CC16" s="72">
        <f>BZ16</f>
        <v>-0.154</v>
      </c>
      <c r="CD16" s="74"/>
      <c r="CK16" s="76"/>
      <c r="CL16" s="77"/>
      <c r="CM16" s="70"/>
      <c r="CN16" s="70"/>
      <c r="CO16" s="70"/>
      <c r="CP16" s="70"/>
      <c r="CQ16" s="70"/>
      <c r="CR16" s="70"/>
      <c r="CS16" s="70"/>
      <c r="CT16" s="70"/>
      <c r="CU16" s="70"/>
      <c r="CV16" s="70"/>
      <c r="CW16" s="70"/>
      <c r="CX16" s="70"/>
      <c r="CY16" s="70"/>
      <c r="CZ16" s="70"/>
      <c r="DA16" s="70"/>
      <c r="DB16" s="70"/>
      <c r="DC16" s="70"/>
      <c r="DD16" s="70"/>
      <c r="DE16" s="70"/>
      <c r="DF16" s="70"/>
      <c r="DG16" s="78" t="str">
        <f>+B19</f>
        <v>Growth</v>
      </c>
      <c r="DH16" s="78">
        <f>+AH13</f>
        <v>218</v>
      </c>
      <c r="DI16" s="76">
        <f>+DH16/DH18</f>
        <v>0.38171948870600603</v>
      </c>
      <c r="DJ16" s="70"/>
      <c r="DK16" s="70"/>
      <c r="EB16"/>
      <c r="EC16"/>
      <c r="ED16"/>
      <c r="EE16"/>
      <c r="EF16"/>
      <c r="EG16"/>
    </row>
    <row r="17" spans="1:137" s="75" customFormat="1" ht="12.75" customHeight="1">
      <c r="A17" s="70"/>
      <c r="B17" s="71" t="s">
        <v>26</v>
      </c>
      <c r="C17" s="70"/>
      <c r="D17" s="70"/>
      <c r="E17" s="70"/>
      <c r="F17" s="70"/>
      <c r="G17" s="70"/>
      <c r="H17" s="70"/>
      <c r="I17" s="70"/>
      <c r="J17" s="70"/>
      <c r="K17" s="70"/>
      <c r="L17" s="72"/>
      <c r="M17" s="72"/>
      <c r="N17" s="72"/>
      <c r="O17" s="72"/>
      <c r="P17" s="72"/>
      <c r="Q17" s="72"/>
      <c r="R17" s="72"/>
      <c r="S17" s="72">
        <f>S14/U14</f>
        <v>0.42293090356871682</v>
      </c>
      <c r="T17" s="72">
        <f>1-S17</f>
        <v>0.57706909643128323</v>
      </c>
      <c r="U17" s="72"/>
      <c r="V17" s="72">
        <f>V14/X14</f>
        <v>0.44265734265734274</v>
      </c>
      <c r="W17" s="72">
        <f>1-V17</f>
        <v>0.5573426573426572</v>
      </c>
      <c r="X17" s="72"/>
      <c r="Y17" s="72">
        <f>Y14/AA14</f>
        <v>0.44423199490121107</v>
      </c>
      <c r="Z17" s="72">
        <f>1-Y17</f>
        <v>0.55576800509878899</v>
      </c>
      <c r="AA17" s="72"/>
      <c r="AB17" s="72">
        <f>AB14/AD14</f>
        <v>0.47481296758104741</v>
      </c>
      <c r="AC17" s="72">
        <f>1-AB17</f>
        <v>0.52518703241895259</v>
      </c>
      <c r="AD17" s="72"/>
      <c r="AE17" s="72">
        <f>AE14/AG14</f>
        <v>0.47248134328358221</v>
      </c>
      <c r="AF17" s="72">
        <f>1-AE17</f>
        <v>0.52751865671641784</v>
      </c>
      <c r="AG17" s="72"/>
      <c r="AH17" s="72">
        <f>AH14/AJ14</f>
        <v>0.46434426229508208</v>
      </c>
      <c r="AI17" s="72">
        <f>1-AH17</f>
        <v>0.53565573770491792</v>
      </c>
      <c r="AJ17" s="72"/>
      <c r="AK17" s="72">
        <f>AK14/AM14</f>
        <v>0.5502711722987067</v>
      </c>
      <c r="AL17" s="72">
        <f>1-AK17</f>
        <v>0.4497288277012933</v>
      </c>
      <c r="AM17" s="72"/>
      <c r="AN17" s="72">
        <f>AN14/AP14</f>
        <v>0.51439144736842102</v>
      </c>
      <c r="AO17" s="72">
        <f>1-AN17</f>
        <v>0.48560855263157898</v>
      </c>
      <c r="AP17" s="72"/>
      <c r="AQ17" s="72">
        <f>AQ14/AS14</f>
        <v>0.49406357717349669</v>
      </c>
      <c r="AR17" s="72">
        <f>1-AQ17</f>
        <v>0.50593642282650331</v>
      </c>
      <c r="AS17" s="72"/>
      <c r="AT17" s="72">
        <f>AT14/AV14</f>
        <v>0.47793362983236393</v>
      </c>
      <c r="AU17" s="72">
        <f>1-AT17</f>
        <v>0.52206637016763602</v>
      </c>
      <c r="AV17" s="72"/>
      <c r="AW17" s="72">
        <f>AW14/AY14</f>
        <v>0.47244897959183674</v>
      </c>
      <c r="AX17" s="72">
        <f>1-AW17</f>
        <v>0.52755102040816326</v>
      </c>
      <c r="AY17" s="72"/>
      <c r="AZ17" s="72">
        <f>AZ14/BB14</f>
        <v>0.56140853134841107</v>
      </c>
      <c r="BA17" s="72">
        <f>1-AZ17</f>
        <v>0.43859146865158893</v>
      </c>
      <c r="BB17" s="72"/>
      <c r="BC17" s="72">
        <f>AZ17</f>
        <v>0.56140853134841107</v>
      </c>
      <c r="BD17" s="72">
        <f>1-BC17</f>
        <v>0.43859146865158893</v>
      </c>
      <c r="BE17" s="72"/>
      <c r="BF17" s="72">
        <f>BC17</f>
        <v>0.56140853134841107</v>
      </c>
      <c r="BG17" s="72">
        <f>1-BF17</f>
        <v>0.43859146865158893</v>
      </c>
      <c r="BH17" s="72"/>
      <c r="BI17" s="72">
        <f>BF17</f>
        <v>0.56140853134841107</v>
      </c>
      <c r="BJ17" s="72">
        <f>1-BI17</f>
        <v>0.43859146865158893</v>
      </c>
      <c r="BK17" s="72"/>
      <c r="BL17" s="72">
        <f>BI17</f>
        <v>0.56140853134841107</v>
      </c>
      <c r="BM17" s="72">
        <f>1-BL17</f>
        <v>0.43859146865158893</v>
      </c>
      <c r="BN17" s="72"/>
      <c r="BO17" s="72">
        <f>BL17</f>
        <v>0.56140853134841107</v>
      </c>
      <c r="BP17" s="72">
        <f>1-BO17</f>
        <v>0.43859146865158893</v>
      </c>
      <c r="BQ17" s="72"/>
      <c r="BR17" s="72">
        <f>BO17</f>
        <v>0.56140853134841107</v>
      </c>
      <c r="BS17" s="72">
        <f>1-BR17</f>
        <v>0.43859146865158893</v>
      </c>
      <c r="BT17" s="72"/>
      <c r="BU17" s="72">
        <f>BR17</f>
        <v>0.56140853134841107</v>
      </c>
      <c r="BV17" s="72">
        <f>1-BU17</f>
        <v>0.43859146865158893</v>
      </c>
      <c r="BW17" s="72"/>
      <c r="BX17" s="72">
        <f>BU17</f>
        <v>0.56140853134841107</v>
      </c>
      <c r="BY17" s="72">
        <f>1-BX17</f>
        <v>0.43859146865158893</v>
      </c>
      <c r="BZ17" s="72"/>
      <c r="CA17" s="72">
        <f>BX17</f>
        <v>0.56140853134841107</v>
      </c>
      <c r="CB17" s="72">
        <f>1-CA17</f>
        <v>0.43859146865158893</v>
      </c>
      <c r="CC17" s="72"/>
      <c r="CD17" s="74"/>
      <c r="CK17" s="76"/>
      <c r="CL17" s="77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0"/>
      <c r="CY17" s="70"/>
      <c r="CZ17" s="70"/>
      <c r="DA17" s="70"/>
      <c r="DB17" s="70"/>
      <c r="DC17" s="70"/>
      <c r="DD17" s="70"/>
      <c r="DE17" s="70"/>
      <c r="DF17" s="70"/>
      <c r="DG17" s="78"/>
      <c r="DH17" s="78"/>
      <c r="DI17" s="76"/>
      <c r="DJ17" s="70"/>
      <c r="DK17" s="70"/>
      <c r="EB17"/>
      <c r="EC17"/>
      <c r="ED17"/>
      <c r="EE17"/>
      <c r="EF17"/>
      <c r="EG17"/>
    </row>
    <row r="18" spans="1:137" s="86" customFormat="1" ht="12.75" customHeight="1" thickBot="1">
      <c r="A18" s="79"/>
      <c r="B18" s="80" t="s">
        <v>50</v>
      </c>
      <c r="C18" s="79"/>
      <c r="D18" s="81"/>
      <c r="E18" s="81"/>
      <c r="F18" s="82"/>
      <c r="G18" s="82"/>
      <c r="H18" s="82"/>
      <c r="I18" s="82"/>
      <c r="J18" s="82"/>
      <c r="K18" s="82"/>
      <c r="L18" s="82">
        <f>SUM(L8:L14)</f>
        <v>797.2</v>
      </c>
      <c r="M18" s="82">
        <f>SUM(M8:M14)</f>
        <v>447.90000000000003</v>
      </c>
      <c r="N18" s="82">
        <f>SUM(N8:N14)</f>
        <v>440.59999999999997</v>
      </c>
      <c r="O18" s="82">
        <f>SUM(O8:O14)</f>
        <v>888.19795918367345</v>
      </c>
      <c r="P18" s="82">
        <f t="shared" ref="P18:AC18" si="82">SUM(P9:P14)</f>
        <v>184.3</v>
      </c>
      <c r="Q18" s="82">
        <f t="shared" si="82"/>
        <v>156.90000000000006</v>
      </c>
      <c r="R18" s="82">
        <f t="shared" si="82"/>
        <v>389.9</v>
      </c>
      <c r="S18" s="82">
        <f t="shared" si="82"/>
        <v>217.60000000000002</v>
      </c>
      <c r="T18" s="82">
        <f t="shared" si="82"/>
        <v>258.79999999999995</v>
      </c>
      <c r="U18" s="82">
        <f t="shared" si="82"/>
        <v>476.40000000000003</v>
      </c>
      <c r="V18" s="82">
        <f t="shared" si="82"/>
        <v>260.89999999999998</v>
      </c>
      <c r="W18" s="82">
        <f t="shared" si="82"/>
        <v>271.3</v>
      </c>
      <c r="X18" s="82">
        <f t="shared" si="82"/>
        <v>532.20000000000005</v>
      </c>
      <c r="Y18" s="82">
        <f t="shared" si="82"/>
        <v>309.60000000000002</v>
      </c>
      <c r="Z18" s="82">
        <f t="shared" si="82"/>
        <v>305.40000000000003</v>
      </c>
      <c r="AA18" s="82">
        <f t="shared" si="82"/>
        <v>614.99999999999989</v>
      </c>
      <c r="AB18" s="82">
        <f t="shared" si="82"/>
        <v>321.79999999999995</v>
      </c>
      <c r="AC18" s="82">
        <f t="shared" si="82"/>
        <v>346.29999999999995</v>
      </c>
      <c r="AD18" s="82">
        <f>+AC18+AB18</f>
        <v>668.09999999999991</v>
      </c>
      <c r="AE18" s="82">
        <f>SUM(AE9:AE14)</f>
        <v>356.9</v>
      </c>
      <c r="AF18" s="82">
        <f>SUM(AF9:AF14)</f>
        <v>366.8</v>
      </c>
      <c r="AG18" s="82">
        <f>+AF18+AE18</f>
        <v>723.7</v>
      </c>
      <c r="AH18" s="82">
        <f>SUM(AH9:AH14)</f>
        <v>457.7999999999999</v>
      </c>
      <c r="AI18" s="82">
        <f>SUM(AI9:AI14)</f>
        <v>428.60000000000008</v>
      </c>
      <c r="AJ18" s="82">
        <f>+AI18+AH18</f>
        <v>886.4</v>
      </c>
      <c r="AK18" s="82">
        <f>SUM(AK9:AK14)</f>
        <v>477.9</v>
      </c>
      <c r="AL18" s="82">
        <f>SUM(AL9:AL14)</f>
        <v>428.59999999999997</v>
      </c>
      <c r="AM18" s="82">
        <f>+AL18+AK18</f>
        <v>906.5</v>
      </c>
      <c r="AN18" s="82">
        <f>SUM(AN9:AN14)</f>
        <v>476.1</v>
      </c>
      <c r="AO18" s="82">
        <f>SUM(AO9:AO14)</f>
        <v>472.6</v>
      </c>
      <c r="AP18" s="82">
        <f>+AO18+AN18</f>
        <v>948.7</v>
      </c>
      <c r="AQ18" s="82">
        <f>SUM(AQ9:AQ14)</f>
        <v>515.5</v>
      </c>
      <c r="AR18" s="82">
        <f>SUM(AR9:AR14)</f>
        <v>574.4</v>
      </c>
      <c r="AS18" s="82">
        <f>+AR18+AQ18</f>
        <v>1089.9000000000001</v>
      </c>
      <c r="AT18" s="82">
        <f>SUM(AT9:AT14)</f>
        <v>592.70000000000005</v>
      </c>
      <c r="AU18" s="82">
        <f>SUM(AU9:AU14)</f>
        <v>627.1</v>
      </c>
      <c r="AV18" s="82">
        <f>+AU18+AT18</f>
        <v>1219.8000000000002</v>
      </c>
      <c r="AW18" s="82">
        <f>SUM(AW9:AW14)</f>
        <v>673.6</v>
      </c>
      <c r="AX18" s="82">
        <f>SUM(AX9:AX14)</f>
        <v>620.9</v>
      </c>
      <c r="AY18" s="82">
        <f>+AX18+AW18</f>
        <v>1294.5</v>
      </c>
      <c r="AZ18" s="82">
        <f>SUM(AZ9:AZ14)</f>
        <v>858.9</v>
      </c>
      <c r="BA18" s="82">
        <f>SUM(BA9:BA14)</f>
        <v>835.5</v>
      </c>
      <c r="BB18" s="82">
        <f>+BA18+AZ18</f>
        <v>1694.4</v>
      </c>
      <c r="BC18" s="82">
        <f>SUM(BC9:BC14)</f>
        <v>947.5999999999998</v>
      </c>
      <c r="BD18" s="82">
        <f>SUM(BD9:BD14)</f>
        <v>993.1</v>
      </c>
      <c r="BE18" s="82">
        <f>+BD18+BC18</f>
        <v>1940.6999999999998</v>
      </c>
      <c r="BF18" s="82">
        <f>SUM(BF9:BF14)</f>
        <v>1232.3</v>
      </c>
      <c r="BG18" s="82">
        <f>SUM(BG9:BG14)</f>
        <v>1005.3</v>
      </c>
      <c r="BH18" s="82">
        <f>+BG18+BF18</f>
        <v>2237.6</v>
      </c>
      <c r="BI18" s="82">
        <f>SUM(BI9:BI14)</f>
        <v>1271</v>
      </c>
      <c r="BJ18" s="82">
        <f>SUM(BJ9:BJ14)</f>
        <v>1181.8</v>
      </c>
      <c r="BK18" s="82">
        <f>+BJ18+BI18</f>
        <v>2452.8000000000002</v>
      </c>
      <c r="BL18" s="82">
        <f>SUM(BL9:BL14)</f>
        <v>1170.7</v>
      </c>
      <c r="BM18" s="82">
        <f>SUM(BM9:BM14)</f>
        <v>1545.7630966705049</v>
      </c>
      <c r="BN18" s="82">
        <f>+BM18+BL18</f>
        <v>2716.4630966705049</v>
      </c>
      <c r="BO18" s="82">
        <f>SUM(BO9:BO14)</f>
        <v>1556.588011883531</v>
      </c>
      <c r="BP18" s="82">
        <f>SUM(BP9:BP14)</f>
        <v>1567.172110185717</v>
      </c>
      <c r="BQ18" s="82">
        <f>+BP18+BO18</f>
        <v>3123.7601220692477</v>
      </c>
      <c r="BR18" s="82">
        <f>SUM(BR9:BR14)</f>
        <v>1773.3219519591862</v>
      </c>
      <c r="BS18" s="82">
        <f>SUM(BS9:BS14)</f>
        <v>1791.6618019439727</v>
      </c>
      <c r="BT18" s="82">
        <f>+BS18+BR18</f>
        <v>3564.9837539031587</v>
      </c>
      <c r="BU18" s="82">
        <f>SUM(BU9:BU14)</f>
        <v>1943.1691279674876</v>
      </c>
      <c r="BV18" s="82">
        <f>SUM(BV9:BV14)</f>
        <v>1964.5401832582331</v>
      </c>
      <c r="BW18" s="82">
        <f>+BV18+BU18</f>
        <v>3907.7093112257207</v>
      </c>
      <c r="BX18" s="82">
        <f>SUM(BX9:BX14)</f>
        <v>2103.3596713887905</v>
      </c>
      <c r="BY18" s="82">
        <f>SUM(BY9:BY14)</f>
        <v>2111.6171044252155</v>
      </c>
      <c r="BZ18" s="82">
        <f>+BY18+BX18</f>
        <v>4214.976775814006</v>
      </c>
      <c r="CA18" s="82">
        <f>SUM(CA9:CA14)</f>
        <v>2255.901280598177</v>
      </c>
      <c r="CB18" s="82">
        <f>SUM(CB9:CB14)</f>
        <v>2267.373553557346</v>
      </c>
      <c r="CC18" s="82">
        <f>+CB18+CA18</f>
        <v>4523.2748341555234</v>
      </c>
      <c r="CD18" s="83"/>
      <c r="CE18" s="84"/>
      <c r="CF18" s="84"/>
      <c r="CG18" s="84"/>
      <c r="CH18" s="84"/>
      <c r="CI18" s="84"/>
      <c r="CJ18" s="84"/>
      <c r="CK18" s="60"/>
      <c r="CL18" s="85">
        <f>X18</f>
        <v>532.20000000000005</v>
      </c>
      <c r="CM18" s="82">
        <f>AA18</f>
        <v>614.99999999999989</v>
      </c>
      <c r="CN18" s="82">
        <f>AD18</f>
        <v>668.09999999999991</v>
      </c>
      <c r="CO18" s="82">
        <f>AG18</f>
        <v>723.7</v>
      </c>
      <c r="CP18" s="82">
        <f>AJ18</f>
        <v>886.4</v>
      </c>
      <c r="CQ18" s="82">
        <f>AM18</f>
        <v>906.5</v>
      </c>
      <c r="CR18" s="82">
        <f>AP18</f>
        <v>948.7</v>
      </c>
      <c r="CS18" s="82">
        <f>AS18</f>
        <v>1089.9000000000001</v>
      </c>
      <c r="CT18" s="82">
        <f>AV18</f>
        <v>1219.8000000000002</v>
      </c>
      <c r="CU18" s="82">
        <f>AY18</f>
        <v>1294.5</v>
      </c>
      <c r="CV18" s="82">
        <f>BB18</f>
        <v>1694.4</v>
      </c>
      <c r="CW18" s="82">
        <f>BE18</f>
        <v>1940.6999999999998</v>
      </c>
      <c r="CX18" s="82">
        <f>BH18</f>
        <v>2237.6</v>
      </c>
      <c r="CY18" s="82">
        <f>BK18</f>
        <v>2452.8000000000002</v>
      </c>
      <c r="CZ18" s="82">
        <f>BN18</f>
        <v>2716.4630966705049</v>
      </c>
      <c r="DA18" s="82">
        <f>BQ18</f>
        <v>3123.7601220692477</v>
      </c>
      <c r="DB18" s="82">
        <f>BT18</f>
        <v>3564.9837539031587</v>
      </c>
      <c r="DC18" s="82">
        <f>BW18</f>
        <v>3907.7093112257207</v>
      </c>
      <c r="DD18" s="82">
        <f>BZ18</f>
        <v>4214.976775814006</v>
      </c>
      <c r="DE18" s="82">
        <f>CC18</f>
        <v>4523.2748341555234</v>
      </c>
      <c r="DF18" s="48"/>
      <c r="DG18" s="1"/>
      <c r="DH18" s="51">
        <f>+SUM(DH14:DH16)</f>
        <v>571.09999999999991</v>
      </c>
      <c r="DI18" s="1"/>
      <c r="DJ18" s="48"/>
      <c r="DK18" s="48"/>
      <c r="EB18"/>
      <c r="EC18"/>
      <c r="ED18"/>
      <c r="EE18"/>
      <c r="EF18"/>
      <c r="EG18"/>
    </row>
    <row r="19" spans="1:137" ht="12.75" customHeight="1" thickTop="1">
      <c r="A19" s="1"/>
      <c r="B19" s="16" t="s">
        <v>57</v>
      </c>
      <c r="C19" s="1"/>
      <c r="D19" s="1"/>
      <c r="E19" s="1"/>
      <c r="F19" s="19"/>
      <c r="G19" s="87"/>
      <c r="H19" s="87"/>
      <c r="I19" s="11"/>
      <c r="J19" s="11"/>
      <c r="K19" s="11"/>
      <c r="L19" s="11"/>
      <c r="M19" s="11"/>
      <c r="N19" s="11"/>
      <c r="O19" s="11">
        <f t="shared" ref="O19:BK19" si="83">+O18/L18-1</f>
        <v>0.11414696335132146</v>
      </c>
      <c r="P19" s="11">
        <f t="shared" si="83"/>
        <v>-0.58852422415717798</v>
      </c>
      <c r="Q19" s="11">
        <f t="shared" si="83"/>
        <v>-0.64389468906037206</v>
      </c>
      <c r="R19" s="11">
        <f t="shared" si="83"/>
        <v>-0.56102128363551973</v>
      </c>
      <c r="S19" s="11">
        <f t="shared" si="83"/>
        <v>0.18068366793271839</v>
      </c>
      <c r="T19" s="11">
        <f t="shared" si="83"/>
        <v>0.64945825366475374</v>
      </c>
      <c r="U19" s="11">
        <f t="shared" si="83"/>
        <v>0.22185175686073366</v>
      </c>
      <c r="V19" s="11">
        <f t="shared" si="83"/>
        <v>0.19898897058823506</v>
      </c>
      <c r="W19" s="11">
        <f t="shared" si="83"/>
        <v>4.8299845440494815E-2</v>
      </c>
      <c r="X19" s="11">
        <f t="shared" si="83"/>
        <v>0.11712846347607053</v>
      </c>
      <c r="Y19" s="11">
        <f t="shared" si="83"/>
        <v>0.18666155615178259</v>
      </c>
      <c r="Z19" s="11">
        <f t="shared" si="83"/>
        <v>0.12569111684482137</v>
      </c>
      <c r="AA19" s="11">
        <f t="shared" si="83"/>
        <v>0.15558060879368618</v>
      </c>
      <c r="AB19" s="11">
        <f t="shared" si="83"/>
        <v>3.9405684754521664E-2</v>
      </c>
      <c r="AC19" s="11">
        <f>+AC18/Z18-1</f>
        <v>0.13392272429600505</v>
      </c>
      <c r="AD19" s="11">
        <f t="shared" si="83"/>
        <v>8.6341463414634223E-2</v>
      </c>
      <c r="AE19" s="11">
        <f t="shared" si="83"/>
        <v>0.10907395898073347</v>
      </c>
      <c r="AF19" s="11">
        <f t="shared" si="83"/>
        <v>5.9197227837135546E-2</v>
      </c>
      <c r="AG19" s="11">
        <f t="shared" si="83"/>
        <v>8.3221074689417973E-2</v>
      </c>
      <c r="AH19" s="11">
        <f t="shared" si="83"/>
        <v>0.28271224432614162</v>
      </c>
      <c r="AI19" s="11">
        <f>+AI18/AF18-1</f>
        <v>0.16848418756815731</v>
      </c>
      <c r="AJ19" s="11">
        <f t="shared" si="83"/>
        <v>0.22481691308553264</v>
      </c>
      <c r="AK19" s="11">
        <f t="shared" si="83"/>
        <v>4.3905635648755048E-2</v>
      </c>
      <c r="AL19" s="11">
        <f t="shared" si="83"/>
        <v>0</v>
      </c>
      <c r="AM19" s="11">
        <f t="shared" si="83"/>
        <v>2.2675992779783494E-2</v>
      </c>
      <c r="AN19" s="11">
        <f t="shared" si="83"/>
        <v>-3.7664783427494575E-3</v>
      </c>
      <c r="AO19" s="11">
        <f t="shared" si="83"/>
        <v>0.10265982267848828</v>
      </c>
      <c r="AP19" s="11">
        <f t="shared" si="83"/>
        <v>4.655267512410366E-2</v>
      </c>
      <c r="AQ19" s="11">
        <f>+AQ18/AN18-1</f>
        <v>8.2755723587481622E-2</v>
      </c>
      <c r="AR19" s="11">
        <f t="shared" si="83"/>
        <v>0.2154041472704189</v>
      </c>
      <c r="AS19" s="11">
        <f>+AS18/AP18-1</f>
        <v>0.14883524823442618</v>
      </c>
      <c r="AT19" s="11">
        <f t="shared" si="83"/>
        <v>0.1497575169738119</v>
      </c>
      <c r="AU19" s="11">
        <f t="shared" si="83"/>
        <v>9.1747910863509752E-2</v>
      </c>
      <c r="AV19" s="11">
        <f t="shared" si="83"/>
        <v>0.11918524635287642</v>
      </c>
      <c r="AW19" s="11">
        <f t="shared" si="83"/>
        <v>0.13649401046060405</v>
      </c>
      <c r="AX19" s="11">
        <f t="shared" si="83"/>
        <v>-9.886780417796226E-3</v>
      </c>
      <c r="AY19" s="11">
        <f t="shared" si="83"/>
        <v>6.1239547466797717E-2</v>
      </c>
      <c r="AZ19" s="11">
        <f t="shared" si="83"/>
        <v>0.27508907363420421</v>
      </c>
      <c r="BA19" s="11">
        <f t="shared" si="83"/>
        <v>0.34562731518763101</v>
      </c>
      <c r="BB19" s="11">
        <f t="shared" si="83"/>
        <v>0.3089223638470453</v>
      </c>
      <c r="BC19" s="11">
        <f t="shared" si="83"/>
        <v>0.10327162649901012</v>
      </c>
      <c r="BD19" s="11">
        <f t="shared" si="83"/>
        <v>0.18862956313584678</v>
      </c>
      <c r="BE19" s="11">
        <f t="shared" si="83"/>
        <v>0.14536118980169954</v>
      </c>
      <c r="BF19" s="11">
        <f t="shared" si="83"/>
        <v>0.30044322498944731</v>
      </c>
      <c r="BG19" s="11">
        <f t="shared" si="83"/>
        <v>1.228476487765584E-2</v>
      </c>
      <c r="BH19" s="11">
        <f t="shared" si="83"/>
        <v>0.15298603596640392</v>
      </c>
      <c r="BI19" s="11">
        <f t="shared" si="83"/>
        <v>3.1404690416294789E-2</v>
      </c>
      <c r="BJ19" s="11">
        <f t="shared" si="83"/>
        <v>0.17556948174674236</v>
      </c>
      <c r="BK19" s="11">
        <f t="shared" si="83"/>
        <v>9.6174472649267262E-2</v>
      </c>
      <c r="BL19" s="11">
        <f t="shared" ref="BL19" si="84">+BL18/BI18-1</f>
        <v>-7.8914240755310727E-2</v>
      </c>
      <c r="BM19" s="11">
        <f t="shared" ref="BM19" si="85">+BM18/BJ18-1</f>
        <v>0.30797351215984503</v>
      </c>
      <c r="BN19" s="11">
        <f t="shared" ref="BN19" si="86">+BN18/BK18-1</f>
        <v>0.10749473934707465</v>
      </c>
      <c r="BO19" s="11">
        <f t="shared" ref="BO19" si="87">+BO18/BL18-1</f>
        <v>0.32962160406895946</v>
      </c>
      <c r="BP19" s="11">
        <f t="shared" ref="BP19" si="88">+BP18/BM18-1</f>
        <v>1.3850125909543376E-2</v>
      </c>
      <c r="BQ19" s="11">
        <f t="shared" ref="BQ19" si="89">+BQ18/BN18-1</f>
        <v>0.1499365207272485</v>
      </c>
      <c r="BR19" s="11">
        <f t="shared" ref="BR19" si="90">+BR18/BO18-1</f>
        <v>0.13923654712809896</v>
      </c>
      <c r="BS19" s="11">
        <f t="shared" ref="BS19" si="91">+BS18/BP18-1</f>
        <v>0.14324507837984224</v>
      </c>
      <c r="BT19" s="11">
        <f t="shared" ref="BT19" si="92">+BT18/BQ18-1</f>
        <v>0.14124760371857059</v>
      </c>
      <c r="BU19" s="11">
        <f t="shared" ref="BU19" si="93">+BU18/BR18-1</f>
        <v>9.5779097428220661E-2</v>
      </c>
      <c r="BV19" s="11">
        <f t="shared" ref="BV19" si="94">+BV18/BS18-1</f>
        <v>9.649052132868241E-2</v>
      </c>
      <c r="BW19" s="11">
        <f t="shared" ref="BW19" si="95">+BW18/BT18-1</f>
        <v>9.6136639317731865E-2</v>
      </c>
      <c r="BX19" s="11">
        <f t="shared" ref="BX19" si="96">+BX18/BU18-1</f>
        <v>8.2437777090900388E-2</v>
      </c>
      <c r="BY19" s="11">
        <f t="shared" ref="BY19" si="97">+BY18/BV18-1</f>
        <v>7.4865824797257119E-2</v>
      </c>
      <c r="BZ19" s="11">
        <f t="shared" ref="BZ19" si="98">+BZ18/BW18-1</f>
        <v>7.8631095641017668E-2</v>
      </c>
      <c r="CA19" s="11">
        <f t="shared" ref="CA19" si="99">+CA18/BX18-1</f>
        <v>7.2522836338621666E-2</v>
      </c>
      <c r="CB19" s="11">
        <f t="shared" ref="CB19" si="100">+CB18/BY18-1</f>
        <v>7.3761691362377757E-2</v>
      </c>
      <c r="CC19" s="11">
        <f t="shared" ref="CC19" si="101">+CC18/BZ18-1</f>
        <v>7.3143477352132669E-2</v>
      </c>
      <c r="CD19" s="68"/>
      <c r="CE19" s="65"/>
      <c r="CF19" s="65"/>
      <c r="CG19" s="65"/>
      <c r="CH19" s="65"/>
      <c r="CI19" s="65">
        <v>30</v>
      </c>
      <c r="CJ19" s="65"/>
      <c r="CK19" s="60"/>
      <c r="CL19" s="88">
        <f>X19</f>
        <v>0.11712846347607053</v>
      </c>
      <c r="CM19" s="87">
        <f>AA19</f>
        <v>0.15558060879368618</v>
      </c>
      <c r="CN19" s="87">
        <f>AD19</f>
        <v>8.6341463414634223E-2</v>
      </c>
      <c r="CO19" s="87">
        <f>AG19</f>
        <v>8.3221074689417973E-2</v>
      </c>
      <c r="CP19" s="87">
        <f>AJ19</f>
        <v>0.22481691308553264</v>
      </c>
      <c r="CQ19" s="87">
        <f>AM19</f>
        <v>2.2675992779783494E-2</v>
      </c>
      <c r="CR19" s="87">
        <f>AP19</f>
        <v>4.655267512410366E-2</v>
      </c>
      <c r="CS19" s="87">
        <f>AS19</f>
        <v>0.14883524823442618</v>
      </c>
      <c r="CT19" s="87">
        <f>AV19</f>
        <v>0.11918524635287642</v>
      </c>
      <c r="CU19" s="87">
        <f>AY19</f>
        <v>6.1239547466797717E-2</v>
      </c>
      <c r="CV19" s="87">
        <f>BB19</f>
        <v>0.3089223638470453</v>
      </c>
      <c r="CW19" s="87">
        <f>BE19</f>
        <v>0.14536118980169954</v>
      </c>
      <c r="CX19" s="87">
        <f>BH19</f>
        <v>0.15298603596640392</v>
      </c>
      <c r="CY19" s="87">
        <f>BK19</f>
        <v>9.6174472649267262E-2</v>
      </c>
      <c r="CZ19" s="87">
        <f>BN19</f>
        <v>0.10749473934707465</v>
      </c>
      <c r="DA19" s="87">
        <f>BQ19</f>
        <v>0.1499365207272485</v>
      </c>
      <c r="DB19" s="87">
        <f>BT19</f>
        <v>0.14124760371857059</v>
      </c>
      <c r="DC19" s="87">
        <f>BW19</f>
        <v>9.6136639317731865E-2</v>
      </c>
      <c r="DD19" s="87">
        <f>BZ19</f>
        <v>7.8631095641017668E-2</v>
      </c>
      <c r="DE19" s="87">
        <f>CC19</f>
        <v>7.3143477352132669E-2</v>
      </c>
    </row>
    <row r="20" spans="1:137" ht="12.75" customHeight="1">
      <c r="A20" s="1"/>
      <c r="B20" s="16"/>
      <c r="C20" s="1"/>
      <c r="D20" s="1"/>
      <c r="E20" s="1"/>
      <c r="F20" s="19"/>
      <c r="G20" s="87"/>
      <c r="H20" s="87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89"/>
      <c r="AM20" s="89"/>
      <c r="AN20" s="89"/>
      <c r="AO20" s="89"/>
      <c r="AP20" s="89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8"/>
      <c r="CE20" s="65"/>
      <c r="CF20" s="65"/>
      <c r="CG20" s="65"/>
      <c r="CH20" s="65"/>
      <c r="CI20" s="65"/>
      <c r="CJ20" s="65"/>
      <c r="CK20" s="19"/>
      <c r="CL20" s="88"/>
      <c r="CM20" s="87"/>
      <c r="CN20" s="87"/>
      <c r="CO20" s="87"/>
      <c r="CP20" s="87"/>
      <c r="CQ20" s="87"/>
      <c r="CR20" s="87"/>
      <c r="CS20" s="87"/>
      <c r="CT20" s="87"/>
      <c r="CU20" s="87"/>
      <c r="CV20" s="87"/>
      <c r="CW20" s="87"/>
      <c r="CX20" s="87"/>
      <c r="CY20" s="87"/>
      <c r="CZ20" s="87"/>
      <c r="DA20" s="87"/>
      <c r="DB20" s="87"/>
      <c r="DC20" s="87"/>
      <c r="DD20" s="87"/>
      <c r="DE20" s="87"/>
    </row>
    <row r="21" spans="1:137" ht="12.75" customHeight="1">
      <c r="A21" s="1"/>
      <c r="B21" s="49" t="s">
        <v>58</v>
      </c>
      <c r="C21" s="1"/>
      <c r="D21" s="1"/>
      <c r="E21" s="1"/>
      <c r="F21" s="19"/>
      <c r="G21" s="19"/>
      <c r="H21" s="19"/>
      <c r="I21" s="19"/>
      <c r="J21" s="19"/>
      <c r="K21" s="19"/>
      <c r="L21" s="19"/>
      <c r="M21" s="66">
        <v>4.8000000000000114</v>
      </c>
      <c r="N21" s="66">
        <v>4.1999999999999886</v>
      </c>
      <c r="O21" s="66">
        <v>-9</v>
      </c>
      <c r="P21" s="66">
        <v>-4.2000000000000171</v>
      </c>
      <c r="Q21" s="66">
        <v>-2.7999999999999829</v>
      </c>
      <c r="R21" s="66">
        <v>-7</v>
      </c>
      <c r="S21" s="66">
        <v>-2.6999999999999886</v>
      </c>
      <c r="T21" s="66">
        <v>-3.1000000000000796</v>
      </c>
      <c r="U21" s="66">
        <v>-5.8000000000001819</v>
      </c>
      <c r="V21" s="66">
        <v>-3.1000000000000227</v>
      </c>
      <c r="W21" s="66">
        <v>-2.1999999999999318</v>
      </c>
      <c r="X21" s="66">
        <v>-5.2999999999999545</v>
      </c>
      <c r="Y21" s="66">
        <v>-2.2000000000000455</v>
      </c>
      <c r="Z21" s="66">
        <v>-3.7999999999999545</v>
      </c>
      <c r="AA21" s="66">
        <v>-6</v>
      </c>
      <c r="AB21" s="66">
        <v>-3.3999999999999773</v>
      </c>
      <c r="AC21" s="66">
        <v>-2.7999999999999545</v>
      </c>
      <c r="AD21" s="66">
        <v>-6.1999999999999318</v>
      </c>
      <c r="AE21" s="66">
        <v>-3.1999999999999886</v>
      </c>
      <c r="AF21" s="66">
        <v>-3.4000000000000341</v>
      </c>
      <c r="AG21" s="66">
        <v>-6.6000000000000227</v>
      </c>
      <c r="AH21" s="66">
        <v>-5.4999999999999432</v>
      </c>
      <c r="AI21" s="66">
        <v>-2.2000000000000455</v>
      </c>
      <c r="AJ21" s="66">
        <v>-7.6999999999999886</v>
      </c>
      <c r="AK21" s="66">
        <v>-3.5</v>
      </c>
      <c r="AL21" s="66">
        <f>-8.5-AK21</f>
        <v>-5</v>
      </c>
      <c r="AM21" s="66">
        <f>SUM(AK21:AL21)</f>
        <v>-8.5</v>
      </c>
      <c r="AN21" s="66">
        <f>472.8-476.1</f>
        <v>-3.3000000000000114</v>
      </c>
      <c r="AO21" s="66">
        <f>AP21-AN21</f>
        <v>-2.9000000000000341</v>
      </c>
      <c r="AP21" s="66">
        <f>942.5-948.7</f>
        <v>-6.2000000000000455</v>
      </c>
      <c r="AQ21" s="66">
        <f>512.4-515.5</f>
        <v>-3.1000000000000227</v>
      </c>
      <c r="AR21" s="66">
        <f>AS21-AQ21</f>
        <v>-3.5000000000001137</v>
      </c>
      <c r="AS21" s="66">
        <f>1083.3-1089.9</f>
        <v>-6.6000000000001364</v>
      </c>
      <c r="AT21" s="19">
        <v>0</v>
      </c>
      <c r="AU21" s="19">
        <f t="shared" ref="AU21" si="102">+AT21/AT18*AU18</f>
        <v>0</v>
      </c>
      <c r="AV21" s="19">
        <f t="shared" ref="AV21" si="103">SUM(AT21:AU21)</f>
        <v>0</v>
      </c>
      <c r="AW21" s="19">
        <f t="shared" ref="AW21:AX21" si="104">+AV21/AV18*AW18</f>
        <v>0</v>
      </c>
      <c r="AX21" s="19">
        <f t="shared" si="104"/>
        <v>0</v>
      </c>
      <c r="AY21" s="19">
        <f t="shared" ref="AY21" si="105">SUM(AW21:AX21)</f>
        <v>0</v>
      </c>
      <c r="AZ21" s="19">
        <f t="shared" ref="AZ21:BA21" si="106">+AY21/AY18*AZ18</f>
        <v>0</v>
      </c>
      <c r="BA21" s="19">
        <f t="shared" si="106"/>
        <v>0</v>
      </c>
      <c r="BB21" s="19">
        <f t="shared" ref="BB21" si="107">SUM(AZ21:BA21)</f>
        <v>0</v>
      </c>
      <c r="BC21" s="19">
        <f t="shared" ref="BC21:BD21" si="108">+BB21/BB18*BC18</f>
        <v>0</v>
      </c>
      <c r="BD21" s="19">
        <f t="shared" si="108"/>
        <v>0</v>
      </c>
      <c r="BE21" s="19">
        <f t="shared" ref="BE21" si="109">SUM(BC21:BD21)</f>
        <v>0</v>
      </c>
      <c r="BF21" s="19">
        <f t="shared" ref="BF21:BG21" si="110">+BE21/BE18*BF18</f>
        <v>0</v>
      </c>
      <c r="BG21" s="19">
        <f t="shared" si="110"/>
        <v>0</v>
      </c>
      <c r="BH21" s="19">
        <f t="shared" ref="BH21" si="111">SUM(BF21:BG21)</f>
        <v>0</v>
      </c>
      <c r="BI21" s="19">
        <f t="shared" ref="BI21:BJ21" si="112">+BH21/BH18*BI18</f>
        <v>0</v>
      </c>
      <c r="BJ21" s="19">
        <f t="shared" si="112"/>
        <v>0</v>
      </c>
      <c r="BK21" s="19">
        <f t="shared" ref="BK21" si="113">SUM(BI21:BJ21)</f>
        <v>0</v>
      </c>
      <c r="BL21" s="19">
        <f t="shared" ref="BL21" si="114">+BK21/BK18*BL18</f>
        <v>0</v>
      </c>
      <c r="BM21" s="19">
        <f t="shared" ref="BM21" si="115">+BL21/BL18*BM18</f>
        <v>0</v>
      </c>
      <c r="BN21" s="19">
        <f t="shared" ref="BN21" si="116">SUM(BL21:BM21)</f>
        <v>0</v>
      </c>
      <c r="BO21" s="19">
        <f t="shared" ref="BO21" si="117">+BN21/BN18*BO18</f>
        <v>0</v>
      </c>
      <c r="BP21" s="19">
        <f t="shared" ref="BP21" si="118">+BO21/BO18*BP18</f>
        <v>0</v>
      </c>
      <c r="BQ21" s="19">
        <f t="shared" ref="BQ21" si="119">SUM(BO21:BP21)</f>
        <v>0</v>
      </c>
      <c r="BR21" s="19">
        <f t="shared" ref="BR21" si="120">+BQ21/BQ18*BR18</f>
        <v>0</v>
      </c>
      <c r="BS21" s="19">
        <f t="shared" ref="BS21" si="121">+BR21/BR18*BS18</f>
        <v>0</v>
      </c>
      <c r="BT21" s="19">
        <f t="shared" ref="BT21" si="122">SUM(BR21:BS21)</f>
        <v>0</v>
      </c>
      <c r="BU21" s="19">
        <f t="shared" ref="BU21" si="123">+BT21/BT18*BU18</f>
        <v>0</v>
      </c>
      <c r="BV21" s="19">
        <f t="shared" ref="BV21" si="124">+BU21/BU18*BV18</f>
        <v>0</v>
      </c>
      <c r="BW21" s="19">
        <f t="shared" ref="BW21" si="125">SUM(BU21:BV21)</f>
        <v>0</v>
      </c>
      <c r="BX21" s="19">
        <f t="shared" ref="BX21" si="126">+BW21/BW18*BX18</f>
        <v>0</v>
      </c>
      <c r="BY21" s="19">
        <f t="shared" ref="BY21" si="127">+BX21/BX18*BY18</f>
        <v>0</v>
      </c>
      <c r="BZ21" s="19">
        <f t="shared" ref="BZ21" si="128">SUM(BX21:BY21)</f>
        <v>0</v>
      </c>
      <c r="CA21" s="19">
        <f t="shared" ref="CA21" si="129">+BZ21/BZ18*CA18</f>
        <v>0</v>
      </c>
      <c r="CB21" s="19">
        <f t="shared" ref="CB21" si="130">+CA21/CA18*CB18</f>
        <v>0</v>
      </c>
      <c r="CC21" s="19">
        <f t="shared" ref="CC21" si="131">SUM(CA21:CB21)</f>
        <v>0</v>
      </c>
      <c r="CD21" s="68"/>
      <c r="CE21" s="19"/>
      <c r="CF21" s="19"/>
      <c r="CG21" s="19"/>
      <c r="CH21" s="19"/>
      <c r="CI21" s="19"/>
      <c r="CJ21" s="19"/>
      <c r="CK21" s="19"/>
      <c r="CL21" s="88">
        <f>X21</f>
        <v>-5.2999999999999545</v>
      </c>
      <c r="CM21" s="87">
        <f>AA21</f>
        <v>-6</v>
      </c>
      <c r="CN21" s="87">
        <f>AD21</f>
        <v>-6.1999999999999318</v>
      </c>
      <c r="CO21" s="87">
        <f>AG21</f>
        <v>-6.6000000000000227</v>
      </c>
      <c r="CP21" s="87">
        <f>AJ21</f>
        <v>-7.6999999999999886</v>
      </c>
      <c r="CQ21" s="87">
        <f>AM21</f>
        <v>-8.5</v>
      </c>
      <c r="CR21" s="87">
        <f>AP21</f>
        <v>-6.2000000000000455</v>
      </c>
      <c r="CS21" s="87">
        <f>AS21</f>
        <v>-6.6000000000001364</v>
      </c>
      <c r="CT21" s="87">
        <f>AV21</f>
        <v>0</v>
      </c>
      <c r="CU21" s="87">
        <f>AY21</f>
        <v>0</v>
      </c>
      <c r="CV21" s="87">
        <f>BB21</f>
        <v>0</v>
      </c>
      <c r="CW21" s="87">
        <f>BE21</f>
        <v>0</v>
      </c>
      <c r="CX21" s="87">
        <f>BH21</f>
        <v>0</v>
      </c>
      <c r="CY21" s="87">
        <f>BK21</f>
        <v>0</v>
      </c>
      <c r="CZ21" s="87">
        <f>BN21</f>
        <v>0</v>
      </c>
      <c r="DA21" s="87">
        <f>BQ21</f>
        <v>0</v>
      </c>
      <c r="DB21" s="87">
        <f>BT21</f>
        <v>0</v>
      </c>
      <c r="DC21" s="87">
        <f>BW21</f>
        <v>0</v>
      </c>
      <c r="DD21" s="87">
        <f>BZ21</f>
        <v>0</v>
      </c>
      <c r="DE21" s="87">
        <f>CC21</f>
        <v>0</v>
      </c>
      <c r="DF21" s="19"/>
      <c r="DG21" s="19"/>
      <c r="DH21" s="19"/>
      <c r="DI21" s="19"/>
      <c r="DJ21" s="19"/>
      <c r="DK21" s="19"/>
    </row>
    <row r="22" spans="1:137" ht="12.75" customHeight="1">
      <c r="A22" s="1"/>
      <c r="B22" s="90"/>
      <c r="C22" s="1"/>
      <c r="D22" s="1"/>
      <c r="E22" s="1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1"/>
      <c r="CC22" s="91"/>
      <c r="CD22" s="68"/>
      <c r="CE22" s="65"/>
      <c r="CF22" s="65"/>
      <c r="CG22" s="65"/>
      <c r="CH22" s="65"/>
      <c r="CI22" s="65"/>
      <c r="CJ22" s="65"/>
      <c r="CK22" s="19"/>
      <c r="CL22" s="92"/>
      <c r="CM22" s="91"/>
      <c r="CN22" s="91"/>
      <c r="CO22" s="91"/>
      <c r="CP22" s="91"/>
      <c r="CQ22" s="91"/>
      <c r="CR22" s="91"/>
      <c r="CS22" s="91"/>
      <c r="CT22" s="91"/>
      <c r="CU22" s="91"/>
      <c r="CV22" s="91"/>
      <c r="CW22" s="91"/>
      <c r="CX22" s="91"/>
      <c r="CY22" s="91"/>
      <c r="CZ22" s="91"/>
      <c r="DA22" s="91"/>
      <c r="DB22" s="91"/>
      <c r="DC22" s="91"/>
      <c r="DD22" s="91"/>
      <c r="DE22" s="91"/>
    </row>
    <row r="23" spans="1:137" s="86" customFormat="1" ht="12.75" customHeight="1" thickBot="1">
      <c r="A23" s="79"/>
      <c r="B23" s="80" t="s">
        <v>59</v>
      </c>
      <c r="C23" s="79"/>
      <c r="D23" s="81"/>
      <c r="E23" s="81"/>
      <c r="F23" s="82"/>
      <c r="G23" s="82"/>
      <c r="H23" s="82"/>
      <c r="I23" s="82"/>
      <c r="J23" s="82"/>
      <c r="K23" s="82"/>
      <c r="L23" s="82">
        <v>890.8</v>
      </c>
      <c r="M23" s="82">
        <f>M18+M21</f>
        <v>452.70000000000005</v>
      </c>
      <c r="N23" s="82">
        <f t="shared" ref="N23:BK23" si="132">N18+N21</f>
        <v>444.79999999999995</v>
      </c>
      <c r="O23" s="82">
        <f t="shared" si="132"/>
        <v>879.19795918367345</v>
      </c>
      <c r="P23" s="82">
        <f t="shared" si="132"/>
        <v>180.1</v>
      </c>
      <c r="Q23" s="82">
        <f t="shared" si="132"/>
        <v>154.10000000000008</v>
      </c>
      <c r="R23" s="82">
        <f t="shared" si="132"/>
        <v>382.9</v>
      </c>
      <c r="S23" s="82">
        <f t="shared" si="132"/>
        <v>214.90000000000003</v>
      </c>
      <c r="T23" s="82">
        <f t="shared" si="132"/>
        <v>255.69999999999987</v>
      </c>
      <c r="U23" s="82">
        <f t="shared" si="132"/>
        <v>470.59999999999985</v>
      </c>
      <c r="V23" s="82">
        <f t="shared" si="132"/>
        <v>257.79999999999995</v>
      </c>
      <c r="W23" s="82">
        <f t="shared" si="132"/>
        <v>269.10000000000008</v>
      </c>
      <c r="X23" s="82">
        <f t="shared" si="132"/>
        <v>526.90000000000009</v>
      </c>
      <c r="Y23" s="82">
        <f t="shared" si="132"/>
        <v>307.39999999999998</v>
      </c>
      <c r="Z23" s="82">
        <f t="shared" si="132"/>
        <v>301.60000000000008</v>
      </c>
      <c r="AA23" s="82">
        <f t="shared" si="132"/>
        <v>608.99999999999989</v>
      </c>
      <c r="AB23" s="82">
        <f t="shared" si="132"/>
        <v>318.39999999999998</v>
      </c>
      <c r="AC23" s="82">
        <f t="shared" si="132"/>
        <v>343.5</v>
      </c>
      <c r="AD23" s="82">
        <f t="shared" si="132"/>
        <v>661.9</v>
      </c>
      <c r="AE23" s="82">
        <f t="shared" si="132"/>
        <v>353.7</v>
      </c>
      <c r="AF23" s="82">
        <f t="shared" si="132"/>
        <v>363.4</v>
      </c>
      <c r="AG23" s="82">
        <f t="shared" si="132"/>
        <v>717.1</v>
      </c>
      <c r="AH23" s="82">
        <f t="shared" si="132"/>
        <v>452.29999999999995</v>
      </c>
      <c r="AI23" s="82">
        <f t="shared" si="132"/>
        <v>426.40000000000003</v>
      </c>
      <c r="AJ23" s="82">
        <f t="shared" si="132"/>
        <v>878.7</v>
      </c>
      <c r="AK23" s="82">
        <f t="shared" si="132"/>
        <v>474.4</v>
      </c>
      <c r="AL23" s="82">
        <f t="shared" si="132"/>
        <v>423.59999999999997</v>
      </c>
      <c r="AM23" s="82">
        <f t="shared" si="132"/>
        <v>898</v>
      </c>
      <c r="AN23" s="82">
        <f t="shared" si="132"/>
        <v>472.8</v>
      </c>
      <c r="AO23" s="82">
        <f t="shared" si="132"/>
        <v>469.7</v>
      </c>
      <c r="AP23" s="82">
        <f t="shared" si="132"/>
        <v>942.5</v>
      </c>
      <c r="AQ23" s="82">
        <f t="shared" si="132"/>
        <v>512.4</v>
      </c>
      <c r="AR23" s="82">
        <f t="shared" si="132"/>
        <v>570.89999999999986</v>
      </c>
      <c r="AS23" s="82">
        <f t="shared" si="132"/>
        <v>1083.3</v>
      </c>
      <c r="AT23" s="82">
        <f t="shared" si="132"/>
        <v>592.70000000000005</v>
      </c>
      <c r="AU23" s="82">
        <f t="shared" si="132"/>
        <v>627.1</v>
      </c>
      <c r="AV23" s="82">
        <f t="shared" si="132"/>
        <v>1219.8000000000002</v>
      </c>
      <c r="AW23" s="82">
        <f t="shared" si="132"/>
        <v>673.6</v>
      </c>
      <c r="AX23" s="82">
        <f t="shared" si="132"/>
        <v>620.9</v>
      </c>
      <c r="AY23" s="82">
        <f t="shared" si="132"/>
        <v>1294.5</v>
      </c>
      <c r="AZ23" s="82">
        <f t="shared" si="132"/>
        <v>858.9</v>
      </c>
      <c r="BA23" s="82">
        <f t="shared" si="132"/>
        <v>835.5</v>
      </c>
      <c r="BB23" s="82">
        <f t="shared" si="132"/>
        <v>1694.4</v>
      </c>
      <c r="BC23" s="82">
        <f t="shared" si="132"/>
        <v>947.5999999999998</v>
      </c>
      <c r="BD23" s="82">
        <f t="shared" si="132"/>
        <v>993.1</v>
      </c>
      <c r="BE23" s="82">
        <f t="shared" si="132"/>
        <v>1940.6999999999998</v>
      </c>
      <c r="BF23" s="82">
        <f t="shared" si="132"/>
        <v>1232.3</v>
      </c>
      <c r="BG23" s="82">
        <f t="shared" si="132"/>
        <v>1005.3</v>
      </c>
      <c r="BH23" s="82">
        <f t="shared" si="132"/>
        <v>2237.6</v>
      </c>
      <c r="BI23" s="82">
        <f t="shared" si="132"/>
        <v>1271</v>
      </c>
      <c r="BJ23" s="82">
        <f t="shared" si="132"/>
        <v>1181.8</v>
      </c>
      <c r="BK23" s="82">
        <f t="shared" si="132"/>
        <v>2452.8000000000002</v>
      </c>
      <c r="BL23" s="82">
        <f t="shared" ref="BL23:BN23" si="133">BL18+BL21</f>
        <v>1170.7</v>
      </c>
      <c r="BM23" s="82">
        <f t="shared" si="133"/>
        <v>1545.7630966705049</v>
      </c>
      <c r="BN23" s="82">
        <f t="shared" si="133"/>
        <v>2716.4630966705049</v>
      </c>
      <c r="BO23" s="82">
        <f t="shared" ref="BO23:BQ23" si="134">BO18+BO21</f>
        <v>1556.588011883531</v>
      </c>
      <c r="BP23" s="82">
        <f t="shared" si="134"/>
        <v>1567.172110185717</v>
      </c>
      <c r="BQ23" s="82">
        <f t="shared" si="134"/>
        <v>3123.7601220692477</v>
      </c>
      <c r="BR23" s="82">
        <f t="shared" ref="BR23:BT23" si="135">BR18+BR21</f>
        <v>1773.3219519591862</v>
      </c>
      <c r="BS23" s="82">
        <f t="shared" si="135"/>
        <v>1791.6618019439727</v>
      </c>
      <c r="BT23" s="82">
        <f t="shared" si="135"/>
        <v>3564.9837539031587</v>
      </c>
      <c r="BU23" s="82">
        <f t="shared" ref="BU23:BZ23" si="136">BU18+BU21</f>
        <v>1943.1691279674876</v>
      </c>
      <c r="BV23" s="82">
        <f t="shared" si="136"/>
        <v>1964.5401832582331</v>
      </c>
      <c r="BW23" s="82">
        <f t="shared" si="136"/>
        <v>3907.7093112257207</v>
      </c>
      <c r="BX23" s="82">
        <f t="shared" si="136"/>
        <v>2103.3596713887905</v>
      </c>
      <c r="BY23" s="82">
        <f t="shared" si="136"/>
        <v>2111.6171044252155</v>
      </c>
      <c r="BZ23" s="82">
        <f t="shared" si="136"/>
        <v>4214.976775814006</v>
      </c>
      <c r="CA23" s="82">
        <f t="shared" ref="CA23:CC23" si="137">CA18+CA21</f>
        <v>2255.901280598177</v>
      </c>
      <c r="CB23" s="82">
        <f t="shared" si="137"/>
        <v>2267.373553557346</v>
      </c>
      <c r="CC23" s="82">
        <f t="shared" si="137"/>
        <v>4523.2748341555234</v>
      </c>
      <c r="CD23" s="83"/>
      <c r="CE23" s="84"/>
      <c r="CF23" s="84"/>
      <c r="CG23" s="84"/>
      <c r="CH23" s="84"/>
      <c r="CI23" s="84"/>
      <c r="CJ23" s="84"/>
      <c r="CK23" s="51"/>
      <c r="CL23" s="93">
        <f>X23</f>
        <v>526.90000000000009</v>
      </c>
      <c r="CM23" s="93">
        <f>AA23</f>
        <v>608.99999999999989</v>
      </c>
      <c r="CN23" s="93">
        <f>AD23</f>
        <v>661.9</v>
      </c>
      <c r="CO23" s="93">
        <f>AG23</f>
        <v>717.1</v>
      </c>
      <c r="CP23" s="93">
        <f>AJ23</f>
        <v>878.7</v>
      </c>
      <c r="CQ23" s="93">
        <f>AM23</f>
        <v>898</v>
      </c>
      <c r="CR23" s="93">
        <f>AP23</f>
        <v>942.5</v>
      </c>
      <c r="CS23" s="93">
        <f>AS23</f>
        <v>1083.3</v>
      </c>
      <c r="CT23" s="93">
        <f>AV23</f>
        <v>1219.8000000000002</v>
      </c>
      <c r="CU23" s="93">
        <f>AY23</f>
        <v>1294.5</v>
      </c>
      <c r="CV23" s="93">
        <f>BB23</f>
        <v>1694.4</v>
      </c>
      <c r="CW23" s="93">
        <f>BE23</f>
        <v>1940.6999999999998</v>
      </c>
      <c r="CX23" s="93">
        <f>BH23</f>
        <v>2237.6</v>
      </c>
      <c r="CY23" s="93">
        <f>BK23</f>
        <v>2452.8000000000002</v>
      </c>
      <c r="CZ23" s="93">
        <f>BN23</f>
        <v>2716.4630966705049</v>
      </c>
      <c r="DA23" s="93">
        <f>BQ23</f>
        <v>3123.7601220692477</v>
      </c>
      <c r="DB23" s="93">
        <f>BT23</f>
        <v>3564.9837539031587</v>
      </c>
      <c r="DC23" s="93">
        <f>BW23</f>
        <v>3907.7093112257207</v>
      </c>
      <c r="DD23" s="93">
        <f>BZ23</f>
        <v>4214.976775814006</v>
      </c>
      <c r="DE23" s="93">
        <f>CC23</f>
        <v>4523.2748341555234</v>
      </c>
      <c r="DF23" s="48"/>
      <c r="DG23" s="48">
        <v>6.26</v>
      </c>
      <c r="DH23" s="48"/>
      <c r="DI23" s="48"/>
      <c r="DJ23" s="48"/>
      <c r="DK23" s="48"/>
      <c r="EB23"/>
      <c r="EC23"/>
      <c r="ED23"/>
      <c r="EE23"/>
      <c r="EF23"/>
      <c r="EG23"/>
    </row>
    <row r="24" spans="1:137" ht="12.75" customHeight="1" thickTop="1">
      <c r="A24" s="1"/>
      <c r="B24" s="94"/>
      <c r="C24" s="1"/>
      <c r="D24" s="1"/>
      <c r="E24" s="1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5">
        <f>(AM13/AD13)^(1/3)-1</f>
        <v>0.20426118847079011</v>
      </c>
      <c r="AN24" s="91"/>
      <c r="AO24" s="91"/>
      <c r="AP24" s="91"/>
      <c r="AQ24" s="91"/>
      <c r="AR24" s="91"/>
      <c r="AS24" s="91"/>
      <c r="AT24" s="91"/>
      <c r="AU24" s="91"/>
      <c r="AV24" s="95">
        <f>(AV13/AM13)^(1/3)-1</f>
        <v>6.0342921089373336E-2</v>
      </c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68"/>
      <c r="CE24" s="65"/>
      <c r="CF24" s="65"/>
      <c r="CG24" s="65"/>
      <c r="CH24" s="65"/>
      <c r="CI24" s="65"/>
      <c r="CJ24" s="65"/>
      <c r="CK24" s="19"/>
      <c r="CL24" s="92"/>
      <c r="CM24" s="91"/>
      <c r="CN24" s="91"/>
      <c r="CO24" s="91"/>
      <c r="CP24" s="91"/>
      <c r="CQ24" s="91"/>
      <c r="CR24" s="91"/>
      <c r="CS24" s="91"/>
      <c r="CT24" s="91"/>
      <c r="CU24" s="91"/>
      <c r="CV24" s="91"/>
      <c r="CW24" s="91"/>
      <c r="CX24" s="91"/>
      <c r="CY24" s="91"/>
      <c r="CZ24" s="91"/>
      <c r="DA24" s="91"/>
      <c r="DB24" s="91"/>
      <c r="DC24" s="91"/>
      <c r="DD24" s="91"/>
      <c r="DE24" s="91"/>
      <c r="DG24" s="19">
        <f>+CP90</f>
        <v>39.238468448237128</v>
      </c>
    </row>
    <row r="25" spans="1:137" ht="12.75" customHeight="1">
      <c r="A25" s="1"/>
      <c r="B25" s="94" t="s">
        <v>60</v>
      </c>
      <c r="C25" s="1"/>
      <c r="D25" s="1"/>
      <c r="E25" s="1"/>
      <c r="F25" s="19"/>
      <c r="G25" s="19"/>
      <c r="H25" s="19"/>
      <c r="I25" s="19"/>
      <c r="J25" s="19"/>
      <c r="K25" s="19"/>
      <c r="L25" s="66">
        <v>-148</v>
      </c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68"/>
      <c r="CE25" s="65"/>
      <c r="CF25" s="65"/>
      <c r="CG25" s="65"/>
      <c r="CH25" s="65"/>
      <c r="CI25" s="65"/>
      <c r="CJ25" s="65"/>
      <c r="CK25" s="19"/>
      <c r="CL25" s="88">
        <f>X25</f>
        <v>0</v>
      </c>
      <c r="CM25" s="87">
        <f>AA25</f>
        <v>0</v>
      </c>
      <c r="CN25" s="87">
        <f>AD25</f>
        <v>0</v>
      </c>
      <c r="CO25" s="87">
        <f>AG25</f>
        <v>0</v>
      </c>
      <c r="CP25" s="87">
        <f>AJ25</f>
        <v>0</v>
      </c>
      <c r="CQ25" s="87">
        <f>AM25</f>
        <v>0</v>
      </c>
      <c r="CR25" s="87">
        <f>AP25</f>
        <v>0</v>
      </c>
      <c r="CS25" s="87">
        <f>AS25</f>
        <v>0</v>
      </c>
      <c r="CT25" s="87">
        <f>AV25</f>
        <v>0</v>
      </c>
      <c r="CU25" s="87">
        <f>AY25</f>
        <v>0</v>
      </c>
      <c r="CV25" s="87">
        <f>BB25</f>
        <v>0</v>
      </c>
      <c r="CW25" s="87">
        <f>BE25</f>
        <v>0</v>
      </c>
      <c r="CX25" s="87">
        <f>BH25</f>
        <v>0</v>
      </c>
      <c r="CY25" s="87">
        <f>BK25</f>
        <v>0</v>
      </c>
      <c r="CZ25" s="87">
        <f>BN25</f>
        <v>0</v>
      </c>
      <c r="DA25" s="87">
        <f>BQ25</f>
        <v>0</v>
      </c>
      <c r="DB25" s="87">
        <f>BT25</f>
        <v>0</v>
      </c>
      <c r="DC25" s="87">
        <f>BW25</f>
        <v>0</v>
      </c>
      <c r="DD25" s="87">
        <f>BZ25</f>
        <v>0</v>
      </c>
      <c r="DE25" s="87">
        <f>CC25</f>
        <v>0</v>
      </c>
      <c r="DG25" s="1">
        <f>+DG24/DG23</f>
        <v>6.268125950197625</v>
      </c>
    </row>
    <row r="26" spans="1:137" ht="12.75" customHeight="1">
      <c r="A26" s="1"/>
      <c r="B26" s="94"/>
      <c r="C26" s="1"/>
      <c r="D26" s="1"/>
      <c r="E26" s="1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  <c r="BJ26" s="91"/>
      <c r="BK26" s="91"/>
      <c r="BL26" s="91"/>
      <c r="BM26" s="91"/>
      <c r="BN26" s="91"/>
      <c r="BO26" s="91"/>
      <c r="BP26" s="91"/>
      <c r="BQ26" s="91"/>
      <c r="BR26" s="91"/>
      <c r="BS26" s="91"/>
      <c r="BT26" s="91"/>
      <c r="BU26" s="91"/>
      <c r="BV26" s="91"/>
      <c r="BW26" s="91"/>
      <c r="BX26" s="91"/>
      <c r="BY26" s="91"/>
      <c r="BZ26" s="91"/>
      <c r="CA26" s="91"/>
      <c r="CB26" s="91"/>
      <c r="CC26" s="91"/>
      <c r="CD26" s="68"/>
      <c r="CE26" s="65"/>
      <c r="CF26" s="65"/>
      <c r="CG26" s="65"/>
      <c r="CH26" s="65"/>
      <c r="CI26" s="65"/>
      <c r="CJ26" s="65"/>
      <c r="CK26" s="19"/>
      <c r="CL26" s="92"/>
      <c r="CM26" s="91"/>
      <c r="CN26" s="91"/>
      <c r="CO26" s="91"/>
      <c r="CP26" s="91"/>
      <c r="CQ26" s="91"/>
      <c r="CR26" s="91"/>
      <c r="CS26" s="91"/>
      <c r="CT26" s="91"/>
      <c r="CU26" s="91"/>
      <c r="CV26" s="91"/>
      <c r="CW26" s="91"/>
      <c r="CX26" s="91"/>
      <c r="CY26" s="91"/>
      <c r="CZ26" s="91"/>
      <c r="DA26" s="91"/>
      <c r="DB26" s="91"/>
      <c r="DC26" s="91"/>
      <c r="DD26" s="91"/>
      <c r="DE26" s="91"/>
    </row>
    <row r="27" spans="1:137" s="86" customFormat="1" ht="12.75" customHeight="1" thickBot="1">
      <c r="A27" s="79"/>
      <c r="B27" s="80" t="s">
        <v>61</v>
      </c>
      <c r="C27" s="79"/>
      <c r="D27" s="81"/>
      <c r="E27" s="81"/>
      <c r="F27" s="82"/>
      <c r="G27" s="82"/>
      <c r="H27" s="82"/>
      <c r="I27" s="82"/>
      <c r="J27" s="82"/>
      <c r="K27" s="82"/>
      <c r="L27" s="82">
        <f t="shared" ref="L27:BK27" si="138">+L23+L25</f>
        <v>742.8</v>
      </c>
      <c r="M27" s="82">
        <f t="shared" si="138"/>
        <v>452.70000000000005</v>
      </c>
      <c r="N27" s="82">
        <f t="shared" si="138"/>
        <v>444.79999999999995</v>
      </c>
      <c r="O27" s="82">
        <f t="shared" si="138"/>
        <v>879.19795918367345</v>
      </c>
      <c r="P27" s="82">
        <f t="shared" si="138"/>
        <v>180.1</v>
      </c>
      <c r="Q27" s="82">
        <f t="shared" si="138"/>
        <v>154.10000000000008</v>
      </c>
      <c r="R27" s="82">
        <f t="shared" si="138"/>
        <v>382.9</v>
      </c>
      <c r="S27" s="82">
        <f t="shared" si="138"/>
        <v>214.90000000000003</v>
      </c>
      <c r="T27" s="82">
        <f t="shared" si="138"/>
        <v>255.69999999999987</v>
      </c>
      <c r="U27" s="82">
        <f t="shared" si="138"/>
        <v>470.59999999999985</v>
      </c>
      <c r="V27" s="82">
        <f t="shared" si="138"/>
        <v>257.79999999999995</v>
      </c>
      <c r="W27" s="82">
        <f t="shared" si="138"/>
        <v>269.10000000000008</v>
      </c>
      <c r="X27" s="82">
        <f t="shared" si="138"/>
        <v>526.90000000000009</v>
      </c>
      <c r="Y27" s="82">
        <f t="shared" si="138"/>
        <v>307.39999999999998</v>
      </c>
      <c r="Z27" s="82">
        <f t="shared" si="138"/>
        <v>301.60000000000008</v>
      </c>
      <c r="AA27" s="82">
        <f t="shared" si="138"/>
        <v>608.99999999999989</v>
      </c>
      <c r="AB27" s="82">
        <f t="shared" si="138"/>
        <v>318.39999999999998</v>
      </c>
      <c r="AC27" s="82">
        <f t="shared" si="138"/>
        <v>343.5</v>
      </c>
      <c r="AD27" s="82">
        <f t="shared" si="138"/>
        <v>661.9</v>
      </c>
      <c r="AE27" s="82">
        <f t="shared" si="138"/>
        <v>353.7</v>
      </c>
      <c r="AF27" s="82">
        <f t="shared" si="138"/>
        <v>363.4</v>
      </c>
      <c r="AG27" s="82">
        <f>+AG23+AG25</f>
        <v>717.1</v>
      </c>
      <c r="AH27" s="82">
        <f t="shared" si="138"/>
        <v>452.29999999999995</v>
      </c>
      <c r="AI27" s="82">
        <f t="shared" si="138"/>
        <v>426.40000000000003</v>
      </c>
      <c r="AJ27" s="82">
        <f t="shared" si="138"/>
        <v>878.7</v>
      </c>
      <c r="AK27" s="82">
        <f t="shared" si="138"/>
        <v>474.4</v>
      </c>
      <c r="AL27" s="82">
        <f t="shared" si="138"/>
        <v>423.59999999999997</v>
      </c>
      <c r="AM27" s="82">
        <f t="shared" si="138"/>
        <v>898</v>
      </c>
      <c r="AN27" s="82">
        <f t="shared" si="138"/>
        <v>472.8</v>
      </c>
      <c r="AO27" s="82">
        <f t="shared" si="138"/>
        <v>469.7</v>
      </c>
      <c r="AP27" s="82">
        <f t="shared" si="138"/>
        <v>942.5</v>
      </c>
      <c r="AQ27" s="82">
        <f t="shared" si="138"/>
        <v>512.4</v>
      </c>
      <c r="AR27" s="82">
        <f t="shared" si="138"/>
        <v>570.89999999999986</v>
      </c>
      <c r="AS27" s="82">
        <f t="shared" si="138"/>
        <v>1083.3</v>
      </c>
      <c r="AT27" s="82">
        <f t="shared" si="138"/>
        <v>592.70000000000005</v>
      </c>
      <c r="AU27" s="82">
        <f t="shared" si="138"/>
        <v>627.1</v>
      </c>
      <c r="AV27" s="82">
        <f t="shared" si="138"/>
        <v>1219.8000000000002</v>
      </c>
      <c r="AW27" s="82">
        <f t="shared" si="138"/>
        <v>673.6</v>
      </c>
      <c r="AX27" s="82">
        <f t="shared" si="138"/>
        <v>620.9</v>
      </c>
      <c r="AY27" s="82">
        <f t="shared" si="138"/>
        <v>1294.5</v>
      </c>
      <c r="AZ27" s="82">
        <f t="shared" si="138"/>
        <v>858.9</v>
      </c>
      <c r="BA27" s="82">
        <f t="shared" si="138"/>
        <v>835.5</v>
      </c>
      <c r="BB27" s="82">
        <f t="shared" si="138"/>
        <v>1694.4</v>
      </c>
      <c r="BC27" s="82">
        <f t="shared" si="138"/>
        <v>947.5999999999998</v>
      </c>
      <c r="BD27" s="82">
        <f t="shared" si="138"/>
        <v>993.1</v>
      </c>
      <c r="BE27" s="82">
        <f t="shared" si="138"/>
        <v>1940.6999999999998</v>
      </c>
      <c r="BF27" s="82">
        <f t="shared" si="138"/>
        <v>1232.3</v>
      </c>
      <c r="BG27" s="82">
        <f t="shared" si="138"/>
        <v>1005.3</v>
      </c>
      <c r="BH27" s="82">
        <f t="shared" si="138"/>
        <v>2237.6</v>
      </c>
      <c r="BI27" s="82">
        <f t="shared" si="138"/>
        <v>1271</v>
      </c>
      <c r="BJ27" s="82">
        <f t="shared" si="138"/>
        <v>1181.8</v>
      </c>
      <c r="BK27" s="82">
        <f t="shared" si="138"/>
        <v>2452.8000000000002</v>
      </c>
      <c r="BL27" s="82">
        <f t="shared" ref="BL27:BN27" si="139">+BL23+BL25</f>
        <v>1170.7</v>
      </c>
      <c r="BM27" s="82">
        <f t="shared" si="139"/>
        <v>1545.7630966705049</v>
      </c>
      <c r="BN27" s="82">
        <f t="shared" si="139"/>
        <v>2716.4630966705049</v>
      </c>
      <c r="BO27" s="82">
        <f t="shared" ref="BO27:BQ27" si="140">+BO23+BO25</f>
        <v>1556.588011883531</v>
      </c>
      <c r="BP27" s="82">
        <f t="shared" si="140"/>
        <v>1567.172110185717</v>
      </c>
      <c r="BQ27" s="82">
        <f t="shared" si="140"/>
        <v>3123.7601220692477</v>
      </c>
      <c r="BR27" s="82">
        <f t="shared" ref="BR27:BT27" si="141">+BR23+BR25</f>
        <v>1773.3219519591862</v>
      </c>
      <c r="BS27" s="82">
        <f t="shared" si="141"/>
        <v>1791.6618019439727</v>
      </c>
      <c r="BT27" s="82">
        <f t="shared" si="141"/>
        <v>3564.9837539031587</v>
      </c>
      <c r="BU27" s="82">
        <f t="shared" ref="BU27:BZ27" si="142">+BU23+BU25</f>
        <v>1943.1691279674876</v>
      </c>
      <c r="BV27" s="82">
        <f t="shared" si="142"/>
        <v>1964.5401832582331</v>
      </c>
      <c r="BW27" s="82">
        <f t="shared" si="142"/>
        <v>3907.7093112257207</v>
      </c>
      <c r="BX27" s="82">
        <f t="shared" si="142"/>
        <v>2103.3596713887905</v>
      </c>
      <c r="BY27" s="82">
        <f t="shared" si="142"/>
        <v>2111.6171044252155</v>
      </c>
      <c r="BZ27" s="82">
        <f t="shared" si="142"/>
        <v>4214.976775814006</v>
      </c>
      <c r="CA27" s="82">
        <f t="shared" ref="CA27:CC27" si="143">+CA23+CA25</f>
        <v>2255.901280598177</v>
      </c>
      <c r="CB27" s="82">
        <f t="shared" si="143"/>
        <v>2267.373553557346</v>
      </c>
      <c r="CC27" s="82">
        <f t="shared" si="143"/>
        <v>4523.2748341555234</v>
      </c>
      <c r="CD27" s="83"/>
      <c r="CE27" s="84"/>
      <c r="CF27" s="84"/>
      <c r="CG27" s="84"/>
      <c r="CH27" s="84"/>
      <c r="CI27" s="84"/>
      <c r="CJ27" s="84"/>
      <c r="CK27" s="51"/>
      <c r="CL27" s="82">
        <f>X27</f>
        <v>526.90000000000009</v>
      </c>
      <c r="CM27" s="82">
        <f>AA27</f>
        <v>608.99999999999989</v>
      </c>
      <c r="CN27" s="82">
        <f>AD27</f>
        <v>661.9</v>
      </c>
      <c r="CO27" s="82">
        <f>AG27</f>
        <v>717.1</v>
      </c>
      <c r="CP27" s="82">
        <f>AJ27</f>
        <v>878.7</v>
      </c>
      <c r="CQ27" s="82">
        <f>AM27</f>
        <v>898</v>
      </c>
      <c r="CR27" s="82">
        <f>AP27</f>
        <v>942.5</v>
      </c>
      <c r="CS27" s="82">
        <f>AS27</f>
        <v>1083.3</v>
      </c>
      <c r="CT27" s="82">
        <f>AV27</f>
        <v>1219.8000000000002</v>
      </c>
      <c r="CU27" s="82">
        <f>AY27</f>
        <v>1294.5</v>
      </c>
      <c r="CV27" s="82">
        <f>BB27</f>
        <v>1694.4</v>
      </c>
      <c r="CW27" s="82">
        <f>BE27</f>
        <v>1940.6999999999998</v>
      </c>
      <c r="CX27" s="82">
        <f>BH27</f>
        <v>2237.6</v>
      </c>
      <c r="CY27" s="82">
        <f>BK27</f>
        <v>2452.8000000000002</v>
      </c>
      <c r="CZ27" s="82">
        <f>BN27</f>
        <v>2716.4630966705049</v>
      </c>
      <c r="DA27" s="82">
        <f>BQ27</f>
        <v>3123.7601220692477</v>
      </c>
      <c r="DB27" s="82">
        <f>BT27</f>
        <v>3564.9837539031587</v>
      </c>
      <c r="DC27" s="82">
        <f>BW27</f>
        <v>3907.7093112257207</v>
      </c>
      <c r="DD27" s="82">
        <f>BZ27</f>
        <v>4214.976775814006</v>
      </c>
      <c r="DE27" s="82">
        <f>CC27</f>
        <v>4523.2748341555234</v>
      </c>
      <c r="DF27" s="48"/>
      <c r="DG27" s="48">
        <f>+DG24/5.9</f>
        <v>6.6505878725825633</v>
      </c>
      <c r="DH27" s="48"/>
      <c r="DI27" s="48"/>
      <c r="DJ27" s="48"/>
      <c r="DK27" s="48"/>
      <c r="EB27"/>
      <c r="EC27"/>
      <c r="ED27"/>
      <c r="EE27"/>
      <c r="EF27"/>
      <c r="EG27"/>
    </row>
    <row r="28" spans="1:137" ht="12.75" customHeight="1" thickTop="1">
      <c r="A28" s="1"/>
      <c r="B28" s="94"/>
      <c r="C28" s="1"/>
      <c r="D28" s="1"/>
      <c r="E28" s="1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91"/>
      <c r="AC28" s="91"/>
      <c r="AD28" s="91"/>
      <c r="AE28" s="91"/>
      <c r="AF28" s="91"/>
      <c r="AG28" s="91"/>
      <c r="AH28" s="91"/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  <c r="BJ28" s="91"/>
      <c r="BK28" s="91"/>
      <c r="BL28" s="91"/>
      <c r="BM28" s="91"/>
      <c r="BN28" s="91"/>
      <c r="BO28" s="91"/>
      <c r="BP28" s="91"/>
      <c r="BQ28" s="91"/>
      <c r="BR28" s="91"/>
      <c r="BS28" s="91"/>
      <c r="BT28" s="91"/>
      <c r="BU28" s="91"/>
      <c r="BV28" s="91"/>
      <c r="BW28" s="91"/>
      <c r="BX28" s="91"/>
      <c r="BY28" s="91"/>
      <c r="BZ28" s="91"/>
      <c r="CA28" s="91"/>
      <c r="CB28" s="91"/>
      <c r="CC28" s="91"/>
      <c r="CD28" s="68"/>
      <c r="CE28" s="65"/>
      <c r="CF28" s="65"/>
      <c r="CG28" s="65"/>
      <c r="CH28" s="65"/>
      <c r="CI28" s="65"/>
      <c r="CJ28" s="65"/>
      <c r="CK28" s="19"/>
      <c r="CL28" s="92"/>
      <c r="CM28" s="91"/>
      <c r="CN28" s="91"/>
      <c r="CO28" s="91"/>
      <c r="CP28" s="91"/>
      <c r="CQ28" s="91"/>
      <c r="CR28" s="91"/>
      <c r="CS28" s="91"/>
      <c r="CT28" s="91"/>
      <c r="CU28" s="91"/>
      <c r="CV28" s="91"/>
      <c r="CW28" s="91"/>
      <c r="CX28" s="91"/>
      <c r="CY28" s="91"/>
      <c r="CZ28" s="91"/>
      <c r="DA28" s="91"/>
      <c r="DB28" s="91"/>
      <c r="DC28" s="91"/>
      <c r="DD28" s="91"/>
      <c r="DE28" s="91"/>
    </row>
    <row r="29" spans="1:137" ht="12.75" customHeight="1">
      <c r="A29" s="1"/>
      <c r="B29" s="49" t="s">
        <v>62</v>
      </c>
      <c r="C29" s="1"/>
      <c r="D29" s="1"/>
      <c r="E29" s="1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91"/>
      <c r="AC29" s="91"/>
      <c r="AD29" s="91"/>
      <c r="AE29" s="91"/>
      <c r="AF29" s="91"/>
      <c r="AG29" s="91"/>
      <c r="AH29" s="91"/>
      <c r="AI29" s="91"/>
      <c r="AJ29" s="91"/>
      <c r="AK29" s="91"/>
      <c r="AL29" s="91"/>
      <c r="AM29" s="91"/>
      <c r="AN29" s="91"/>
      <c r="AO29" s="91"/>
      <c r="AP29" s="91"/>
      <c r="AQ29" s="91"/>
      <c r="AR29" s="91"/>
      <c r="AS29" s="91"/>
      <c r="AT29" s="91"/>
      <c r="AU29" s="91"/>
      <c r="AV29" s="91"/>
      <c r="AW29" s="91"/>
      <c r="AX29" s="91"/>
      <c r="AY29" s="373" t="s">
        <v>361</v>
      </c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1"/>
      <c r="CC29" s="91"/>
      <c r="CD29" s="68"/>
      <c r="CE29" s="65"/>
      <c r="CF29" s="65"/>
      <c r="CG29" s="65"/>
      <c r="CH29" s="65"/>
      <c r="CI29" s="65"/>
      <c r="CJ29" s="65"/>
      <c r="CK29" s="19"/>
      <c r="CL29" s="92"/>
      <c r="CM29" s="91"/>
      <c r="CN29" s="91"/>
      <c r="CO29" s="91"/>
      <c r="CP29" s="91"/>
      <c r="CQ29" s="91"/>
      <c r="CR29" s="91"/>
      <c r="CS29" s="91"/>
      <c r="CT29" s="91"/>
      <c r="CU29" s="91"/>
      <c r="CV29" s="91"/>
      <c r="CW29" s="91"/>
      <c r="CX29" s="91"/>
      <c r="CY29" s="91"/>
      <c r="CZ29" s="91"/>
      <c r="DA29" s="91"/>
      <c r="DB29" s="91"/>
      <c r="DC29" s="91"/>
      <c r="DD29" s="91"/>
      <c r="DE29" s="91"/>
    </row>
    <row r="30" spans="1:137" ht="12.75" customHeight="1">
      <c r="A30" s="1"/>
      <c r="B30" s="13" t="s">
        <v>63</v>
      </c>
      <c r="C30" s="1"/>
      <c r="D30" s="97"/>
      <c r="E30" s="97"/>
      <c r="F30" s="98"/>
      <c r="G30" s="98"/>
      <c r="H30" s="98"/>
      <c r="I30" s="98"/>
      <c r="J30" s="98"/>
      <c r="K30" s="98"/>
      <c r="L30" s="98">
        <v>67.400000000000006</v>
      </c>
      <c r="M30" s="98">
        <v>11</v>
      </c>
      <c r="N30" s="98">
        <v>7.8999999999999986</v>
      </c>
      <c r="O30" s="98">
        <v>18.899999999999999</v>
      </c>
      <c r="P30" s="98">
        <v>16.599999999999998</v>
      </c>
      <c r="Q30" s="98">
        <v>25.3</v>
      </c>
      <c r="R30" s="98">
        <v>41.9</v>
      </c>
      <c r="S30" s="98">
        <v>14.700000000000003</v>
      </c>
      <c r="T30" s="98">
        <v>8.6000000000000014</v>
      </c>
      <c r="U30" s="98">
        <v>23.300000000000004</v>
      </c>
      <c r="V30" s="98">
        <v>5.2999999999999972</v>
      </c>
      <c r="W30" s="98">
        <v>-9.999999999999698E-2</v>
      </c>
      <c r="X30" s="98">
        <v>5.2</v>
      </c>
      <c r="Y30" s="98">
        <v>5.8000000000000007</v>
      </c>
      <c r="Z30" s="98">
        <v>-1.4000000000000004</v>
      </c>
      <c r="AA30" s="98">
        <v>4.4000000000000004</v>
      </c>
      <c r="AB30" s="98">
        <v>3.9000000000000004</v>
      </c>
      <c r="AC30" s="66">
        <f>5.1-AB30</f>
        <v>1.1999999999999993</v>
      </c>
      <c r="AD30" s="66">
        <f>Debt!K76</f>
        <v>5.0999999999999996</v>
      </c>
      <c r="AE30" s="66">
        <f>+Debt!L76</f>
        <v>2.7</v>
      </c>
      <c r="AF30" s="66">
        <f>+Debt!M76</f>
        <v>0.79999999999999982</v>
      </c>
      <c r="AG30" s="66">
        <f>+Debt!N76</f>
        <v>3.5</v>
      </c>
      <c r="AH30" s="66">
        <f>IFERROR(+Debt!O76,0)</f>
        <v>4.8</v>
      </c>
      <c r="AI30" s="66">
        <f>IFERROR(+Debt!P76,0)</f>
        <v>3.5000000000000009</v>
      </c>
      <c r="AJ30" s="66">
        <f>IFERROR(+Debt!Q76,0)</f>
        <v>8.3000000000000007</v>
      </c>
      <c r="AK30" s="66">
        <f>IFERROR(+Debt!R76,0)</f>
        <v>10.199999999999999</v>
      </c>
      <c r="AL30" s="66">
        <f>IFERROR(+Debt!S76,0)</f>
        <v>12.2</v>
      </c>
      <c r="AM30" s="66">
        <f>IFERROR(+Debt!T76,0)</f>
        <v>22.4</v>
      </c>
      <c r="AN30" s="66">
        <f>IFERROR(+Debt!U76,0)</f>
        <v>15.1</v>
      </c>
      <c r="AO30" s="66">
        <f>IFERROR(+Debt!V76,0)</f>
        <v>19.399999999999999</v>
      </c>
      <c r="AP30" s="66">
        <f>IFERROR(+Debt!W76,0)</f>
        <v>34.5</v>
      </c>
      <c r="AQ30" s="66">
        <f>IFERROR(+Debt!X76,0)</f>
        <v>21</v>
      </c>
      <c r="AR30" s="66">
        <f>IFERROR(+Debt!Y76,0)</f>
        <v>18.100000000000001</v>
      </c>
      <c r="AS30" s="66">
        <f>IFERROR(+Debt!Z76,0)</f>
        <v>39.1</v>
      </c>
      <c r="AT30" s="66">
        <f>IFERROR(+Debt!AA76,0)</f>
        <v>7.7</v>
      </c>
      <c r="AU30" s="66">
        <f>IFERROR(+Debt!AB76,0)</f>
        <v>4.2</v>
      </c>
      <c r="AV30" s="66">
        <f>IFERROR(+Debt!AC76,0)</f>
        <v>11.9</v>
      </c>
      <c r="AW30" s="66">
        <f>IFERROR(+Debt!AD76,0)</f>
        <v>1.7</v>
      </c>
      <c r="AX30" s="66">
        <f>IFERROR(+Debt!AE76,0)</f>
        <v>0.59999999999999987</v>
      </c>
      <c r="AY30" s="66">
        <f>IFERROR(+Debt!AF76,0)</f>
        <v>2.2999999999999998</v>
      </c>
      <c r="AZ30" s="66">
        <f>IFERROR(+Debt!AG76,0)</f>
        <v>0.5</v>
      </c>
      <c r="BA30" s="66">
        <f>IFERROR(+Debt!AH76,0)</f>
        <v>1.3</v>
      </c>
      <c r="BB30" s="66">
        <f>IFERROR(+Debt!AI76,0)</f>
        <v>1.8</v>
      </c>
      <c r="BC30" s="66">
        <f>IFERROR(+Debt!AJ76,0)</f>
        <v>6.1</v>
      </c>
      <c r="BD30" s="66">
        <f>IFERROR(+Debt!AK76,0)</f>
        <v>13.9</v>
      </c>
      <c r="BE30" s="66">
        <f>IFERROR(+Debt!AL76,0)</f>
        <v>20</v>
      </c>
      <c r="BF30" s="66">
        <f>IFERROR(+Debt!AM76,0)</f>
        <v>18.3</v>
      </c>
      <c r="BG30" s="66">
        <f>IFERROR(+Debt!AN76,0)</f>
        <v>20.999999999999996</v>
      </c>
      <c r="BH30" s="66">
        <f>IFERROR(+Debt!AO76,0)</f>
        <v>39.299999999999997</v>
      </c>
      <c r="BI30" s="66">
        <f>IFERROR(+Debt!AP76,0)</f>
        <v>27.3</v>
      </c>
      <c r="BJ30" s="66">
        <f>IFERROR(+Debt!AQ76,0)</f>
        <v>54.7</v>
      </c>
      <c r="BK30" s="66">
        <f>IFERROR(+Debt!AR76,0)</f>
        <v>82</v>
      </c>
      <c r="BL30" s="66">
        <f>IFERROR(+Debt!AS76,0)</f>
        <v>74.099999999999994</v>
      </c>
      <c r="BM30" s="19">
        <f ca="1">IFERROR(+Debt!AT76,0)</f>
        <v>40.96744428922576</v>
      </c>
      <c r="BN30" s="19">
        <f ca="1">IFERROR(+Debt!AU76,0)</f>
        <v>115.06744428922576</v>
      </c>
      <c r="BO30" s="19">
        <f ca="1">IFERROR(+Debt!AV76,0)</f>
        <v>33.149434813646373</v>
      </c>
      <c r="BP30" s="19">
        <f ca="1">IFERROR(+Debt!AW76,0)</f>
        <v>27.099111892394884</v>
      </c>
      <c r="BQ30" s="19">
        <f ca="1">IFERROR(+Debt!AX76,0)</f>
        <v>60.248546706041253</v>
      </c>
      <c r="BR30" s="19">
        <f ca="1">IFERROR(+Debt!AY76,0)</f>
        <v>26.076155894544041</v>
      </c>
      <c r="BS30" s="19">
        <f ca="1">IFERROR(+Debt!AZ76,0)</f>
        <v>28.571063222174285</v>
      </c>
      <c r="BT30" s="19">
        <f ca="1">IFERROR(+Debt!BA76,0)</f>
        <v>54.647219116718325</v>
      </c>
      <c r="BU30" s="19">
        <f ca="1">IFERROR(+Debt!BB76,0)</f>
        <v>33.115079477928667</v>
      </c>
      <c r="BV30" s="19">
        <f ca="1">IFERROR(+Debt!BC76,0)</f>
        <v>38.769892671217569</v>
      </c>
      <c r="BW30" s="19">
        <f ca="1">IFERROR(+Debt!BD76,0)</f>
        <v>71.884972149146236</v>
      </c>
      <c r="BX30" s="19">
        <f ca="1">IFERROR(+Debt!BE76,0)</f>
        <v>45.24095000080623</v>
      </c>
      <c r="BY30" s="19">
        <f ca="1">IFERROR(+Debt!BF76,0)</f>
        <v>52.461322548462086</v>
      </c>
      <c r="BZ30" s="19">
        <f ca="1">IFERROR(+Debt!BG76,0)</f>
        <v>97.702272549268315</v>
      </c>
      <c r="CA30" s="19">
        <f ca="1">IFERROR(+Debt!BH76,0)</f>
        <v>60.545460284505687</v>
      </c>
      <c r="CB30" s="19">
        <f ca="1">IFERROR(+Debt!BI76,0)</f>
        <v>69.526543810048963</v>
      </c>
      <c r="CC30" s="19">
        <f ca="1">IFERROR(+Debt!BJ76,0)</f>
        <v>130.07200409455464</v>
      </c>
      <c r="CD30" s="99"/>
      <c r="CE30" s="19">
        <f ca="1">SUM(AW30:CD30)</f>
        <v>1350.0449178099091</v>
      </c>
      <c r="CF30" s="65"/>
      <c r="CG30" s="65"/>
      <c r="CH30" s="65"/>
      <c r="CI30" s="65"/>
      <c r="CJ30" s="65"/>
      <c r="CK30" s="19"/>
      <c r="CL30" s="58">
        <f>X30</f>
        <v>5.2</v>
      </c>
      <c r="CM30" s="19">
        <f>AA30</f>
        <v>4.4000000000000004</v>
      </c>
      <c r="CN30" s="19">
        <f>AD30</f>
        <v>5.0999999999999996</v>
      </c>
      <c r="CO30" s="19">
        <f>AG30</f>
        <v>3.5</v>
      </c>
      <c r="CP30" s="19">
        <f>AJ30</f>
        <v>8.3000000000000007</v>
      </c>
      <c r="CQ30" s="19">
        <f>AM30</f>
        <v>22.4</v>
      </c>
      <c r="CR30" s="19">
        <f>AP30</f>
        <v>34.5</v>
      </c>
      <c r="CS30" s="19">
        <f>AS30</f>
        <v>39.1</v>
      </c>
      <c r="CT30" s="19">
        <f>AV30</f>
        <v>11.9</v>
      </c>
      <c r="CU30" s="19">
        <f>AY30</f>
        <v>2.2999999999999998</v>
      </c>
      <c r="CV30" s="19">
        <f>BB30</f>
        <v>1.8</v>
      </c>
      <c r="CW30" s="19">
        <f>BE30</f>
        <v>20</v>
      </c>
      <c r="CX30" s="19">
        <f>BH30</f>
        <v>39.299999999999997</v>
      </c>
      <c r="CY30" s="19">
        <f>BK30</f>
        <v>82</v>
      </c>
      <c r="CZ30" s="19">
        <f ca="1">BN30</f>
        <v>115.06744428922576</v>
      </c>
      <c r="DA30" s="19">
        <f ca="1">BQ30</f>
        <v>60.248546706041253</v>
      </c>
      <c r="DB30" s="19">
        <f ca="1">BT30</f>
        <v>54.647219116718325</v>
      </c>
      <c r="DC30" s="19">
        <f ca="1">BW30</f>
        <v>71.884972149146236</v>
      </c>
      <c r="DD30" s="19">
        <f ca="1">BZ30</f>
        <v>97.702272549268315</v>
      </c>
      <c r="DE30" s="19">
        <f ca="1">CC30</f>
        <v>130.07200409455464</v>
      </c>
    </row>
    <row r="31" spans="1:137" ht="12.75" customHeight="1">
      <c r="A31" s="1"/>
      <c r="B31" s="13" t="s">
        <v>64</v>
      </c>
      <c r="C31" s="1"/>
      <c r="D31" s="97"/>
      <c r="E31" s="97"/>
      <c r="F31" s="100"/>
      <c r="G31" s="100"/>
      <c r="H31" s="100"/>
      <c r="I31" s="100"/>
      <c r="J31" s="98"/>
      <c r="K31" s="98"/>
      <c r="L31" s="98">
        <v>-177.9</v>
      </c>
      <c r="M31" s="98">
        <v>-61</v>
      </c>
      <c r="N31" s="98">
        <v>-49.199999999999989</v>
      </c>
      <c r="O31" s="98">
        <v>-110.19999999999999</v>
      </c>
      <c r="P31" s="98">
        <v>-36</v>
      </c>
      <c r="Q31" s="98">
        <v>-25.499999999999986</v>
      </c>
      <c r="R31" s="98">
        <v>-61.499999999999986</v>
      </c>
      <c r="S31" s="98">
        <v>-17.100000000000001</v>
      </c>
      <c r="T31" s="98">
        <v>-23.1</v>
      </c>
      <c r="U31" s="98">
        <v>-40.200000000000003</v>
      </c>
      <c r="V31" s="98">
        <v>-4.2000000000000028</v>
      </c>
      <c r="W31" s="98">
        <v>-11.399999999999999</v>
      </c>
      <c r="X31" s="98">
        <v>-15.600000000000001</v>
      </c>
      <c r="Y31" s="98">
        <v>-25.7</v>
      </c>
      <c r="Z31" s="98">
        <v>-8.7000000000000011</v>
      </c>
      <c r="AA31" s="98">
        <v>-34.4</v>
      </c>
      <c r="AB31" s="98">
        <v>-10.5</v>
      </c>
      <c r="AC31" s="66">
        <f>-Debt!J70</f>
        <v>-21</v>
      </c>
      <c r="AD31" s="66">
        <f>-Debt!K70</f>
        <v>-31.5</v>
      </c>
      <c r="AE31" s="66">
        <f>-Debt!L70</f>
        <v>-9.1999999999999993</v>
      </c>
      <c r="AF31" s="66">
        <f>-Debt!M70</f>
        <v>-15.700000000000003</v>
      </c>
      <c r="AG31" s="66">
        <f>-Debt!N70</f>
        <v>-24.900000000000002</v>
      </c>
      <c r="AH31" s="66">
        <f>-Debt!O70</f>
        <v>-52.599999999999994</v>
      </c>
      <c r="AI31" s="66">
        <f>-Debt!P70</f>
        <v>-44.600000000000009</v>
      </c>
      <c r="AJ31" s="66">
        <f>-Debt!Q70</f>
        <v>-97.2</v>
      </c>
      <c r="AK31" s="66">
        <f>-Debt!R70</f>
        <v>-49.099999999999994</v>
      </c>
      <c r="AL31" s="66">
        <f>-Debt!S70</f>
        <v>-27.299999999999994</v>
      </c>
      <c r="AM31" s="66">
        <f>-Debt!T70</f>
        <v>-76.399999999999991</v>
      </c>
      <c r="AN31" s="66">
        <f>-Debt!U70</f>
        <v>-36.5</v>
      </c>
      <c r="AO31" s="66">
        <f>-Debt!V70</f>
        <v>-42.400000000000006</v>
      </c>
      <c r="AP31" s="66">
        <f>-Debt!W70</f>
        <v>-78.900000000000006</v>
      </c>
      <c r="AQ31" s="66">
        <f>-Debt!X70</f>
        <v>-41.3</v>
      </c>
      <c r="AR31" s="66">
        <f>-Debt!Y70</f>
        <v>-43.7</v>
      </c>
      <c r="AS31" s="66">
        <f>-Debt!Z70</f>
        <v>-85</v>
      </c>
      <c r="AT31" s="66">
        <f>-Debt!AA70</f>
        <v>-37.6</v>
      </c>
      <c r="AU31" s="66">
        <f>-Debt!AB70</f>
        <v>-45.099999999999994</v>
      </c>
      <c r="AV31" s="66">
        <f>-Debt!AC70</f>
        <v>-82.699999999999989</v>
      </c>
      <c r="AW31" s="66">
        <f>-Debt!AD70</f>
        <v>-30.100000000000005</v>
      </c>
      <c r="AX31" s="66">
        <f>-Debt!AE70</f>
        <v>11.400000000000006</v>
      </c>
      <c r="AY31" s="66">
        <f>-Debt!AF70</f>
        <v>-18.7</v>
      </c>
      <c r="AZ31" s="66">
        <f>-Debt!AG70</f>
        <v>-21.2</v>
      </c>
      <c r="BA31" s="66">
        <f>-Debt!AH70</f>
        <v>-19.899999999999999</v>
      </c>
      <c r="BB31" s="66">
        <f>-Debt!AI70</f>
        <v>-41.099999999999994</v>
      </c>
      <c r="BC31" s="66">
        <f>-Debt!AJ70</f>
        <v>-7.1000000000000014</v>
      </c>
      <c r="BD31" s="66">
        <f>-Debt!AK70</f>
        <v>-26.400000000000002</v>
      </c>
      <c r="BE31" s="66">
        <f>-Debt!AL70</f>
        <v>-33.5</v>
      </c>
      <c r="BF31" s="66">
        <f>-Debt!AM70</f>
        <v>-35.799999999999997</v>
      </c>
      <c r="BG31" s="66">
        <f>-Debt!AN70</f>
        <v>-21.999999999999996</v>
      </c>
      <c r="BH31" s="66">
        <f>-Debt!AO70</f>
        <v>-57.8</v>
      </c>
      <c r="BI31" s="66">
        <f>-Debt!AP70</f>
        <v>-24.500000000000007</v>
      </c>
      <c r="BJ31" s="66">
        <f>-Debt!AQ70</f>
        <v>-23.6</v>
      </c>
      <c r="BK31" s="66">
        <f>-Debt!AR70</f>
        <v>-48.100000000000009</v>
      </c>
      <c r="BL31" s="66">
        <f>-Debt!AS70</f>
        <v>-8.1999999999999886</v>
      </c>
      <c r="BM31" s="19">
        <f>-Debt!AT70</f>
        <v>9.9818493436445763</v>
      </c>
      <c r="BN31" s="19">
        <f>-Debt!AU70</f>
        <v>1.7818493436445877</v>
      </c>
      <c r="BO31" s="19">
        <f>-Debt!AV70</f>
        <v>7.7561806274923839</v>
      </c>
      <c r="BP31" s="19">
        <f>-Debt!AW70</f>
        <v>3.8851521143599541</v>
      </c>
      <c r="BQ31" s="19">
        <f>-Debt!AX70</f>
        <v>11.641332741852338</v>
      </c>
      <c r="BR31" s="19">
        <f>-Debt!AY70</f>
        <v>0.63934399856217539</v>
      </c>
      <c r="BS31" s="19">
        <f>-Debt!AZ70</f>
        <v>-2.5376679102506472</v>
      </c>
      <c r="BT31" s="19">
        <f>-Debt!BA70</f>
        <v>-1.8983239116884718</v>
      </c>
      <c r="BU31" s="19">
        <f>-Debt!BB70</f>
        <v>-6.9228654116267663</v>
      </c>
      <c r="BV31" s="19">
        <f>-Debt!BC70</f>
        <v>-10.183796881834176</v>
      </c>
      <c r="BW31" s="19">
        <f>-Debt!BD70</f>
        <v>-17.106662293460943</v>
      </c>
      <c r="BX31" s="19">
        <f>-Debt!BE70</f>
        <v>-41.450865847488195</v>
      </c>
      <c r="BY31" s="19">
        <f>-Debt!BF70</f>
        <v>-43.251580102672214</v>
      </c>
      <c r="BZ31" s="19">
        <f>-Debt!BG70</f>
        <v>-84.70244595016041</v>
      </c>
      <c r="CA31" s="19">
        <f>-Debt!BH70</f>
        <v>-50.257571326942617</v>
      </c>
      <c r="CB31" s="19">
        <f>-Debt!BI70</f>
        <v>-52.156538840579692</v>
      </c>
      <c r="CC31" s="19">
        <f>-Debt!BJ70</f>
        <v>-102.41411016752231</v>
      </c>
      <c r="CD31" s="68"/>
      <c r="CE31" s="19">
        <f>SUM(AW31:CD31)</f>
        <v>-783.79672047467056</v>
      </c>
      <c r="CF31" s="65"/>
      <c r="CG31" s="65"/>
      <c r="CH31" s="65"/>
      <c r="CI31" s="65"/>
      <c r="CJ31" s="65"/>
      <c r="CK31" s="19"/>
      <c r="CL31" s="58">
        <f>X31</f>
        <v>-15.600000000000001</v>
      </c>
      <c r="CM31" s="19">
        <f>AA31</f>
        <v>-34.4</v>
      </c>
      <c r="CN31" s="19">
        <f>AD31</f>
        <v>-31.5</v>
      </c>
      <c r="CO31" s="19">
        <f>AG31</f>
        <v>-24.900000000000002</v>
      </c>
      <c r="CP31" s="19">
        <f>AJ31</f>
        <v>-97.2</v>
      </c>
      <c r="CQ31" s="19">
        <f>AM31</f>
        <v>-76.399999999999991</v>
      </c>
      <c r="CR31" s="19">
        <f>AP31</f>
        <v>-78.900000000000006</v>
      </c>
      <c r="CS31" s="19">
        <f>AS31</f>
        <v>-85</v>
      </c>
      <c r="CT31" s="19">
        <f>AV31</f>
        <v>-82.699999999999989</v>
      </c>
      <c r="CU31" s="19">
        <f>AY31</f>
        <v>-18.7</v>
      </c>
      <c r="CV31" s="19">
        <f>BB31</f>
        <v>-41.099999999999994</v>
      </c>
      <c r="CW31" s="19">
        <f>BE31</f>
        <v>-33.5</v>
      </c>
      <c r="CX31" s="19">
        <f>BH31</f>
        <v>-57.8</v>
      </c>
      <c r="CY31" s="19">
        <f>BK31</f>
        <v>-48.100000000000009</v>
      </c>
      <c r="CZ31" s="19">
        <f>BN31</f>
        <v>1.7818493436445877</v>
      </c>
      <c r="DA31" s="19">
        <f>BQ31</f>
        <v>11.641332741852338</v>
      </c>
      <c r="DB31" s="19">
        <f>BT31</f>
        <v>-1.8983239116884718</v>
      </c>
      <c r="DC31" s="19">
        <f>BW31</f>
        <v>-17.106662293460943</v>
      </c>
      <c r="DD31" s="19">
        <f>BZ31</f>
        <v>-84.70244595016041</v>
      </c>
      <c r="DE31" s="19">
        <f>CC31</f>
        <v>-102.41411016752231</v>
      </c>
    </row>
    <row r="32" spans="1:137" s="55" customFormat="1" ht="12.75" customHeight="1">
      <c r="A32" s="48"/>
      <c r="B32" s="49" t="s">
        <v>43</v>
      </c>
      <c r="C32" s="48"/>
      <c r="D32" s="101"/>
      <c r="E32" s="101"/>
      <c r="F32" s="51"/>
      <c r="G32" s="51"/>
      <c r="H32" s="51"/>
      <c r="I32" s="51"/>
      <c r="J32" s="51"/>
      <c r="K32" s="51"/>
      <c r="L32" s="51">
        <f>SUM(L30:L31)</f>
        <v>-110.5</v>
      </c>
      <c r="M32" s="51">
        <f t="shared" ref="M32:BK32" si="144">SUM(M30:M31)</f>
        <v>-50</v>
      </c>
      <c r="N32" s="51">
        <f t="shared" si="144"/>
        <v>-41.29999999999999</v>
      </c>
      <c r="O32" s="51">
        <f t="shared" si="144"/>
        <v>-91.299999999999983</v>
      </c>
      <c r="P32" s="51">
        <f t="shared" si="144"/>
        <v>-19.400000000000002</v>
      </c>
      <c r="Q32" s="51">
        <f t="shared" si="144"/>
        <v>-0.19999999999998508</v>
      </c>
      <c r="R32" s="51">
        <f t="shared" si="144"/>
        <v>-19.599999999999987</v>
      </c>
      <c r="S32" s="51">
        <f t="shared" si="144"/>
        <v>-2.3999999999999986</v>
      </c>
      <c r="T32" s="51">
        <f t="shared" si="144"/>
        <v>-14.5</v>
      </c>
      <c r="U32" s="51">
        <f t="shared" si="144"/>
        <v>-16.899999999999999</v>
      </c>
      <c r="V32" s="51">
        <f t="shared" si="144"/>
        <v>1.0999999999999943</v>
      </c>
      <c r="W32" s="51">
        <f t="shared" si="144"/>
        <v>-11.499999999999996</v>
      </c>
      <c r="X32" s="51">
        <f t="shared" si="144"/>
        <v>-10.400000000000002</v>
      </c>
      <c r="Y32" s="51">
        <f t="shared" si="144"/>
        <v>-19.899999999999999</v>
      </c>
      <c r="Z32" s="51">
        <f t="shared" si="144"/>
        <v>-10.100000000000001</v>
      </c>
      <c r="AA32" s="51">
        <f t="shared" si="144"/>
        <v>-30</v>
      </c>
      <c r="AB32" s="51">
        <f t="shared" si="144"/>
        <v>-6.6</v>
      </c>
      <c r="AC32" s="51">
        <f>SUM(AC30:AC31)</f>
        <v>-19.8</v>
      </c>
      <c r="AD32" s="51">
        <f t="shared" si="144"/>
        <v>-26.4</v>
      </c>
      <c r="AE32" s="51">
        <f>SUM(AE30:AE31)</f>
        <v>-6.4999999999999991</v>
      </c>
      <c r="AF32" s="51">
        <f>SUM(AF30:AF31)</f>
        <v>-14.900000000000002</v>
      </c>
      <c r="AG32" s="51">
        <f t="shared" si="144"/>
        <v>-21.400000000000002</v>
      </c>
      <c r="AH32" s="51">
        <f t="shared" si="144"/>
        <v>-47.8</v>
      </c>
      <c r="AI32" s="51">
        <f t="shared" si="144"/>
        <v>-41.100000000000009</v>
      </c>
      <c r="AJ32" s="51">
        <f t="shared" si="144"/>
        <v>-88.9</v>
      </c>
      <c r="AK32" s="51">
        <f t="shared" si="144"/>
        <v>-38.899999999999991</v>
      </c>
      <c r="AL32" s="51">
        <f t="shared" si="144"/>
        <v>-15.099999999999994</v>
      </c>
      <c r="AM32" s="51">
        <f t="shared" si="144"/>
        <v>-53.999999999999993</v>
      </c>
      <c r="AN32" s="51">
        <f t="shared" si="144"/>
        <v>-21.4</v>
      </c>
      <c r="AO32" s="51">
        <f t="shared" si="144"/>
        <v>-23.000000000000007</v>
      </c>
      <c r="AP32" s="51">
        <f t="shared" si="144"/>
        <v>-44.400000000000006</v>
      </c>
      <c r="AQ32" s="51">
        <f t="shared" si="144"/>
        <v>-20.299999999999997</v>
      </c>
      <c r="AR32" s="51">
        <f t="shared" si="144"/>
        <v>-25.6</v>
      </c>
      <c r="AS32" s="51">
        <f t="shared" si="144"/>
        <v>-45.9</v>
      </c>
      <c r="AT32" s="51">
        <f t="shared" si="144"/>
        <v>-29.900000000000002</v>
      </c>
      <c r="AU32" s="51">
        <f t="shared" si="144"/>
        <v>-40.899999999999991</v>
      </c>
      <c r="AV32" s="51">
        <f t="shared" si="144"/>
        <v>-70.799999999999983</v>
      </c>
      <c r="AW32" s="51">
        <f t="shared" si="144"/>
        <v>-28.400000000000006</v>
      </c>
      <c r="AX32" s="51">
        <f t="shared" si="144"/>
        <v>12.000000000000005</v>
      </c>
      <c r="AY32" s="51">
        <f t="shared" si="144"/>
        <v>-16.399999999999999</v>
      </c>
      <c r="AZ32" s="51">
        <f t="shared" si="144"/>
        <v>-20.7</v>
      </c>
      <c r="BA32" s="51">
        <f t="shared" si="144"/>
        <v>-18.599999999999998</v>
      </c>
      <c r="BB32" s="51">
        <f t="shared" si="144"/>
        <v>-39.299999999999997</v>
      </c>
      <c r="BC32" s="51">
        <f t="shared" si="144"/>
        <v>-1.0000000000000018</v>
      </c>
      <c r="BD32" s="51">
        <f t="shared" si="144"/>
        <v>-12.500000000000002</v>
      </c>
      <c r="BE32" s="51">
        <f t="shared" si="144"/>
        <v>-13.5</v>
      </c>
      <c r="BF32" s="51">
        <f t="shared" si="144"/>
        <v>-17.499999999999996</v>
      </c>
      <c r="BG32" s="51">
        <f t="shared" si="144"/>
        <v>-1</v>
      </c>
      <c r="BH32" s="51">
        <f t="shared" si="144"/>
        <v>-18.5</v>
      </c>
      <c r="BI32" s="51">
        <v>2.8</v>
      </c>
      <c r="BJ32" s="51">
        <f t="shared" si="144"/>
        <v>31.1</v>
      </c>
      <c r="BK32" s="51">
        <f t="shared" si="144"/>
        <v>33.899999999999991</v>
      </c>
      <c r="BL32" s="51">
        <f t="shared" ref="BL32:BN32" si="145">SUM(BL30:BL31)</f>
        <v>65.900000000000006</v>
      </c>
      <c r="BM32" s="51">
        <f t="shared" ca="1" si="145"/>
        <v>50.949293632870337</v>
      </c>
      <c r="BN32" s="51">
        <f t="shared" ca="1" si="145"/>
        <v>116.84929363287034</v>
      </c>
      <c r="BO32" s="51">
        <f t="shared" ref="BO32:BQ32" ca="1" si="146">SUM(BO30:BO31)</f>
        <v>40.905615441138757</v>
      </c>
      <c r="BP32" s="51">
        <f t="shared" ca="1" si="146"/>
        <v>30.984264006754838</v>
      </c>
      <c r="BQ32" s="51">
        <f t="shared" ca="1" si="146"/>
        <v>71.889879447893591</v>
      </c>
      <c r="BR32" s="51">
        <f t="shared" ref="BR32:BT32" ca="1" si="147">SUM(BR30:BR31)</f>
        <v>26.715499893106216</v>
      </c>
      <c r="BS32" s="51">
        <f t="shared" ca="1" si="147"/>
        <v>26.033395311923638</v>
      </c>
      <c r="BT32" s="51">
        <f t="shared" ca="1" si="147"/>
        <v>52.748895205029854</v>
      </c>
      <c r="BU32" s="51">
        <f t="shared" ref="BU32:BZ32" ca="1" si="148">SUM(BU30:BU31)</f>
        <v>26.192214066301901</v>
      </c>
      <c r="BV32" s="51">
        <f t="shared" ca="1" si="148"/>
        <v>28.586095789383393</v>
      </c>
      <c r="BW32" s="51">
        <f t="shared" ca="1" si="148"/>
        <v>54.778309855685293</v>
      </c>
      <c r="BX32" s="51">
        <f t="shared" ca="1" si="148"/>
        <v>3.7900841533180341</v>
      </c>
      <c r="BY32" s="51">
        <f t="shared" ca="1" si="148"/>
        <v>9.2097424457898711</v>
      </c>
      <c r="BZ32" s="51">
        <f t="shared" ca="1" si="148"/>
        <v>12.999826599107905</v>
      </c>
      <c r="CA32" s="51">
        <f t="shared" ref="CA32:CC32" ca="1" si="149">SUM(CA30:CA31)</f>
        <v>10.287888957563069</v>
      </c>
      <c r="CB32" s="51">
        <f t="shared" ca="1" si="149"/>
        <v>17.370004969469271</v>
      </c>
      <c r="CC32" s="51">
        <f t="shared" ca="1" si="149"/>
        <v>27.657893927032333</v>
      </c>
      <c r="CD32" s="68"/>
      <c r="CE32" s="51">
        <f ca="1">SUM(CE30:CE31)</f>
        <v>566.2481973352385</v>
      </c>
      <c r="CF32" s="53"/>
      <c r="CG32" s="53"/>
      <c r="CH32" s="53"/>
      <c r="CI32" s="53"/>
      <c r="CJ32" s="53"/>
      <c r="CK32" s="51"/>
      <c r="CL32" s="54">
        <f>X32</f>
        <v>-10.400000000000002</v>
      </c>
      <c r="CM32" s="51">
        <f>AA32</f>
        <v>-30</v>
      </c>
      <c r="CN32" s="51">
        <f>AD32</f>
        <v>-26.4</v>
      </c>
      <c r="CO32" s="51">
        <f>AG32</f>
        <v>-21.400000000000002</v>
      </c>
      <c r="CP32" s="51">
        <f>AJ32</f>
        <v>-88.9</v>
      </c>
      <c r="CQ32" s="51">
        <f>AM32</f>
        <v>-53.999999999999993</v>
      </c>
      <c r="CR32" s="51">
        <f>AP32</f>
        <v>-44.400000000000006</v>
      </c>
      <c r="CS32" s="51">
        <f>AS32</f>
        <v>-45.9</v>
      </c>
      <c r="CT32" s="51">
        <f>AV32</f>
        <v>-70.799999999999983</v>
      </c>
      <c r="CU32" s="51">
        <f>AY32</f>
        <v>-16.399999999999999</v>
      </c>
      <c r="CV32" s="51">
        <f>BB32</f>
        <v>-39.299999999999997</v>
      </c>
      <c r="CW32" s="51">
        <f>BE32</f>
        <v>-13.5</v>
      </c>
      <c r="CX32" s="51">
        <f>BH32</f>
        <v>-18.5</v>
      </c>
      <c r="CY32" s="51">
        <f>BK32</f>
        <v>33.899999999999991</v>
      </c>
      <c r="CZ32" s="51">
        <f ca="1">BN32</f>
        <v>116.84929363287034</v>
      </c>
      <c r="DA32" s="51">
        <f ca="1">BQ32</f>
        <v>71.889879447893591</v>
      </c>
      <c r="DB32" s="51">
        <f ca="1">BT32</f>
        <v>52.748895205029854</v>
      </c>
      <c r="DC32" s="51">
        <f ca="1">BW32</f>
        <v>54.778309855685293</v>
      </c>
      <c r="DD32" s="51">
        <f ca="1">BZ32</f>
        <v>12.999826599107905</v>
      </c>
      <c r="DE32" s="51">
        <f ca="1">CC32</f>
        <v>27.657893927032333</v>
      </c>
      <c r="DF32" s="48"/>
      <c r="DG32" s="48"/>
      <c r="DH32" s="48"/>
      <c r="DI32" s="48">
        <v>39.6</v>
      </c>
      <c r="DJ32" s="48">
        <v>40</v>
      </c>
      <c r="DK32" s="48"/>
      <c r="EB32"/>
      <c r="EC32"/>
      <c r="ED32"/>
      <c r="EE32"/>
      <c r="EF32"/>
      <c r="EG32"/>
    </row>
    <row r="33" spans="1:137" ht="12.75" customHeight="1">
      <c r="A33" s="1"/>
      <c r="B33" s="94"/>
      <c r="C33" s="1"/>
      <c r="D33" s="1"/>
      <c r="E33" s="1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91"/>
      <c r="AC33" s="91"/>
      <c r="AD33" s="91"/>
      <c r="AE33" s="91"/>
      <c r="AF33" s="91"/>
      <c r="AG33" s="91"/>
      <c r="AH33" s="91"/>
      <c r="AI33" s="91"/>
      <c r="AJ33" s="91"/>
      <c r="AK33" s="91"/>
      <c r="AL33" s="91"/>
      <c r="AM33" s="91"/>
      <c r="AN33" s="91"/>
      <c r="AO33" s="91"/>
      <c r="AP33" s="91"/>
      <c r="AQ33" s="91"/>
      <c r="AR33" s="91"/>
      <c r="AS33" s="91"/>
      <c r="AT33" s="91"/>
      <c r="AU33" s="91"/>
      <c r="AV33" s="91"/>
      <c r="AW33" s="91"/>
      <c r="AX33" s="91"/>
      <c r="AY33" s="91"/>
      <c r="AZ33" s="91"/>
      <c r="BA33" s="91"/>
      <c r="BB33" s="91"/>
      <c r="BC33" s="91"/>
      <c r="BD33" s="91"/>
      <c r="BE33" s="91"/>
      <c r="BF33" s="91"/>
      <c r="BG33" s="91"/>
      <c r="BH33" s="91"/>
      <c r="BI33" s="91"/>
      <c r="BJ33" s="91"/>
      <c r="BK33" s="91"/>
      <c r="BL33" s="91"/>
      <c r="BM33" s="91"/>
      <c r="BN33" s="91"/>
      <c r="BO33" s="91"/>
      <c r="BP33" s="91"/>
      <c r="BQ33" s="91"/>
      <c r="BR33" s="91"/>
      <c r="BS33" s="91"/>
      <c r="BT33" s="91"/>
      <c r="BU33" s="91"/>
      <c r="BV33" s="91"/>
      <c r="BW33" s="91"/>
      <c r="BX33" s="91"/>
      <c r="BY33" s="91"/>
      <c r="BZ33" s="91"/>
      <c r="CA33" s="91"/>
      <c r="CB33" s="91"/>
      <c r="CC33" s="91"/>
      <c r="CD33" s="68"/>
      <c r="CE33" s="65"/>
      <c r="CF33" s="65"/>
      <c r="CG33" s="65"/>
      <c r="CH33" s="65"/>
      <c r="CI33" s="65"/>
      <c r="CJ33" s="65"/>
      <c r="CK33" s="19"/>
      <c r="CL33" s="92"/>
      <c r="CM33" s="91"/>
      <c r="CN33" s="91"/>
      <c r="CO33" s="91"/>
      <c r="CP33" s="91"/>
      <c r="CQ33" s="91"/>
      <c r="CR33" s="91"/>
      <c r="CS33" s="91"/>
      <c r="CT33" s="91"/>
      <c r="CU33" s="91"/>
      <c r="CV33" s="91"/>
      <c r="CW33" s="91"/>
      <c r="CX33" s="91"/>
      <c r="CY33" s="91"/>
      <c r="CZ33" s="91"/>
      <c r="DA33" s="91"/>
      <c r="DB33" s="91"/>
      <c r="DC33" s="91"/>
      <c r="DD33" s="91"/>
      <c r="DE33" s="91"/>
    </row>
    <row r="34" spans="1:137" ht="12.75" customHeight="1">
      <c r="A34" s="1"/>
      <c r="B34" s="94" t="s">
        <v>65</v>
      </c>
      <c r="C34" s="1"/>
      <c r="D34" s="1"/>
      <c r="E34" s="1"/>
      <c r="F34" s="19"/>
      <c r="G34" s="19"/>
      <c r="H34" s="19"/>
      <c r="I34" s="19"/>
      <c r="J34" s="19"/>
      <c r="K34" s="19"/>
      <c r="L34" s="66">
        <v>-5.2</v>
      </c>
      <c r="M34" s="66">
        <v>14.6</v>
      </c>
      <c r="N34" s="66">
        <v>8.7000000000000011</v>
      </c>
      <c r="O34" s="66">
        <v>23.3</v>
      </c>
      <c r="P34" s="66">
        <v>-4.8</v>
      </c>
      <c r="Q34" s="66">
        <v>3.8</v>
      </c>
      <c r="R34" s="66">
        <v>-1</v>
      </c>
      <c r="S34" s="66">
        <v>-5.9</v>
      </c>
      <c r="T34" s="66">
        <v>-2.9000000000000004</v>
      </c>
      <c r="U34" s="66">
        <v>-8.8000000000000007</v>
      </c>
      <c r="V34" s="66">
        <v>-4.5999999999999996</v>
      </c>
      <c r="W34" s="66">
        <v>-6.3000000000000007</v>
      </c>
      <c r="X34" s="66">
        <v>-10.9</v>
      </c>
      <c r="Y34" s="66">
        <v>-10.7</v>
      </c>
      <c r="Z34" s="66">
        <v>-1.9000000000000004</v>
      </c>
      <c r="AA34" s="66">
        <v>-12.6</v>
      </c>
      <c r="AB34" s="96">
        <v>-5</v>
      </c>
      <c r="AC34" s="66">
        <f>-13-AB34</f>
        <v>-8</v>
      </c>
      <c r="AD34" s="66">
        <f>SUM(AB34:AC34)</f>
        <v>-13</v>
      </c>
      <c r="AE34" s="66">
        <v>-9.1999999999999993</v>
      </c>
      <c r="AF34" s="66">
        <f>-21-AE34</f>
        <v>-11.8</v>
      </c>
      <c r="AG34" s="66">
        <f>SUM(AE34:AF34)</f>
        <v>-21</v>
      </c>
      <c r="AH34" s="66">
        <v>-37.9</v>
      </c>
      <c r="AI34" s="66">
        <f>-55.2-AH34</f>
        <v>-17.300000000000004</v>
      </c>
      <c r="AJ34" s="66">
        <f>SUM(AH34:AI34)</f>
        <v>-55.2</v>
      </c>
      <c r="AK34" s="66">
        <v>-37.799999999999997</v>
      </c>
      <c r="AL34" s="66">
        <f>-49.3-AK34</f>
        <v>-11.5</v>
      </c>
      <c r="AM34" s="66">
        <f>SUM(AK34:AL34)</f>
        <v>-49.3</v>
      </c>
      <c r="AN34" s="102">
        <v>-25.5</v>
      </c>
      <c r="AO34" s="66">
        <f>-47.6-AN34</f>
        <v>-22.1</v>
      </c>
      <c r="AP34" s="66">
        <f>SUM(AN34:AO34)</f>
        <v>-47.6</v>
      </c>
      <c r="AQ34" s="66">
        <v>-27.1</v>
      </c>
      <c r="AR34" s="66">
        <f>-95.1-AQ34</f>
        <v>-68</v>
      </c>
      <c r="AS34" s="66">
        <f>SUM(AQ34:AR34)</f>
        <v>-95.1</v>
      </c>
      <c r="AT34" s="66">
        <v>-32.4</v>
      </c>
      <c r="AU34" s="66">
        <f>-88.8-AT34</f>
        <v>-56.4</v>
      </c>
      <c r="AV34" s="96">
        <f>SUM(AT34:AU34)</f>
        <v>-88.8</v>
      </c>
      <c r="AW34" s="66">
        <v>-30.3</v>
      </c>
      <c r="AX34" s="66">
        <f>-58.7-AW34</f>
        <v>-28.400000000000002</v>
      </c>
      <c r="AY34" s="91">
        <f>SUM(AW34:AX34)</f>
        <v>-58.7</v>
      </c>
      <c r="AZ34" s="66">
        <v>-52</v>
      </c>
      <c r="BA34" s="66">
        <f>-127.1-AZ34</f>
        <v>-75.099999999999994</v>
      </c>
      <c r="BB34" s="66">
        <f>SUM(AZ34:BA34)</f>
        <v>-127.1</v>
      </c>
      <c r="BC34" s="66">
        <v>-70.099999999999994</v>
      </c>
      <c r="BD34" s="66">
        <f>-144-BC34</f>
        <v>-73.900000000000006</v>
      </c>
      <c r="BE34" s="66">
        <f>SUM(BC34:BD34)</f>
        <v>-144</v>
      </c>
      <c r="BF34" s="66">
        <v>-87.4</v>
      </c>
      <c r="BG34" s="66">
        <f>-169.7-BF34</f>
        <v>-82.299999999999983</v>
      </c>
      <c r="BH34" s="66">
        <f>SUM(BF34:BG34)</f>
        <v>-169.7</v>
      </c>
      <c r="BI34" s="66">
        <v>-51.4</v>
      </c>
      <c r="BJ34" s="66">
        <f>-175.5-BI34</f>
        <v>-124.1</v>
      </c>
      <c r="BK34" s="66">
        <f>SUM(BI34:BJ34)</f>
        <v>-175.5</v>
      </c>
      <c r="BL34" s="66">
        <v>-33.1</v>
      </c>
      <c r="BM34" s="103">
        <f ca="1">-BM35*(BM27-BM32)</f>
        <v>-149.48138030376344</v>
      </c>
      <c r="BN34" s="91">
        <f ca="1">SUM(BL34:BM34)</f>
        <v>-182.58138030376344</v>
      </c>
      <c r="BO34" s="103">
        <f ca="1">-BO35*(BO27-BO32)</f>
        <v>-106.09776775096746</v>
      </c>
      <c r="BP34" s="103">
        <f ca="1">-BP35*(BP27-BP32)</f>
        <v>-107.53314923252736</v>
      </c>
      <c r="BQ34" s="91">
        <f ca="1">SUM(BO34:BP34)</f>
        <v>-213.63091698349484</v>
      </c>
      <c r="BR34" s="103">
        <f ca="1">-BR35*(BR27-BR32)</f>
        <v>-122.26245164462561</v>
      </c>
      <c r="BS34" s="103">
        <f ca="1">-BS35*(BS27-BS32)</f>
        <v>-123.59398846424345</v>
      </c>
      <c r="BT34" s="91">
        <f ca="1">SUM(BR34:BS34)</f>
        <v>-245.85644010886907</v>
      </c>
      <c r="BU34" s="103">
        <f ca="1">-BU35*(BU27-BU32)</f>
        <v>-134.18838397308301</v>
      </c>
      <c r="BV34" s="103">
        <f ca="1">-BV35*(BV27-BV32)</f>
        <v>-135.5167861228195</v>
      </c>
      <c r="BW34" s="91">
        <f ca="1">SUM(BU34:BV34)</f>
        <v>-269.70517009590253</v>
      </c>
      <c r="BX34" s="103">
        <f ca="1">-BX35*(BX27-BX32)</f>
        <v>-146.96987110648311</v>
      </c>
      <c r="BY34" s="103">
        <f ca="1">-BY35*(BY27-BY32)</f>
        <v>-147.16851533855981</v>
      </c>
      <c r="BZ34" s="91">
        <f ca="1">SUM(BX34:BY34)</f>
        <v>-294.1383864450429</v>
      </c>
      <c r="CA34" s="103">
        <f ca="1">-CA35*(CA27-CA32)</f>
        <v>-157.19293741484299</v>
      </c>
      <c r="CB34" s="103">
        <f ca="1">-CB35*(CB27-CB32)</f>
        <v>-157.50024840115137</v>
      </c>
      <c r="CC34" s="91">
        <f ca="1">SUM(CA34:CB34)</f>
        <v>-314.69318581599435</v>
      </c>
      <c r="CD34" s="68"/>
      <c r="CE34" s="65"/>
      <c r="CF34" s="65"/>
      <c r="CG34" s="65"/>
      <c r="CH34" s="65"/>
      <c r="CI34" s="65"/>
      <c r="CJ34" s="65"/>
      <c r="CK34" s="19"/>
      <c r="CL34" s="92">
        <f>X34</f>
        <v>-10.9</v>
      </c>
      <c r="CM34" s="91">
        <f>AA34</f>
        <v>-12.6</v>
      </c>
      <c r="CN34" s="91">
        <f>AD34</f>
        <v>-13</v>
      </c>
      <c r="CO34" s="91">
        <f>AG34</f>
        <v>-21</v>
      </c>
      <c r="CP34" s="91">
        <f>AJ34</f>
        <v>-55.2</v>
      </c>
      <c r="CQ34" s="91">
        <f>AM34</f>
        <v>-49.3</v>
      </c>
      <c r="CR34" s="91">
        <f>AP34</f>
        <v>-47.6</v>
      </c>
      <c r="CS34" s="91">
        <f>AS34</f>
        <v>-95.1</v>
      </c>
      <c r="CT34" s="91">
        <f>AV34</f>
        <v>-88.8</v>
      </c>
      <c r="CU34" s="91">
        <f>AY34</f>
        <v>-58.7</v>
      </c>
      <c r="CV34" s="91">
        <f>BB34</f>
        <v>-127.1</v>
      </c>
      <c r="CW34" s="91">
        <f>BE34</f>
        <v>-144</v>
      </c>
      <c r="CX34" s="91">
        <f>BH34</f>
        <v>-169.7</v>
      </c>
      <c r="CY34" s="91">
        <f>BK34</f>
        <v>-175.5</v>
      </c>
      <c r="CZ34" s="91">
        <f ca="1">BN34</f>
        <v>-182.58138030376344</v>
      </c>
      <c r="DA34" s="91">
        <f ca="1">BQ34</f>
        <v>-213.63091698349484</v>
      </c>
      <c r="DB34" s="91">
        <f ca="1">BT34</f>
        <v>-245.85644010886907</v>
      </c>
      <c r="DC34" s="91">
        <f ca="1">BW34</f>
        <v>-269.70517009590253</v>
      </c>
      <c r="DD34" s="91">
        <f ca="1">BZ34</f>
        <v>-294.1383864450429</v>
      </c>
      <c r="DE34" s="91">
        <f ca="1">CC34</f>
        <v>-314.69318581599435</v>
      </c>
    </row>
    <row r="35" spans="1:137" ht="12.75" customHeight="1">
      <c r="A35" s="1"/>
      <c r="B35" s="104" t="s">
        <v>66</v>
      </c>
      <c r="C35" s="1"/>
      <c r="D35" s="1"/>
      <c r="E35" s="1"/>
      <c r="F35" s="19"/>
      <c r="G35" s="19"/>
      <c r="H35" s="19"/>
      <c r="I35" s="19"/>
      <c r="J35" s="19"/>
      <c r="K35" s="19"/>
      <c r="L35" s="105">
        <f t="shared" ref="L35:AB35" si="150">+ABS(L34)/SUM(L27,-L32)</f>
        <v>6.093988046408063E-3</v>
      </c>
      <c r="M35" s="105">
        <f t="shared" si="150"/>
        <v>2.9043166898746763E-2</v>
      </c>
      <c r="N35" s="105">
        <f t="shared" si="150"/>
        <v>1.7897551944044437E-2</v>
      </c>
      <c r="O35" s="105">
        <f t="shared" si="150"/>
        <v>2.4008293659472102E-2</v>
      </c>
      <c r="P35" s="105">
        <f t="shared" si="150"/>
        <v>2.4060150375939848E-2</v>
      </c>
      <c r="Q35" s="105">
        <f t="shared" si="150"/>
        <v>2.4627349319507441E-2</v>
      </c>
      <c r="R35" s="105">
        <f t="shared" si="150"/>
        <v>2.4844720496894415E-3</v>
      </c>
      <c r="S35" s="105">
        <f t="shared" si="150"/>
        <v>2.715140358950759E-2</v>
      </c>
      <c r="T35" s="105">
        <f t="shared" si="150"/>
        <v>1.0732790525536646E-2</v>
      </c>
      <c r="U35" s="105">
        <f t="shared" si="150"/>
        <v>1.805128205128206E-2</v>
      </c>
      <c r="V35" s="105">
        <f t="shared" si="150"/>
        <v>1.791975068172965E-2</v>
      </c>
      <c r="W35" s="105">
        <f t="shared" si="150"/>
        <v>2.245188880969351E-2</v>
      </c>
      <c r="X35" s="105">
        <f t="shared" si="150"/>
        <v>2.0286618276568025E-2</v>
      </c>
      <c r="Y35" s="105">
        <f t="shared" si="150"/>
        <v>3.2691720134433243E-2</v>
      </c>
      <c r="Z35" s="105">
        <f t="shared" si="150"/>
        <v>6.0956047481552766E-3</v>
      </c>
      <c r="AA35" s="105">
        <f t="shared" si="150"/>
        <v>1.9718309859154931E-2</v>
      </c>
      <c r="AB35" s="105">
        <f t="shared" si="150"/>
        <v>1.5384615384615385E-2</v>
      </c>
      <c r="AC35" s="106">
        <f>+AVERAGE(AB35,AA35,X35)</f>
        <v>1.8463181173446114E-2</v>
      </c>
      <c r="AD35" s="107">
        <f>+AC35</f>
        <v>1.8463181173446114E-2</v>
      </c>
      <c r="AE35" s="106">
        <f>+AVERAGE(AD35,AC35,Z35)</f>
        <v>1.4340655698349169E-2</v>
      </c>
      <c r="AF35" s="106">
        <f>+AVERAGE(AE35,AD35,AA35)</f>
        <v>1.7507382243650071E-2</v>
      </c>
      <c r="AG35" s="106">
        <f t="shared" ref="AG35:AP35" si="151">+AF35</f>
        <v>1.7507382243650071E-2</v>
      </c>
      <c r="AH35" s="106">
        <f>+-AH34/(AH27+AH32)</f>
        <v>9.3695920889987655E-2</v>
      </c>
      <c r="AI35" s="106">
        <f>+-AI34/(AI27+AI32)</f>
        <v>4.4900077861406706E-2</v>
      </c>
      <c r="AJ35" s="106">
        <f>+-AJ34/(AJ27+AJ32)</f>
        <v>6.9891111673841474E-2</v>
      </c>
      <c r="AK35" s="106">
        <f>+-AK34/(AK27+AK32)</f>
        <v>8.6796785304247989E-2</v>
      </c>
      <c r="AL35" s="106">
        <f>+-AL34/(AL27+AL32)</f>
        <v>2.8151774785801713E-2</v>
      </c>
      <c r="AM35" s="106">
        <f t="shared" si="151"/>
        <v>2.8151774785801713E-2</v>
      </c>
      <c r="AN35" s="106">
        <f>+-AN34/(AN27+AN32)</f>
        <v>5.649091714665485E-2</v>
      </c>
      <c r="AO35" s="106">
        <f>+-AO34/(AO27+AO32)</f>
        <v>4.9473919856727111E-2</v>
      </c>
      <c r="AP35" s="106">
        <f t="shared" si="151"/>
        <v>4.9473919856727111E-2</v>
      </c>
      <c r="AQ35" s="106">
        <f t="shared" ref="AQ35:BL35" si="152">+-AQ34/(AQ27+AQ32)</f>
        <v>5.5070107701686653E-2</v>
      </c>
      <c r="AR35" s="106">
        <f t="shared" si="152"/>
        <v>0.12470199889968828</v>
      </c>
      <c r="AS35" s="106">
        <f t="shared" si="152"/>
        <v>9.167148640832852E-2</v>
      </c>
      <c r="AT35" s="106">
        <f t="shared" si="152"/>
        <v>5.7569296375266518E-2</v>
      </c>
      <c r="AU35" s="106">
        <f t="shared" si="152"/>
        <v>9.6212896622313193E-2</v>
      </c>
      <c r="AV35" s="106">
        <f t="shared" si="152"/>
        <v>7.7284595300261077E-2</v>
      </c>
      <c r="AW35" s="106">
        <f t="shared" si="152"/>
        <v>4.6962182269063853E-2</v>
      </c>
      <c r="AX35" s="106">
        <f t="shared" si="152"/>
        <v>4.4872807710538795E-2</v>
      </c>
      <c r="AY35" s="107">
        <f t="shared" ref="AY35" si="153">+AX35</f>
        <v>4.4872807710538795E-2</v>
      </c>
      <c r="AZ35" s="106">
        <f t="shared" si="152"/>
        <v>6.2037699832975426E-2</v>
      </c>
      <c r="BA35" s="106">
        <f t="shared" si="152"/>
        <v>9.1932917125719174E-2</v>
      </c>
      <c r="BB35" s="106">
        <f t="shared" si="152"/>
        <v>7.6792943024590651E-2</v>
      </c>
      <c r="BC35" s="106">
        <f t="shared" si="152"/>
        <v>7.4054510881047975E-2</v>
      </c>
      <c r="BD35" s="106">
        <f t="shared" si="152"/>
        <v>7.5362023251070775E-2</v>
      </c>
      <c r="BE35" s="106">
        <f t="shared" si="152"/>
        <v>7.4719800747198015E-2</v>
      </c>
      <c r="BF35" s="106">
        <f t="shared" si="152"/>
        <v>7.1945999341455388E-2</v>
      </c>
      <c r="BG35" s="106">
        <f t="shared" si="152"/>
        <v>8.1947625211590144E-2</v>
      </c>
      <c r="BH35" s="106">
        <f t="shared" si="152"/>
        <v>7.6472443783515837E-2</v>
      </c>
      <c r="BI35" s="106">
        <f t="shared" si="152"/>
        <v>4.0351703564138801E-2</v>
      </c>
      <c r="BJ35" s="106">
        <f t="shared" si="152"/>
        <v>0.10231676148074863</v>
      </c>
      <c r="BK35" s="106">
        <f t="shared" si="152"/>
        <v>7.0575461454940272E-2</v>
      </c>
      <c r="BL35" s="106">
        <f t="shared" si="152"/>
        <v>2.6766941614103184E-2</v>
      </c>
      <c r="BM35" s="107">
        <v>0.1</v>
      </c>
      <c r="BN35" s="107">
        <f t="shared" ref="BN35" si="154">+BM35</f>
        <v>0.1</v>
      </c>
      <c r="BO35" s="107">
        <v>7.0000000000000007E-2</v>
      </c>
      <c r="BP35" s="107">
        <f t="shared" ref="BP35" si="155">+BO35</f>
        <v>7.0000000000000007E-2</v>
      </c>
      <c r="BQ35" s="107">
        <f t="shared" ref="BQ35" si="156">+BP35</f>
        <v>7.0000000000000007E-2</v>
      </c>
      <c r="BR35" s="107">
        <f t="shared" ref="BR35" si="157">+BQ35</f>
        <v>7.0000000000000007E-2</v>
      </c>
      <c r="BS35" s="107">
        <f t="shared" ref="BS35" si="158">+BR35</f>
        <v>7.0000000000000007E-2</v>
      </c>
      <c r="BT35" s="107">
        <f t="shared" ref="BT35" si="159">+BS35</f>
        <v>7.0000000000000007E-2</v>
      </c>
      <c r="BU35" s="107">
        <f t="shared" ref="BU35" si="160">+BT35</f>
        <v>7.0000000000000007E-2</v>
      </c>
      <c r="BV35" s="107">
        <f t="shared" ref="BV35" si="161">+BU35</f>
        <v>7.0000000000000007E-2</v>
      </c>
      <c r="BW35" s="107">
        <f t="shared" ref="BW35" si="162">+BV35</f>
        <v>7.0000000000000007E-2</v>
      </c>
      <c r="BX35" s="107">
        <f t="shared" ref="BX35" si="163">+BW35</f>
        <v>7.0000000000000007E-2</v>
      </c>
      <c r="BY35" s="107">
        <f t="shared" ref="BY35" si="164">+BX35</f>
        <v>7.0000000000000007E-2</v>
      </c>
      <c r="BZ35" s="107">
        <f t="shared" ref="BZ35" si="165">+BY35</f>
        <v>7.0000000000000007E-2</v>
      </c>
      <c r="CA35" s="107">
        <f t="shared" ref="CA35" si="166">+BZ35</f>
        <v>7.0000000000000007E-2</v>
      </c>
      <c r="CB35" s="107">
        <f t="shared" ref="CB35" si="167">+CA35</f>
        <v>7.0000000000000007E-2</v>
      </c>
      <c r="CC35" s="107">
        <f t="shared" ref="CC35" si="168">+CB35</f>
        <v>7.0000000000000007E-2</v>
      </c>
      <c r="CD35" s="68"/>
      <c r="CE35" s="65"/>
      <c r="CF35" s="65"/>
      <c r="CG35" s="65"/>
      <c r="CH35" s="65"/>
      <c r="CI35" s="65"/>
      <c r="CJ35" s="65"/>
      <c r="CK35" s="19"/>
      <c r="CL35" s="92"/>
      <c r="CM35" s="91"/>
      <c r="CN35" s="91"/>
      <c r="CO35" s="91"/>
      <c r="CP35" s="91"/>
      <c r="CQ35" s="91"/>
      <c r="CR35" s="91"/>
      <c r="CS35" s="91"/>
      <c r="CT35" s="91"/>
      <c r="CU35" s="91"/>
      <c r="CV35" s="91"/>
      <c r="CW35" s="91"/>
      <c r="CX35" s="91"/>
      <c r="CY35" s="91"/>
      <c r="CZ35" s="91"/>
      <c r="DA35" s="91"/>
      <c r="DB35" s="91"/>
      <c r="DC35" s="91"/>
      <c r="DD35" s="91"/>
      <c r="DE35" s="91"/>
    </row>
    <row r="36" spans="1:137" ht="12.75" customHeight="1">
      <c r="A36" s="1"/>
      <c r="B36" s="94"/>
      <c r="C36" s="1"/>
      <c r="D36" s="1"/>
      <c r="E36" s="1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91"/>
      <c r="AC36" s="66"/>
      <c r="AD36" s="19"/>
      <c r="AE36" s="66" t="s">
        <v>67</v>
      </c>
      <c r="AF36" s="19"/>
      <c r="AG36" s="91"/>
      <c r="AH36" s="19"/>
      <c r="AI36" s="19"/>
      <c r="AJ36" s="91"/>
      <c r="AK36" s="19"/>
      <c r="AL36" s="19"/>
      <c r="AM36" s="91"/>
      <c r="AN36" s="19"/>
      <c r="AO36" s="19"/>
      <c r="AP36" s="91"/>
      <c r="AQ36" s="19"/>
      <c r="AR36" s="19"/>
      <c r="AS36" s="91"/>
      <c r="AT36" s="19"/>
      <c r="AU36" s="19"/>
      <c r="AV36" s="91"/>
      <c r="AW36" s="19"/>
      <c r="AX36" s="19"/>
      <c r="AY36" s="91"/>
      <c r="AZ36" s="19"/>
      <c r="BA36" s="19"/>
      <c r="BB36" s="91"/>
      <c r="BC36" s="19"/>
      <c r="BD36" s="19"/>
      <c r="BE36" s="91"/>
      <c r="BF36" s="19"/>
      <c r="BG36" s="19"/>
      <c r="BH36" s="91"/>
      <c r="BI36" s="19"/>
      <c r="BJ36" s="19"/>
      <c r="BK36" s="91"/>
      <c r="BL36" s="19"/>
      <c r="BM36" s="19"/>
      <c r="BN36" s="91"/>
      <c r="BO36" s="19"/>
      <c r="BP36" s="19"/>
      <c r="BQ36" s="91"/>
      <c r="BR36" s="19"/>
      <c r="BS36" s="19"/>
      <c r="BT36" s="91"/>
      <c r="BU36" s="19"/>
      <c r="BV36" s="19"/>
      <c r="BW36" s="91"/>
      <c r="BX36" s="19"/>
      <c r="BY36" s="19"/>
      <c r="BZ36" s="91"/>
      <c r="CA36" s="19"/>
      <c r="CB36" s="19"/>
      <c r="CC36" s="91"/>
      <c r="CD36" s="68"/>
      <c r="CE36" s="65"/>
      <c r="CF36" s="65"/>
      <c r="CG36" s="65"/>
      <c r="CH36" s="65"/>
      <c r="CI36" s="65"/>
      <c r="CJ36" s="65"/>
      <c r="CK36" s="19"/>
      <c r="CL36" s="92"/>
      <c r="CM36" s="91"/>
      <c r="CN36" s="91"/>
      <c r="CO36" s="91"/>
      <c r="CP36" s="91"/>
      <c r="CQ36" s="91"/>
      <c r="CR36" s="91"/>
      <c r="CS36" s="91"/>
      <c r="CT36" s="91"/>
      <c r="CU36" s="91"/>
      <c r="CV36" s="91"/>
      <c r="CW36" s="91"/>
      <c r="CX36" s="91"/>
      <c r="CY36" s="91"/>
      <c r="CZ36" s="91"/>
      <c r="DA36" s="91"/>
      <c r="DB36" s="91"/>
      <c r="DC36" s="91"/>
      <c r="DD36" s="91"/>
      <c r="DE36" s="91"/>
    </row>
    <row r="37" spans="1:137" s="86" customFormat="1" ht="12.75" customHeight="1" thickBot="1">
      <c r="A37" s="79"/>
      <c r="B37" s="80" t="s">
        <v>68</v>
      </c>
      <c r="C37" s="79"/>
      <c r="D37" s="81"/>
      <c r="E37" s="81"/>
      <c r="F37" s="82"/>
      <c r="G37" s="82"/>
      <c r="H37" s="82"/>
      <c r="I37" s="82"/>
      <c r="J37" s="82"/>
      <c r="K37" s="82"/>
      <c r="L37" s="93">
        <f t="shared" ref="L37:BK37" si="169">+L27+L32+L34</f>
        <v>627.09999999999991</v>
      </c>
      <c r="M37" s="93">
        <f t="shared" si="169"/>
        <v>417.30000000000007</v>
      </c>
      <c r="N37" s="93">
        <f t="shared" si="169"/>
        <v>412.19999999999993</v>
      </c>
      <c r="O37" s="93">
        <f t="shared" si="169"/>
        <v>811.19795918367345</v>
      </c>
      <c r="P37" s="93">
        <f t="shared" si="169"/>
        <v>155.89999999999998</v>
      </c>
      <c r="Q37" s="93">
        <f t="shared" si="169"/>
        <v>157.7000000000001</v>
      </c>
      <c r="R37" s="93">
        <f t="shared" si="169"/>
        <v>362.3</v>
      </c>
      <c r="S37" s="93">
        <f t="shared" si="169"/>
        <v>206.60000000000002</v>
      </c>
      <c r="T37" s="93">
        <f t="shared" si="169"/>
        <v>238.29999999999987</v>
      </c>
      <c r="U37" s="93">
        <f t="shared" si="169"/>
        <v>444.89999999999986</v>
      </c>
      <c r="V37" s="93">
        <f t="shared" si="169"/>
        <v>254.29999999999998</v>
      </c>
      <c r="W37" s="93">
        <f t="shared" si="169"/>
        <v>251.30000000000007</v>
      </c>
      <c r="X37" s="93">
        <f t="shared" si="169"/>
        <v>505.60000000000014</v>
      </c>
      <c r="Y37" s="93">
        <f t="shared" si="169"/>
        <v>276.8</v>
      </c>
      <c r="Z37" s="93">
        <f>+Z27+Z32+Z34</f>
        <v>289.60000000000008</v>
      </c>
      <c r="AA37" s="93">
        <f t="shared" si="169"/>
        <v>566.39999999999986</v>
      </c>
      <c r="AB37" s="93">
        <f t="shared" si="169"/>
        <v>306.79999999999995</v>
      </c>
      <c r="AC37" s="93">
        <f>+AC27+AC32+AC34</f>
        <v>315.7</v>
      </c>
      <c r="AD37" s="93">
        <f>+AD27+AD32+AD34</f>
        <v>622.5</v>
      </c>
      <c r="AE37" s="93">
        <f>+AE27+AE32+AE34</f>
        <v>338</v>
      </c>
      <c r="AF37" s="93">
        <f t="shared" si="169"/>
        <v>336.7</v>
      </c>
      <c r="AG37" s="93">
        <f>+AG27+AG32+AG34</f>
        <v>674.7</v>
      </c>
      <c r="AH37" s="93">
        <f t="shared" si="169"/>
        <v>366.59999999999997</v>
      </c>
      <c r="AI37" s="93">
        <f>+AI27+AI32+AI34</f>
        <v>368</v>
      </c>
      <c r="AJ37" s="93">
        <f t="shared" si="169"/>
        <v>734.6</v>
      </c>
      <c r="AK37" s="93">
        <f>+AK27+AK32+AK34</f>
        <v>397.7</v>
      </c>
      <c r="AL37" s="93">
        <f t="shared" si="169"/>
        <v>397</v>
      </c>
      <c r="AM37" s="93">
        <f t="shared" si="169"/>
        <v>794.7</v>
      </c>
      <c r="AN37" s="93">
        <f t="shared" si="169"/>
        <v>425.90000000000003</v>
      </c>
      <c r="AO37" s="93">
        <f t="shared" si="169"/>
        <v>424.59999999999997</v>
      </c>
      <c r="AP37" s="93">
        <f t="shared" si="169"/>
        <v>850.5</v>
      </c>
      <c r="AQ37" s="93">
        <f t="shared" si="169"/>
        <v>464.99999999999994</v>
      </c>
      <c r="AR37" s="93">
        <f t="shared" si="169"/>
        <v>477.29999999999984</v>
      </c>
      <c r="AS37" s="93">
        <f t="shared" si="169"/>
        <v>942.29999999999984</v>
      </c>
      <c r="AT37" s="93">
        <f t="shared" si="169"/>
        <v>530.40000000000009</v>
      </c>
      <c r="AU37" s="93">
        <f t="shared" si="169"/>
        <v>529.80000000000007</v>
      </c>
      <c r="AV37" s="93">
        <f t="shared" si="169"/>
        <v>1060.2000000000003</v>
      </c>
      <c r="AW37" s="93">
        <f t="shared" si="169"/>
        <v>614.90000000000009</v>
      </c>
      <c r="AX37" s="93">
        <f t="shared" si="169"/>
        <v>604.5</v>
      </c>
      <c r="AY37" s="93">
        <f t="shared" si="169"/>
        <v>1219.3999999999999</v>
      </c>
      <c r="AZ37" s="93">
        <f t="shared" si="169"/>
        <v>786.19999999999993</v>
      </c>
      <c r="BA37" s="93">
        <f t="shared" si="169"/>
        <v>741.8</v>
      </c>
      <c r="BB37" s="93">
        <f t="shared" si="169"/>
        <v>1528.0000000000002</v>
      </c>
      <c r="BC37" s="93">
        <f t="shared" si="169"/>
        <v>876.49999999999977</v>
      </c>
      <c r="BD37" s="93">
        <f t="shared" si="169"/>
        <v>906.7</v>
      </c>
      <c r="BE37" s="93">
        <f t="shared" si="169"/>
        <v>1783.1999999999998</v>
      </c>
      <c r="BF37" s="93">
        <f t="shared" si="169"/>
        <v>1127.3999999999999</v>
      </c>
      <c r="BG37" s="93">
        <f t="shared" si="169"/>
        <v>922</v>
      </c>
      <c r="BH37" s="93">
        <f t="shared" si="169"/>
        <v>2049.4</v>
      </c>
      <c r="BI37" s="93">
        <f t="shared" si="169"/>
        <v>1222.3999999999999</v>
      </c>
      <c r="BJ37" s="93">
        <f t="shared" si="169"/>
        <v>1088.8</v>
      </c>
      <c r="BK37" s="93">
        <f t="shared" si="169"/>
        <v>2311.2000000000003</v>
      </c>
      <c r="BL37" s="93">
        <f t="shared" ref="BL37:BN37" si="170">+BL27+BL32+BL34</f>
        <v>1203.5000000000002</v>
      </c>
      <c r="BM37" s="93">
        <f t="shared" ca="1" si="170"/>
        <v>1447.2310099996118</v>
      </c>
      <c r="BN37" s="93">
        <f t="shared" ca="1" si="170"/>
        <v>2650.7310099996116</v>
      </c>
      <c r="BO37" s="93">
        <f t="shared" ref="BO37:BQ37" ca="1" si="171">+BO27+BO32+BO34</f>
        <v>1491.3958595737022</v>
      </c>
      <c r="BP37" s="93">
        <f t="shared" ca="1" si="171"/>
        <v>1490.6232249599443</v>
      </c>
      <c r="BQ37" s="93">
        <f t="shared" ca="1" si="171"/>
        <v>2982.0190845336465</v>
      </c>
      <c r="BR37" s="93">
        <f t="shared" ref="BR37:BS37" ca="1" si="172">+BR27+BR32+BR34</f>
        <v>1677.7750002076668</v>
      </c>
      <c r="BS37" s="93">
        <f t="shared" ca="1" si="172"/>
        <v>1694.1012087916529</v>
      </c>
      <c r="BT37" s="93">
        <f ca="1">+BT27+BT32+BT34</f>
        <v>3371.8762089993193</v>
      </c>
      <c r="BU37" s="93">
        <f t="shared" ref="BU37:BV37" ca="1" si="173">+BU27+BU32+BU34</f>
        <v>1835.1729580607064</v>
      </c>
      <c r="BV37" s="93">
        <f t="shared" ca="1" si="173"/>
        <v>1857.609492924797</v>
      </c>
      <c r="BW37" s="93">
        <f ca="1">+BW27+BW32+BW34</f>
        <v>3692.7824509855036</v>
      </c>
      <c r="BX37" s="93">
        <f t="shared" ref="BX37:BY37" ca="1" si="174">+BX27+BX32+BX34</f>
        <v>1960.1798844356251</v>
      </c>
      <c r="BY37" s="93">
        <f t="shared" ca="1" si="174"/>
        <v>1973.6583315324456</v>
      </c>
      <c r="BZ37" s="93">
        <f ca="1">+BZ27+BZ32+BZ34</f>
        <v>3933.8382159680714</v>
      </c>
      <c r="CA37" s="93">
        <f t="shared" ref="CA37:CB37" ca="1" si="175">+CA27+CA32+CA34</f>
        <v>2108.9962321408971</v>
      </c>
      <c r="CB37" s="93">
        <f t="shared" ca="1" si="175"/>
        <v>2127.2433101256638</v>
      </c>
      <c r="CC37" s="93">
        <f ca="1">+CC27+CC32+CC34</f>
        <v>4236.2395422665613</v>
      </c>
      <c r="CD37" s="83"/>
      <c r="CE37" s="108"/>
      <c r="CF37" s="108"/>
      <c r="CG37" s="108"/>
      <c r="CH37" s="108"/>
      <c r="CI37" s="108"/>
      <c r="CJ37" s="108"/>
      <c r="CK37" s="51"/>
      <c r="CL37" s="85">
        <f>X37</f>
        <v>505.60000000000014</v>
      </c>
      <c r="CM37" s="82">
        <f>AA37</f>
        <v>566.39999999999986</v>
      </c>
      <c r="CN37" s="82">
        <f>AD37</f>
        <v>622.5</v>
      </c>
      <c r="CO37" s="82">
        <f>AG37</f>
        <v>674.7</v>
      </c>
      <c r="CP37" s="82">
        <f>AJ37</f>
        <v>734.6</v>
      </c>
      <c r="CQ37" s="82">
        <f>AM37</f>
        <v>794.7</v>
      </c>
      <c r="CR37" s="82">
        <f>AP37</f>
        <v>850.5</v>
      </c>
      <c r="CS37" s="82">
        <f>AS37</f>
        <v>942.29999999999984</v>
      </c>
      <c r="CT37" s="82">
        <f>AV37</f>
        <v>1060.2000000000003</v>
      </c>
      <c r="CU37" s="82">
        <f>AY37</f>
        <v>1219.3999999999999</v>
      </c>
      <c r="CV37" s="82">
        <f>BB37</f>
        <v>1528.0000000000002</v>
      </c>
      <c r="CW37" s="82">
        <f>BE37</f>
        <v>1783.1999999999998</v>
      </c>
      <c r="CX37" s="82">
        <f>BH37</f>
        <v>2049.4</v>
      </c>
      <c r="CY37" s="82">
        <f>BK37</f>
        <v>2311.2000000000003</v>
      </c>
      <c r="CZ37" s="82">
        <f ca="1">BN37</f>
        <v>2650.7310099996116</v>
      </c>
      <c r="DA37" s="82">
        <f ca="1">BQ37</f>
        <v>2982.0190845336465</v>
      </c>
      <c r="DB37" s="82">
        <f ca="1">BT37</f>
        <v>3371.8762089993193</v>
      </c>
      <c r="DC37" s="82">
        <f ca="1">BW37</f>
        <v>3692.7824509855036</v>
      </c>
      <c r="DD37" s="82">
        <f ca="1">BZ37</f>
        <v>3933.8382159680714</v>
      </c>
      <c r="DE37" s="82">
        <f ca="1">CC37</f>
        <v>4236.2395422665613</v>
      </c>
      <c r="DF37" s="48"/>
      <c r="DG37" s="48"/>
      <c r="DH37" s="48"/>
      <c r="DI37" s="51">
        <f>+CO43</f>
        <v>37.242833532797626</v>
      </c>
      <c r="DJ37" s="48"/>
      <c r="DK37" s="48"/>
      <c r="EB37"/>
      <c r="EC37"/>
      <c r="ED37"/>
      <c r="EE37"/>
      <c r="EF37"/>
      <c r="EG37"/>
    </row>
    <row r="38" spans="1:137" ht="12.75" customHeight="1" thickTop="1">
      <c r="A38" s="1"/>
      <c r="B38" s="13"/>
      <c r="C38" s="1"/>
      <c r="D38" s="1"/>
      <c r="E38" s="1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91"/>
      <c r="AC38" s="109"/>
      <c r="AD38" s="91"/>
      <c r="AE38" s="91"/>
      <c r="AF38" s="91"/>
      <c r="AG38" s="91"/>
      <c r="AH38" s="91"/>
      <c r="AI38" s="91"/>
      <c r="AJ38" s="91"/>
      <c r="AK38" s="91"/>
      <c r="AL38" s="91"/>
      <c r="AM38" s="91"/>
      <c r="AN38" s="91"/>
      <c r="AO38" s="91"/>
      <c r="AP38" s="91"/>
      <c r="AQ38" s="91"/>
      <c r="AR38" s="91"/>
      <c r="AS38" s="91"/>
      <c r="AT38" s="91"/>
      <c r="AU38" s="91"/>
      <c r="AV38" s="91"/>
      <c r="AW38" s="91"/>
      <c r="AX38" s="91"/>
      <c r="AY38" s="91"/>
      <c r="AZ38" s="91"/>
      <c r="BA38" s="91"/>
      <c r="BB38" s="91"/>
      <c r="BC38" s="91"/>
      <c r="BD38" s="91"/>
      <c r="BE38" s="91"/>
      <c r="BF38" s="91"/>
      <c r="BG38" s="91"/>
      <c r="BH38" s="91"/>
      <c r="BI38" s="91"/>
      <c r="BJ38" s="91"/>
      <c r="BK38" s="91"/>
      <c r="BL38" s="91"/>
      <c r="BM38" s="91"/>
      <c r="BN38" s="91"/>
      <c r="BO38" s="91"/>
      <c r="BP38" s="91"/>
      <c r="BQ38" s="91"/>
      <c r="BR38" s="91"/>
      <c r="BS38" s="91"/>
      <c r="BT38" s="91"/>
      <c r="BU38" s="91"/>
      <c r="BV38" s="91"/>
      <c r="BW38" s="91"/>
      <c r="BX38" s="91"/>
      <c r="BY38" s="91"/>
      <c r="BZ38" s="91"/>
      <c r="CA38" s="91"/>
      <c r="CB38" s="91"/>
      <c r="CC38" s="91"/>
      <c r="CD38" s="68"/>
      <c r="CE38" s="65"/>
      <c r="CF38" s="65"/>
      <c r="CG38" s="65"/>
      <c r="CH38" s="65"/>
      <c r="CI38" s="65"/>
      <c r="CJ38" s="65"/>
      <c r="CK38" s="19"/>
      <c r="CL38" s="92"/>
      <c r="CM38" s="91"/>
      <c r="CN38" s="91"/>
      <c r="CO38" s="91"/>
      <c r="CP38" s="91"/>
      <c r="CQ38" s="91"/>
      <c r="CR38" s="91"/>
      <c r="CS38" s="91"/>
      <c r="CT38" s="91"/>
      <c r="CU38" s="91"/>
      <c r="CV38" s="91"/>
      <c r="CW38" s="91"/>
      <c r="CX38" s="91"/>
      <c r="CY38" s="91"/>
      <c r="CZ38" s="91"/>
      <c r="DA38" s="91"/>
      <c r="DB38" s="91"/>
      <c r="DC38" s="91"/>
      <c r="DD38" s="91"/>
      <c r="DE38" s="91"/>
      <c r="DI38" s="110">
        <f>+DI32/DI37-1</f>
        <v>6.3291813312930545E-2</v>
      </c>
      <c r="DJ38" s="110">
        <f>+DJ32/DI37-1</f>
        <v>7.4032134659525628E-2</v>
      </c>
    </row>
    <row r="39" spans="1:137" ht="12.75" customHeight="1">
      <c r="A39" s="1"/>
      <c r="B39" s="94" t="s">
        <v>69</v>
      </c>
      <c r="C39" s="1"/>
      <c r="D39" s="1"/>
      <c r="E39" s="1"/>
      <c r="F39" s="19"/>
      <c r="G39" s="19"/>
      <c r="H39" s="19"/>
      <c r="I39" s="19"/>
      <c r="J39" s="19"/>
      <c r="K39" s="19"/>
      <c r="L39" s="66">
        <v>-17.7</v>
      </c>
      <c r="M39" s="66">
        <v>-15.5</v>
      </c>
      <c r="N39" s="66">
        <v>-8.5</v>
      </c>
      <c r="O39" s="66">
        <v>-24</v>
      </c>
      <c r="P39" s="66">
        <v>-17.399999999999999</v>
      </c>
      <c r="Q39" s="66">
        <v>-34.882800000000003</v>
      </c>
      <c r="R39" s="66">
        <v>-52.282800000000002</v>
      </c>
      <c r="S39" s="66">
        <v>-36.1</v>
      </c>
      <c r="T39" s="66">
        <v>-24.9</v>
      </c>
      <c r="U39" s="66">
        <v>-61</v>
      </c>
      <c r="V39" s="66">
        <v>-24.9</v>
      </c>
      <c r="W39" s="66">
        <v>-17.300000000000004</v>
      </c>
      <c r="X39" s="66">
        <v>-42.2</v>
      </c>
      <c r="Y39" s="66">
        <v>-11.1</v>
      </c>
      <c r="Z39" s="66">
        <v>-11.200000000000001</v>
      </c>
      <c r="AA39" s="66">
        <v>-22.3</v>
      </c>
      <c r="AB39" s="96">
        <v>-10.8</v>
      </c>
      <c r="AC39" s="96">
        <f>-21.4-AB39</f>
        <v>-10.599999999999998</v>
      </c>
      <c r="AD39" s="96">
        <f>SUM(AB39:AC39)</f>
        <v>-21.4</v>
      </c>
      <c r="AE39" s="96">
        <v>-10.9</v>
      </c>
      <c r="AF39" s="96">
        <f>-21.2-AE39</f>
        <v>-10.299999999999999</v>
      </c>
      <c r="AG39" s="96">
        <f>SUM(AE39:AF39)</f>
        <v>-21.2</v>
      </c>
      <c r="AH39" s="96">
        <v>-10</v>
      </c>
      <c r="AI39" s="96">
        <f>-20.1-AH39</f>
        <v>-10.100000000000001</v>
      </c>
      <c r="AJ39" s="96">
        <f>SUM(AH39:AI39)</f>
        <v>-20.100000000000001</v>
      </c>
      <c r="AK39" s="96">
        <v>-9.5</v>
      </c>
      <c r="AL39" s="96">
        <f>-18.7-AK39</f>
        <v>-9.1999999999999993</v>
      </c>
      <c r="AM39" s="96">
        <f>SUM(AK39:AL39)</f>
        <v>-18.7</v>
      </c>
      <c r="AN39" s="111">
        <v>-4.5999999999999996</v>
      </c>
      <c r="AO39" s="109">
        <v>0</v>
      </c>
      <c r="AP39" s="91">
        <f>SUM(AN39:AO39)</f>
        <v>-4.5999999999999996</v>
      </c>
      <c r="AQ39" s="91">
        <f>+AO39*AQ37/AO37</f>
        <v>0</v>
      </c>
      <c r="AR39" s="109">
        <f>+AQ39*AR37/AQ37</f>
        <v>0</v>
      </c>
      <c r="AS39" s="91">
        <f>SUM(AQ39:AR39)</f>
        <v>0</v>
      </c>
      <c r="AT39" s="91">
        <f>+AR39*AT37/AR37</f>
        <v>0</v>
      </c>
      <c r="AU39" s="109">
        <f>+AT39*AU37/AT37</f>
        <v>0</v>
      </c>
      <c r="AV39" s="91">
        <f>SUM(AT39:AU39)</f>
        <v>0</v>
      </c>
      <c r="AW39" s="91">
        <f>+AU39*AW37/AU37</f>
        <v>0</v>
      </c>
      <c r="AX39" s="109">
        <f>+AW39*AX37/AW37</f>
        <v>0</v>
      </c>
      <c r="AY39" s="91">
        <f>SUM(AW39:AX39)</f>
        <v>0</v>
      </c>
      <c r="AZ39" s="91">
        <f>+AX39*AZ37/AX37</f>
        <v>0</v>
      </c>
      <c r="BA39" s="109">
        <f>+AZ39*BA37/AZ37</f>
        <v>0</v>
      </c>
      <c r="BB39" s="91">
        <f>SUM(AZ39:BA39)</f>
        <v>0</v>
      </c>
      <c r="BC39" s="91">
        <f>+BA39*BC37/BA37</f>
        <v>0</v>
      </c>
      <c r="BD39" s="109">
        <f>+BC39*BD37/BC37</f>
        <v>0</v>
      </c>
      <c r="BE39" s="91">
        <f>SUM(BC39:BD39)</f>
        <v>0</v>
      </c>
      <c r="BF39" s="91">
        <f>+BD39*BF37/BD37</f>
        <v>0</v>
      </c>
      <c r="BG39" s="109">
        <f>+BF39*BG37/BF37</f>
        <v>0</v>
      </c>
      <c r="BH39" s="91">
        <f>SUM(BF39:BG39)</f>
        <v>0</v>
      </c>
      <c r="BI39" s="91">
        <f>+BG39*BI37/BG37</f>
        <v>0</v>
      </c>
      <c r="BJ39" s="109">
        <f>+BI39*BJ37/BI37</f>
        <v>0</v>
      </c>
      <c r="BK39" s="91">
        <f>SUM(BI39:BJ39)</f>
        <v>0</v>
      </c>
      <c r="BL39" s="91">
        <f>+BJ39*BL37/BJ37</f>
        <v>0</v>
      </c>
      <c r="BM39" s="109">
        <f ca="1">+BL39*BM37/BL37</f>
        <v>0</v>
      </c>
      <c r="BN39" s="91">
        <f ca="1">SUM(BL39:BM39)</f>
        <v>0</v>
      </c>
      <c r="BO39" s="91">
        <f ca="1">+BM39*BO37/BM37</f>
        <v>0</v>
      </c>
      <c r="BP39" s="109">
        <f ca="1">+BO39*BP37/BO37</f>
        <v>0</v>
      </c>
      <c r="BQ39" s="91">
        <f ca="1">SUM(BO39:BP39)</f>
        <v>0</v>
      </c>
      <c r="BR39" s="91">
        <f ca="1">+BP39*BR37/BP37</f>
        <v>0</v>
      </c>
      <c r="BS39" s="109">
        <f ca="1">+BR39*BS37/BR37</f>
        <v>0</v>
      </c>
      <c r="BT39" s="91">
        <f ca="1">SUM(BR39:BS39)</f>
        <v>0</v>
      </c>
      <c r="BU39" s="91">
        <f ca="1">+BS39*BU37/BS37</f>
        <v>0</v>
      </c>
      <c r="BV39" s="109">
        <f ca="1">+BU39*BV37/BU37</f>
        <v>0</v>
      </c>
      <c r="BW39" s="91">
        <f ca="1">SUM(BU39:BV39)</f>
        <v>0</v>
      </c>
      <c r="BX39" s="91">
        <f ca="1">+BV39*BX37/BV37</f>
        <v>0</v>
      </c>
      <c r="BY39" s="109">
        <f ca="1">+BX39*BY37/BX37</f>
        <v>0</v>
      </c>
      <c r="BZ39" s="91">
        <f ca="1">SUM(BX39:BY39)</f>
        <v>0</v>
      </c>
      <c r="CA39" s="91">
        <f ca="1">+BY39*CA37/BY37</f>
        <v>0</v>
      </c>
      <c r="CB39" s="109">
        <f ca="1">+CA39*CB37/CA37</f>
        <v>0</v>
      </c>
      <c r="CC39" s="91">
        <f ca="1">SUM(CA39:CB39)</f>
        <v>0</v>
      </c>
      <c r="CD39" s="68"/>
      <c r="CE39" s="65"/>
      <c r="CF39" s="65"/>
      <c r="CG39" s="65"/>
      <c r="CH39" s="65"/>
      <c r="CI39" s="65"/>
      <c r="CJ39" s="65"/>
      <c r="CK39" s="19"/>
      <c r="CL39" s="92">
        <f>X39</f>
        <v>-42.2</v>
      </c>
      <c r="CM39" s="91">
        <f>AA39</f>
        <v>-22.3</v>
      </c>
      <c r="CN39" s="91">
        <f>AD39</f>
        <v>-21.4</v>
      </c>
      <c r="CO39" s="91">
        <f>AG39</f>
        <v>-21.2</v>
      </c>
      <c r="CP39" s="91">
        <f>AJ39</f>
        <v>-20.100000000000001</v>
      </c>
      <c r="CQ39" s="91">
        <f>AM39</f>
        <v>-18.7</v>
      </c>
      <c r="CR39" s="91">
        <f>AP39</f>
        <v>-4.5999999999999996</v>
      </c>
      <c r="CS39" s="91">
        <f>AS39</f>
        <v>0</v>
      </c>
      <c r="CT39" s="91">
        <f>AV39</f>
        <v>0</v>
      </c>
      <c r="CU39" s="91">
        <f>AY39</f>
        <v>0</v>
      </c>
      <c r="CV39" s="91">
        <f>BB39</f>
        <v>0</v>
      </c>
      <c r="CW39" s="91">
        <f>BE39</f>
        <v>0</v>
      </c>
      <c r="CX39" s="91">
        <f>BH39</f>
        <v>0</v>
      </c>
      <c r="CY39" s="91">
        <f>BK39</f>
        <v>0</v>
      </c>
      <c r="CZ39" s="91">
        <f ca="1">BN39</f>
        <v>0</v>
      </c>
      <c r="DA39" s="91">
        <f ca="1">BQ39</f>
        <v>0</v>
      </c>
      <c r="DB39" s="91">
        <f ca="1">BT39</f>
        <v>0</v>
      </c>
      <c r="DC39" s="91">
        <f ca="1">BW39</f>
        <v>0</v>
      </c>
      <c r="DD39" s="91">
        <f ca="1">BZ39</f>
        <v>0</v>
      </c>
      <c r="DE39" s="91">
        <f ca="1">CC39</f>
        <v>0</v>
      </c>
    </row>
    <row r="40" spans="1:137" ht="12.75" customHeight="1">
      <c r="A40" s="1"/>
      <c r="B40" s="13"/>
      <c r="C40" s="1"/>
      <c r="D40" s="1"/>
      <c r="E40" s="1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91"/>
      <c r="AC40" s="109"/>
      <c r="AD40" s="91"/>
      <c r="AE40" s="91"/>
      <c r="AF40" s="91"/>
      <c r="AG40" s="91"/>
      <c r="AH40" s="91"/>
      <c r="AI40" s="91"/>
      <c r="AJ40" s="91"/>
      <c r="AK40" s="91"/>
      <c r="AL40" s="91"/>
      <c r="AM40" s="91"/>
      <c r="AN40" s="91"/>
      <c r="AO40" s="91"/>
      <c r="AP40" s="91"/>
      <c r="AQ40" s="91"/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1"/>
      <c r="BN40" s="91"/>
      <c r="BO40" s="91"/>
      <c r="BP40" s="91"/>
      <c r="BQ40" s="91"/>
      <c r="BR40" s="91"/>
      <c r="BS40" s="91"/>
      <c r="BT40" s="91"/>
      <c r="BU40" s="91"/>
      <c r="BV40" s="91"/>
      <c r="BW40" s="91"/>
      <c r="BX40" s="91"/>
      <c r="BY40" s="91"/>
      <c r="BZ40" s="91"/>
      <c r="CA40" s="91"/>
      <c r="CB40" s="91"/>
      <c r="CC40" s="91"/>
      <c r="CD40" s="68"/>
      <c r="CE40" s="65"/>
      <c r="CF40" s="65"/>
      <c r="CG40" s="65"/>
      <c r="CH40" s="65"/>
      <c r="CI40" s="65"/>
      <c r="CJ40" s="65"/>
      <c r="CK40" s="19"/>
      <c r="CL40" s="92"/>
      <c r="CM40" s="91"/>
      <c r="CN40" s="91"/>
      <c r="CO40" s="91"/>
      <c r="CP40" s="91"/>
      <c r="CQ40" s="91"/>
      <c r="CR40" s="91"/>
      <c r="CS40" s="91"/>
      <c r="CT40" s="91"/>
      <c r="CU40" s="91"/>
      <c r="CV40" s="91"/>
      <c r="CW40" s="91"/>
      <c r="CX40" s="91"/>
      <c r="CY40" s="91"/>
      <c r="CZ40" s="91"/>
      <c r="DA40" s="91"/>
      <c r="DB40" s="91"/>
      <c r="DC40" s="91"/>
      <c r="DD40" s="91"/>
      <c r="DE40" s="91"/>
    </row>
    <row r="41" spans="1:137" s="86" customFormat="1" ht="12.75" customHeight="1" thickBot="1">
      <c r="A41" s="79"/>
      <c r="B41" s="80" t="s">
        <v>70</v>
      </c>
      <c r="C41" s="79"/>
      <c r="D41" s="81"/>
      <c r="E41" s="81"/>
      <c r="F41" s="82"/>
      <c r="G41" s="82"/>
      <c r="H41" s="82"/>
      <c r="I41" s="82"/>
      <c r="J41" s="82"/>
      <c r="K41" s="82"/>
      <c r="L41" s="82">
        <f t="shared" ref="L41:BK41" si="176">+L37+L39</f>
        <v>609.39999999999986</v>
      </c>
      <c r="M41" s="82">
        <f t="shared" si="176"/>
        <v>401.80000000000007</v>
      </c>
      <c r="N41" s="82">
        <f t="shared" si="176"/>
        <v>403.69999999999993</v>
      </c>
      <c r="O41" s="82">
        <f t="shared" si="176"/>
        <v>787.19795918367345</v>
      </c>
      <c r="P41" s="82">
        <f t="shared" si="176"/>
        <v>138.49999999999997</v>
      </c>
      <c r="Q41" s="82">
        <f t="shared" si="176"/>
        <v>122.8172000000001</v>
      </c>
      <c r="R41" s="82">
        <f t="shared" si="176"/>
        <v>310.0172</v>
      </c>
      <c r="S41" s="82">
        <f t="shared" si="176"/>
        <v>170.50000000000003</v>
      </c>
      <c r="T41" s="82">
        <f t="shared" si="176"/>
        <v>213.39999999999986</v>
      </c>
      <c r="U41" s="82">
        <f t="shared" si="176"/>
        <v>383.89999999999986</v>
      </c>
      <c r="V41" s="82">
        <f t="shared" si="176"/>
        <v>229.39999999999998</v>
      </c>
      <c r="W41" s="82">
        <f t="shared" si="176"/>
        <v>234.00000000000006</v>
      </c>
      <c r="X41" s="82">
        <f t="shared" si="176"/>
        <v>463.40000000000015</v>
      </c>
      <c r="Y41" s="82">
        <f t="shared" si="176"/>
        <v>265.7</v>
      </c>
      <c r="Z41" s="82">
        <f t="shared" si="176"/>
        <v>278.40000000000009</v>
      </c>
      <c r="AA41" s="82">
        <f t="shared" si="176"/>
        <v>544.09999999999991</v>
      </c>
      <c r="AB41" s="82">
        <f t="shared" si="176"/>
        <v>295.99999999999994</v>
      </c>
      <c r="AC41" s="82">
        <f>+AC37+AC39</f>
        <v>305.09999999999997</v>
      </c>
      <c r="AD41" s="82">
        <f t="shared" si="176"/>
        <v>601.1</v>
      </c>
      <c r="AE41" s="82">
        <f t="shared" si="176"/>
        <v>327.10000000000002</v>
      </c>
      <c r="AF41" s="82">
        <f t="shared" si="176"/>
        <v>326.39999999999998</v>
      </c>
      <c r="AG41" s="82">
        <f t="shared" si="176"/>
        <v>653.5</v>
      </c>
      <c r="AH41" s="82">
        <f t="shared" si="176"/>
        <v>356.59999999999997</v>
      </c>
      <c r="AI41" s="82">
        <f>+AI37+AI39</f>
        <v>357.9</v>
      </c>
      <c r="AJ41" s="82">
        <f t="shared" si="176"/>
        <v>714.5</v>
      </c>
      <c r="AK41" s="82">
        <f>+AK37+AK39</f>
        <v>388.2</v>
      </c>
      <c r="AL41" s="82">
        <f t="shared" si="176"/>
        <v>387.8</v>
      </c>
      <c r="AM41" s="82">
        <f t="shared" si="176"/>
        <v>776</v>
      </c>
      <c r="AN41" s="82">
        <f t="shared" si="176"/>
        <v>421.3</v>
      </c>
      <c r="AO41" s="82">
        <f t="shared" si="176"/>
        <v>424.59999999999997</v>
      </c>
      <c r="AP41" s="82">
        <f t="shared" si="176"/>
        <v>845.9</v>
      </c>
      <c r="AQ41" s="82">
        <f t="shared" si="176"/>
        <v>464.99999999999994</v>
      </c>
      <c r="AR41" s="82">
        <f t="shared" si="176"/>
        <v>477.29999999999984</v>
      </c>
      <c r="AS41" s="82">
        <f t="shared" si="176"/>
        <v>942.29999999999984</v>
      </c>
      <c r="AT41" s="82">
        <f t="shared" si="176"/>
        <v>530.40000000000009</v>
      </c>
      <c r="AU41" s="82">
        <f t="shared" si="176"/>
        <v>529.80000000000007</v>
      </c>
      <c r="AV41" s="82">
        <f t="shared" si="176"/>
        <v>1060.2000000000003</v>
      </c>
      <c r="AW41" s="82">
        <f t="shared" si="176"/>
        <v>614.90000000000009</v>
      </c>
      <c r="AX41" s="82">
        <f t="shared" si="176"/>
        <v>604.5</v>
      </c>
      <c r="AY41" s="82">
        <f t="shared" si="176"/>
        <v>1219.3999999999999</v>
      </c>
      <c r="AZ41" s="82">
        <f t="shared" si="176"/>
        <v>786.19999999999993</v>
      </c>
      <c r="BA41" s="82">
        <f t="shared" si="176"/>
        <v>741.8</v>
      </c>
      <c r="BB41" s="82">
        <f t="shared" si="176"/>
        <v>1528.0000000000002</v>
      </c>
      <c r="BC41" s="82">
        <f t="shared" si="176"/>
        <v>876.49999999999977</v>
      </c>
      <c r="BD41" s="82">
        <f t="shared" si="176"/>
        <v>906.7</v>
      </c>
      <c r="BE41" s="82">
        <f t="shared" si="176"/>
        <v>1783.1999999999998</v>
      </c>
      <c r="BF41" s="82">
        <f t="shared" si="176"/>
        <v>1127.3999999999999</v>
      </c>
      <c r="BG41" s="82">
        <f t="shared" si="176"/>
        <v>922</v>
      </c>
      <c r="BH41" s="82">
        <f t="shared" si="176"/>
        <v>2049.4</v>
      </c>
      <c r="BI41" s="82">
        <f t="shared" si="176"/>
        <v>1222.3999999999999</v>
      </c>
      <c r="BJ41" s="82">
        <f t="shared" si="176"/>
        <v>1088.8</v>
      </c>
      <c r="BK41" s="82">
        <f t="shared" si="176"/>
        <v>2311.2000000000003</v>
      </c>
      <c r="BL41" s="82">
        <f t="shared" ref="BL41:BN41" si="177">+BL37+BL39</f>
        <v>1203.5000000000002</v>
      </c>
      <c r="BM41" s="82">
        <f t="shared" ca="1" si="177"/>
        <v>1447.2310099996118</v>
      </c>
      <c r="BN41" s="82">
        <f t="shared" ca="1" si="177"/>
        <v>2650.7310099996116</v>
      </c>
      <c r="BO41" s="82">
        <f t="shared" ref="BO41:BQ41" ca="1" si="178">+BO37+BO39</f>
        <v>1491.3958595737022</v>
      </c>
      <c r="BP41" s="82">
        <f t="shared" ca="1" si="178"/>
        <v>1490.6232249599443</v>
      </c>
      <c r="BQ41" s="82">
        <f t="shared" ca="1" si="178"/>
        <v>2982.0190845336465</v>
      </c>
      <c r="BR41" s="82">
        <f t="shared" ref="BR41:BT41" ca="1" si="179">+BR37+BR39</f>
        <v>1677.7750002076668</v>
      </c>
      <c r="BS41" s="82">
        <f t="shared" ca="1" si="179"/>
        <v>1694.1012087916529</v>
      </c>
      <c r="BT41" s="82">
        <f t="shared" ca="1" si="179"/>
        <v>3371.8762089993193</v>
      </c>
      <c r="BU41" s="82">
        <f t="shared" ref="BU41:BZ41" ca="1" si="180">+BU37+BU39</f>
        <v>1835.1729580607064</v>
      </c>
      <c r="BV41" s="82">
        <f t="shared" ca="1" si="180"/>
        <v>1857.609492924797</v>
      </c>
      <c r="BW41" s="82">
        <f t="shared" ca="1" si="180"/>
        <v>3692.7824509855036</v>
      </c>
      <c r="BX41" s="82">
        <f t="shared" ca="1" si="180"/>
        <v>1960.1798844356251</v>
      </c>
      <c r="BY41" s="82">
        <f t="shared" ca="1" si="180"/>
        <v>1973.6583315324456</v>
      </c>
      <c r="BZ41" s="82">
        <f t="shared" ca="1" si="180"/>
        <v>3933.8382159680714</v>
      </c>
      <c r="CA41" s="82">
        <f t="shared" ref="CA41:CC41" ca="1" si="181">+CA37+CA39</f>
        <v>2108.9962321408971</v>
      </c>
      <c r="CB41" s="82">
        <f t="shared" ca="1" si="181"/>
        <v>2127.2433101256638</v>
      </c>
      <c r="CC41" s="82">
        <f t="shared" ca="1" si="181"/>
        <v>4236.2395422665613</v>
      </c>
      <c r="CD41" s="83"/>
      <c r="CE41" s="108"/>
      <c r="CF41" s="108"/>
      <c r="CG41" s="108"/>
      <c r="CH41" s="108"/>
      <c r="CI41" s="108"/>
      <c r="CJ41" s="108"/>
      <c r="CK41" s="51"/>
      <c r="CL41" s="85">
        <f>X41</f>
        <v>463.40000000000015</v>
      </c>
      <c r="CM41" s="82">
        <f>AA41</f>
        <v>544.09999999999991</v>
      </c>
      <c r="CN41" s="82">
        <f>AD41</f>
        <v>601.1</v>
      </c>
      <c r="CO41" s="82">
        <f>AG41</f>
        <v>653.5</v>
      </c>
      <c r="CP41" s="82">
        <f>AJ41</f>
        <v>714.5</v>
      </c>
      <c r="CQ41" s="82">
        <f>AM41</f>
        <v>776</v>
      </c>
      <c r="CR41" s="82">
        <f>AP41</f>
        <v>845.9</v>
      </c>
      <c r="CS41" s="82">
        <f>AS41</f>
        <v>942.29999999999984</v>
      </c>
      <c r="CT41" s="82">
        <f>AV41</f>
        <v>1060.2000000000003</v>
      </c>
      <c r="CU41" s="82">
        <f>AY41</f>
        <v>1219.3999999999999</v>
      </c>
      <c r="CV41" s="82">
        <f>BB41</f>
        <v>1528.0000000000002</v>
      </c>
      <c r="CW41" s="82">
        <f>BE41</f>
        <v>1783.1999999999998</v>
      </c>
      <c r="CX41" s="82">
        <f>BH41</f>
        <v>2049.4</v>
      </c>
      <c r="CY41" s="82">
        <f>BK41</f>
        <v>2311.2000000000003</v>
      </c>
      <c r="CZ41" s="82">
        <f ca="1">BN41</f>
        <v>2650.7310099996116</v>
      </c>
      <c r="DA41" s="82">
        <f ca="1">BQ41</f>
        <v>2982.0190845336465</v>
      </c>
      <c r="DB41" s="82">
        <f ca="1">BT41</f>
        <v>3371.8762089993193</v>
      </c>
      <c r="DC41" s="82">
        <f ca="1">BW41</f>
        <v>3692.7824509855036</v>
      </c>
      <c r="DD41" s="82">
        <f ca="1">BZ41</f>
        <v>3933.8382159680714</v>
      </c>
      <c r="DE41" s="82">
        <f ca="1">CC41</f>
        <v>4236.2395422665613</v>
      </c>
      <c r="DF41" s="48"/>
      <c r="DG41" s="48"/>
      <c r="DH41" s="48"/>
      <c r="DI41" s="48"/>
      <c r="DJ41" s="48"/>
      <c r="DK41" s="48"/>
      <c r="EB41"/>
      <c r="EC41"/>
      <c r="ED41"/>
      <c r="EE41"/>
      <c r="EF41"/>
      <c r="EG41"/>
    </row>
    <row r="42" spans="1:137" ht="12.75" customHeight="1" thickTop="1">
      <c r="A42" s="1"/>
      <c r="B42" s="112"/>
      <c r="C42" s="1"/>
      <c r="D42" s="1"/>
      <c r="E42" s="1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68"/>
      <c r="CE42" s="65"/>
      <c r="CF42" s="65"/>
      <c r="CG42" s="65"/>
      <c r="CH42" s="65"/>
      <c r="CI42" s="65"/>
      <c r="CJ42" s="65"/>
      <c r="CK42" s="19"/>
      <c r="CL42" s="58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</row>
    <row r="43" spans="1:137" s="86" customFormat="1" ht="12.75" customHeight="1" thickBot="1">
      <c r="A43" s="79"/>
      <c r="B43" s="80" t="s">
        <v>71</v>
      </c>
      <c r="C43" s="79"/>
      <c r="D43" s="81"/>
      <c r="E43" s="81"/>
      <c r="F43" s="82"/>
      <c r="G43" s="82"/>
      <c r="H43" s="82"/>
      <c r="I43" s="82"/>
      <c r="J43" s="82"/>
      <c r="K43" s="82"/>
      <c r="L43" s="82">
        <f t="shared" ref="L43:AX43" si="182">L41/L211*100</f>
        <v>182.68030329747833</v>
      </c>
      <c r="M43" s="82">
        <f t="shared" si="182"/>
        <v>102.98671194289923</v>
      </c>
      <c r="N43" s="82">
        <f t="shared" si="182"/>
        <v>73.721629912154867</v>
      </c>
      <c r="O43" s="82">
        <f t="shared" si="182"/>
        <v>137.72741732028817</v>
      </c>
      <c r="P43" s="82">
        <f t="shared" si="182"/>
        <v>13.949038171014196</v>
      </c>
      <c r="Q43" s="82">
        <f t="shared" si="182"/>
        <v>7.6638027243013855</v>
      </c>
      <c r="R43" s="82">
        <f t="shared" si="182"/>
        <v>24.292393987605614</v>
      </c>
      <c r="S43" s="82">
        <f t="shared" si="182"/>
        <v>13.000381242851699</v>
      </c>
      <c r="T43" s="82">
        <f t="shared" si="182"/>
        <v>15.297491039426514</v>
      </c>
      <c r="U43" s="82">
        <f t="shared" si="182"/>
        <v>28.292431277175904</v>
      </c>
      <c r="V43" s="82">
        <f t="shared" si="182"/>
        <v>15.555706245338033</v>
      </c>
      <c r="W43" s="82">
        <f t="shared" si="182"/>
        <v>14.942528735632187</v>
      </c>
      <c r="X43" s="82">
        <f t="shared" si="182"/>
        <v>30.502896261190109</v>
      </c>
      <c r="Y43" s="82">
        <f t="shared" si="182"/>
        <v>16.057980708684134</v>
      </c>
      <c r="Z43" s="82">
        <f t="shared" si="182"/>
        <v>16.389003355507157</v>
      </c>
      <c r="AA43" s="82">
        <f t="shared" si="182"/>
        <v>32.437105043519729</v>
      </c>
      <c r="AB43" s="82">
        <f t="shared" si="182"/>
        <v>17.159420289855067</v>
      </c>
      <c r="AC43" s="82">
        <f t="shared" si="182"/>
        <v>17.659315853446778</v>
      </c>
      <c r="AD43" s="82">
        <f t="shared" si="182"/>
        <v>34.819127059982044</v>
      </c>
      <c r="AE43" s="82">
        <f t="shared" si="182"/>
        <v>18.699418063419586</v>
      </c>
      <c r="AF43" s="82">
        <f t="shared" si="182"/>
        <v>18.63039061801474</v>
      </c>
      <c r="AG43" s="82">
        <f t="shared" si="182"/>
        <v>37.242833532797626</v>
      </c>
      <c r="AH43" s="82">
        <f t="shared" si="182"/>
        <v>20.083352106330253</v>
      </c>
      <c r="AI43" s="82">
        <f t="shared" si="182"/>
        <v>20.084738629029996</v>
      </c>
      <c r="AJ43" s="82">
        <f t="shared" si="182"/>
        <v>40.113406692117671</v>
      </c>
      <c r="AK43" s="82">
        <f t="shared" si="182"/>
        <v>21.614699331848552</v>
      </c>
      <c r="AL43" s="82">
        <f t="shared" si="182"/>
        <v>21.563612099644132</v>
      </c>
      <c r="AM43" s="82">
        <f t="shared" si="182"/>
        <v>43.149466192170813</v>
      </c>
      <c r="AN43" s="82">
        <f t="shared" si="182"/>
        <v>23.286535485297367</v>
      </c>
      <c r="AO43" s="82">
        <f t="shared" si="182"/>
        <v>23.448199690744421</v>
      </c>
      <c r="AP43" s="82">
        <f t="shared" si="182"/>
        <v>46.714159487519332</v>
      </c>
      <c r="AQ43" s="82">
        <f t="shared" si="182"/>
        <v>25.486434639627291</v>
      </c>
      <c r="AR43" s="82">
        <f t="shared" si="182"/>
        <v>26.135883095721347</v>
      </c>
      <c r="AS43" s="82">
        <f t="shared" si="182"/>
        <v>51.598245633979111</v>
      </c>
      <c r="AT43" s="82">
        <f t="shared" si="182"/>
        <v>28.80104257167681</v>
      </c>
      <c r="AU43" s="82">
        <f t="shared" si="182"/>
        <v>28.73413602342988</v>
      </c>
      <c r="AV43" s="82">
        <f>AV41/AV211*100</f>
        <v>57.500813537260022</v>
      </c>
      <c r="AW43" s="82">
        <f>AW41/AW199*100</f>
        <v>33.1000699790063</v>
      </c>
      <c r="AX43" s="82">
        <f t="shared" si="182"/>
        <v>32.725205716760506</v>
      </c>
      <c r="AY43" s="82">
        <f>AY41/AY199*100</f>
        <v>65.569715545518079</v>
      </c>
      <c r="AZ43" s="82">
        <f>AZ41/AZ199*100</f>
        <v>41.908315565031977</v>
      </c>
      <c r="BA43" s="82">
        <f>BA41/BA199*100</f>
        <v>39.509986684420774</v>
      </c>
      <c r="BB43" s="82">
        <f>BB41/BB199*100</f>
        <v>81.319850984566273</v>
      </c>
      <c r="BC43" s="82">
        <f t="shared" ref="BC43:BN43" si="183">BC41/BC199*100</f>
        <v>46.422329325777227</v>
      </c>
      <c r="BD43" s="82">
        <f t="shared" si="183"/>
        <v>47.768821453031983</v>
      </c>
      <c r="BE43" s="82">
        <f t="shared" si="183"/>
        <v>94.314275136192933</v>
      </c>
      <c r="BF43" s="82">
        <f t="shared" si="183"/>
        <v>59.187316253674915</v>
      </c>
      <c r="BG43" s="82">
        <f t="shared" si="183"/>
        <v>48.277306524243379</v>
      </c>
      <c r="BH43" s="82">
        <f t="shared" si="183"/>
        <v>107.45595637583894</v>
      </c>
      <c r="BI43" s="82">
        <f t="shared" si="183"/>
        <v>63.799582463465541</v>
      </c>
      <c r="BJ43" s="82">
        <f t="shared" si="183"/>
        <v>54.238808325693178</v>
      </c>
      <c r="BK43" s="82">
        <f t="shared" si="183"/>
        <v>117.96651694569213</v>
      </c>
      <c r="BL43" s="82">
        <f t="shared" si="183"/>
        <v>58.513224426293277</v>
      </c>
      <c r="BM43" s="82">
        <f t="shared" ca="1" si="183"/>
        <v>70.3632346363094</v>
      </c>
      <c r="BN43" s="82">
        <f t="shared" ca="1" si="183"/>
        <v>128.87645906260266</v>
      </c>
      <c r="BO43" s="82">
        <f t="shared" ref="BO43:BQ43" ca="1" si="184">BO41/BO199*100</f>
        <v>72.510494922875438</v>
      </c>
      <c r="BP43" s="82">
        <f t="shared" ca="1" si="184"/>
        <v>72.472930035003131</v>
      </c>
      <c r="BQ43" s="82">
        <f t="shared" ca="1" si="184"/>
        <v>144.98342495787858</v>
      </c>
      <c r="BR43" s="82">
        <f t="shared" ref="BR43:BT43" ca="1" si="185">BR41/BR199*100</f>
        <v>81.572102304923504</v>
      </c>
      <c r="BS43" s="82">
        <f t="shared" ca="1" si="185"/>
        <v>82.365869738995173</v>
      </c>
      <c r="BT43" s="82">
        <f t="shared" ca="1" si="185"/>
        <v>163.93797204391868</v>
      </c>
      <c r="BU43" s="82">
        <f t="shared" ref="BU43:BZ43" ca="1" si="186">BU41/BU199*100</f>
        <v>89.224667350287163</v>
      </c>
      <c r="BV43" s="82">
        <f t="shared" ca="1" si="186"/>
        <v>90.315514047296617</v>
      </c>
      <c r="BW43" s="82">
        <f t="shared" ca="1" si="186"/>
        <v>179.54018139758378</v>
      </c>
      <c r="BX43" s="82">
        <f t="shared" ca="1" si="186"/>
        <v>95.30240589438084</v>
      </c>
      <c r="BY43" s="82">
        <f t="shared" ca="1" si="186"/>
        <v>95.957717402394266</v>
      </c>
      <c r="BZ43" s="82">
        <f t="shared" ca="1" si="186"/>
        <v>191.26012329677513</v>
      </c>
      <c r="CA43" s="82">
        <f t="shared" ref="CA43:CC43" ca="1" si="187">CA41/CA199*100</f>
        <v>102.53773979681529</v>
      </c>
      <c r="CB43" s="82">
        <f t="shared" ca="1" si="187"/>
        <v>103.42489839195174</v>
      </c>
      <c r="CC43" s="82">
        <f t="shared" ca="1" si="187"/>
        <v>205.96263818876704</v>
      </c>
      <c r="CD43" s="83"/>
      <c r="CE43" s="108"/>
      <c r="CF43" s="108"/>
      <c r="CG43" s="108"/>
      <c r="CH43" s="108"/>
      <c r="CI43" s="108"/>
      <c r="CJ43" s="108"/>
      <c r="CK43" s="51"/>
      <c r="CL43" s="85">
        <f>X43</f>
        <v>30.502896261190109</v>
      </c>
      <c r="CM43" s="82">
        <f>AA43</f>
        <v>32.437105043519729</v>
      </c>
      <c r="CN43" s="82">
        <f>AD43</f>
        <v>34.819127059982044</v>
      </c>
      <c r="CO43" s="82">
        <f>AG43</f>
        <v>37.242833532797626</v>
      </c>
      <c r="CP43" s="82">
        <f>AJ43</f>
        <v>40.113406692117671</v>
      </c>
      <c r="CQ43" s="82">
        <f>AM43</f>
        <v>43.149466192170813</v>
      </c>
      <c r="CR43" s="82">
        <f>AP43</f>
        <v>46.714159487519332</v>
      </c>
      <c r="CS43" s="82">
        <f>AS43</f>
        <v>51.598245633979111</v>
      </c>
      <c r="CT43" s="82">
        <f>AV43</f>
        <v>57.500813537260022</v>
      </c>
      <c r="CU43" s="82">
        <f>AY43</f>
        <v>65.569715545518079</v>
      </c>
      <c r="CV43" s="82">
        <f>BB43</f>
        <v>81.319850984566273</v>
      </c>
      <c r="CW43" s="82">
        <f>BE43</f>
        <v>94.314275136192933</v>
      </c>
      <c r="CX43" s="82">
        <f>BH43</f>
        <v>107.45595637583894</v>
      </c>
      <c r="CY43" s="82">
        <f>BK43</f>
        <v>117.96651694569213</v>
      </c>
      <c r="CZ43" s="82">
        <f ca="1">BN43</f>
        <v>128.87645906260266</v>
      </c>
      <c r="DA43" s="82">
        <f ca="1">BQ43</f>
        <v>144.98342495787858</v>
      </c>
      <c r="DB43" s="82">
        <f ca="1">BT43</f>
        <v>163.93797204391868</v>
      </c>
      <c r="DC43" s="82">
        <f ca="1">BW43</f>
        <v>179.54018139758378</v>
      </c>
      <c r="DD43" s="82">
        <f ca="1">BZ43</f>
        <v>191.26012329677513</v>
      </c>
      <c r="DE43" s="82">
        <f ca="1">CC43</f>
        <v>205.96263818876704</v>
      </c>
      <c r="DF43" s="48"/>
      <c r="DG43" s="48"/>
      <c r="DH43" s="113">
        <f>(CV43/CS43)^(1/3)-1</f>
        <v>0.16373441939477784</v>
      </c>
      <c r="DI43" s="48">
        <f ca="1">DD43/CY43</f>
        <v>1.6213085564340679</v>
      </c>
      <c r="DJ43" s="48">
        <f ca="1">DI43^(1/5)</f>
        <v>1.1014711714286591</v>
      </c>
      <c r="DK43" s="48"/>
      <c r="EB43"/>
      <c r="EC43"/>
      <c r="ED43"/>
      <c r="EE43"/>
      <c r="EF43"/>
      <c r="EG43"/>
    </row>
    <row r="44" spans="1:137" s="119" customFormat="1" ht="12.75" customHeight="1" thickTop="1">
      <c r="A44" s="15"/>
      <c r="B44" s="16" t="s">
        <v>72</v>
      </c>
      <c r="C44" s="15"/>
      <c r="D44" s="15"/>
      <c r="E44" s="15"/>
      <c r="F44" s="114"/>
      <c r="G44" s="114"/>
      <c r="H44" s="114"/>
      <c r="I44" s="11"/>
      <c r="J44" s="11"/>
      <c r="K44" s="11"/>
      <c r="L44" s="11"/>
      <c r="M44" s="11"/>
      <c r="N44" s="11"/>
      <c r="O44" s="11">
        <f t="shared" ref="O44:BK44" si="188">O43/L43-1</f>
        <v>-0.24607407129157466</v>
      </c>
      <c r="P44" s="11">
        <f t="shared" si="188"/>
        <v>-0.86455497114279933</v>
      </c>
      <c r="Q44" s="11">
        <f t="shared" si="188"/>
        <v>-0.89604404116629799</v>
      </c>
      <c r="R44" s="11">
        <f t="shared" si="188"/>
        <v>-0.82361976678098081</v>
      </c>
      <c r="S44" s="11">
        <f t="shared" si="188"/>
        <v>-6.8008769961916515E-2</v>
      </c>
      <c r="T44" s="11">
        <f t="shared" si="188"/>
        <v>0.99607056571527264</v>
      </c>
      <c r="U44" s="11">
        <f t="shared" si="188"/>
        <v>0.16466212805585068</v>
      </c>
      <c r="V44" s="11">
        <f t="shared" si="188"/>
        <v>0.19655769740532714</v>
      </c>
      <c r="W44" s="11">
        <f t="shared" si="188"/>
        <v>-2.3203955660407005E-2</v>
      </c>
      <c r="X44" s="11">
        <f t="shared" si="188"/>
        <v>7.8129198666550659E-2</v>
      </c>
      <c r="Y44" s="11">
        <f t="shared" si="188"/>
        <v>3.2288759855993776E-2</v>
      </c>
      <c r="Z44" s="11">
        <f t="shared" si="188"/>
        <v>9.6802532253170925E-2</v>
      </c>
      <c r="AA44" s="11">
        <f t="shared" si="188"/>
        <v>6.3410659950693837E-2</v>
      </c>
      <c r="AB44" s="11">
        <f t="shared" si="188"/>
        <v>6.8591412653477457E-2</v>
      </c>
      <c r="AC44" s="11">
        <f>AC43/Z43-1</f>
        <v>7.751005173311909E-2</v>
      </c>
      <c r="AD44" s="11">
        <f>AD43/AA43-1</f>
        <v>7.3435098886489358E-2</v>
      </c>
      <c r="AE44" s="11">
        <f>AE43/AB43-1</f>
        <v>8.9746491871580902E-2</v>
      </c>
      <c r="AF44" s="11">
        <f t="shared" si="188"/>
        <v>5.4989376294463099E-2</v>
      </c>
      <c r="AG44" s="11">
        <f>AG43/AD43-1</f>
        <v>6.9608478944354957E-2</v>
      </c>
      <c r="AH44" s="11">
        <f t="shared" si="188"/>
        <v>7.4009471215468636E-2</v>
      </c>
      <c r="AI44" s="11">
        <f>AI43/AF43-1</f>
        <v>7.8063205481530229E-2</v>
      </c>
      <c r="AJ44" s="115">
        <f t="shared" si="188"/>
        <v>7.7077195450021119E-2</v>
      </c>
      <c r="AK44" s="11">
        <f>AK43/AH43-1</f>
        <v>7.6249583107972363E-2</v>
      </c>
      <c r="AL44" s="11">
        <f t="shared" si="188"/>
        <v>7.363170106065553E-2</v>
      </c>
      <c r="AM44" s="11">
        <f t="shared" si="188"/>
        <v>7.5686902470184059E-2</v>
      </c>
      <c r="AN44" s="11">
        <f t="shared" si="188"/>
        <v>7.7347185254870388E-2</v>
      </c>
      <c r="AO44" s="11">
        <f t="shared" si="188"/>
        <v>8.739665610713665E-2</v>
      </c>
      <c r="AP44" s="11">
        <f t="shared" si="188"/>
        <v>8.2612685855087298E-2</v>
      </c>
      <c r="AQ44" s="11">
        <f t="shared" si="188"/>
        <v>9.4470865179532293E-2</v>
      </c>
      <c r="AR44" s="11">
        <f t="shared" si="188"/>
        <v>0.11462216461922314</v>
      </c>
      <c r="AS44" s="11">
        <f t="shared" si="188"/>
        <v>0.10455258534116751</v>
      </c>
      <c r="AT44" s="11">
        <f t="shared" si="188"/>
        <v>0.13005381015106132</v>
      </c>
      <c r="AU44" s="11">
        <f t="shared" si="188"/>
        <v>9.9413244166748127E-2</v>
      </c>
      <c r="AV44" s="11">
        <f t="shared" si="188"/>
        <v>0.11439474018461349</v>
      </c>
      <c r="AW44" s="11">
        <f t="shared" si="188"/>
        <v>0.14926638147318982</v>
      </c>
      <c r="AX44" s="11">
        <f t="shared" si="188"/>
        <v>0.13889645716426968</v>
      </c>
      <c r="AY44" s="11">
        <f t="shared" si="188"/>
        <v>0.14032674516908328</v>
      </c>
      <c r="AZ44" s="11">
        <f t="shared" si="188"/>
        <v>0.26610957594990903</v>
      </c>
      <c r="BA44" s="11">
        <f t="shared" si="188"/>
        <v>0.20732584621111738</v>
      </c>
      <c r="BB44" s="11">
        <f t="shared" si="188"/>
        <v>0.24020441918974855</v>
      </c>
      <c r="BC44" s="11">
        <f t="shared" si="188"/>
        <v>0.1077116486283145</v>
      </c>
      <c r="BD44" s="11">
        <f t="shared" si="188"/>
        <v>0.20903157560080277</v>
      </c>
      <c r="BE44" s="11">
        <f t="shared" si="188"/>
        <v>0.15979399856614185</v>
      </c>
      <c r="BF44" s="11">
        <f t="shared" si="188"/>
        <v>0.2749751490994139</v>
      </c>
      <c r="BG44" s="11">
        <f t="shared" si="188"/>
        <v>1.0644706227708634E-2</v>
      </c>
      <c r="BH44" s="11">
        <f t="shared" si="188"/>
        <v>0.1393392593079783</v>
      </c>
      <c r="BI44" s="11">
        <f t="shared" si="188"/>
        <v>7.792659815867653E-2</v>
      </c>
      <c r="BJ44" s="11">
        <f t="shared" si="188"/>
        <v>0.12348455683740589</v>
      </c>
      <c r="BK44" s="11">
        <f t="shared" si="188"/>
        <v>9.7812731135083597E-2</v>
      </c>
      <c r="BL44" s="11">
        <f t="shared" ref="BL44" si="189">BL43/BI43-1</f>
        <v>-8.2858818710913384E-2</v>
      </c>
      <c r="BM44" s="11">
        <f t="shared" ref="BM44" ca="1" si="190">BM43/BJ43-1</f>
        <v>0.29728577762609154</v>
      </c>
      <c r="BN44" s="11">
        <f t="shared" ref="BN44" ca="1" si="191">BN43/BK43-1</f>
        <v>9.2483379177271896E-2</v>
      </c>
      <c r="BO44" s="11">
        <f t="shared" ref="BO44" ca="1" si="192">BO43/BL43-1</f>
        <v>0.23921550442351625</v>
      </c>
      <c r="BP44" s="11">
        <f t="shared" ref="BP44" ca="1" si="193">BP43/BM43-1</f>
        <v>2.9982922325817452E-2</v>
      </c>
      <c r="BQ44" s="11">
        <f t="shared" ref="BQ44" ca="1" si="194">BQ43/BN43-1</f>
        <v>0.12497989169187096</v>
      </c>
      <c r="BR44" s="11">
        <f t="shared" ref="BR44" ca="1" si="195">BR43/BO43-1</f>
        <v>0.12496959773459393</v>
      </c>
      <c r="BS44" s="11">
        <f t="shared" ref="BS44" ca="1" si="196">BS43/BP43-1</f>
        <v>0.13650530893692214</v>
      </c>
      <c r="BT44" s="11">
        <f t="shared" ref="BT44" ca="1" si="197">BT43/BQ43-1</f>
        <v>0.13073595889700407</v>
      </c>
      <c r="BU44" s="11">
        <f t="shared" ref="BU44" ca="1" si="198">BU43/BR43-1</f>
        <v>9.3813507671504093E-2</v>
      </c>
      <c r="BV44" s="11">
        <f t="shared" ref="BV44" ca="1" si="199">BV43/BS43-1</f>
        <v>9.6516243117357403E-2</v>
      </c>
      <c r="BW44" s="11">
        <f t="shared" ref="BW44" ca="1" si="200">BW43/BT43-1</f>
        <v>9.517141855021416E-2</v>
      </c>
      <c r="BX44" s="11">
        <f t="shared" ref="BX44" ca="1" si="201">BX43/BU43-1</f>
        <v>6.8117245203426435E-2</v>
      </c>
      <c r="BY44" s="11">
        <f t="shared" ref="BY44" ca="1" si="202">BY43/BV43-1</f>
        <v>6.2472139085018474E-2</v>
      </c>
      <c r="BZ44" s="11">
        <f t="shared" ref="BZ44" ca="1" si="203">BZ43/BW43-1</f>
        <v>6.5277542931952759E-2</v>
      </c>
      <c r="CA44" s="11">
        <f t="shared" ref="CA44" ca="1" si="204">CA43/BX43-1</f>
        <v>7.5919740268184155E-2</v>
      </c>
      <c r="CB44" s="11">
        <f t="shared" ref="CB44" ca="1" si="205">CB43/BY43-1</f>
        <v>7.7817409497604073E-2</v>
      </c>
      <c r="CC44" s="11">
        <f t="shared" ref="CC44" ca="1" si="206">CC43/BZ43-1</f>
        <v>7.6871825859791354E-2</v>
      </c>
      <c r="CD44" s="116"/>
      <c r="CE44" s="117"/>
      <c r="CF44" s="117"/>
      <c r="CG44" s="117"/>
      <c r="CH44" s="117"/>
      <c r="CI44" s="117"/>
      <c r="CJ44" s="117"/>
      <c r="CK44" s="114"/>
      <c r="CL44" s="118">
        <f>X44</f>
        <v>7.8129198666550659E-2</v>
      </c>
      <c r="CM44" s="76">
        <f>AA44</f>
        <v>6.3410659950693837E-2</v>
      </c>
      <c r="CN44" s="76">
        <f>AD44</f>
        <v>7.3435098886489358E-2</v>
      </c>
      <c r="CO44" s="76">
        <f>AG44</f>
        <v>6.9608478944354957E-2</v>
      </c>
      <c r="CP44" s="76">
        <f>AJ44</f>
        <v>7.7077195450021119E-2</v>
      </c>
      <c r="CQ44" s="76">
        <f>AM44</f>
        <v>7.5686902470184059E-2</v>
      </c>
      <c r="CR44" s="76">
        <f>AP44</f>
        <v>8.2612685855087298E-2</v>
      </c>
      <c r="CS44" s="76">
        <f>AS44</f>
        <v>0.10455258534116751</v>
      </c>
      <c r="CT44" s="76">
        <f>AV44</f>
        <v>0.11439474018461349</v>
      </c>
      <c r="CU44" s="76">
        <f>AY44</f>
        <v>0.14032674516908328</v>
      </c>
      <c r="CV44" s="76">
        <f>BB44</f>
        <v>0.24020441918974855</v>
      </c>
      <c r="CW44" s="76">
        <f>BE44</f>
        <v>0.15979399856614185</v>
      </c>
      <c r="CX44" s="76">
        <f>BH44</f>
        <v>0.1393392593079783</v>
      </c>
      <c r="CY44" s="76">
        <f>BK44</f>
        <v>9.7812731135083597E-2</v>
      </c>
      <c r="CZ44" s="76">
        <f ca="1">BN44</f>
        <v>9.2483379177271896E-2</v>
      </c>
      <c r="DA44" s="76">
        <f ca="1">BQ44</f>
        <v>0.12497989169187096</v>
      </c>
      <c r="DB44" s="76">
        <f ca="1">BT44</f>
        <v>0.13073595889700407</v>
      </c>
      <c r="DC44" s="76">
        <f ca="1">BW44</f>
        <v>9.517141855021416E-2</v>
      </c>
      <c r="DD44" s="76">
        <f ca="1">BZ44</f>
        <v>6.5277542931952759E-2</v>
      </c>
      <c r="DE44" s="76">
        <f ca="1">CC44</f>
        <v>7.6871825859791354E-2</v>
      </c>
      <c r="DF44" s="15"/>
      <c r="DG44" s="15"/>
      <c r="DH44" s="15"/>
      <c r="DI44" s="15"/>
      <c r="DJ44" s="15"/>
      <c r="DK44" s="15"/>
      <c r="EB44"/>
      <c r="EC44"/>
      <c r="ED44"/>
      <c r="EE44"/>
      <c r="EF44"/>
      <c r="EG44"/>
    </row>
    <row r="45" spans="1:137" s="119" customFormat="1" ht="12.75" customHeight="1">
      <c r="A45" s="15"/>
      <c r="B45" s="16"/>
      <c r="C45" s="15"/>
      <c r="D45" s="15"/>
      <c r="E45" s="15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4"/>
      <c r="AP45" s="114"/>
      <c r="AQ45" s="114"/>
      <c r="AR45" s="114"/>
      <c r="AS45" s="114"/>
      <c r="AT45" s="114"/>
      <c r="AU45" s="114"/>
      <c r="AV45" s="120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  <c r="BQ45" s="114"/>
      <c r="BR45" s="114"/>
      <c r="BS45" s="114"/>
      <c r="BT45" s="114"/>
      <c r="BU45" s="114"/>
      <c r="BV45" s="114"/>
      <c r="BW45" s="114"/>
      <c r="BX45" s="114"/>
      <c r="BY45" s="114"/>
      <c r="BZ45" s="114"/>
      <c r="CA45" s="114"/>
      <c r="CB45" s="114"/>
      <c r="CC45" s="114"/>
      <c r="CD45" s="116"/>
      <c r="CE45" s="117"/>
      <c r="CF45" s="117"/>
      <c r="CG45" s="117"/>
      <c r="CH45" s="117"/>
      <c r="CI45" s="117"/>
      <c r="CJ45" s="117"/>
      <c r="CK45" s="114"/>
      <c r="CL45" s="121"/>
      <c r="CM45" s="122"/>
      <c r="CN45" s="122"/>
      <c r="CO45" s="122"/>
      <c r="CP45" s="122"/>
      <c r="CQ45" s="122"/>
      <c r="CR45" s="122"/>
      <c r="CS45" s="122"/>
      <c r="CT45" s="122"/>
      <c r="CU45" s="122"/>
      <c r="CV45" s="122"/>
      <c r="CW45" s="122"/>
      <c r="CX45" s="122"/>
      <c r="CY45" s="122"/>
      <c r="CZ45" s="122"/>
      <c r="DA45" s="122"/>
      <c r="DB45" s="122"/>
      <c r="DC45" s="122"/>
      <c r="DD45" s="122"/>
      <c r="DE45" s="122"/>
      <c r="DF45" s="15"/>
      <c r="DG45" s="15"/>
      <c r="DH45" s="15"/>
      <c r="DI45" s="15"/>
      <c r="DJ45" s="15"/>
      <c r="DK45" s="15"/>
      <c r="EB45"/>
      <c r="EC45"/>
      <c r="ED45"/>
      <c r="EE45"/>
      <c r="EF45"/>
      <c r="EG45"/>
    </row>
    <row r="46" spans="1:137" s="119" customFormat="1" ht="12.75" customHeight="1">
      <c r="A46" s="15"/>
      <c r="B46" s="49" t="s">
        <v>73</v>
      </c>
      <c r="C46" s="15"/>
      <c r="D46" s="15"/>
      <c r="E46" s="15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  <c r="AZ46" s="114"/>
      <c r="BA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  <c r="BQ46" s="114"/>
      <c r="BR46" s="114"/>
      <c r="BS46" s="114"/>
      <c r="BT46" s="114"/>
      <c r="BU46" s="114"/>
      <c r="BV46" s="114"/>
      <c r="BW46" s="114"/>
      <c r="BX46" s="114"/>
      <c r="BY46" s="114"/>
      <c r="BZ46" s="114"/>
      <c r="CA46" s="114"/>
      <c r="CB46" s="114"/>
      <c r="CC46" s="114"/>
      <c r="CD46" s="116"/>
      <c r="CE46" s="117"/>
      <c r="CF46" s="117"/>
      <c r="CG46" s="117"/>
      <c r="CH46" s="117"/>
      <c r="CI46" s="117"/>
      <c r="CJ46" s="117"/>
      <c r="CK46" s="114"/>
      <c r="CL46" s="123"/>
      <c r="CM46" s="114"/>
      <c r="CN46" s="114"/>
      <c r="CO46" s="114"/>
      <c r="CP46" s="114"/>
      <c r="CQ46" s="114"/>
      <c r="CR46" s="114"/>
      <c r="CS46" s="114"/>
      <c r="CT46" s="114"/>
      <c r="CU46" s="114"/>
      <c r="CV46" s="114"/>
      <c r="CW46" s="114"/>
      <c r="CX46" s="114"/>
      <c r="CY46" s="114"/>
      <c r="CZ46" s="114"/>
      <c r="DA46" s="114"/>
      <c r="DB46" s="114"/>
      <c r="DC46" s="114"/>
      <c r="DD46" s="114"/>
      <c r="DE46" s="114"/>
      <c r="DF46" s="15"/>
      <c r="DG46" s="15"/>
      <c r="DH46" s="15"/>
      <c r="DI46" s="15"/>
      <c r="DJ46" s="15"/>
      <c r="DK46" s="15"/>
      <c r="EB46"/>
      <c r="EC46"/>
      <c r="ED46"/>
      <c r="EE46"/>
      <c r="EF46"/>
      <c r="EG46"/>
    </row>
    <row r="47" spans="1:137" ht="12.75" customHeight="1">
      <c r="A47" s="1"/>
      <c r="B47" s="124" t="s">
        <v>74</v>
      </c>
      <c r="C47" s="1"/>
      <c r="D47" s="98"/>
      <c r="E47" s="98"/>
      <c r="F47" s="100"/>
      <c r="G47" s="98"/>
      <c r="H47" s="98"/>
      <c r="I47" s="100"/>
      <c r="J47" s="98"/>
      <c r="K47" s="98"/>
      <c r="L47" s="100"/>
      <c r="M47" s="98">
        <v>-208.1</v>
      </c>
      <c r="N47" s="98">
        <v>-318.89999999999998</v>
      </c>
      <c r="O47" s="98">
        <v>-527</v>
      </c>
      <c r="P47" s="98">
        <v>-195.9</v>
      </c>
      <c r="Q47" s="98">
        <v>-14.099999999999994</v>
      </c>
      <c r="R47" s="98">
        <v>-210</v>
      </c>
      <c r="S47" s="98">
        <v>-2.9</v>
      </c>
      <c r="T47" s="98">
        <v>-23.5</v>
      </c>
      <c r="U47" s="98">
        <v>-26.4</v>
      </c>
      <c r="V47" s="98">
        <v>-2.8000000000000003</v>
      </c>
      <c r="W47" s="98">
        <v>-0.79999999999999982</v>
      </c>
      <c r="X47" s="98">
        <v>-3.6</v>
      </c>
      <c r="Y47" s="98">
        <v>-39.4</v>
      </c>
      <c r="Z47" s="125">
        <v>2.6999999999999957</v>
      </c>
      <c r="AA47" s="98">
        <v>-36.700000000000003</v>
      </c>
      <c r="AB47" s="98">
        <v>98.9</v>
      </c>
      <c r="AC47" s="66">
        <v>308</v>
      </c>
      <c r="AD47" s="66">
        <f>SUM(AB47:AC47)</f>
        <v>406.9</v>
      </c>
      <c r="AE47" s="66">
        <v>286</v>
      </c>
      <c r="AF47" s="66">
        <f>709.7-AE47</f>
        <v>423.70000000000005</v>
      </c>
      <c r="AG47" s="66">
        <f>SUM(AE47:AF47)</f>
        <v>709.7</v>
      </c>
      <c r="AH47" s="66">
        <v>622.6</v>
      </c>
      <c r="AI47" s="66">
        <f>604.9-AH47</f>
        <v>-17.700000000000045</v>
      </c>
      <c r="AJ47" s="66">
        <f>SUM(AH47:AI47)</f>
        <v>604.9</v>
      </c>
      <c r="AK47" s="103"/>
      <c r="AL47" s="103"/>
      <c r="AM47" s="103">
        <f>SUM(AK47:AL47)</f>
        <v>0</v>
      </c>
      <c r="AN47" s="103">
        <v>341.1</v>
      </c>
      <c r="AO47" s="66">
        <f>639-AN47</f>
        <v>297.89999999999998</v>
      </c>
      <c r="AP47" s="103">
        <f>SUM(AN47:AO47)</f>
        <v>639</v>
      </c>
      <c r="AQ47" s="66">
        <v>596.70000000000005</v>
      </c>
      <c r="AR47" s="66">
        <f>871.7-AQ47</f>
        <v>275</v>
      </c>
      <c r="AS47" s="103">
        <f>SUM(AQ47:AR47)</f>
        <v>871.7</v>
      </c>
      <c r="AT47" s="103">
        <v>363.7</v>
      </c>
      <c r="AU47" s="103">
        <f>621.3-AT47</f>
        <v>257.59999999999997</v>
      </c>
      <c r="AV47" s="103">
        <f>SUM(AT47:AU47)</f>
        <v>621.29999999999995</v>
      </c>
      <c r="AW47" s="103">
        <v>346.2</v>
      </c>
      <c r="AX47" s="103">
        <v>19.012</v>
      </c>
      <c r="AY47" s="103">
        <f>SUM(AW47:AX47)</f>
        <v>365.21199999999999</v>
      </c>
      <c r="AZ47" s="103">
        <v>179.25249429657791</v>
      </c>
      <c r="BA47" s="103">
        <v>53.837665399239533</v>
      </c>
      <c r="BB47" s="103">
        <f>SUM(AZ47:BA47)</f>
        <v>233.09015969581745</v>
      </c>
      <c r="BC47" s="103">
        <v>14.237</v>
      </c>
      <c r="BD47" s="103">
        <v>14.237</v>
      </c>
      <c r="BE47" s="103">
        <f>SUM(BC47:BD47)</f>
        <v>28.474</v>
      </c>
      <c r="BF47" s="103">
        <v>16.448</v>
      </c>
      <c r="BG47" s="103">
        <v>16.448</v>
      </c>
      <c r="BH47" s="103">
        <f>SUM(BF47:BG47)</f>
        <v>32.896000000000001</v>
      </c>
      <c r="BI47" s="103">
        <v>17.783000000000001</v>
      </c>
      <c r="BJ47" s="103">
        <v>613.17982539682532</v>
      </c>
      <c r="BK47" s="103">
        <f>SUM(BI47:BJ47)</f>
        <v>630.96282539682534</v>
      </c>
      <c r="BL47" s="103">
        <v>67.918999999999997</v>
      </c>
      <c r="BM47" s="103">
        <v>67.918999999999997</v>
      </c>
      <c r="BN47" s="103">
        <f>SUM(BL47:BM47)</f>
        <v>135.83799999999999</v>
      </c>
      <c r="BO47" s="103">
        <v>56.824041047695104</v>
      </c>
      <c r="BP47" s="103">
        <v>56.824041047695104</v>
      </c>
      <c r="BQ47" s="103">
        <f>SUM(BO47:BP47)</f>
        <v>113.64808209539021</v>
      </c>
      <c r="BR47" s="103">
        <v>58.213409942320766</v>
      </c>
      <c r="BS47" s="103">
        <v>58.213409942320766</v>
      </c>
      <c r="BT47" s="103">
        <f>SUM(BR47:BS47)</f>
        <v>116.42681988464153</v>
      </c>
      <c r="BU47" s="103">
        <v>59.340544469995919</v>
      </c>
      <c r="BV47" s="103">
        <v>59.340544469995919</v>
      </c>
      <c r="BW47" s="103">
        <f>SUM(BU47:BV47)</f>
        <v>118.68108893999184</v>
      </c>
      <c r="BX47" s="103">
        <v>60.485654554552433</v>
      </c>
      <c r="BY47" s="103">
        <v>60.485654554552433</v>
      </c>
      <c r="BZ47" s="103">
        <f>SUM(BX47:BY47)</f>
        <v>120.97130910910487</v>
      </c>
      <c r="CA47" s="103">
        <v>61.648662299912225</v>
      </c>
      <c r="CB47" s="103">
        <v>61.648662299912225</v>
      </c>
      <c r="CC47" s="103">
        <f>SUM(CA47:CB47)</f>
        <v>123.29732459982445</v>
      </c>
      <c r="CD47" s="68"/>
      <c r="CE47" s="65"/>
      <c r="CF47" s="65"/>
      <c r="CG47" s="65"/>
      <c r="CH47" s="65"/>
      <c r="CI47" s="65"/>
      <c r="CJ47" s="65"/>
      <c r="CK47" s="19"/>
      <c r="CL47" s="58">
        <f>X47</f>
        <v>-3.6</v>
      </c>
      <c r="CM47" s="19">
        <f>AA47</f>
        <v>-36.700000000000003</v>
      </c>
      <c r="CN47" s="19">
        <f>AD47</f>
        <v>406.9</v>
      </c>
      <c r="CO47" s="19">
        <f>AG47</f>
        <v>709.7</v>
      </c>
      <c r="CP47" s="19">
        <f>AJ47</f>
        <v>604.9</v>
      </c>
      <c r="CQ47" s="19">
        <f>AM47</f>
        <v>0</v>
      </c>
      <c r="CR47" s="19">
        <f>AP47</f>
        <v>639</v>
      </c>
      <c r="CS47" s="19">
        <f>AS47</f>
        <v>871.7</v>
      </c>
      <c r="CT47" s="19">
        <f>AV47</f>
        <v>621.29999999999995</v>
      </c>
      <c r="CU47" s="19">
        <f>AY47</f>
        <v>365.21199999999999</v>
      </c>
      <c r="CV47" s="19">
        <f>BB47</f>
        <v>233.09015969581745</v>
      </c>
      <c r="CW47" s="19">
        <f>BE47</f>
        <v>28.474</v>
      </c>
      <c r="CX47" s="19">
        <f>BH47</f>
        <v>32.896000000000001</v>
      </c>
      <c r="CY47" s="19">
        <f>BK47</f>
        <v>630.96282539682534</v>
      </c>
      <c r="CZ47" s="19">
        <f>BN47</f>
        <v>135.83799999999999</v>
      </c>
      <c r="DA47" s="19">
        <f>BQ47</f>
        <v>113.64808209539021</v>
      </c>
      <c r="DB47" s="19">
        <f>BT47</f>
        <v>116.42681988464153</v>
      </c>
      <c r="DC47" s="19">
        <f>BW47</f>
        <v>118.68108893999184</v>
      </c>
      <c r="DD47" s="19">
        <f>BZ47</f>
        <v>120.97130910910487</v>
      </c>
      <c r="DE47" s="19">
        <f>CC47</f>
        <v>123.29732459982445</v>
      </c>
    </row>
    <row r="48" spans="1:137" ht="12.75" customHeight="1">
      <c r="A48" s="1"/>
      <c r="B48" s="124" t="s">
        <v>75</v>
      </c>
      <c r="C48" s="1"/>
      <c r="D48" s="98"/>
      <c r="E48" s="98"/>
      <c r="F48" s="100"/>
      <c r="G48" s="98"/>
      <c r="H48" s="98"/>
      <c r="I48" s="100"/>
      <c r="J48" s="98"/>
      <c r="K48" s="98"/>
      <c r="L48" s="100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125"/>
      <c r="AA48" s="98"/>
      <c r="AB48" s="98"/>
      <c r="AC48" s="66"/>
      <c r="AD48" s="66"/>
      <c r="AE48" s="66">
        <v>0</v>
      </c>
      <c r="AF48" s="66">
        <f>AE48</f>
        <v>0</v>
      </c>
      <c r="AG48" s="66">
        <f>+AF48+AE48</f>
        <v>0</v>
      </c>
      <c r="AH48" s="103">
        <v>0</v>
      </c>
      <c r="AI48" s="66"/>
      <c r="AJ48" s="66">
        <f>+AI48+AH48</f>
        <v>0</v>
      </c>
      <c r="AK48" s="103"/>
      <c r="AL48" s="103"/>
      <c r="AM48" s="103">
        <f>+AL48+AK48</f>
        <v>0</v>
      </c>
      <c r="AN48" s="103">
        <v>0</v>
      </c>
      <c r="AO48" s="66">
        <v>0</v>
      </c>
      <c r="AP48" s="103">
        <f>+AO48+AN48</f>
        <v>0</v>
      </c>
      <c r="AQ48" s="66">
        <v>0</v>
      </c>
      <c r="AR48" s="66">
        <v>0</v>
      </c>
      <c r="AS48" s="103">
        <f>+AR48+AQ48</f>
        <v>0</v>
      </c>
      <c r="AT48" s="103">
        <v>0</v>
      </c>
      <c r="AU48" s="103">
        <v>0</v>
      </c>
      <c r="AV48" s="103">
        <f>+AU48+AT48</f>
        <v>0</v>
      </c>
      <c r="AW48" s="103">
        <v>0</v>
      </c>
      <c r="AX48" s="103">
        <f>AV105*0.01</f>
        <v>93.707999999999998</v>
      </c>
      <c r="AY48" s="103">
        <f>+AX48+AW48</f>
        <v>93.707999999999998</v>
      </c>
      <c r="AZ48" s="103">
        <f>AX105*0.01</f>
        <v>106.60000000000001</v>
      </c>
      <c r="BA48" s="103">
        <f>AY105*0.01</f>
        <v>106.60000000000001</v>
      </c>
      <c r="BB48" s="103">
        <f>+BA48+AZ48</f>
        <v>213.20000000000002</v>
      </c>
      <c r="BC48" s="103">
        <f>BA105*0.01</f>
        <v>143.79600000000002</v>
      </c>
      <c r="BD48" s="103">
        <f>BB105*0.01</f>
        <v>143.79600000000002</v>
      </c>
      <c r="BE48" s="103">
        <f>+BD48+BC48</f>
        <v>287.59200000000004</v>
      </c>
      <c r="BF48" s="103">
        <f>BD105*0.01</f>
        <v>162.852</v>
      </c>
      <c r="BG48" s="103">
        <f>BE105*0.01</f>
        <v>162.852</v>
      </c>
      <c r="BH48" s="103">
        <f>+BG48+BF48</f>
        <v>325.70400000000001</v>
      </c>
      <c r="BI48" s="103">
        <f>BG105*0.01</f>
        <v>160.97999999999999</v>
      </c>
      <c r="BJ48" s="103">
        <f>BH105*0.01</f>
        <v>160.97999999999999</v>
      </c>
      <c r="BK48" s="103">
        <f>+BJ48+BI48</f>
        <v>321.95999999999998</v>
      </c>
      <c r="BL48" s="103">
        <f>BJ105*0.01</f>
        <v>160.68</v>
      </c>
      <c r="BM48" s="103">
        <f>BK105*0.01</f>
        <v>160.68</v>
      </c>
      <c r="BN48" s="103">
        <f>+BM48+BL48</f>
        <v>321.36</v>
      </c>
      <c r="BO48" s="103">
        <f ca="1">BM105*0.01</f>
        <v>169.45503063445426</v>
      </c>
      <c r="BP48" s="103">
        <f ca="1">BN105*0.01</f>
        <v>169.45503063445426</v>
      </c>
      <c r="BQ48" s="103">
        <f ca="1">+BP48+BO48</f>
        <v>338.91006126890852</v>
      </c>
      <c r="BR48" s="103">
        <f ca="1">BP105*0.01</f>
        <v>176.10700823932513</v>
      </c>
      <c r="BS48" s="103">
        <f ca="1">BQ105*0.01</f>
        <v>176.10700823932513</v>
      </c>
      <c r="BT48" s="103">
        <f ca="1">+BS48+BR48</f>
        <v>352.21401647865025</v>
      </c>
      <c r="BU48" s="103">
        <f ca="1">BS105*0.01</f>
        <v>183.58559126233749</v>
      </c>
      <c r="BV48" s="103">
        <f ca="1">BT105*0.01</f>
        <v>183.58559126233749</v>
      </c>
      <c r="BW48" s="103">
        <f ca="1">+BV48+BU48</f>
        <v>367.17118252467498</v>
      </c>
      <c r="BX48" s="103">
        <f ca="1">BV105*0.01</f>
        <v>191.52670866252208</v>
      </c>
      <c r="BY48" s="103">
        <f ca="1">BW105*0.01</f>
        <v>191.52670866252208</v>
      </c>
      <c r="BZ48" s="103">
        <f ca="1">+BY48+BX48</f>
        <v>383.05341732504417</v>
      </c>
      <c r="CA48" s="103">
        <f ca="1">BY105*0.01</f>
        <v>199.96464814475922</v>
      </c>
      <c r="CB48" s="103">
        <f ca="1">BZ105*0.01</f>
        <v>199.96464814475922</v>
      </c>
      <c r="CC48" s="103">
        <f ca="1">+CB48+CA48</f>
        <v>399.92929628951845</v>
      </c>
      <c r="CD48" s="68"/>
      <c r="CE48" s="65"/>
      <c r="CF48" s="65"/>
      <c r="CG48" s="65"/>
      <c r="CH48" s="65"/>
      <c r="CI48" s="65"/>
      <c r="CJ48" s="65"/>
      <c r="CK48" s="19"/>
      <c r="CL48" s="58"/>
      <c r="CM48" s="19"/>
      <c r="CN48" s="19"/>
      <c r="CO48" s="19"/>
      <c r="CP48" s="19"/>
      <c r="CQ48" s="19"/>
      <c r="CR48" s="19"/>
      <c r="CS48" s="19"/>
      <c r="CT48" s="19"/>
      <c r="CU48" s="19"/>
      <c r="CV48" s="19"/>
      <c r="CW48" s="19"/>
      <c r="CX48" s="19"/>
      <c r="CY48" s="19"/>
      <c r="CZ48" s="19"/>
      <c r="DA48" s="19"/>
      <c r="DB48" s="19"/>
      <c r="DC48" s="19"/>
      <c r="DD48" s="19"/>
      <c r="DE48" s="19"/>
    </row>
    <row r="49" spans="1:137" ht="12.75" customHeight="1">
      <c r="A49" s="1"/>
      <c r="B49" s="124" t="s">
        <v>76</v>
      </c>
      <c r="C49" s="1"/>
      <c r="D49" s="98"/>
      <c r="E49" s="98"/>
      <c r="F49" s="100"/>
      <c r="G49" s="98"/>
      <c r="H49" s="98"/>
      <c r="I49" s="100"/>
      <c r="J49" s="98"/>
      <c r="K49" s="98"/>
      <c r="L49" s="100"/>
      <c r="M49" s="98">
        <v>-51.7</v>
      </c>
      <c r="N49" s="98">
        <v>-10.599999999999994</v>
      </c>
      <c r="O49" s="98">
        <v>-62.3</v>
      </c>
      <c r="P49" s="98">
        <v>0</v>
      </c>
      <c r="Q49" s="98">
        <v>-159.30000000000001</v>
      </c>
      <c r="R49" s="98">
        <v>-159.30000000000001</v>
      </c>
      <c r="S49" s="98">
        <v>73.5</v>
      </c>
      <c r="T49" s="98">
        <v>-7.5</v>
      </c>
      <c r="U49" s="98">
        <v>66</v>
      </c>
      <c r="V49" s="98">
        <v>47.900000000000006</v>
      </c>
      <c r="W49" s="98"/>
      <c r="X49" s="98">
        <v>47.900000000000006</v>
      </c>
      <c r="Y49" s="98">
        <v>-52.3</v>
      </c>
      <c r="Z49" s="125">
        <v>-240.7</v>
      </c>
      <c r="AA49" s="98">
        <f>SUM(Y49:Z49)</f>
        <v>-293</v>
      </c>
      <c r="AB49" s="98">
        <v>-219.3</v>
      </c>
      <c r="AC49" s="66">
        <v>0</v>
      </c>
      <c r="AD49" s="66">
        <f>SUM(AB49:AC49)</f>
        <v>-219.3</v>
      </c>
      <c r="AE49" s="66">
        <v>-76.400000000000006</v>
      </c>
      <c r="AF49" s="66">
        <f>-99.8-AE49</f>
        <v>-23.399999999999991</v>
      </c>
      <c r="AG49" s="66">
        <f>SUM(AE49:AF49)</f>
        <v>-99.8</v>
      </c>
      <c r="AH49" s="66">
        <v>-33.299999999999997</v>
      </c>
      <c r="AI49" s="66">
        <f>81.5-AH49</f>
        <v>114.8</v>
      </c>
      <c r="AJ49" s="66">
        <f>SUM(AH49:AI49)</f>
        <v>81.5</v>
      </c>
      <c r="AK49" s="103">
        <v>0</v>
      </c>
      <c r="AL49" s="103">
        <v>0</v>
      </c>
      <c r="AM49" s="103">
        <f>SUM(AK49:AL49)</f>
        <v>0</v>
      </c>
      <c r="AN49" s="103">
        <v>-75.400000000000006</v>
      </c>
      <c r="AO49" s="66">
        <f>-174.4-AN49</f>
        <v>-99</v>
      </c>
      <c r="AP49" s="103">
        <f>SUM(AN49:AO49)</f>
        <v>-174.4</v>
      </c>
      <c r="AQ49" s="66">
        <v>-49.4</v>
      </c>
      <c r="AR49" s="66">
        <f>17-AQ49</f>
        <v>66.400000000000006</v>
      </c>
      <c r="AS49" s="103">
        <f>SUM(AQ49:AR49)</f>
        <v>17.000000000000007</v>
      </c>
      <c r="AT49" s="103">
        <v>15</v>
      </c>
      <c r="AU49" s="103">
        <f>6.8-AT49</f>
        <v>-8.1999999999999993</v>
      </c>
      <c r="AV49" s="103">
        <f>SUM(AT49:AU49)</f>
        <v>6.8000000000000007</v>
      </c>
      <c r="AW49" s="103">
        <v>0</v>
      </c>
      <c r="AX49" s="103">
        <v>0</v>
      </c>
      <c r="AY49" s="103">
        <f>SUM(AW49:AX49)</f>
        <v>0</v>
      </c>
      <c r="AZ49" s="103">
        <v>0</v>
      </c>
      <c r="BA49" s="103">
        <v>0</v>
      </c>
      <c r="BB49" s="103">
        <f>SUM(AZ49:BA49)</f>
        <v>0</v>
      </c>
      <c r="BC49" s="103">
        <v>0</v>
      </c>
      <c r="BD49" s="103">
        <v>0</v>
      </c>
      <c r="BE49" s="103">
        <f>SUM(BC49:BD49)</f>
        <v>0</v>
      </c>
      <c r="BF49" s="103">
        <v>0</v>
      </c>
      <c r="BG49" s="103">
        <v>0</v>
      </c>
      <c r="BH49" s="103">
        <f>SUM(BF49:BG49)</f>
        <v>0</v>
      </c>
      <c r="BI49" s="103">
        <v>0</v>
      </c>
      <c r="BJ49" s="103">
        <v>0</v>
      </c>
      <c r="BK49" s="103">
        <f>SUM(BI49:BJ49)</f>
        <v>0</v>
      </c>
      <c r="BL49" s="103">
        <v>0</v>
      </c>
      <c r="BM49" s="103">
        <v>0</v>
      </c>
      <c r="BN49" s="103">
        <f>SUM(BL49:BM49)</f>
        <v>0</v>
      </c>
      <c r="BO49" s="103">
        <v>0</v>
      </c>
      <c r="BP49" s="103">
        <v>0</v>
      </c>
      <c r="BQ49" s="103">
        <f>SUM(BO49:BP49)</f>
        <v>0</v>
      </c>
      <c r="BR49" s="103">
        <v>0</v>
      </c>
      <c r="BS49" s="103">
        <v>0</v>
      </c>
      <c r="BT49" s="103">
        <f>SUM(BR49:BS49)</f>
        <v>0</v>
      </c>
      <c r="BU49" s="103">
        <v>0</v>
      </c>
      <c r="BV49" s="103">
        <v>0</v>
      </c>
      <c r="BW49" s="103">
        <f>SUM(BU49:BV49)</f>
        <v>0</v>
      </c>
      <c r="BX49" s="103">
        <v>0</v>
      </c>
      <c r="BY49" s="103">
        <v>0</v>
      </c>
      <c r="BZ49" s="103">
        <f>SUM(BX49:BY49)</f>
        <v>0</v>
      </c>
      <c r="CA49" s="103">
        <v>0</v>
      </c>
      <c r="CB49" s="103">
        <v>0</v>
      </c>
      <c r="CC49" s="103">
        <f>SUM(CA49:CB49)</f>
        <v>0</v>
      </c>
      <c r="CD49" s="68"/>
      <c r="CE49" s="65"/>
      <c r="CF49" s="65"/>
      <c r="CG49" s="65"/>
      <c r="CH49" s="65"/>
      <c r="CI49" s="65"/>
      <c r="CJ49" s="65"/>
      <c r="CK49" s="19"/>
      <c r="CL49" s="58">
        <f>X49</f>
        <v>47.900000000000006</v>
      </c>
      <c r="CM49" s="19">
        <f>AA49</f>
        <v>-293</v>
      </c>
      <c r="CN49" s="19">
        <f>AD49</f>
        <v>-219.3</v>
      </c>
      <c r="CO49" s="19">
        <f>AG49</f>
        <v>-99.8</v>
      </c>
      <c r="CP49" s="19">
        <f>AJ49</f>
        <v>81.5</v>
      </c>
      <c r="CQ49" s="19">
        <f>AM49</f>
        <v>0</v>
      </c>
      <c r="CR49" s="19">
        <f>AP49</f>
        <v>-174.4</v>
      </c>
      <c r="CS49" s="19">
        <f>AS49</f>
        <v>17.000000000000007</v>
      </c>
      <c r="CT49" s="19">
        <f>AV49</f>
        <v>6.8000000000000007</v>
      </c>
      <c r="CU49" s="19">
        <f>AY49</f>
        <v>0</v>
      </c>
      <c r="CV49" s="19">
        <f>BB49</f>
        <v>0</v>
      </c>
      <c r="CW49" s="19">
        <f>BE49</f>
        <v>0</v>
      </c>
      <c r="CX49" s="19">
        <f>BH49</f>
        <v>0</v>
      </c>
      <c r="CY49" s="19">
        <f>BK49</f>
        <v>0</v>
      </c>
      <c r="CZ49" s="19">
        <f>BN49</f>
        <v>0</v>
      </c>
      <c r="DA49" s="19">
        <f>BQ49</f>
        <v>0</v>
      </c>
      <c r="DB49" s="19">
        <f>BT49</f>
        <v>0</v>
      </c>
      <c r="DC49" s="19">
        <f>BW49</f>
        <v>0</v>
      </c>
      <c r="DD49" s="19">
        <f>BZ49</f>
        <v>0</v>
      </c>
      <c r="DE49" s="19">
        <f>CC49</f>
        <v>0</v>
      </c>
    </row>
    <row r="50" spans="1:137" ht="12.75" customHeight="1">
      <c r="A50" s="1"/>
      <c r="B50" s="126" t="s">
        <v>77</v>
      </c>
      <c r="C50" s="1"/>
      <c r="D50" s="100"/>
      <c r="E50" s="100"/>
      <c r="F50" s="100"/>
      <c r="G50" s="100"/>
      <c r="H50" s="100"/>
      <c r="I50" s="100"/>
      <c r="J50" s="100"/>
      <c r="K50" s="100"/>
      <c r="L50" s="100"/>
      <c r="M50" s="98">
        <v>33.4</v>
      </c>
      <c r="N50" s="98">
        <v>-81.900000000000006</v>
      </c>
      <c r="O50" s="98">
        <v>-48.5</v>
      </c>
      <c r="P50" s="98"/>
      <c r="Q50" s="98"/>
      <c r="R50" s="98">
        <v>0</v>
      </c>
      <c r="S50" s="98">
        <v>-7.8000000000000007</v>
      </c>
      <c r="T50" s="98">
        <v>-9</v>
      </c>
      <c r="U50" s="98">
        <v>-16.8</v>
      </c>
      <c r="V50" s="98">
        <v>-19.600000000000001</v>
      </c>
      <c r="W50" s="98">
        <v>19.899999999999999</v>
      </c>
      <c r="X50" s="98">
        <v>0.29999999999999716</v>
      </c>
      <c r="Y50" s="98">
        <v>-19.399999999999999</v>
      </c>
      <c r="Z50" s="125">
        <v>-34</v>
      </c>
      <c r="AA50" s="98">
        <v>-53.4</v>
      </c>
      <c r="AB50" s="98">
        <v>-15.2</v>
      </c>
      <c r="AC50" s="66">
        <v>0</v>
      </c>
      <c r="AD50" s="66">
        <f>SUM(AB50:AC50)</f>
        <v>-15.2</v>
      </c>
      <c r="AE50" s="66">
        <v>-24</v>
      </c>
      <c r="AF50" s="66">
        <f>-55.4-AE50</f>
        <v>-31.4</v>
      </c>
      <c r="AG50" s="66">
        <f>SUM(AE50:AF50)</f>
        <v>-55.4</v>
      </c>
      <c r="AH50" s="66">
        <v>-26.6</v>
      </c>
      <c r="AI50" s="66">
        <f>-126.3-AH50</f>
        <v>-99.699999999999989</v>
      </c>
      <c r="AJ50" s="66">
        <f>SUM(AH50:AI50)</f>
        <v>-126.29999999999998</v>
      </c>
      <c r="AK50" s="103">
        <f>AK51-AK41</f>
        <v>168.59999999999997</v>
      </c>
      <c r="AL50" s="103">
        <f>AL51-AL41</f>
        <v>-166.49999999999994</v>
      </c>
      <c r="AM50" s="103">
        <f>SUM(AK50:AL50)</f>
        <v>2.1000000000000227</v>
      </c>
      <c r="AN50" s="103">
        <v>-144.30000000000001</v>
      </c>
      <c r="AO50" s="66">
        <f>-212.3-AN50</f>
        <v>-68</v>
      </c>
      <c r="AP50" s="103">
        <f>SUM(AN50:AO50)</f>
        <v>-212.3</v>
      </c>
      <c r="AQ50" s="66">
        <v>-82.8</v>
      </c>
      <c r="AR50" s="66">
        <f>-203-AQ50</f>
        <v>-120.2</v>
      </c>
      <c r="AS50" s="103">
        <f>SUM(AQ50:AR50)</f>
        <v>-203</v>
      </c>
      <c r="AT50" s="103">
        <v>-98.7</v>
      </c>
      <c r="AU50" s="103">
        <f>-184.2-AT50</f>
        <v>-85.499999999999986</v>
      </c>
      <c r="AV50" s="103">
        <f>SUM(AT50:AU50)</f>
        <v>-184.2</v>
      </c>
      <c r="AW50" s="103">
        <f>196.4-116</f>
        <v>80.400000000000006</v>
      </c>
      <c r="AX50" s="103">
        <v>0</v>
      </c>
      <c r="AY50" s="103">
        <f>SUM(AW50:AX50)</f>
        <v>80.400000000000006</v>
      </c>
      <c r="AZ50" s="103">
        <v>0</v>
      </c>
      <c r="BA50" s="103">
        <v>0</v>
      </c>
      <c r="BB50" s="103">
        <f>SUM(AZ50:BA50)</f>
        <v>0</v>
      </c>
      <c r="BC50" s="103">
        <v>0</v>
      </c>
      <c r="BD50" s="103">
        <v>0</v>
      </c>
      <c r="BE50" s="103">
        <f>SUM(BC50:BD50)</f>
        <v>0</v>
      </c>
      <c r="BF50" s="103">
        <v>0</v>
      </c>
      <c r="BG50" s="103">
        <v>0</v>
      </c>
      <c r="BH50" s="103">
        <f>SUM(BF50:BG50)</f>
        <v>0</v>
      </c>
      <c r="BI50" s="103">
        <v>0</v>
      </c>
      <c r="BJ50" s="103">
        <v>0</v>
      </c>
      <c r="BK50" s="103">
        <f>SUM(BI50:BJ50)</f>
        <v>0</v>
      </c>
      <c r="BL50" s="103">
        <v>0</v>
      </c>
      <c r="BM50" s="103">
        <v>0</v>
      </c>
      <c r="BN50" s="103">
        <f>SUM(BL50:BM50)</f>
        <v>0</v>
      </c>
      <c r="BO50" s="103">
        <v>0</v>
      </c>
      <c r="BP50" s="103">
        <v>0</v>
      </c>
      <c r="BQ50" s="103">
        <f>SUM(BO50:BP50)</f>
        <v>0</v>
      </c>
      <c r="BR50" s="103">
        <v>0</v>
      </c>
      <c r="BS50" s="103">
        <v>0</v>
      </c>
      <c r="BT50" s="103">
        <f>SUM(BR50:BS50)</f>
        <v>0</v>
      </c>
      <c r="BU50" s="103">
        <v>0</v>
      </c>
      <c r="BV50" s="103">
        <v>0</v>
      </c>
      <c r="BW50" s="103">
        <f>SUM(BU50:BV50)</f>
        <v>0</v>
      </c>
      <c r="BX50" s="103">
        <v>0</v>
      </c>
      <c r="BY50" s="103">
        <v>0</v>
      </c>
      <c r="BZ50" s="103">
        <f>SUM(BX50:BY50)</f>
        <v>0</v>
      </c>
      <c r="CA50" s="103">
        <v>0</v>
      </c>
      <c r="CB50" s="103">
        <v>0</v>
      </c>
      <c r="CC50" s="103">
        <f>SUM(CA50:CB50)</f>
        <v>0</v>
      </c>
      <c r="CD50" s="68"/>
      <c r="CE50" s="65"/>
      <c r="CF50" s="65"/>
      <c r="CG50" s="65"/>
      <c r="CH50" s="65"/>
      <c r="CI50" s="65"/>
      <c r="CJ50" s="65"/>
      <c r="CK50" s="19"/>
      <c r="CL50" s="58">
        <f>X50</f>
        <v>0.29999999999999716</v>
      </c>
      <c r="CM50" s="19">
        <f>AA50</f>
        <v>-53.4</v>
      </c>
      <c r="CN50" s="19">
        <f>AD50</f>
        <v>-15.2</v>
      </c>
      <c r="CO50" s="19">
        <f>AG50</f>
        <v>-55.4</v>
      </c>
      <c r="CP50" s="19">
        <f>AJ50</f>
        <v>-126.29999999999998</v>
      </c>
      <c r="CQ50" s="19">
        <f>AM50</f>
        <v>2.1000000000000227</v>
      </c>
      <c r="CR50" s="19">
        <f>AP50</f>
        <v>-212.3</v>
      </c>
      <c r="CS50" s="19">
        <f>AS50</f>
        <v>-203</v>
      </c>
      <c r="CT50" s="19">
        <f>AV50</f>
        <v>-184.2</v>
      </c>
      <c r="CU50" s="19">
        <f>AY50</f>
        <v>80.400000000000006</v>
      </c>
      <c r="CV50" s="19">
        <f>BB50</f>
        <v>0</v>
      </c>
      <c r="CW50" s="19">
        <f>BE50</f>
        <v>0</v>
      </c>
      <c r="CX50" s="19">
        <f>BH50</f>
        <v>0</v>
      </c>
      <c r="CY50" s="19">
        <f>BK50</f>
        <v>0</v>
      </c>
      <c r="CZ50" s="19">
        <f>BN50</f>
        <v>0</v>
      </c>
      <c r="DA50" s="19">
        <f>BQ50</f>
        <v>0</v>
      </c>
      <c r="DB50" s="19">
        <f>BT50</f>
        <v>0</v>
      </c>
      <c r="DC50" s="19">
        <f>BW50</f>
        <v>0</v>
      </c>
      <c r="DD50" s="19">
        <f>BZ50</f>
        <v>0</v>
      </c>
      <c r="DE50" s="19">
        <f>CC50</f>
        <v>0</v>
      </c>
      <c r="DG50" s="110">
        <f>+(CR43/CO43)^(1/3)-1</f>
        <v>7.8454783490768287E-2</v>
      </c>
    </row>
    <row r="51" spans="1:137" s="86" customFormat="1" ht="12.75" customHeight="1" thickBot="1">
      <c r="A51" s="79"/>
      <c r="B51" s="80" t="s">
        <v>78</v>
      </c>
      <c r="C51" s="79"/>
      <c r="D51" s="81"/>
      <c r="E51" s="81"/>
      <c r="F51" s="82"/>
      <c r="G51" s="82"/>
      <c r="H51" s="82"/>
      <c r="I51" s="82"/>
      <c r="J51" s="82"/>
      <c r="K51" s="82"/>
      <c r="L51" s="82">
        <f t="shared" ref="L51:AC51" si="207">SUM(L47:L50)+L41</f>
        <v>609.39999999999986</v>
      </c>
      <c r="M51" s="82">
        <f t="shared" si="207"/>
        <v>175.40000000000006</v>
      </c>
      <c r="N51" s="82">
        <f t="shared" si="207"/>
        <v>-7.7000000000000455</v>
      </c>
      <c r="O51" s="82">
        <f t="shared" si="207"/>
        <v>149.39795918367349</v>
      </c>
      <c r="P51" s="82">
        <f t="shared" si="207"/>
        <v>-57.400000000000034</v>
      </c>
      <c r="Q51" s="82">
        <f t="shared" si="207"/>
        <v>-50.582799999999907</v>
      </c>
      <c r="R51" s="82">
        <f t="shared" si="207"/>
        <v>-59.282800000000009</v>
      </c>
      <c r="S51" s="82">
        <f t="shared" si="207"/>
        <v>233.3</v>
      </c>
      <c r="T51" s="82">
        <f t="shared" si="207"/>
        <v>173.39999999999986</v>
      </c>
      <c r="U51" s="82">
        <f t="shared" si="207"/>
        <v>406.69999999999987</v>
      </c>
      <c r="V51" s="82">
        <f t="shared" si="207"/>
        <v>254.89999999999998</v>
      </c>
      <c r="W51" s="82">
        <f t="shared" si="207"/>
        <v>253.10000000000005</v>
      </c>
      <c r="X51" s="82">
        <f t="shared" si="207"/>
        <v>508.00000000000017</v>
      </c>
      <c r="Y51" s="82">
        <f t="shared" si="207"/>
        <v>154.6</v>
      </c>
      <c r="Z51" s="82">
        <f t="shared" si="207"/>
        <v>6.4000000000000909</v>
      </c>
      <c r="AA51" s="82">
        <f>SUM(AA47:AA50)+AA41</f>
        <v>160.99999999999994</v>
      </c>
      <c r="AB51" s="82">
        <f t="shared" si="207"/>
        <v>160.39999999999995</v>
      </c>
      <c r="AC51" s="82">
        <f t="shared" si="207"/>
        <v>613.09999999999991</v>
      </c>
      <c r="AD51" s="82">
        <f>SUM(AB51:AC51)</f>
        <v>773.49999999999989</v>
      </c>
      <c r="AE51" s="82">
        <f>SUM(AE47:AE50)+AE41</f>
        <v>512.70000000000005</v>
      </c>
      <c r="AF51" s="82">
        <f>SUM(AF47:AF50)+AF41</f>
        <v>695.30000000000007</v>
      </c>
      <c r="AG51" s="82">
        <f>SUM(AE51:AF51)</f>
        <v>1208</v>
      </c>
      <c r="AH51" s="82">
        <f>SUM(AH47:AH50)+AH41</f>
        <v>919.3</v>
      </c>
      <c r="AI51" s="82">
        <f>SUM(AI47:AI50)+AI41</f>
        <v>355.29999999999995</v>
      </c>
      <c r="AJ51" s="82">
        <f>SUM(AH51:AI51)</f>
        <v>1274.5999999999999</v>
      </c>
      <c r="AK51" s="82">
        <v>556.79999999999995</v>
      </c>
      <c r="AL51" s="82">
        <f>778.1-AK51</f>
        <v>221.30000000000007</v>
      </c>
      <c r="AM51" s="82">
        <f>SUM(AK51:AL51)</f>
        <v>778.1</v>
      </c>
      <c r="AN51" s="82">
        <f>SUM(AN47:AN50)+AN41</f>
        <v>542.70000000000005</v>
      </c>
      <c r="AO51" s="82">
        <f>SUM(AO47:AO50)+AO41</f>
        <v>555.5</v>
      </c>
      <c r="AP51" s="82">
        <f>SUM(AN51:AO51)</f>
        <v>1098.2</v>
      </c>
      <c r="AQ51" s="82">
        <f>SUM(AQ47:AQ50)+AQ41</f>
        <v>929.5</v>
      </c>
      <c r="AR51" s="82">
        <f>SUM(AR47:AR50)+AR41</f>
        <v>698.49999999999977</v>
      </c>
      <c r="AS51" s="82">
        <f>SUM(AQ51:AR51)</f>
        <v>1627.9999999999998</v>
      </c>
      <c r="AT51" s="82">
        <f>SUM(AT47:AT50)+AT41</f>
        <v>810.40000000000009</v>
      </c>
      <c r="AU51" s="82">
        <f>SUM(AU47:AU50)+AU41</f>
        <v>693.7</v>
      </c>
      <c r="AV51" s="82">
        <f>SUM(AT51:AU51)</f>
        <v>1504.1000000000001</v>
      </c>
      <c r="AW51" s="82">
        <f>SUM(AW47:AW50)+AW41</f>
        <v>1041.5</v>
      </c>
      <c r="AX51" s="82">
        <f>SUM(AX47:AX50)+AX41</f>
        <v>717.22</v>
      </c>
      <c r="AY51" s="82">
        <f>SUM(AW51:AX51)</f>
        <v>1758.72</v>
      </c>
      <c r="AZ51" s="82">
        <f>SUM(AZ47:AZ50)+AZ41</f>
        <v>1072.0524942965778</v>
      </c>
      <c r="BA51" s="82">
        <f>SUM(BA47:BA50)+BA41</f>
        <v>902.23766539923952</v>
      </c>
      <c r="BB51" s="82">
        <f>SUM(AZ51:BA51)</f>
        <v>1974.2901596958172</v>
      </c>
      <c r="BC51" s="82">
        <f>SUM(BC47:BC50)+BC41</f>
        <v>1034.5329999999999</v>
      </c>
      <c r="BD51" s="82">
        <f>SUM(BD47:BD50)+BD41</f>
        <v>1064.7330000000002</v>
      </c>
      <c r="BE51" s="82">
        <f>SUM(BC51:BD51)</f>
        <v>2099.2660000000001</v>
      </c>
      <c r="BF51" s="82">
        <f>SUM(BF47:BF50)+BF41</f>
        <v>1306.6999999999998</v>
      </c>
      <c r="BG51" s="82">
        <f>SUM(BG47:BG50)+BG41</f>
        <v>1101.3</v>
      </c>
      <c r="BH51" s="82">
        <f>SUM(BF51:BG51)</f>
        <v>2408</v>
      </c>
      <c r="BI51" s="82">
        <f>SUM(BI47:BI50)+BI41</f>
        <v>1401.1629999999998</v>
      </c>
      <c r="BJ51" s="82">
        <f>SUM(BJ47:BJ50)+BJ41</f>
        <v>1862.9598253968252</v>
      </c>
      <c r="BK51" s="82">
        <f>SUM(BI51:BJ51)</f>
        <v>3264.1228253968247</v>
      </c>
      <c r="BL51" s="82">
        <f>SUM(BL47:BL50)+BL41</f>
        <v>1432.0990000000002</v>
      </c>
      <c r="BM51" s="82">
        <f ca="1">SUM(BM47:BM50)+BM41</f>
        <v>1675.8300099996118</v>
      </c>
      <c r="BN51" s="82">
        <f ca="1">SUM(BL51:BM51)</f>
        <v>3107.9290099996119</v>
      </c>
      <c r="BO51" s="82">
        <f ca="1">SUM(BO47:BO50)+BO41</f>
        <v>1717.6749312558516</v>
      </c>
      <c r="BP51" s="82">
        <f ca="1">SUM(BP47:BP50)+BP41</f>
        <v>1716.9022966420937</v>
      </c>
      <c r="BQ51" s="82">
        <f ca="1">SUM(BO51:BP51)</f>
        <v>3434.5772278979452</v>
      </c>
      <c r="BR51" s="82">
        <f ca="1">SUM(BR47:BR50)+BR41</f>
        <v>1912.0954183893127</v>
      </c>
      <c r="BS51" s="82">
        <f ca="1">SUM(BS47:BS50)+BS41</f>
        <v>1928.4216269732988</v>
      </c>
      <c r="BT51" s="82">
        <f ca="1">SUM(BR51:BS51)</f>
        <v>3840.5170453626115</v>
      </c>
      <c r="BU51" s="82">
        <f ca="1">SUM(BU47:BU50)+BU41</f>
        <v>2078.0990937930396</v>
      </c>
      <c r="BV51" s="82">
        <f ca="1">SUM(BV47:BV50)+BV41</f>
        <v>2100.5356286571305</v>
      </c>
      <c r="BW51" s="82">
        <f ca="1">SUM(BU51:BV51)</f>
        <v>4178.6347224501696</v>
      </c>
      <c r="BX51" s="82">
        <f ca="1">SUM(BX47:BX50)+BX41</f>
        <v>2212.1922476526997</v>
      </c>
      <c r="BY51" s="82">
        <f ca="1">SUM(BY47:BY50)+BY41</f>
        <v>2225.67069474952</v>
      </c>
      <c r="BZ51" s="82">
        <f ca="1">SUM(BX51:BY51)</f>
        <v>4437.8629424022201</v>
      </c>
      <c r="CA51" s="82">
        <f ca="1">SUM(CA47:CA50)+CA41</f>
        <v>2370.6095425855683</v>
      </c>
      <c r="CB51" s="82">
        <f ca="1">SUM(CB47:CB50)+CB41</f>
        <v>2388.8566205703355</v>
      </c>
      <c r="CC51" s="82">
        <f ca="1">SUM(CA51:CB51)</f>
        <v>4759.4661631559038</v>
      </c>
      <c r="CD51" s="83"/>
      <c r="CE51" s="108"/>
      <c r="CF51" s="108"/>
      <c r="CG51" s="108"/>
      <c r="CH51" s="108"/>
      <c r="CI51" s="108"/>
      <c r="CJ51" s="108"/>
      <c r="CK51" s="51"/>
      <c r="CL51" s="85">
        <f>X51</f>
        <v>508.00000000000017</v>
      </c>
      <c r="CM51" s="82">
        <f>AA51</f>
        <v>160.99999999999994</v>
      </c>
      <c r="CN51" s="82">
        <f>AD51</f>
        <v>773.49999999999989</v>
      </c>
      <c r="CO51" s="82">
        <f>AG51</f>
        <v>1208</v>
      </c>
      <c r="CP51" s="82">
        <f>AJ51</f>
        <v>1274.5999999999999</v>
      </c>
      <c r="CQ51" s="82">
        <f>AM51</f>
        <v>778.1</v>
      </c>
      <c r="CR51" s="82">
        <f>AP51</f>
        <v>1098.2</v>
      </c>
      <c r="CS51" s="82">
        <f>AS51</f>
        <v>1627.9999999999998</v>
      </c>
      <c r="CT51" s="82">
        <f>AV51</f>
        <v>1504.1000000000001</v>
      </c>
      <c r="CU51" s="82">
        <f>AY51</f>
        <v>1758.72</v>
      </c>
      <c r="CV51" s="82">
        <f>BB51</f>
        <v>1974.2901596958172</v>
      </c>
      <c r="CW51" s="82">
        <f>BE51</f>
        <v>2099.2660000000001</v>
      </c>
      <c r="CX51" s="82">
        <f>BH51</f>
        <v>2408</v>
      </c>
      <c r="CY51" s="82">
        <f>BK51</f>
        <v>3264.1228253968247</v>
      </c>
      <c r="CZ51" s="82">
        <f ca="1">BN51</f>
        <v>3107.9290099996119</v>
      </c>
      <c r="DA51" s="82">
        <f ca="1">BQ51</f>
        <v>3434.5772278979452</v>
      </c>
      <c r="DB51" s="82">
        <f ca="1">BT51</f>
        <v>3840.5170453626115</v>
      </c>
      <c r="DC51" s="82">
        <f ca="1">BW51</f>
        <v>4178.6347224501696</v>
      </c>
      <c r="DD51" s="82">
        <f ca="1">BZ51</f>
        <v>4437.8629424022201</v>
      </c>
      <c r="DE51" s="82">
        <f ca="1">CC51</f>
        <v>4759.4661631559038</v>
      </c>
      <c r="DF51" s="48"/>
      <c r="DG51" s="48"/>
      <c r="DH51" s="48"/>
      <c r="DI51" s="48"/>
      <c r="DJ51" s="48"/>
      <c r="DK51" s="48"/>
      <c r="EB51"/>
      <c r="EC51"/>
      <c r="ED51"/>
      <c r="EE51"/>
      <c r="EF51"/>
      <c r="EG51"/>
    </row>
    <row r="52" spans="1:137" ht="12.75" customHeight="1" thickTop="1">
      <c r="A52" s="1"/>
      <c r="B52" s="16" t="s">
        <v>72</v>
      </c>
      <c r="C52" s="1"/>
      <c r="D52" s="127"/>
      <c r="E52" s="127"/>
      <c r="F52" s="19"/>
      <c r="G52" s="19"/>
      <c r="H52" s="19"/>
      <c r="I52" s="11"/>
      <c r="J52" s="11"/>
      <c r="K52" s="11"/>
      <c r="L52" s="11"/>
      <c r="M52" s="11"/>
      <c r="N52" s="11"/>
      <c r="O52" s="11">
        <f t="shared" ref="O52:BK52" si="208">O51/L51-1</f>
        <v>-0.75484417593752295</v>
      </c>
      <c r="P52" s="11">
        <f t="shared" si="208"/>
        <v>-1.3272519954389965</v>
      </c>
      <c r="Q52" s="11">
        <f t="shared" si="208"/>
        <v>5.569194805194754</v>
      </c>
      <c r="R52" s="11">
        <f t="shared" si="208"/>
        <v>-1.3968113107028208</v>
      </c>
      <c r="S52" s="11">
        <f t="shared" si="208"/>
        <v>-5.0644599303135864</v>
      </c>
      <c r="T52" s="11">
        <f t="shared" si="208"/>
        <v>-4.4280427338937383</v>
      </c>
      <c r="U52" s="11">
        <f t="shared" si="208"/>
        <v>-7.8603372310349684</v>
      </c>
      <c r="V52" s="11">
        <f t="shared" si="208"/>
        <v>9.2584654950707002E-2</v>
      </c>
      <c r="W52" s="11">
        <f t="shared" si="208"/>
        <v>0.45963091118800614</v>
      </c>
      <c r="X52" s="11">
        <f t="shared" si="208"/>
        <v>0.24907794443078513</v>
      </c>
      <c r="Y52" s="11">
        <f t="shared" si="208"/>
        <v>-0.39348764221263233</v>
      </c>
      <c r="Z52" s="11">
        <f t="shared" si="208"/>
        <v>-0.97471355195574838</v>
      </c>
      <c r="AA52" s="11">
        <f t="shared" si="208"/>
        <v>-0.68307086614173251</v>
      </c>
      <c r="AB52" s="11">
        <f t="shared" si="208"/>
        <v>3.7516170763259638E-2</v>
      </c>
      <c r="AC52" s="11">
        <f>AC51/Z51-1</f>
        <v>94.796874999998622</v>
      </c>
      <c r="AD52" s="11">
        <f t="shared" si="208"/>
        <v>3.8043478260869579</v>
      </c>
      <c r="AE52" s="11">
        <f t="shared" si="208"/>
        <v>2.1963840399002508</v>
      </c>
      <c r="AF52" s="11">
        <f t="shared" si="208"/>
        <v>0.13407274506605793</v>
      </c>
      <c r="AG52" s="11">
        <f t="shared" si="208"/>
        <v>0.56173238526179725</v>
      </c>
      <c r="AH52" s="11">
        <f t="shared" si="208"/>
        <v>0.79305636824653769</v>
      </c>
      <c r="AI52" s="11">
        <f t="shared" si="208"/>
        <v>-0.48899755501222508</v>
      </c>
      <c r="AJ52" s="11">
        <f t="shared" si="208"/>
        <v>5.5132450331125682E-2</v>
      </c>
      <c r="AK52" s="11">
        <f t="shared" si="208"/>
        <v>-0.39432176656151419</v>
      </c>
      <c r="AL52" s="11">
        <f t="shared" si="208"/>
        <v>-0.37714607374050069</v>
      </c>
      <c r="AM52" s="11">
        <f t="shared" si="208"/>
        <v>-0.38953397144202095</v>
      </c>
      <c r="AN52" s="11">
        <f t="shared" si="208"/>
        <v>-2.5323275862068839E-2</v>
      </c>
      <c r="AO52" s="11">
        <f t="shared" si="208"/>
        <v>1.5101671938544956</v>
      </c>
      <c r="AP52" s="11">
        <f t="shared" si="208"/>
        <v>0.41138671121963766</v>
      </c>
      <c r="AQ52" s="11">
        <f t="shared" si="208"/>
        <v>0.71273263313064295</v>
      </c>
      <c r="AR52" s="11">
        <f t="shared" si="208"/>
        <v>0.25742574257425699</v>
      </c>
      <c r="AS52" s="11">
        <f t="shared" si="208"/>
        <v>0.48242578765252198</v>
      </c>
      <c r="AT52" s="11">
        <f t="shared" si="208"/>
        <v>-0.12813340505648185</v>
      </c>
      <c r="AU52" s="11">
        <f t="shared" si="208"/>
        <v>-6.8718682891907301E-3</v>
      </c>
      <c r="AV52" s="11">
        <f t="shared" si="208"/>
        <v>-7.6105651105650929E-2</v>
      </c>
      <c r="AW52" s="11">
        <f t="shared" si="208"/>
        <v>0.28516781836130289</v>
      </c>
      <c r="AX52" s="11">
        <f t="shared" si="208"/>
        <v>3.3905146316851598E-2</v>
      </c>
      <c r="AY52" s="11">
        <f t="shared" si="208"/>
        <v>0.16928395718369771</v>
      </c>
      <c r="AZ52" s="11">
        <f t="shared" si="208"/>
        <v>2.9335088138817023E-2</v>
      </c>
      <c r="BA52" s="11">
        <f t="shared" si="208"/>
        <v>0.25796501129254557</v>
      </c>
      <c r="BB52" s="11">
        <f t="shared" si="208"/>
        <v>0.12257218869167197</v>
      </c>
      <c r="BC52" s="11">
        <f t="shared" si="208"/>
        <v>-3.4997814469147071E-2</v>
      </c>
      <c r="BD52" s="11">
        <f t="shared" si="208"/>
        <v>0.1801025836455814</v>
      </c>
      <c r="BE52" s="11">
        <f t="shared" si="208"/>
        <v>6.3301657910019626E-2</v>
      </c>
      <c r="BF52" s="11">
        <f t="shared" si="208"/>
        <v>0.2630819896513692</v>
      </c>
      <c r="BG52" s="11">
        <f t="shared" si="208"/>
        <v>3.4343821408747255E-2</v>
      </c>
      <c r="BH52" s="11">
        <f t="shared" si="208"/>
        <v>0.14706759410193837</v>
      </c>
      <c r="BI52" s="11">
        <f t="shared" si="208"/>
        <v>7.2291268079895943E-2</v>
      </c>
      <c r="BJ52" s="11">
        <f t="shared" si="208"/>
        <v>0.69160067683358317</v>
      </c>
      <c r="BK52" s="11">
        <f t="shared" si="208"/>
        <v>0.35553273479934577</v>
      </c>
      <c r="BL52" s="11">
        <f t="shared" ref="BL52" si="209">BL51/BI51-1</f>
        <v>2.2078801681175042E-2</v>
      </c>
      <c r="BM52" s="11">
        <f t="shared" ref="BM52" ca="1" si="210">BM51/BJ51-1</f>
        <v>-0.10044758499145479</v>
      </c>
      <c r="BN52" s="11">
        <f t="shared" ref="BN52" ca="1" si="211">BN51/BK51-1</f>
        <v>-4.7851696689208967E-2</v>
      </c>
      <c r="BO52" s="11">
        <f t="shared" ref="BO52" ca="1" si="212">BO51/BL51-1</f>
        <v>0.19941074692172212</v>
      </c>
      <c r="BP52" s="11">
        <f t="shared" ref="BP52" ca="1" si="213">BP51/BM51-1</f>
        <v>2.4508623426842346E-2</v>
      </c>
      <c r="BQ52" s="11">
        <f t="shared" ref="BQ52" ca="1" si="214">BQ51/BN51-1</f>
        <v>0.1051015698387443</v>
      </c>
      <c r="BR52" s="11">
        <f t="shared" ref="BR52" ca="1" si="215">BR51/BO51-1</f>
        <v>0.11318817291657957</v>
      </c>
      <c r="BS52" s="11">
        <f t="shared" ref="BS52" ca="1" si="216">BS51/BP51-1</f>
        <v>0.12319823367054328</v>
      </c>
      <c r="BT52" s="11">
        <f t="shared" ref="BT52" ca="1" si="217">BT51/BQ51-1</f>
        <v>0.11819207737340998</v>
      </c>
      <c r="BU52" s="11">
        <f t="shared" ref="BU52" ca="1" si="218">BU51/BR51-1</f>
        <v>8.6817673326973877E-2</v>
      </c>
      <c r="BV52" s="11">
        <f t="shared" ref="BV52" ca="1" si="219">BV51/BS51-1</f>
        <v>8.9251229749983896E-2</v>
      </c>
      <c r="BW52" s="11">
        <f t="shared" ref="BW52" ca="1" si="220">BW51/BT51-1</f>
        <v>8.8039624116714288E-2</v>
      </c>
      <c r="BX52" s="11">
        <f t="shared" ref="BX52" ca="1" si="221">BX51/BU51-1</f>
        <v>6.4526833325790678E-2</v>
      </c>
      <c r="BY52" s="11">
        <f t="shared" ref="BY52" ca="1" si="222">BY51/BV51-1</f>
        <v>5.9572931963257414E-2</v>
      </c>
      <c r="BZ52" s="11">
        <f t="shared" ref="BZ52" ca="1" si="223">BZ51/BW51-1</f>
        <v>6.2036583039747129E-2</v>
      </c>
      <c r="CA52" s="11">
        <f t="shared" ref="CA52" ca="1" si="224">CA51/BX51-1</f>
        <v>7.1610998140401616E-2</v>
      </c>
      <c r="CB52" s="11">
        <f t="shared" ref="CB52" ca="1" si="225">CB51/BY51-1</f>
        <v>7.3319887890773927E-2</v>
      </c>
      <c r="CC52" s="11">
        <f t="shared" ref="CC52" ca="1" si="226">CC51/BZ51-1</f>
        <v>7.246803809123481E-2</v>
      </c>
      <c r="CD52" s="68"/>
      <c r="CE52" s="65"/>
      <c r="CF52" s="65"/>
      <c r="CG52" s="65"/>
      <c r="CH52" s="65"/>
      <c r="CI52" s="65"/>
      <c r="CJ52" s="65"/>
      <c r="CK52" s="19"/>
      <c r="CL52" s="58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</row>
    <row r="53" spans="1:137" ht="12.75" customHeight="1">
      <c r="A53" s="1"/>
      <c r="B53" s="16"/>
      <c r="C53" s="1"/>
      <c r="D53" s="127"/>
      <c r="E53" s="127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68"/>
      <c r="CE53" s="65"/>
      <c r="CF53" s="65"/>
      <c r="CG53" s="65"/>
      <c r="CH53" s="65"/>
      <c r="CI53" s="65"/>
      <c r="CJ53" s="65"/>
      <c r="CK53" s="19"/>
      <c r="CL53" s="58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</row>
    <row r="54" spans="1:137" ht="12.75" customHeight="1">
      <c r="A54" s="1"/>
      <c r="B54" s="128" t="s">
        <v>79</v>
      </c>
      <c r="C54" s="1"/>
      <c r="D54" s="127"/>
      <c r="E54" s="127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03"/>
      <c r="T54" s="103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68"/>
      <c r="CE54" s="65"/>
      <c r="CF54" s="65"/>
      <c r="CG54" s="65"/>
      <c r="CH54" s="65"/>
      <c r="CI54" s="65"/>
      <c r="CJ54" s="65"/>
      <c r="CK54" s="19"/>
      <c r="CL54" s="58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</row>
    <row r="55" spans="1:137" ht="12.75" customHeight="1">
      <c r="A55" s="1"/>
      <c r="B55" s="124" t="s">
        <v>74</v>
      </c>
      <c r="C55" s="1"/>
      <c r="D55" s="127"/>
      <c r="E55" s="127"/>
      <c r="F55" s="19"/>
      <c r="G55" s="19"/>
      <c r="H55" s="19"/>
      <c r="I55" s="19"/>
      <c r="J55" s="19"/>
      <c r="K55" s="19"/>
      <c r="L55" s="19"/>
      <c r="M55" s="19">
        <f t="shared" ref="M55:AD55" si="227">-M47</f>
        <v>208.1</v>
      </c>
      <c r="N55" s="19">
        <f t="shared" si="227"/>
        <v>318.89999999999998</v>
      </c>
      <c r="O55" s="19">
        <f t="shared" si="227"/>
        <v>527</v>
      </c>
      <c r="P55" s="19">
        <f t="shared" si="227"/>
        <v>195.9</v>
      </c>
      <c r="Q55" s="19">
        <f t="shared" si="227"/>
        <v>14.099999999999994</v>
      </c>
      <c r="R55" s="19">
        <f t="shared" si="227"/>
        <v>210</v>
      </c>
      <c r="S55" s="19">
        <f t="shared" si="227"/>
        <v>2.9</v>
      </c>
      <c r="T55" s="19">
        <f t="shared" si="227"/>
        <v>23.5</v>
      </c>
      <c r="U55" s="19">
        <f t="shared" si="227"/>
        <v>26.4</v>
      </c>
      <c r="V55" s="19">
        <f t="shared" si="227"/>
        <v>2.8000000000000003</v>
      </c>
      <c r="W55" s="19">
        <f t="shared" si="227"/>
        <v>0.79999999999999982</v>
      </c>
      <c r="X55" s="19">
        <f t="shared" si="227"/>
        <v>3.6</v>
      </c>
      <c r="Y55" s="19">
        <f t="shared" si="227"/>
        <v>39.4</v>
      </c>
      <c r="Z55" s="19">
        <f t="shared" si="227"/>
        <v>-2.6999999999999957</v>
      </c>
      <c r="AA55" s="19">
        <f t="shared" si="227"/>
        <v>36.700000000000003</v>
      </c>
      <c r="AB55" s="19">
        <f t="shared" si="227"/>
        <v>-98.9</v>
      </c>
      <c r="AC55" s="19">
        <f t="shared" si="227"/>
        <v>-308</v>
      </c>
      <c r="AD55" s="19">
        <f t="shared" si="227"/>
        <v>-406.9</v>
      </c>
      <c r="AE55" s="19">
        <f>-(AE47+AE48)</f>
        <v>-286</v>
      </c>
      <c r="AF55" s="19">
        <f t="shared" ref="AF55:BK55" si="228">-(AF47+AF48)</f>
        <v>-423.70000000000005</v>
      </c>
      <c r="AG55" s="19">
        <f t="shared" si="228"/>
        <v>-709.7</v>
      </c>
      <c r="AH55" s="19">
        <f t="shared" si="228"/>
        <v>-622.6</v>
      </c>
      <c r="AI55" s="19">
        <f t="shared" si="228"/>
        <v>17.700000000000045</v>
      </c>
      <c r="AJ55" s="19">
        <f t="shared" si="228"/>
        <v>-604.9</v>
      </c>
      <c r="AK55" s="19">
        <f t="shared" si="228"/>
        <v>0</v>
      </c>
      <c r="AL55" s="19">
        <f t="shared" si="228"/>
        <v>0</v>
      </c>
      <c r="AM55" s="19">
        <f t="shared" si="228"/>
        <v>0</v>
      </c>
      <c r="AN55" s="19">
        <f t="shared" si="228"/>
        <v>-341.1</v>
      </c>
      <c r="AO55" s="19">
        <f t="shared" si="228"/>
        <v>-297.89999999999998</v>
      </c>
      <c r="AP55" s="19">
        <f t="shared" si="228"/>
        <v>-639</v>
      </c>
      <c r="AQ55" s="19">
        <f t="shared" si="228"/>
        <v>-596.70000000000005</v>
      </c>
      <c r="AR55" s="19">
        <f t="shared" si="228"/>
        <v>-275</v>
      </c>
      <c r="AS55" s="19">
        <f t="shared" si="228"/>
        <v>-871.7</v>
      </c>
      <c r="AT55" s="19">
        <f t="shared" si="228"/>
        <v>-363.7</v>
      </c>
      <c r="AU55" s="19">
        <f t="shared" si="228"/>
        <v>-257.59999999999997</v>
      </c>
      <c r="AV55" s="19">
        <f t="shared" si="228"/>
        <v>-621.29999999999995</v>
      </c>
      <c r="AW55" s="19">
        <f t="shared" si="228"/>
        <v>-346.2</v>
      </c>
      <c r="AX55" s="19">
        <f t="shared" si="228"/>
        <v>-112.72</v>
      </c>
      <c r="AY55" s="19">
        <f t="shared" si="228"/>
        <v>-458.91999999999996</v>
      </c>
      <c r="AZ55" s="19">
        <f t="shared" si="228"/>
        <v>-285.8524942965779</v>
      </c>
      <c r="BA55" s="19">
        <f t="shared" si="228"/>
        <v>-160.43766539923953</v>
      </c>
      <c r="BB55" s="19">
        <f t="shared" si="228"/>
        <v>-446.29015969581747</v>
      </c>
      <c r="BC55" s="19">
        <f t="shared" si="228"/>
        <v>-158.03300000000002</v>
      </c>
      <c r="BD55" s="19">
        <f t="shared" si="228"/>
        <v>-158.03300000000002</v>
      </c>
      <c r="BE55" s="19">
        <f t="shared" si="228"/>
        <v>-316.06600000000003</v>
      </c>
      <c r="BF55" s="19">
        <f t="shared" si="228"/>
        <v>-179.3</v>
      </c>
      <c r="BG55" s="19">
        <f t="shared" si="228"/>
        <v>-179.3</v>
      </c>
      <c r="BH55" s="19">
        <f t="shared" si="228"/>
        <v>-358.6</v>
      </c>
      <c r="BI55" s="19">
        <f t="shared" si="228"/>
        <v>-178.76299999999998</v>
      </c>
      <c r="BJ55" s="19">
        <f t="shared" si="228"/>
        <v>-774.15982539682534</v>
      </c>
      <c r="BK55" s="19">
        <f t="shared" si="228"/>
        <v>-952.92282539682537</v>
      </c>
      <c r="BL55" s="19">
        <f t="shared" ref="BL55:BN55" si="229">-(BL47+BL48)</f>
        <v>-228.59899999999999</v>
      </c>
      <c r="BM55" s="19">
        <f t="shared" si="229"/>
        <v>-228.59899999999999</v>
      </c>
      <c r="BN55" s="19">
        <f t="shared" si="229"/>
        <v>-457.19799999999998</v>
      </c>
      <c r="BO55" s="19">
        <f t="shared" ref="BO55:BQ55" ca="1" si="230">-(BO47+BO48)</f>
        <v>-226.27907168214938</v>
      </c>
      <c r="BP55" s="19">
        <f t="shared" ca="1" si="230"/>
        <v>-226.27907168214938</v>
      </c>
      <c r="BQ55" s="19">
        <f t="shared" ca="1" si="230"/>
        <v>-452.55814336429876</v>
      </c>
      <c r="BR55" s="19">
        <f t="shared" ref="BR55:BT55" ca="1" si="231">-(BR47+BR48)</f>
        <v>-234.32041818164589</v>
      </c>
      <c r="BS55" s="19">
        <f t="shared" ca="1" si="231"/>
        <v>-234.32041818164589</v>
      </c>
      <c r="BT55" s="19">
        <f t="shared" ca="1" si="231"/>
        <v>-468.64083636329178</v>
      </c>
      <c r="BU55" s="19">
        <f t="shared" ref="BU55:BZ55" ca="1" si="232">-(BU47+BU48)</f>
        <v>-242.92613573233342</v>
      </c>
      <c r="BV55" s="19">
        <f t="shared" ca="1" si="232"/>
        <v>-242.92613573233342</v>
      </c>
      <c r="BW55" s="19">
        <f t="shared" ca="1" si="232"/>
        <v>-485.85227146466684</v>
      </c>
      <c r="BX55" s="19">
        <f t="shared" ca="1" si="232"/>
        <v>-252.01236321707452</v>
      </c>
      <c r="BY55" s="19">
        <f t="shared" ca="1" si="232"/>
        <v>-252.01236321707452</v>
      </c>
      <c r="BZ55" s="19">
        <f t="shared" ca="1" si="232"/>
        <v>-504.02472643414904</v>
      </c>
      <c r="CA55" s="19">
        <f t="shared" ref="CA55:CC55" ca="1" si="233">-(CA47+CA48)</f>
        <v>-261.61331044467147</v>
      </c>
      <c r="CB55" s="19">
        <f t="shared" ca="1" si="233"/>
        <v>-261.61331044467147</v>
      </c>
      <c r="CC55" s="19">
        <f t="shared" ca="1" si="233"/>
        <v>-523.22662088934294</v>
      </c>
      <c r="CD55" s="68"/>
      <c r="CE55" s="65"/>
      <c r="CF55" s="65"/>
      <c r="CG55" s="65"/>
      <c r="CH55" s="65"/>
      <c r="CI55" s="65"/>
      <c r="CJ55" s="65"/>
      <c r="CK55" s="19"/>
      <c r="CL55" s="58">
        <f>X55</f>
        <v>3.6</v>
      </c>
      <c r="CM55" s="19">
        <f>AA55</f>
        <v>36.700000000000003</v>
      </c>
      <c r="CN55" s="19">
        <f>AD55</f>
        <v>-406.9</v>
      </c>
      <c r="CO55" s="19">
        <f>AG55</f>
        <v>-709.7</v>
      </c>
      <c r="CP55" s="19">
        <f>AJ55</f>
        <v>-604.9</v>
      </c>
      <c r="CQ55" s="19">
        <f>AM55</f>
        <v>0</v>
      </c>
      <c r="CR55" s="19">
        <f>AP55</f>
        <v>-639</v>
      </c>
      <c r="CS55" s="19">
        <f>AS55</f>
        <v>-871.7</v>
      </c>
      <c r="CT55" s="19">
        <f>AV55</f>
        <v>-621.29999999999995</v>
      </c>
      <c r="CU55" s="19">
        <f>AY55</f>
        <v>-458.91999999999996</v>
      </c>
      <c r="CV55" s="19">
        <f>BB55</f>
        <v>-446.29015969581747</v>
      </c>
      <c r="CW55" s="19">
        <f>BE55</f>
        <v>-316.06600000000003</v>
      </c>
      <c r="CX55" s="19">
        <f>BH55</f>
        <v>-358.6</v>
      </c>
      <c r="CY55" s="19">
        <f>BK55</f>
        <v>-952.92282539682537</v>
      </c>
      <c r="CZ55" s="19">
        <f>BN55</f>
        <v>-457.19799999999998</v>
      </c>
      <c r="DA55" s="19">
        <f ca="1">BQ55</f>
        <v>-452.55814336429876</v>
      </c>
      <c r="DB55" s="19">
        <f ca="1">BT55</f>
        <v>-468.64083636329178</v>
      </c>
      <c r="DC55" s="19">
        <f ca="1">BW55</f>
        <v>-485.85227146466684</v>
      </c>
      <c r="DD55" s="19">
        <f ca="1">BZ55</f>
        <v>-504.02472643414904</v>
      </c>
      <c r="DE55" s="19">
        <f ca="1">CC55</f>
        <v>-523.22662088934294</v>
      </c>
    </row>
    <row r="56" spans="1:137" ht="12.75" customHeight="1">
      <c r="A56" s="1"/>
      <c r="B56" s="124" t="s">
        <v>76</v>
      </c>
      <c r="C56" s="1"/>
      <c r="D56" s="127"/>
      <c r="E56" s="127"/>
      <c r="F56" s="19"/>
      <c r="G56" s="19"/>
      <c r="H56" s="19"/>
      <c r="I56" s="19"/>
      <c r="J56" s="19"/>
      <c r="K56" s="19"/>
      <c r="L56" s="19"/>
      <c r="M56" s="19">
        <f t="shared" ref="M56:BK57" si="234">-M49</f>
        <v>51.7</v>
      </c>
      <c r="N56" s="19">
        <f t="shared" si="234"/>
        <v>10.599999999999994</v>
      </c>
      <c r="O56" s="19">
        <f t="shared" si="234"/>
        <v>62.3</v>
      </c>
      <c r="P56" s="19">
        <f t="shared" si="234"/>
        <v>0</v>
      </c>
      <c r="Q56" s="19">
        <f t="shared" si="234"/>
        <v>159.30000000000001</v>
      </c>
      <c r="R56" s="19">
        <f t="shared" si="234"/>
        <v>159.30000000000001</v>
      </c>
      <c r="S56" s="19">
        <f t="shared" si="234"/>
        <v>-73.5</v>
      </c>
      <c r="T56" s="19">
        <f t="shared" si="234"/>
        <v>7.5</v>
      </c>
      <c r="U56" s="19">
        <f t="shared" si="234"/>
        <v>-66</v>
      </c>
      <c r="V56" s="19">
        <f t="shared" si="234"/>
        <v>-47.900000000000006</v>
      </c>
      <c r="W56" s="19">
        <f t="shared" si="234"/>
        <v>0</v>
      </c>
      <c r="X56" s="19">
        <f t="shared" si="234"/>
        <v>-47.900000000000006</v>
      </c>
      <c r="Y56" s="19">
        <f t="shared" si="234"/>
        <v>52.3</v>
      </c>
      <c r="Z56" s="19">
        <f t="shared" si="234"/>
        <v>240.7</v>
      </c>
      <c r="AA56" s="19">
        <f t="shared" si="234"/>
        <v>293</v>
      </c>
      <c r="AB56" s="19">
        <f t="shared" si="234"/>
        <v>219.3</v>
      </c>
      <c r="AC56" s="19">
        <f t="shared" si="234"/>
        <v>0</v>
      </c>
      <c r="AD56" s="19">
        <f t="shared" si="234"/>
        <v>219.3</v>
      </c>
      <c r="AE56" s="19">
        <f t="shared" si="234"/>
        <v>76.400000000000006</v>
      </c>
      <c r="AF56" s="19">
        <f t="shared" si="234"/>
        <v>23.399999999999991</v>
      </c>
      <c r="AG56" s="19">
        <f t="shared" si="234"/>
        <v>99.8</v>
      </c>
      <c r="AH56" s="19">
        <f t="shared" si="234"/>
        <v>33.299999999999997</v>
      </c>
      <c r="AI56" s="19">
        <f t="shared" si="234"/>
        <v>-114.8</v>
      </c>
      <c r="AJ56" s="19">
        <f t="shared" si="234"/>
        <v>-81.5</v>
      </c>
      <c r="AK56" s="19">
        <f t="shared" si="234"/>
        <v>0</v>
      </c>
      <c r="AL56" s="19">
        <f t="shared" si="234"/>
        <v>0</v>
      </c>
      <c r="AM56" s="19">
        <f t="shared" si="234"/>
        <v>0</v>
      </c>
      <c r="AN56" s="19">
        <f t="shared" si="234"/>
        <v>75.400000000000006</v>
      </c>
      <c r="AO56" s="19">
        <f t="shared" si="234"/>
        <v>99</v>
      </c>
      <c r="AP56" s="19">
        <f t="shared" si="234"/>
        <v>174.4</v>
      </c>
      <c r="AQ56" s="19">
        <f t="shared" si="234"/>
        <v>49.4</v>
      </c>
      <c r="AR56" s="19">
        <f t="shared" si="234"/>
        <v>-66.400000000000006</v>
      </c>
      <c r="AS56" s="19">
        <f t="shared" si="234"/>
        <v>-17.000000000000007</v>
      </c>
      <c r="AT56" s="19">
        <f t="shared" si="234"/>
        <v>-15</v>
      </c>
      <c r="AU56" s="19">
        <f t="shared" si="234"/>
        <v>8.1999999999999993</v>
      </c>
      <c r="AV56" s="19">
        <f t="shared" si="234"/>
        <v>-6.8000000000000007</v>
      </c>
      <c r="AW56" s="19">
        <f t="shared" si="234"/>
        <v>0</v>
      </c>
      <c r="AX56" s="19">
        <f t="shared" si="234"/>
        <v>0</v>
      </c>
      <c r="AY56" s="19">
        <f t="shared" si="234"/>
        <v>0</v>
      </c>
      <c r="AZ56" s="19">
        <f t="shared" si="234"/>
        <v>0</v>
      </c>
      <c r="BA56" s="19">
        <f t="shared" si="234"/>
        <v>0</v>
      </c>
      <c r="BB56" s="19">
        <f t="shared" si="234"/>
        <v>0</v>
      </c>
      <c r="BC56" s="19">
        <f t="shared" si="234"/>
        <v>0</v>
      </c>
      <c r="BD56" s="19">
        <f t="shared" si="234"/>
        <v>0</v>
      </c>
      <c r="BE56" s="19">
        <f t="shared" si="234"/>
        <v>0</v>
      </c>
      <c r="BF56" s="19">
        <f t="shared" si="234"/>
        <v>0</v>
      </c>
      <c r="BG56" s="19">
        <f t="shared" si="234"/>
        <v>0</v>
      </c>
      <c r="BH56" s="19">
        <f t="shared" si="234"/>
        <v>0</v>
      </c>
      <c r="BI56" s="19">
        <f t="shared" si="234"/>
        <v>0</v>
      </c>
      <c r="BJ56" s="19">
        <f t="shared" si="234"/>
        <v>0</v>
      </c>
      <c r="BK56" s="19">
        <f t="shared" si="234"/>
        <v>0</v>
      </c>
      <c r="BL56" s="19">
        <f t="shared" ref="BL56:BN56" si="235">-BL49</f>
        <v>0</v>
      </c>
      <c r="BM56" s="19">
        <f t="shared" si="235"/>
        <v>0</v>
      </c>
      <c r="BN56" s="19">
        <f t="shared" si="235"/>
        <v>0</v>
      </c>
      <c r="BO56" s="19">
        <f t="shared" ref="BO56:BQ56" si="236">-BO49</f>
        <v>0</v>
      </c>
      <c r="BP56" s="19">
        <f t="shared" si="236"/>
        <v>0</v>
      </c>
      <c r="BQ56" s="19">
        <f t="shared" si="236"/>
        <v>0</v>
      </c>
      <c r="BR56" s="19">
        <f t="shared" ref="BR56:BT56" si="237">-BR49</f>
        <v>0</v>
      </c>
      <c r="BS56" s="19">
        <f t="shared" si="237"/>
        <v>0</v>
      </c>
      <c r="BT56" s="19">
        <f t="shared" si="237"/>
        <v>0</v>
      </c>
      <c r="BU56" s="19">
        <f t="shared" ref="BU56:BZ56" si="238">-BU49</f>
        <v>0</v>
      </c>
      <c r="BV56" s="19">
        <f t="shared" si="238"/>
        <v>0</v>
      </c>
      <c r="BW56" s="19">
        <f t="shared" si="238"/>
        <v>0</v>
      </c>
      <c r="BX56" s="19">
        <f t="shared" si="238"/>
        <v>0</v>
      </c>
      <c r="BY56" s="19">
        <f t="shared" si="238"/>
        <v>0</v>
      </c>
      <c r="BZ56" s="19">
        <f t="shared" si="238"/>
        <v>0</v>
      </c>
      <c r="CA56" s="19">
        <f t="shared" ref="CA56:CC56" si="239">-CA49</f>
        <v>0</v>
      </c>
      <c r="CB56" s="19">
        <f t="shared" si="239"/>
        <v>0</v>
      </c>
      <c r="CC56" s="19">
        <f t="shared" si="239"/>
        <v>0</v>
      </c>
      <c r="CD56" s="68"/>
      <c r="CE56" s="65"/>
      <c r="CF56" s="65"/>
      <c r="CG56" s="65"/>
      <c r="CH56" s="65"/>
      <c r="CI56" s="65"/>
      <c r="CJ56" s="65"/>
      <c r="CK56" s="19"/>
      <c r="CL56" s="58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</row>
    <row r="57" spans="1:137" ht="12.75" customHeight="1">
      <c r="A57" s="1"/>
      <c r="B57" s="126" t="s">
        <v>77</v>
      </c>
      <c r="C57" s="1"/>
      <c r="D57" s="129"/>
      <c r="E57" s="129"/>
      <c r="F57" s="130"/>
      <c r="G57" s="130"/>
      <c r="H57" s="130"/>
      <c r="I57" s="130"/>
      <c r="J57" s="130"/>
      <c r="K57" s="130"/>
      <c r="L57" s="19"/>
      <c r="M57" s="19">
        <f t="shared" si="234"/>
        <v>-33.4</v>
      </c>
      <c r="N57" s="19">
        <f t="shared" si="234"/>
        <v>81.900000000000006</v>
      </c>
      <c r="O57" s="19">
        <f t="shared" si="234"/>
        <v>48.5</v>
      </c>
      <c r="P57" s="19">
        <f t="shared" si="234"/>
        <v>0</v>
      </c>
      <c r="Q57" s="19">
        <f t="shared" si="234"/>
        <v>0</v>
      </c>
      <c r="R57" s="19">
        <f t="shared" si="234"/>
        <v>0</v>
      </c>
      <c r="S57" s="19">
        <f t="shared" si="234"/>
        <v>7.8000000000000007</v>
      </c>
      <c r="T57" s="19">
        <f t="shared" si="234"/>
        <v>9</v>
      </c>
      <c r="U57" s="19">
        <f t="shared" si="234"/>
        <v>16.8</v>
      </c>
      <c r="V57" s="19">
        <f t="shared" si="234"/>
        <v>19.600000000000001</v>
      </c>
      <c r="W57" s="19">
        <f t="shared" si="234"/>
        <v>-19.899999999999999</v>
      </c>
      <c r="X57" s="19">
        <f t="shared" si="234"/>
        <v>-0.29999999999999716</v>
      </c>
      <c r="Y57" s="19">
        <f>-Y50</f>
        <v>19.399999999999999</v>
      </c>
      <c r="Z57" s="19">
        <f>-Z50</f>
        <v>34</v>
      </c>
      <c r="AA57" s="19">
        <f>SUM(Y57:Z57)</f>
        <v>53.4</v>
      </c>
      <c r="AB57" s="19">
        <f t="shared" si="234"/>
        <v>15.2</v>
      </c>
      <c r="AC57" s="19">
        <f t="shared" si="234"/>
        <v>0</v>
      </c>
      <c r="AD57" s="19">
        <f>-AD50</f>
        <v>15.2</v>
      </c>
      <c r="AE57" s="19">
        <f t="shared" si="234"/>
        <v>24</v>
      </c>
      <c r="AF57" s="19">
        <f t="shared" si="234"/>
        <v>31.4</v>
      </c>
      <c r="AG57" s="19">
        <f t="shared" si="234"/>
        <v>55.4</v>
      </c>
      <c r="AH57" s="19">
        <f t="shared" si="234"/>
        <v>26.6</v>
      </c>
      <c r="AI57" s="19">
        <f t="shared" si="234"/>
        <v>99.699999999999989</v>
      </c>
      <c r="AJ57" s="19">
        <f t="shared" si="234"/>
        <v>126.29999999999998</v>
      </c>
      <c r="AK57" s="19">
        <f t="shared" si="234"/>
        <v>-168.59999999999997</v>
      </c>
      <c r="AL57" s="19">
        <f t="shared" si="234"/>
        <v>166.49999999999994</v>
      </c>
      <c r="AM57" s="19">
        <f t="shared" si="234"/>
        <v>-2.1000000000000227</v>
      </c>
      <c r="AN57" s="19">
        <f t="shared" si="234"/>
        <v>144.30000000000001</v>
      </c>
      <c r="AO57" s="19">
        <f t="shared" si="234"/>
        <v>68</v>
      </c>
      <c r="AP57" s="19">
        <f t="shared" si="234"/>
        <v>212.3</v>
      </c>
      <c r="AQ57" s="19">
        <f t="shared" si="234"/>
        <v>82.8</v>
      </c>
      <c r="AR57" s="19">
        <f t="shared" si="234"/>
        <v>120.2</v>
      </c>
      <c r="AS57" s="19">
        <f t="shared" si="234"/>
        <v>203</v>
      </c>
      <c r="AT57" s="19">
        <f t="shared" si="234"/>
        <v>98.7</v>
      </c>
      <c r="AU57" s="19">
        <f t="shared" si="234"/>
        <v>85.499999999999986</v>
      </c>
      <c r="AV57" s="19">
        <f t="shared" si="234"/>
        <v>184.2</v>
      </c>
      <c r="AW57" s="19">
        <f t="shared" si="234"/>
        <v>-80.400000000000006</v>
      </c>
      <c r="AX57" s="19">
        <f t="shared" si="234"/>
        <v>0</v>
      </c>
      <c r="AY57" s="19">
        <f t="shared" si="234"/>
        <v>-80.400000000000006</v>
      </c>
      <c r="AZ57" s="19">
        <f t="shared" si="234"/>
        <v>0</v>
      </c>
      <c r="BA57" s="19">
        <f t="shared" si="234"/>
        <v>0</v>
      </c>
      <c r="BB57" s="19">
        <f t="shared" si="234"/>
        <v>0</v>
      </c>
      <c r="BC57" s="19">
        <f t="shared" si="234"/>
        <v>0</v>
      </c>
      <c r="BD57" s="19">
        <f t="shared" si="234"/>
        <v>0</v>
      </c>
      <c r="BE57" s="19">
        <f t="shared" si="234"/>
        <v>0</v>
      </c>
      <c r="BF57" s="19">
        <f t="shared" si="234"/>
        <v>0</v>
      </c>
      <c r="BG57" s="19">
        <f t="shared" si="234"/>
        <v>0</v>
      </c>
      <c r="BH57" s="19">
        <f t="shared" si="234"/>
        <v>0</v>
      </c>
      <c r="BI57" s="19">
        <f t="shared" si="234"/>
        <v>0</v>
      </c>
      <c r="BJ57" s="19">
        <f t="shared" si="234"/>
        <v>0</v>
      </c>
      <c r="BK57" s="19">
        <f t="shared" si="234"/>
        <v>0</v>
      </c>
      <c r="BL57" s="19">
        <f t="shared" ref="BL57:BN57" si="240">-BL50</f>
        <v>0</v>
      </c>
      <c r="BM57" s="19">
        <f t="shared" si="240"/>
        <v>0</v>
      </c>
      <c r="BN57" s="19">
        <f t="shared" si="240"/>
        <v>0</v>
      </c>
      <c r="BO57" s="19">
        <f t="shared" ref="BO57:BQ57" si="241">-BO50</f>
        <v>0</v>
      </c>
      <c r="BP57" s="19">
        <f t="shared" si="241"/>
        <v>0</v>
      </c>
      <c r="BQ57" s="19">
        <f t="shared" si="241"/>
        <v>0</v>
      </c>
      <c r="BR57" s="19">
        <f t="shared" ref="BR57:BT57" si="242">-BR50</f>
        <v>0</v>
      </c>
      <c r="BS57" s="19">
        <f t="shared" si="242"/>
        <v>0</v>
      </c>
      <c r="BT57" s="19">
        <f t="shared" si="242"/>
        <v>0</v>
      </c>
      <c r="BU57" s="19">
        <f t="shared" ref="BU57:BZ57" si="243">-BU50</f>
        <v>0</v>
      </c>
      <c r="BV57" s="19">
        <f t="shared" si="243"/>
        <v>0</v>
      </c>
      <c r="BW57" s="19">
        <f t="shared" si="243"/>
        <v>0</v>
      </c>
      <c r="BX57" s="19">
        <f t="shared" si="243"/>
        <v>0</v>
      </c>
      <c r="BY57" s="19">
        <f t="shared" si="243"/>
        <v>0</v>
      </c>
      <c r="BZ57" s="19">
        <f t="shared" si="243"/>
        <v>0</v>
      </c>
      <c r="CA57" s="19">
        <f t="shared" ref="CA57:CC57" si="244">-CA50</f>
        <v>0</v>
      </c>
      <c r="CB57" s="19">
        <f t="shared" si="244"/>
        <v>0</v>
      </c>
      <c r="CC57" s="19">
        <f t="shared" si="244"/>
        <v>0</v>
      </c>
      <c r="CD57" s="68"/>
      <c r="CE57" s="65"/>
      <c r="CF57" s="65"/>
      <c r="CG57" s="65"/>
      <c r="CH57" s="65"/>
      <c r="CI57" s="65"/>
      <c r="CJ57" s="65"/>
      <c r="CK57" s="19"/>
      <c r="CL57" s="58">
        <f>X57</f>
        <v>-0.29999999999999716</v>
      </c>
      <c r="CM57" s="19">
        <f>AA57</f>
        <v>53.4</v>
      </c>
      <c r="CN57" s="19">
        <f>AD57</f>
        <v>15.2</v>
      </c>
      <c r="CO57" s="19">
        <f>AG57</f>
        <v>55.4</v>
      </c>
      <c r="CP57" s="19">
        <f>AJ57</f>
        <v>126.29999999999998</v>
      </c>
      <c r="CQ57" s="19">
        <f>AM57</f>
        <v>-2.1000000000000227</v>
      </c>
      <c r="CR57" s="19">
        <f>AP57</f>
        <v>212.3</v>
      </c>
      <c r="CS57" s="19">
        <f>AS57</f>
        <v>203</v>
      </c>
      <c r="CT57" s="19">
        <f>AV57</f>
        <v>184.2</v>
      </c>
      <c r="CU57" s="19">
        <f>AY57</f>
        <v>-80.400000000000006</v>
      </c>
      <c r="CV57" s="19">
        <f>BB57</f>
        <v>0</v>
      </c>
      <c r="CW57" s="19">
        <f>BE57</f>
        <v>0</v>
      </c>
      <c r="CX57" s="19">
        <f>BH57</f>
        <v>0</v>
      </c>
      <c r="CY57" s="19">
        <f>BK57</f>
        <v>0</v>
      </c>
      <c r="CZ57" s="19">
        <f>BN57</f>
        <v>0</v>
      </c>
      <c r="DA57" s="19">
        <f>BQ57</f>
        <v>0</v>
      </c>
      <c r="DB57" s="19">
        <f>BT57</f>
        <v>0</v>
      </c>
      <c r="DC57" s="19">
        <f>BW57</f>
        <v>0</v>
      </c>
      <c r="DD57" s="19">
        <f>BZ57</f>
        <v>0</v>
      </c>
      <c r="DE57" s="19">
        <f>CC57</f>
        <v>0</v>
      </c>
    </row>
    <row r="58" spans="1:137" s="86" customFormat="1" ht="12.75" customHeight="1" thickBot="1">
      <c r="A58" s="79"/>
      <c r="B58" s="80" t="s">
        <v>80</v>
      </c>
      <c r="C58" s="79"/>
      <c r="D58" s="81"/>
      <c r="E58" s="81"/>
      <c r="F58" s="82"/>
      <c r="G58" s="82"/>
      <c r="H58" s="82"/>
      <c r="I58" s="82"/>
      <c r="J58" s="82"/>
      <c r="K58" s="82"/>
      <c r="L58" s="82">
        <f t="shared" ref="L58:AV58" si="245">SUM(L55:L57)+L51</f>
        <v>609.39999999999986</v>
      </c>
      <c r="M58" s="82">
        <f t="shared" si="245"/>
        <v>401.80000000000007</v>
      </c>
      <c r="N58" s="82">
        <f t="shared" si="245"/>
        <v>403.69999999999993</v>
      </c>
      <c r="O58" s="82">
        <f t="shared" si="245"/>
        <v>787.19795918367345</v>
      </c>
      <c r="P58" s="82">
        <f t="shared" si="245"/>
        <v>138.49999999999997</v>
      </c>
      <c r="Q58" s="82">
        <f t="shared" si="245"/>
        <v>122.8172000000001</v>
      </c>
      <c r="R58" s="82">
        <f t="shared" si="245"/>
        <v>310.0172</v>
      </c>
      <c r="S58" s="82">
        <f t="shared" si="245"/>
        <v>170.5</v>
      </c>
      <c r="T58" s="82">
        <f t="shared" si="245"/>
        <v>213.39999999999986</v>
      </c>
      <c r="U58" s="82">
        <f t="shared" si="245"/>
        <v>383.89999999999986</v>
      </c>
      <c r="V58" s="82">
        <f t="shared" si="245"/>
        <v>229.39999999999998</v>
      </c>
      <c r="W58" s="82">
        <f t="shared" si="245"/>
        <v>234.00000000000006</v>
      </c>
      <c r="X58" s="82">
        <f t="shared" si="245"/>
        <v>463.40000000000015</v>
      </c>
      <c r="Y58" s="82">
        <f t="shared" si="245"/>
        <v>265.7</v>
      </c>
      <c r="Z58" s="82">
        <f t="shared" si="245"/>
        <v>278.40000000000009</v>
      </c>
      <c r="AA58" s="82">
        <f>SUM(AA55:AA57)+AA51</f>
        <v>544.09999999999991</v>
      </c>
      <c r="AB58" s="82">
        <f t="shared" si="245"/>
        <v>295.99999999999994</v>
      </c>
      <c r="AC58" s="82">
        <f t="shared" si="245"/>
        <v>305.09999999999991</v>
      </c>
      <c r="AD58" s="82">
        <f t="shared" si="245"/>
        <v>601.09999999999991</v>
      </c>
      <c r="AE58" s="82">
        <f t="shared" si="245"/>
        <v>327.10000000000002</v>
      </c>
      <c r="AF58" s="82">
        <f t="shared" si="245"/>
        <v>326.39999999999998</v>
      </c>
      <c r="AG58" s="82">
        <f t="shared" si="245"/>
        <v>653.49999999999989</v>
      </c>
      <c r="AH58" s="82">
        <f t="shared" si="245"/>
        <v>356.59999999999991</v>
      </c>
      <c r="AI58" s="82">
        <f t="shared" si="245"/>
        <v>357.9</v>
      </c>
      <c r="AJ58" s="82">
        <f t="shared" si="245"/>
        <v>714.49999999999989</v>
      </c>
      <c r="AK58" s="82">
        <f t="shared" si="245"/>
        <v>388.2</v>
      </c>
      <c r="AL58" s="82">
        <f t="shared" si="245"/>
        <v>387.8</v>
      </c>
      <c r="AM58" s="82">
        <f t="shared" si="245"/>
        <v>776</v>
      </c>
      <c r="AN58" s="82">
        <f t="shared" si="245"/>
        <v>421.3</v>
      </c>
      <c r="AO58" s="82">
        <f t="shared" si="245"/>
        <v>424.6</v>
      </c>
      <c r="AP58" s="82">
        <f t="shared" si="245"/>
        <v>845.90000000000009</v>
      </c>
      <c r="AQ58" s="82">
        <f t="shared" si="245"/>
        <v>464.99999999999994</v>
      </c>
      <c r="AR58" s="82">
        <f t="shared" si="245"/>
        <v>477.29999999999978</v>
      </c>
      <c r="AS58" s="82">
        <f t="shared" si="245"/>
        <v>942.29999999999973</v>
      </c>
      <c r="AT58" s="82">
        <f t="shared" si="245"/>
        <v>530.40000000000009</v>
      </c>
      <c r="AU58" s="82">
        <f t="shared" si="245"/>
        <v>529.80000000000007</v>
      </c>
      <c r="AV58" s="82">
        <f t="shared" si="245"/>
        <v>1060.2000000000003</v>
      </c>
      <c r="AW58" s="82">
        <f t="shared" ref="AW58:BB58" si="246">SUM(AW55:AW57)+AW51</f>
        <v>614.9</v>
      </c>
      <c r="AX58" s="82">
        <f t="shared" si="246"/>
        <v>604.5</v>
      </c>
      <c r="AY58" s="82">
        <f t="shared" si="246"/>
        <v>1219.4000000000001</v>
      </c>
      <c r="AZ58" s="82">
        <f t="shared" si="246"/>
        <v>786.19999999999993</v>
      </c>
      <c r="BA58" s="82">
        <f t="shared" si="246"/>
        <v>741.8</v>
      </c>
      <c r="BB58" s="82">
        <f t="shared" si="246"/>
        <v>1527.9999999999998</v>
      </c>
      <c r="BC58" s="82">
        <f t="shared" ref="BC58:BE58" si="247">SUM(BC55:BC57)+BC51</f>
        <v>876.49999999999989</v>
      </c>
      <c r="BD58" s="82">
        <f t="shared" si="247"/>
        <v>906.70000000000016</v>
      </c>
      <c r="BE58" s="82">
        <f t="shared" si="247"/>
        <v>1783.2</v>
      </c>
      <c r="BF58" s="82">
        <f t="shared" ref="BF58:BK58" si="248">SUM(BF55:BF57)+BF51</f>
        <v>1127.3999999999999</v>
      </c>
      <c r="BG58" s="82">
        <f t="shared" si="248"/>
        <v>922</v>
      </c>
      <c r="BH58" s="82">
        <f t="shared" si="248"/>
        <v>2049.4</v>
      </c>
      <c r="BI58" s="82">
        <f t="shared" si="248"/>
        <v>1222.3999999999999</v>
      </c>
      <c r="BJ58" s="82">
        <f t="shared" si="248"/>
        <v>1088.7999999999997</v>
      </c>
      <c r="BK58" s="82">
        <f t="shared" si="248"/>
        <v>2311.1999999999994</v>
      </c>
      <c r="BL58" s="82">
        <f t="shared" ref="BL58:BN58" si="249">SUM(BL55:BL57)+BL51</f>
        <v>1203.5000000000002</v>
      </c>
      <c r="BM58" s="82">
        <f t="shared" ca="1" si="249"/>
        <v>1447.2310099996118</v>
      </c>
      <c r="BN58" s="82">
        <f t="shared" ca="1" si="249"/>
        <v>2650.7310099996121</v>
      </c>
      <c r="BO58" s="82">
        <f t="shared" ref="BO58:BQ58" ca="1" si="250">SUM(BO55:BO57)+BO51</f>
        <v>1491.3958595737022</v>
      </c>
      <c r="BP58" s="82">
        <f t="shared" ca="1" si="250"/>
        <v>1490.6232249599443</v>
      </c>
      <c r="BQ58" s="82">
        <f t="shared" ca="1" si="250"/>
        <v>2982.0190845336465</v>
      </c>
      <c r="BR58" s="82">
        <f t="shared" ref="BR58:BT58" ca="1" si="251">SUM(BR55:BR57)+BR51</f>
        <v>1677.7750002076668</v>
      </c>
      <c r="BS58" s="82">
        <f t="shared" ca="1" si="251"/>
        <v>1694.1012087916529</v>
      </c>
      <c r="BT58" s="82">
        <f t="shared" ca="1" si="251"/>
        <v>3371.8762089993197</v>
      </c>
      <c r="BU58" s="82">
        <f t="shared" ref="BU58:BZ58" ca="1" si="252">SUM(BU55:BU57)+BU51</f>
        <v>1835.1729580607062</v>
      </c>
      <c r="BV58" s="82">
        <f t="shared" ca="1" si="252"/>
        <v>1857.609492924797</v>
      </c>
      <c r="BW58" s="82">
        <f t="shared" ca="1" si="252"/>
        <v>3692.7824509855027</v>
      </c>
      <c r="BX58" s="82">
        <f t="shared" ca="1" si="252"/>
        <v>1960.1798844356251</v>
      </c>
      <c r="BY58" s="82">
        <f t="shared" ca="1" si="252"/>
        <v>1973.6583315324453</v>
      </c>
      <c r="BZ58" s="82">
        <f t="shared" ca="1" si="252"/>
        <v>3933.8382159680709</v>
      </c>
      <c r="CA58" s="82">
        <f t="shared" ref="CA58:CC58" ca="1" si="253">SUM(CA55:CA57)+CA51</f>
        <v>2108.9962321408966</v>
      </c>
      <c r="CB58" s="82">
        <f t="shared" ca="1" si="253"/>
        <v>2127.2433101256638</v>
      </c>
      <c r="CC58" s="82">
        <f t="shared" ca="1" si="253"/>
        <v>4236.2395422665613</v>
      </c>
      <c r="CD58" s="83"/>
      <c r="CE58" s="108"/>
      <c r="CF58" s="108"/>
      <c r="CG58" s="108"/>
      <c r="CH58" s="108"/>
      <c r="CI58" s="108"/>
      <c r="CJ58" s="108"/>
      <c r="CK58" s="51"/>
      <c r="CL58" s="85">
        <f>X58</f>
        <v>463.40000000000015</v>
      </c>
      <c r="CM58" s="82">
        <f>AA58</f>
        <v>544.09999999999991</v>
      </c>
      <c r="CN58" s="82">
        <f>AD58</f>
        <v>601.09999999999991</v>
      </c>
      <c r="CO58" s="82">
        <f>AG58</f>
        <v>653.49999999999989</v>
      </c>
      <c r="CP58" s="82">
        <f>AJ58</f>
        <v>714.49999999999989</v>
      </c>
      <c r="CQ58" s="82">
        <f>AM58</f>
        <v>776</v>
      </c>
      <c r="CR58" s="82">
        <f>AP58</f>
        <v>845.90000000000009</v>
      </c>
      <c r="CS58" s="82">
        <f>AS58</f>
        <v>942.29999999999973</v>
      </c>
      <c r="CT58" s="82">
        <f>AV58</f>
        <v>1060.2000000000003</v>
      </c>
      <c r="CU58" s="82">
        <f>AY58</f>
        <v>1219.4000000000001</v>
      </c>
      <c r="CV58" s="82">
        <f>BB58</f>
        <v>1527.9999999999998</v>
      </c>
      <c r="CW58" s="82">
        <f>BE58</f>
        <v>1783.2</v>
      </c>
      <c r="CX58" s="82">
        <f>BH58</f>
        <v>2049.4</v>
      </c>
      <c r="CY58" s="82">
        <f>BK58</f>
        <v>2311.1999999999994</v>
      </c>
      <c r="CZ58" s="82">
        <f ca="1">BN58</f>
        <v>2650.7310099996121</v>
      </c>
      <c r="DA58" s="82">
        <f ca="1">BQ58</f>
        <v>2982.0190845336465</v>
      </c>
      <c r="DB58" s="82">
        <f ca="1">BT58</f>
        <v>3371.8762089993197</v>
      </c>
      <c r="DC58" s="82">
        <f ca="1">BW58</f>
        <v>3692.7824509855027</v>
      </c>
      <c r="DD58" s="82">
        <f ca="1">BZ58</f>
        <v>3933.8382159680709</v>
      </c>
      <c r="DE58" s="82">
        <f ca="1">CC58</f>
        <v>4236.2395422665613</v>
      </c>
      <c r="DF58" s="48"/>
      <c r="DG58" s="48"/>
      <c r="DH58" s="48"/>
      <c r="DI58" s="48"/>
      <c r="DJ58" s="48"/>
      <c r="DK58" s="48"/>
      <c r="EB58"/>
      <c r="EC58"/>
      <c r="ED58"/>
      <c r="EE58"/>
      <c r="EF58"/>
      <c r="EG58"/>
    </row>
    <row r="59" spans="1:137" ht="12.75" customHeight="1" thickTop="1">
      <c r="A59" s="1"/>
      <c r="B59" s="16" t="s">
        <v>72</v>
      </c>
      <c r="C59" s="1"/>
      <c r="D59" s="127"/>
      <c r="E59" s="127"/>
      <c r="F59" s="19"/>
      <c r="G59" s="19"/>
      <c r="H59" s="19"/>
      <c r="I59" s="11"/>
      <c r="J59" s="11"/>
      <c r="K59" s="11"/>
      <c r="L59" s="11"/>
      <c r="M59" s="11"/>
      <c r="N59" s="11"/>
      <c r="O59" s="11">
        <f t="shared" ref="O59:BK59" si="254">O58/L58-1</f>
        <v>0.2917590403407837</v>
      </c>
      <c r="P59" s="11">
        <f t="shared" si="254"/>
        <v>-0.65530114484818336</v>
      </c>
      <c r="Q59" s="11">
        <f t="shared" si="254"/>
        <v>-0.69577111716621221</v>
      </c>
      <c r="R59" s="11">
        <f t="shared" si="254"/>
        <v>-0.60617631641031089</v>
      </c>
      <c r="S59" s="11">
        <f t="shared" si="254"/>
        <v>0.23104693140794241</v>
      </c>
      <c r="T59" s="11">
        <f t="shared" si="254"/>
        <v>0.73754164726113025</v>
      </c>
      <c r="U59" s="11">
        <f t="shared" si="254"/>
        <v>0.23831839007642119</v>
      </c>
      <c r="V59" s="11">
        <f t="shared" si="254"/>
        <v>0.34545454545454524</v>
      </c>
      <c r="W59" s="11">
        <f t="shared" si="254"/>
        <v>9.6532333645736657E-2</v>
      </c>
      <c r="X59" s="11">
        <f t="shared" si="254"/>
        <v>0.20708517843188412</v>
      </c>
      <c r="Y59" s="11">
        <f t="shared" si="254"/>
        <v>0.1582388840453357</v>
      </c>
      <c r="Z59" s="11">
        <f t="shared" si="254"/>
        <v>0.18974358974358974</v>
      </c>
      <c r="AA59" s="11">
        <f t="shared" si="254"/>
        <v>0.17414760466119916</v>
      </c>
      <c r="AB59" s="11">
        <f t="shared" si="254"/>
        <v>0.1140383891607073</v>
      </c>
      <c r="AC59" s="11">
        <f t="shared" si="254"/>
        <v>9.5905172413792483E-2</v>
      </c>
      <c r="AD59" s="11">
        <f t="shared" si="254"/>
        <v>0.10476015438338537</v>
      </c>
      <c r="AE59" s="11">
        <f t="shared" si="254"/>
        <v>0.10506756756756785</v>
      </c>
      <c r="AF59" s="11">
        <f t="shared" si="254"/>
        <v>6.9813176007866629E-2</v>
      </c>
      <c r="AG59" s="11">
        <f t="shared" si="254"/>
        <v>8.7173515222092712E-2</v>
      </c>
      <c r="AH59" s="11">
        <f t="shared" si="254"/>
        <v>9.0186487312748032E-2</v>
      </c>
      <c r="AI59" s="11">
        <f t="shared" si="254"/>
        <v>9.6507352941176405E-2</v>
      </c>
      <c r="AJ59" s="11">
        <f t="shared" si="254"/>
        <v>9.3343534812547757E-2</v>
      </c>
      <c r="AK59" s="11">
        <f t="shared" si="254"/>
        <v>8.8614694335390043E-2</v>
      </c>
      <c r="AL59" s="11">
        <f t="shared" si="254"/>
        <v>8.3542889075160831E-2</v>
      </c>
      <c r="AM59" s="11">
        <f t="shared" si="254"/>
        <v>8.607417774667625E-2</v>
      </c>
      <c r="AN59" s="11">
        <f t="shared" si="254"/>
        <v>8.5265327150953141E-2</v>
      </c>
      <c r="AO59" s="11">
        <f t="shared" si="254"/>
        <v>9.4894275399690642E-2</v>
      </c>
      <c r="AP59" s="11">
        <f t="shared" si="254"/>
        <v>9.007731958762899E-2</v>
      </c>
      <c r="AQ59" s="11">
        <f t="shared" si="254"/>
        <v>0.10372656064562058</v>
      </c>
      <c r="AR59" s="11">
        <f t="shared" si="254"/>
        <v>0.1241168158266599</v>
      </c>
      <c r="AS59" s="11">
        <f t="shared" si="254"/>
        <v>0.11396146116562189</v>
      </c>
      <c r="AT59" s="11">
        <f t="shared" si="254"/>
        <v>0.14064516129032301</v>
      </c>
      <c r="AU59" s="11">
        <f t="shared" si="254"/>
        <v>0.10999371464487817</v>
      </c>
      <c r="AV59" s="11">
        <f t="shared" si="254"/>
        <v>0.12511938872970463</v>
      </c>
      <c r="AW59" s="11">
        <f t="shared" si="254"/>
        <v>0.15931372549019573</v>
      </c>
      <c r="AX59" s="11">
        <f t="shared" si="254"/>
        <v>0.14099660249150614</v>
      </c>
      <c r="AY59" s="11">
        <f t="shared" si="254"/>
        <v>0.1501603471043198</v>
      </c>
      <c r="AZ59" s="11">
        <f t="shared" si="254"/>
        <v>0.278581883233046</v>
      </c>
      <c r="BA59" s="11">
        <f t="shared" si="254"/>
        <v>0.22712985938792385</v>
      </c>
      <c r="BB59" s="11">
        <f t="shared" si="254"/>
        <v>0.25307528292602899</v>
      </c>
      <c r="BC59" s="11">
        <f t="shared" si="254"/>
        <v>0.11485627066904081</v>
      </c>
      <c r="BD59" s="11">
        <f t="shared" si="254"/>
        <v>0.22229711512537098</v>
      </c>
      <c r="BE59" s="11">
        <f t="shared" si="254"/>
        <v>0.16701570680628297</v>
      </c>
      <c r="BF59" s="11">
        <f t="shared" si="254"/>
        <v>0.28625213918996018</v>
      </c>
      <c r="BG59" s="11">
        <f t="shared" si="254"/>
        <v>1.6874379618396107E-2</v>
      </c>
      <c r="BH59" s="11">
        <f t="shared" si="254"/>
        <v>0.14928218932256621</v>
      </c>
      <c r="BI59" s="11">
        <f t="shared" si="254"/>
        <v>8.4264679794216812E-2</v>
      </c>
      <c r="BJ59" s="11">
        <f t="shared" si="254"/>
        <v>0.18091106290672432</v>
      </c>
      <c r="BK59" s="11">
        <f t="shared" si="254"/>
        <v>0.12774470576754138</v>
      </c>
      <c r="BL59" s="11">
        <f t="shared" ref="BL59" si="255">BL58/BI58-1</f>
        <v>-1.5461387434554719E-2</v>
      </c>
      <c r="BM59" s="11">
        <f t="shared" ref="BM59" ca="1" si="256">BM58/BJ58-1</f>
        <v>0.32919820903711638</v>
      </c>
      <c r="BN59" s="11">
        <f t="shared" ref="BN59" ca="1" si="257">BN58/BK58-1</f>
        <v>0.1469068059880636</v>
      </c>
      <c r="BO59" s="11">
        <f t="shared" ref="BO59" ca="1" si="258">BO58/BL58-1</f>
        <v>0.23921550442351625</v>
      </c>
      <c r="BP59" s="11">
        <f t="shared" ref="BP59" ca="1" si="259">BP58/BM58-1</f>
        <v>2.9982922325817229E-2</v>
      </c>
      <c r="BQ59" s="11">
        <f t="shared" ref="BQ59" ca="1" si="260">BQ58/BN58-1</f>
        <v>0.12497989169187074</v>
      </c>
      <c r="BR59" s="11">
        <f t="shared" ref="BR59" ca="1" si="261">BR58/BO58-1</f>
        <v>0.12496959773459393</v>
      </c>
      <c r="BS59" s="11">
        <f t="shared" ref="BS59" ca="1" si="262">BS58/BP58-1</f>
        <v>0.13650530893692236</v>
      </c>
      <c r="BT59" s="11">
        <f t="shared" ref="BT59" ca="1" si="263">BT58/BQ58-1</f>
        <v>0.13073595889700429</v>
      </c>
      <c r="BU59" s="11">
        <f t="shared" ref="BU59" ca="1" si="264">BU58/BR58-1</f>
        <v>9.3813507671503871E-2</v>
      </c>
      <c r="BV59" s="11">
        <f t="shared" ref="BV59" ca="1" si="265">BV58/BS58-1</f>
        <v>9.6516243117357403E-2</v>
      </c>
      <c r="BW59" s="11">
        <f t="shared" ref="BW59" ca="1" si="266">BW58/BT58-1</f>
        <v>9.5171418550213938E-2</v>
      </c>
      <c r="BX59" s="11">
        <f t="shared" ref="BX59" ca="1" si="267">BX58/BU58-1</f>
        <v>6.8117245203426657E-2</v>
      </c>
      <c r="BY59" s="11">
        <f t="shared" ref="BY59" ca="1" si="268">BY58/BV58-1</f>
        <v>6.2472139085018252E-2</v>
      </c>
      <c r="BZ59" s="11">
        <f t="shared" ref="BZ59" ca="1" si="269">BZ58/BW58-1</f>
        <v>6.5277542931952759E-2</v>
      </c>
      <c r="CA59" s="11">
        <f t="shared" ref="CA59" ca="1" si="270">CA58/BX58-1</f>
        <v>7.5919740268183933E-2</v>
      </c>
      <c r="CB59" s="11">
        <f t="shared" ref="CB59" ca="1" si="271">CB58/BY58-1</f>
        <v>7.7817409497604073E-2</v>
      </c>
      <c r="CC59" s="11">
        <f t="shared" ref="CC59" ca="1" si="272">CC58/BZ58-1</f>
        <v>7.6871825859791576E-2</v>
      </c>
      <c r="CD59" s="68"/>
      <c r="CE59" s="65"/>
      <c r="CF59" s="65"/>
      <c r="CG59" s="65"/>
      <c r="CH59" s="65"/>
      <c r="CI59" s="65"/>
      <c r="CJ59" s="65"/>
      <c r="CK59" s="19"/>
      <c r="CL59" s="131"/>
      <c r="CM59" s="19"/>
      <c r="CN59" s="19"/>
      <c r="CO59" s="19"/>
      <c r="CP59" s="19"/>
      <c r="CQ59" s="19"/>
      <c r="CR59" s="19"/>
      <c r="CS59" s="19"/>
      <c r="CT59" s="19"/>
      <c r="CU59" s="19"/>
      <c r="CV59" s="19"/>
      <c r="CW59" s="19"/>
      <c r="CX59" s="19"/>
      <c r="CY59" s="19"/>
      <c r="CZ59" s="19"/>
      <c r="DA59" s="19"/>
      <c r="DB59" s="19"/>
      <c r="DC59" s="19"/>
      <c r="DD59" s="19"/>
      <c r="DE59" s="19"/>
    </row>
    <row r="60" spans="1:137" ht="12.75" customHeight="1">
      <c r="A60" s="1"/>
      <c r="B60" s="13"/>
      <c r="C60" s="1"/>
      <c r="D60" s="127"/>
      <c r="E60" s="127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10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19"/>
      <c r="CD60" s="68"/>
      <c r="CE60" s="65"/>
      <c r="CF60" s="65"/>
      <c r="CG60" s="65"/>
      <c r="CH60" s="65"/>
      <c r="CI60" s="65"/>
      <c r="CJ60" s="65"/>
      <c r="CK60" s="19"/>
      <c r="CL60" s="58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9"/>
      <c r="DD60" s="19"/>
      <c r="DE60" s="19"/>
    </row>
    <row r="61" spans="1:137" ht="12.75" customHeight="1">
      <c r="A61" s="1"/>
      <c r="B61" s="112" t="s">
        <v>81</v>
      </c>
      <c r="C61" s="1"/>
      <c r="D61" s="1"/>
      <c r="E61" s="1"/>
      <c r="F61" s="19"/>
      <c r="G61" s="19"/>
      <c r="H61" s="19"/>
      <c r="I61" s="19"/>
      <c r="J61" s="19"/>
      <c r="K61" s="19"/>
      <c r="L61" s="19"/>
      <c r="M61" s="132">
        <f>+M8*6%*0.2</f>
        <v>2.1119999999999997</v>
      </c>
      <c r="N61" s="132">
        <f>+N8*6%*0.2</f>
        <v>2.4359999999999999</v>
      </c>
      <c r="O61" s="19">
        <f>+N61+M61</f>
        <v>4.548</v>
      </c>
      <c r="P61" s="19">
        <f>+P8*6%*0.2</f>
        <v>1.986</v>
      </c>
      <c r="Q61" s="19">
        <f>+Q8*6%*0.2</f>
        <v>1.9644000000000006</v>
      </c>
      <c r="R61" s="19">
        <f>+Q61+P61</f>
        <v>3.9504000000000006</v>
      </c>
      <c r="S61" s="19">
        <f>+S8*6%*0.2</f>
        <v>1.9776</v>
      </c>
      <c r="T61" s="19">
        <f>+T8*6%*0.2</f>
        <v>1.9763999999999999</v>
      </c>
      <c r="U61" s="19">
        <f>+T61+S61</f>
        <v>3.9539999999999997</v>
      </c>
      <c r="V61" s="19">
        <f>+V8*6%*0.2</f>
        <v>2.0531999999999999</v>
      </c>
      <c r="W61" s="19">
        <f>+W8*6%*0.2</f>
        <v>2.1768000000000005</v>
      </c>
      <c r="X61" s="19">
        <f>+W61+V61</f>
        <v>4.2300000000000004</v>
      </c>
      <c r="Y61" s="19">
        <f>+Y8*6%*0.2</f>
        <v>2.2848000000000002</v>
      </c>
      <c r="Z61" s="19">
        <f>+Z8*6%*0.2</f>
        <v>2.3123999999999998</v>
      </c>
      <c r="AA61" s="19">
        <f>+Z61+Y61</f>
        <v>4.5972</v>
      </c>
      <c r="AB61" s="19">
        <f>+AB8*6%*0.2</f>
        <v>2.2391999999999999</v>
      </c>
      <c r="AC61" s="19">
        <f>+AC8*6%*0.2</f>
        <v>2.3951999999999996</v>
      </c>
      <c r="AD61" s="19">
        <f>+AC61+AB61</f>
        <v>4.6343999999999994</v>
      </c>
      <c r="AE61" s="133">
        <f>+AE8*6%*0.2</f>
        <v>2.3448000000000002</v>
      </c>
      <c r="AF61" s="19">
        <f>+AF8*6%*0.2</f>
        <v>2.3904000000000001</v>
      </c>
      <c r="AG61" s="19">
        <f>+AF61+AE61</f>
        <v>4.7352000000000007</v>
      </c>
      <c r="AH61" s="19">
        <f>+AH8*6%*0.2</f>
        <v>2.4707999999999997</v>
      </c>
      <c r="AI61" s="19">
        <f>+AI8*6%*0.2</f>
        <v>2.4084000000000003</v>
      </c>
      <c r="AJ61" s="19">
        <f>+AI61+AH61</f>
        <v>4.8792</v>
      </c>
      <c r="AK61" s="19">
        <f>+AK8*6%*0.2</f>
        <v>2.3532000000000006</v>
      </c>
      <c r="AL61" s="19">
        <f>+AL8*6%*0.2</f>
        <v>2.4071999999999996</v>
      </c>
      <c r="AM61" s="19">
        <f>+AL61+AK61</f>
        <v>4.7604000000000006</v>
      </c>
      <c r="AN61" s="19">
        <f>+AN8*6%*0.2</f>
        <v>2.3172000000000001</v>
      </c>
      <c r="AO61" s="19">
        <f>+AO8*6%*0.2</f>
        <v>2.3004000000000002</v>
      </c>
      <c r="AP61" s="19">
        <f>+AO61+AN61</f>
        <v>4.6176000000000004</v>
      </c>
      <c r="AQ61" s="19">
        <f>+AQ8*6%*0.2</f>
        <v>2.1815999999999995</v>
      </c>
      <c r="AR61" s="19">
        <f>+AR8*6%*0.2</f>
        <v>2.2836000000000003</v>
      </c>
      <c r="AS61" s="19">
        <f>+AR61+AQ61</f>
        <v>4.4651999999999994</v>
      </c>
      <c r="AT61" s="19">
        <f>+AT8*6%*0.2</f>
        <v>2.5596000000000001</v>
      </c>
      <c r="AU61" s="19">
        <f>+AU8*6%*0.2</f>
        <v>2.5427999999999997</v>
      </c>
      <c r="AV61" s="19">
        <f>+AU61+AT61</f>
        <v>5.1023999999999994</v>
      </c>
      <c r="AW61" s="19">
        <f>+AW8*6%*0.2</f>
        <v>2.3532000000000006</v>
      </c>
      <c r="AX61" s="19">
        <f>+AX8*6%*0.2</f>
        <v>2.5847999999999995</v>
      </c>
      <c r="AY61" s="19">
        <f>+AX61+AW61</f>
        <v>4.9380000000000006</v>
      </c>
      <c r="AZ61" s="19">
        <f>+AZ8*6%*0.2</f>
        <v>2.8079999999999998</v>
      </c>
      <c r="BA61" s="19">
        <f>+BA8*6%*0.2</f>
        <v>3.1272000000000002</v>
      </c>
      <c r="BB61" s="19">
        <f>+BA61+AZ61</f>
        <v>5.9352</v>
      </c>
      <c r="BC61" s="19">
        <f>+BC8*6%*0.2</f>
        <v>3.1212000000000004</v>
      </c>
      <c r="BD61" s="19">
        <f>+BD8*6%*0.2</f>
        <v>3.2555999999999994</v>
      </c>
      <c r="BE61" s="19">
        <f>+BD61+BC61</f>
        <v>6.3767999999999994</v>
      </c>
      <c r="BF61" s="19">
        <f>+BF8*6%*0.2</f>
        <v>3.3384</v>
      </c>
      <c r="BG61" s="19">
        <f>+BG8*6%*0.2</f>
        <v>3.466800000000001</v>
      </c>
      <c r="BH61" s="19">
        <f>+BG61+BF61</f>
        <v>6.805200000000001</v>
      </c>
      <c r="BI61" s="19">
        <f>+BI8*6%*0.2</f>
        <v>3.7427999999999999</v>
      </c>
      <c r="BJ61" s="19">
        <f>+BJ8*6%*0.2</f>
        <v>4.3896000000000006</v>
      </c>
      <c r="BK61" s="19">
        <f>+BJ61+BI61</f>
        <v>8.1324000000000005</v>
      </c>
      <c r="BL61" s="19">
        <f>+BL8*6%*0.2</f>
        <v>4.3920000000000003</v>
      </c>
      <c r="BM61" s="19">
        <f>+BM8*6%*0.2</f>
        <v>4.5596856914702411</v>
      </c>
      <c r="BN61" s="19">
        <f>+BM61+BL61</f>
        <v>8.9516856914702423</v>
      </c>
      <c r="BO61" s="19">
        <f>+BO8*6%*0.2</f>
        <v>4.8089461426023723</v>
      </c>
      <c r="BP61" s="19">
        <f>+BP8*6%*0.2</f>
        <v>5.0813963468714851</v>
      </c>
      <c r="BQ61" s="19">
        <f>+BP61+BO61</f>
        <v>9.8903424894738574</v>
      </c>
      <c r="BR61" s="19">
        <f>+BR8*6%*0.2</f>
        <v>5.4194209383982299</v>
      </c>
      <c r="BS61" s="19">
        <f>+BS8*6%*0.2</f>
        <v>5.7206804129815438</v>
      </c>
      <c r="BT61" s="19">
        <f>+BS61+BR61</f>
        <v>11.140101351379773</v>
      </c>
      <c r="BU61" s="19">
        <f>+BU8*6%*0.2</f>
        <v>6.0887868352444716</v>
      </c>
      <c r="BV61" s="19">
        <f>+BV8*6%*0.2</f>
        <v>6.4214546177732856</v>
      </c>
      <c r="BW61" s="19">
        <f>+BV61+BU61</f>
        <v>12.510241453017757</v>
      </c>
      <c r="BX61" s="19">
        <f>+BX8*6%*0.2</f>
        <v>6.8223519669599062</v>
      </c>
      <c r="BY61" s="19">
        <f>+BY8*6%*0.2</f>
        <v>7.1892517524173503</v>
      </c>
      <c r="BZ61" s="19">
        <f>+BY61+BX61</f>
        <v>14.011603719377256</v>
      </c>
      <c r="CA61" s="19">
        <f>+CA8*6%*0.2</f>
        <v>7.6258830467210927</v>
      </c>
      <c r="CB61" s="19">
        <f>+CB8*6%*0.2</f>
        <v>8.0300820924902947</v>
      </c>
      <c r="CC61" s="19">
        <f>+CB61+CA61</f>
        <v>15.655965139211387</v>
      </c>
      <c r="CD61" s="68"/>
      <c r="CE61" s="65"/>
      <c r="CF61" s="65"/>
      <c r="CG61" s="65"/>
      <c r="CH61" s="65"/>
      <c r="CI61" s="65"/>
      <c r="CJ61" s="65"/>
      <c r="CK61" s="19"/>
      <c r="CL61" s="58">
        <f>X61</f>
        <v>4.2300000000000004</v>
      </c>
      <c r="CM61" s="19">
        <f>AA61</f>
        <v>4.5972</v>
      </c>
      <c r="CN61" s="19">
        <f>AD61</f>
        <v>4.6343999999999994</v>
      </c>
      <c r="CO61" s="19">
        <f>AG61</f>
        <v>4.7352000000000007</v>
      </c>
      <c r="CP61" s="19">
        <f>AJ61</f>
        <v>4.8792</v>
      </c>
      <c r="CQ61" s="19">
        <f>AM61</f>
        <v>4.7604000000000006</v>
      </c>
      <c r="CR61" s="19">
        <f>AP61</f>
        <v>4.6176000000000004</v>
      </c>
      <c r="CS61" s="19">
        <f>AS61</f>
        <v>4.4651999999999994</v>
      </c>
      <c r="CT61" s="19">
        <f>AV61</f>
        <v>5.1023999999999994</v>
      </c>
      <c r="CU61" s="19">
        <f>AY61</f>
        <v>4.9380000000000006</v>
      </c>
      <c r="CV61" s="19">
        <f>BB61</f>
        <v>5.9352</v>
      </c>
      <c r="CW61" s="19">
        <f>BE61</f>
        <v>6.3767999999999994</v>
      </c>
      <c r="CX61" s="19">
        <f>BH61</f>
        <v>6.805200000000001</v>
      </c>
      <c r="CY61" s="19">
        <f>BK61</f>
        <v>8.1324000000000005</v>
      </c>
      <c r="CZ61" s="19">
        <f>BN61</f>
        <v>8.9516856914702423</v>
      </c>
      <c r="DA61" s="19">
        <f>BQ61</f>
        <v>9.8903424894738574</v>
      </c>
      <c r="DB61" s="19">
        <f>BT61</f>
        <v>11.140101351379773</v>
      </c>
      <c r="DC61" s="19">
        <f>BW61</f>
        <v>12.510241453017757</v>
      </c>
      <c r="DD61" s="19">
        <f>BZ61</f>
        <v>14.011603719377256</v>
      </c>
      <c r="DE61" s="19">
        <f>CC61</f>
        <v>15.655965139211387</v>
      </c>
    </row>
    <row r="62" spans="1:137" s="86" customFormat="1" ht="12.75" customHeight="1" thickBot="1">
      <c r="A62" s="79"/>
      <c r="B62" s="80" t="s">
        <v>82</v>
      </c>
      <c r="C62" s="79"/>
      <c r="D62" s="82"/>
      <c r="E62" s="82"/>
      <c r="F62" s="82"/>
      <c r="G62" s="82"/>
      <c r="H62" s="82"/>
      <c r="I62" s="82"/>
      <c r="J62" s="82"/>
      <c r="K62" s="82"/>
      <c r="L62" s="82">
        <f t="shared" ref="L62:BK62" si="273">L58+L61</f>
        <v>609.39999999999986</v>
      </c>
      <c r="M62" s="82">
        <f t="shared" si="273"/>
        <v>403.91200000000009</v>
      </c>
      <c r="N62" s="82">
        <f t="shared" si="273"/>
        <v>406.13599999999991</v>
      </c>
      <c r="O62" s="82">
        <f t="shared" si="273"/>
        <v>791.74595918367345</v>
      </c>
      <c r="P62" s="82">
        <f t="shared" si="273"/>
        <v>140.48599999999996</v>
      </c>
      <c r="Q62" s="82">
        <f t="shared" si="273"/>
        <v>124.7816000000001</v>
      </c>
      <c r="R62" s="82">
        <f t="shared" si="273"/>
        <v>313.9676</v>
      </c>
      <c r="S62" s="82">
        <f t="shared" si="273"/>
        <v>172.4776</v>
      </c>
      <c r="T62" s="82">
        <f t="shared" si="273"/>
        <v>215.37639999999988</v>
      </c>
      <c r="U62" s="82">
        <f t="shared" si="273"/>
        <v>387.85399999999987</v>
      </c>
      <c r="V62" s="82">
        <f t="shared" si="273"/>
        <v>231.45319999999998</v>
      </c>
      <c r="W62" s="82">
        <f t="shared" si="273"/>
        <v>236.17680000000007</v>
      </c>
      <c r="X62" s="82">
        <f t="shared" si="273"/>
        <v>467.63000000000017</v>
      </c>
      <c r="Y62" s="82">
        <f t="shared" si="273"/>
        <v>267.98480000000001</v>
      </c>
      <c r="Z62" s="82">
        <f t="shared" si="273"/>
        <v>280.71240000000012</v>
      </c>
      <c r="AA62" s="82">
        <f t="shared" si="273"/>
        <v>548.69719999999995</v>
      </c>
      <c r="AB62" s="82">
        <f>AB58+AB61</f>
        <v>298.23919999999993</v>
      </c>
      <c r="AC62" s="82">
        <f>AC58+AC61</f>
        <v>307.4951999999999</v>
      </c>
      <c r="AD62" s="82">
        <f>AD58+AD61</f>
        <v>605.73439999999994</v>
      </c>
      <c r="AE62" s="82">
        <f t="shared" si="273"/>
        <v>329.44480000000004</v>
      </c>
      <c r="AF62" s="82">
        <f t="shared" si="273"/>
        <v>328.79039999999998</v>
      </c>
      <c r="AG62" s="82">
        <f t="shared" si="273"/>
        <v>658.23519999999985</v>
      </c>
      <c r="AH62" s="82">
        <f t="shared" si="273"/>
        <v>359.07079999999991</v>
      </c>
      <c r="AI62" s="82">
        <f t="shared" si="273"/>
        <v>360.30840000000001</v>
      </c>
      <c r="AJ62" s="82">
        <f t="shared" si="273"/>
        <v>719.37919999999986</v>
      </c>
      <c r="AK62" s="82">
        <f t="shared" si="273"/>
        <v>390.5532</v>
      </c>
      <c r="AL62" s="82">
        <f t="shared" si="273"/>
        <v>390.2072</v>
      </c>
      <c r="AM62" s="82">
        <f t="shared" si="273"/>
        <v>780.7604</v>
      </c>
      <c r="AN62" s="82">
        <f t="shared" si="273"/>
        <v>423.61720000000003</v>
      </c>
      <c r="AO62" s="82">
        <f t="shared" si="273"/>
        <v>426.90040000000005</v>
      </c>
      <c r="AP62" s="82">
        <f t="shared" si="273"/>
        <v>850.51760000000013</v>
      </c>
      <c r="AQ62" s="82">
        <f t="shared" si="273"/>
        <v>467.18159999999995</v>
      </c>
      <c r="AR62" s="82">
        <f t="shared" si="273"/>
        <v>479.58359999999976</v>
      </c>
      <c r="AS62" s="82">
        <f t="shared" si="273"/>
        <v>946.76519999999971</v>
      </c>
      <c r="AT62" s="82">
        <f t="shared" si="273"/>
        <v>532.95960000000014</v>
      </c>
      <c r="AU62" s="82">
        <f t="shared" si="273"/>
        <v>532.34280000000012</v>
      </c>
      <c r="AV62" s="82">
        <f t="shared" si="273"/>
        <v>1065.3024000000003</v>
      </c>
      <c r="AW62" s="82">
        <f t="shared" si="273"/>
        <v>617.25319999999999</v>
      </c>
      <c r="AX62" s="82">
        <f t="shared" si="273"/>
        <v>607.08479999999997</v>
      </c>
      <c r="AY62" s="82">
        <f t="shared" si="273"/>
        <v>1224.3380000000002</v>
      </c>
      <c r="AZ62" s="82">
        <f t="shared" si="273"/>
        <v>789.00799999999992</v>
      </c>
      <c r="BA62" s="82">
        <f t="shared" si="273"/>
        <v>744.92719999999997</v>
      </c>
      <c r="BB62" s="82">
        <f t="shared" si="273"/>
        <v>1533.9351999999997</v>
      </c>
      <c r="BC62" s="82">
        <f t="shared" si="273"/>
        <v>879.62119999999993</v>
      </c>
      <c r="BD62" s="82">
        <f t="shared" si="273"/>
        <v>909.95560000000012</v>
      </c>
      <c r="BE62" s="82">
        <f t="shared" si="273"/>
        <v>1789.5768</v>
      </c>
      <c r="BF62" s="82">
        <f t="shared" si="273"/>
        <v>1130.7384</v>
      </c>
      <c r="BG62" s="82">
        <f t="shared" si="273"/>
        <v>925.46680000000003</v>
      </c>
      <c r="BH62" s="82">
        <f t="shared" si="273"/>
        <v>2056.2051999999999</v>
      </c>
      <c r="BI62" s="82">
        <f t="shared" si="273"/>
        <v>1226.1427999999999</v>
      </c>
      <c r="BJ62" s="82">
        <f t="shared" si="273"/>
        <v>1093.1895999999997</v>
      </c>
      <c r="BK62" s="82">
        <f t="shared" si="273"/>
        <v>2319.3323999999993</v>
      </c>
      <c r="BL62" s="82">
        <f t="shared" ref="BL62:BN62" si="274">BL58+BL61</f>
        <v>1207.8920000000003</v>
      </c>
      <c r="BM62" s="82">
        <f t="shared" ca="1" si="274"/>
        <v>1451.7906956910822</v>
      </c>
      <c r="BN62" s="82">
        <f t="shared" ca="1" si="274"/>
        <v>2659.6826956910822</v>
      </c>
      <c r="BO62" s="82">
        <f t="shared" ref="BO62:BQ62" ca="1" si="275">BO58+BO61</f>
        <v>1496.2048057163045</v>
      </c>
      <c r="BP62" s="82">
        <f t="shared" ca="1" si="275"/>
        <v>1495.7046213068159</v>
      </c>
      <c r="BQ62" s="82">
        <f t="shared" ca="1" si="275"/>
        <v>2991.9094270231203</v>
      </c>
      <c r="BR62" s="82">
        <f t="shared" ref="BR62:BT62" ca="1" si="276">BR58+BR61</f>
        <v>1683.194421146065</v>
      </c>
      <c r="BS62" s="82">
        <f t="shared" ca="1" si="276"/>
        <v>1699.8218892046343</v>
      </c>
      <c r="BT62" s="82">
        <f t="shared" ca="1" si="276"/>
        <v>3383.0163103506993</v>
      </c>
      <c r="BU62" s="82">
        <f t="shared" ref="BU62:BZ62" ca="1" si="277">BU58+BU61</f>
        <v>1841.2617448959506</v>
      </c>
      <c r="BV62" s="82">
        <f t="shared" ca="1" si="277"/>
        <v>1864.0309475425702</v>
      </c>
      <c r="BW62" s="82">
        <f t="shared" ca="1" si="277"/>
        <v>3705.2926924385206</v>
      </c>
      <c r="BX62" s="82">
        <f t="shared" ca="1" si="277"/>
        <v>1967.0022364025851</v>
      </c>
      <c r="BY62" s="82">
        <f t="shared" ca="1" si="277"/>
        <v>1980.8475832848626</v>
      </c>
      <c r="BZ62" s="82">
        <f t="shared" ca="1" si="277"/>
        <v>3947.849819687448</v>
      </c>
      <c r="CA62" s="82">
        <f t="shared" ref="CA62:CC62" ca="1" si="278">CA58+CA61</f>
        <v>2116.6221151876175</v>
      </c>
      <c r="CB62" s="82">
        <f t="shared" ca="1" si="278"/>
        <v>2135.2733922181542</v>
      </c>
      <c r="CC62" s="82">
        <f t="shared" ca="1" si="278"/>
        <v>4251.8955074057731</v>
      </c>
      <c r="CD62" s="134"/>
      <c r="CE62" s="108"/>
      <c r="CF62" s="108"/>
      <c r="CG62" s="108"/>
      <c r="CH62" s="108"/>
      <c r="CI62" s="108"/>
      <c r="CJ62" s="108"/>
      <c r="CK62" s="51"/>
      <c r="CL62" s="85">
        <f>X62</f>
        <v>467.63000000000017</v>
      </c>
      <c r="CM62" s="82">
        <f>AA62</f>
        <v>548.69719999999995</v>
      </c>
      <c r="CN62" s="82">
        <f>AD62</f>
        <v>605.73439999999994</v>
      </c>
      <c r="CO62" s="82">
        <f>AG62</f>
        <v>658.23519999999985</v>
      </c>
      <c r="CP62" s="82">
        <f>AJ62</f>
        <v>719.37919999999986</v>
      </c>
      <c r="CQ62" s="82">
        <f>AM62</f>
        <v>780.7604</v>
      </c>
      <c r="CR62" s="82">
        <f>AP62</f>
        <v>850.51760000000013</v>
      </c>
      <c r="CS62" s="82">
        <f>AS62</f>
        <v>946.76519999999971</v>
      </c>
      <c r="CT62" s="82">
        <f>AV62</f>
        <v>1065.3024000000003</v>
      </c>
      <c r="CU62" s="82">
        <f>AY62</f>
        <v>1224.3380000000002</v>
      </c>
      <c r="CV62" s="82">
        <f>BB62</f>
        <v>1533.9351999999997</v>
      </c>
      <c r="CW62" s="82">
        <f>BE62</f>
        <v>1789.5768</v>
      </c>
      <c r="CX62" s="82">
        <f>BH62</f>
        <v>2056.2051999999999</v>
      </c>
      <c r="CY62" s="82">
        <f>BK62</f>
        <v>2319.3323999999993</v>
      </c>
      <c r="CZ62" s="82">
        <f ca="1">BN62</f>
        <v>2659.6826956910822</v>
      </c>
      <c r="DA62" s="82">
        <f ca="1">BQ62</f>
        <v>2991.9094270231203</v>
      </c>
      <c r="DB62" s="82">
        <f ca="1">BT62</f>
        <v>3383.0163103506993</v>
      </c>
      <c r="DC62" s="82">
        <f ca="1">BW62</f>
        <v>3705.2926924385206</v>
      </c>
      <c r="DD62" s="82">
        <f ca="1">BZ62</f>
        <v>3947.849819687448</v>
      </c>
      <c r="DE62" s="82">
        <f ca="1">CC62</f>
        <v>4251.8955074057731</v>
      </c>
      <c r="DF62" s="48"/>
      <c r="DG62" s="48"/>
      <c r="DH62" s="48"/>
      <c r="DI62" s="48"/>
      <c r="DJ62" s="48"/>
      <c r="DK62" s="48"/>
      <c r="EB62"/>
      <c r="EC62"/>
      <c r="ED62"/>
      <c r="EE62"/>
      <c r="EF62"/>
      <c r="EG62"/>
    </row>
    <row r="63" spans="1:137" ht="12.75" customHeight="1" thickTop="1">
      <c r="A63" s="1"/>
      <c r="B63" s="16" t="s">
        <v>72</v>
      </c>
      <c r="C63" s="1"/>
      <c r="D63" s="127"/>
      <c r="E63" s="127"/>
      <c r="F63" s="19"/>
      <c r="G63" s="19"/>
      <c r="H63" s="19"/>
      <c r="I63" s="11"/>
      <c r="J63" s="11"/>
      <c r="K63" s="11"/>
      <c r="L63" s="11"/>
      <c r="M63" s="11"/>
      <c r="N63" s="11"/>
      <c r="O63" s="11">
        <f t="shared" ref="O63:BK63" si="279">O62/L62-1</f>
        <v>0.29922211877859151</v>
      </c>
      <c r="P63" s="11">
        <f t="shared" si="279"/>
        <v>-0.65218661490621743</v>
      </c>
      <c r="Q63" s="11">
        <f t="shared" si="279"/>
        <v>-0.69275907577757168</v>
      </c>
      <c r="R63" s="11">
        <f t="shared" si="279"/>
        <v>-0.60344906550111721</v>
      </c>
      <c r="S63" s="11">
        <f t="shared" si="279"/>
        <v>0.22772091169226849</v>
      </c>
      <c r="T63" s="11">
        <f t="shared" si="279"/>
        <v>0.72602691422453081</v>
      </c>
      <c r="U63" s="11">
        <f t="shared" si="279"/>
        <v>0.23533128896102617</v>
      </c>
      <c r="V63" s="11">
        <f t="shared" si="279"/>
        <v>0.34193193782844844</v>
      </c>
      <c r="W63" s="11">
        <f t="shared" si="279"/>
        <v>9.6576969435835158E-2</v>
      </c>
      <c r="X63" s="11">
        <f t="shared" si="279"/>
        <v>0.20568564459822603</v>
      </c>
      <c r="Y63" s="11">
        <f t="shared" si="279"/>
        <v>0.15783579574618112</v>
      </c>
      <c r="Z63" s="11">
        <f t="shared" si="279"/>
        <v>0.18856890261871628</v>
      </c>
      <c r="AA63" s="11">
        <f t="shared" si="279"/>
        <v>0.17335756901824051</v>
      </c>
      <c r="AB63" s="11">
        <f t="shared" si="279"/>
        <v>0.11289595529298646</v>
      </c>
      <c r="AC63" s="11">
        <f t="shared" si="279"/>
        <v>9.5410106571707454E-2</v>
      </c>
      <c r="AD63" s="11">
        <f t="shared" si="279"/>
        <v>0.10395022974420143</v>
      </c>
      <c r="AE63" s="11">
        <f t="shared" si="279"/>
        <v>0.10463279139697312</v>
      </c>
      <c r="AF63" s="11">
        <f t="shared" si="279"/>
        <v>6.925376396119387E-2</v>
      </c>
      <c r="AG63" s="11">
        <f t="shared" si="279"/>
        <v>8.6672970859835496E-2</v>
      </c>
      <c r="AH63" s="11">
        <f t="shared" si="279"/>
        <v>8.99270530298244E-2</v>
      </c>
      <c r="AI63" s="11">
        <f t="shared" si="279"/>
        <v>9.5860463079214142E-2</v>
      </c>
      <c r="AJ63" s="11">
        <f t="shared" si="279"/>
        <v>9.2890808634968236E-2</v>
      </c>
      <c r="AK63" s="11">
        <f t="shared" si="279"/>
        <v>8.7677416264424934E-2</v>
      </c>
      <c r="AL63" s="11">
        <f t="shared" si="279"/>
        <v>8.298113504986282E-2</v>
      </c>
      <c r="AM63" s="11">
        <f t="shared" si="279"/>
        <v>8.5325235981246195E-2</v>
      </c>
      <c r="AN63" s="11">
        <f t="shared" si="279"/>
        <v>8.4659401075192875E-2</v>
      </c>
      <c r="AO63" s="11">
        <f t="shared" si="279"/>
        <v>9.4035169007645303E-2</v>
      </c>
      <c r="AP63" s="11">
        <f t="shared" si="279"/>
        <v>8.9345207569441421E-2</v>
      </c>
      <c r="AQ63" s="11">
        <f t="shared" si="279"/>
        <v>0.10283907263444436</v>
      </c>
      <c r="AR63" s="11">
        <f t="shared" si="279"/>
        <v>0.12340864520154993</v>
      </c>
      <c r="AS63" s="11">
        <f t="shared" si="279"/>
        <v>0.11316356063648714</v>
      </c>
      <c r="AT63" s="11">
        <f t="shared" si="279"/>
        <v>0.14079749716170364</v>
      </c>
      <c r="AU63" s="11">
        <f t="shared" si="279"/>
        <v>0.11001043405154043</v>
      </c>
      <c r="AV63" s="11">
        <f t="shared" si="279"/>
        <v>0.12520232049086788</v>
      </c>
      <c r="AW63" s="11">
        <f t="shared" si="279"/>
        <v>0.15816133155308543</v>
      </c>
      <c r="AX63" s="11">
        <f t="shared" si="279"/>
        <v>0.14040201163611088</v>
      </c>
      <c r="AY63" s="11">
        <f t="shared" si="279"/>
        <v>0.149286812833614</v>
      </c>
      <c r="AZ63" s="11">
        <f t="shared" si="279"/>
        <v>0.27825663763266029</v>
      </c>
      <c r="BA63" s="11">
        <f t="shared" si="279"/>
        <v>0.2270562530967668</v>
      </c>
      <c r="BB63" s="11">
        <f t="shared" si="279"/>
        <v>0.25286906066788695</v>
      </c>
      <c r="BC63" s="11">
        <f t="shared" si="279"/>
        <v>0.11484446292052808</v>
      </c>
      <c r="BD63" s="11">
        <f t="shared" si="279"/>
        <v>0.22153627898135575</v>
      </c>
      <c r="BE63" s="11">
        <f t="shared" si="279"/>
        <v>0.16665736596956671</v>
      </c>
      <c r="BF63" s="11">
        <f t="shared" si="279"/>
        <v>0.28548334214773363</v>
      </c>
      <c r="BG63" s="11">
        <f t="shared" si="279"/>
        <v>1.7046106425412377E-2</v>
      </c>
      <c r="BH63" s="11">
        <f t="shared" si="279"/>
        <v>0.14898963822061151</v>
      </c>
      <c r="BI63" s="11">
        <f t="shared" si="279"/>
        <v>8.4373538565595707E-2</v>
      </c>
      <c r="BJ63" s="11">
        <f t="shared" si="279"/>
        <v>0.1812304882249689</v>
      </c>
      <c r="BK63" s="11">
        <f t="shared" si="279"/>
        <v>0.12796738380002126</v>
      </c>
      <c r="BL63" s="11">
        <f t="shared" ref="BL63" si="280">BL62/BI62-1</f>
        <v>-1.4884726314096208E-2</v>
      </c>
      <c r="BM63" s="11">
        <f t="shared" ref="BM63" ca="1" si="281">BM62/BJ62-1</f>
        <v>0.32803193123231567</v>
      </c>
      <c r="BN63" s="11">
        <f t="shared" ref="BN63" ca="1" si="282">BN62/BK62-1</f>
        <v>0.14674494078170208</v>
      </c>
      <c r="BO63" s="11">
        <f t="shared" ref="BO63" ca="1" si="283">BO62/BL62-1</f>
        <v>0.23869088106908909</v>
      </c>
      <c r="BP63" s="11">
        <f t="shared" ref="BP63" ca="1" si="284">BP62/BM62-1</f>
        <v>3.0248110658148031E-2</v>
      </c>
      <c r="BQ63" s="11">
        <f t="shared" ref="BQ63" ca="1" si="285">BQ62/BN62-1</f>
        <v>0.12491216785756976</v>
      </c>
      <c r="BR63" s="11">
        <f t="shared" ref="BR63" ca="1" si="286">BR62/BO62-1</f>
        <v>0.12497594895789654</v>
      </c>
      <c r="BS63" s="11">
        <f t="shared" ref="BS63" ca="1" si="287">BS62/BP62-1</f>
        <v>0.13646896920026808</v>
      </c>
      <c r="BT63" s="11">
        <f t="shared" ref="BT63" ca="1" si="288">BT62/BQ62-1</f>
        <v>0.13072149838329872</v>
      </c>
      <c r="BU63" s="11">
        <f t="shared" ref="BU63" ca="1" si="289">BU62/BR62-1</f>
        <v>9.3909130023292153E-2</v>
      </c>
      <c r="BV63" s="11">
        <f t="shared" ref="BV63" ca="1" si="290">BV62/BS62-1</f>
        <v>9.6603684998297634E-2</v>
      </c>
      <c r="BW63" s="11">
        <f t="shared" ref="BW63" ca="1" si="291">BW62/BT62-1</f>
        <v>9.5263029356903228E-2</v>
      </c>
      <c r="BX63" s="11">
        <f t="shared" ref="BX63" ca="1" si="292">BX62/BU62-1</f>
        <v>6.829039480953325E-2</v>
      </c>
      <c r="BY63" s="11">
        <f t="shared" ref="BY63" ca="1" si="293">BY62/BV62-1</f>
        <v>6.2668828485008099E-2</v>
      </c>
      <c r="BZ63" s="11">
        <f t="shared" ref="BZ63" ca="1" si="294">BZ62/BW62-1</f>
        <v>6.5462339248912649E-2</v>
      </c>
      <c r="CA63" s="11">
        <f t="shared" ref="CA63" ca="1" si="295">CA62/BX62-1</f>
        <v>7.6064925609169443E-2</v>
      </c>
      <c r="CB63" s="11">
        <f t="shared" ref="CB63" ca="1" si="296">CB62/BY62-1</f>
        <v>7.7959460503874478E-2</v>
      </c>
      <c r="CC63" s="11">
        <f t="shared" ref="CC63" ca="1" si="297">CC62/BZ62-1</f>
        <v>7.7015515180462568E-2</v>
      </c>
      <c r="CD63" s="68"/>
      <c r="CE63" s="65"/>
      <c r="CF63" s="65"/>
      <c r="CG63" s="65"/>
      <c r="CH63" s="65"/>
      <c r="CI63" s="65"/>
      <c r="CJ63" s="65"/>
      <c r="CK63" s="19"/>
      <c r="CL63" s="131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19"/>
      <c r="CZ63" s="19"/>
      <c r="DA63" s="19"/>
      <c r="DB63" s="19"/>
      <c r="DC63" s="19"/>
      <c r="DD63" s="19"/>
      <c r="DE63" s="19"/>
    </row>
    <row r="64" spans="1:137" ht="12.75" customHeight="1">
      <c r="A64" s="1"/>
      <c r="B64" s="16"/>
      <c r="C64" s="1"/>
      <c r="D64" s="127"/>
      <c r="E64" s="127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1"/>
      <c r="AC64" s="11"/>
      <c r="AD64" s="11"/>
      <c r="AE64" s="11"/>
      <c r="AF64" s="11"/>
      <c r="AG64" s="11"/>
      <c r="AH64" s="19">
        <f>AH51+AK51+AN51+AQ51+AT51+AW51+AZ51+BC51++BF51+BI51</f>
        <v>9614.6484942965799</v>
      </c>
      <c r="AI64" s="19">
        <f>AI51+AL51+AO51+AR51+AU51+AX51+BA51+BD51++BG51+BJ51</f>
        <v>8172.7504907960647</v>
      </c>
      <c r="AJ64" s="19">
        <f>AJ51+AM51+AP51+AS51+AV51+AY51+BB51+BE51++BH51+BK51</f>
        <v>17787.398985092641</v>
      </c>
      <c r="AK64" s="11">
        <f>AH64/AJ64</f>
        <v>0.54053144601717629</v>
      </c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68"/>
      <c r="CE64" s="65"/>
      <c r="CF64" s="65"/>
      <c r="CG64" s="65"/>
      <c r="CH64" s="65"/>
      <c r="CI64" s="65"/>
      <c r="CJ64" s="65"/>
      <c r="CK64" s="19"/>
      <c r="CL64" s="131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C64" s="19"/>
      <c r="DD64" s="19"/>
      <c r="DE64" s="19"/>
    </row>
    <row r="65" spans="1:137" s="142" customFormat="1" ht="12.75" customHeight="1">
      <c r="A65" s="135"/>
      <c r="B65" s="136" t="s">
        <v>83</v>
      </c>
      <c r="C65" s="135"/>
      <c r="D65" s="135"/>
      <c r="E65" s="135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37"/>
      <c r="BP65" s="137"/>
      <c r="BQ65" s="137"/>
      <c r="BR65" s="137"/>
      <c r="BS65" s="137"/>
      <c r="BT65" s="137"/>
      <c r="BU65" s="137"/>
      <c r="BV65" s="137"/>
      <c r="BW65" s="137"/>
      <c r="BX65" s="137"/>
      <c r="BY65" s="137"/>
      <c r="BZ65" s="137"/>
      <c r="CA65" s="137"/>
      <c r="CB65" s="137"/>
      <c r="CC65" s="137"/>
      <c r="CD65" s="138"/>
      <c r="CE65" s="137"/>
      <c r="CF65" s="137"/>
      <c r="CG65" s="137"/>
      <c r="CH65" s="137"/>
      <c r="CI65" s="137"/>
      <c r="CJ65" s="137"/>
      <c r="CK65" s="139"/>
      <c r="CL65" s="140">
        <f>X65</f>
        <v>0</v>
      </c>
      <c r="CM65" s="137">
        <f>AA65</f>
        <v>0</v>
      </c>
      <c r="CN65" s="137">
        <f>AD65</f>
        <v>0</v>
      </c>
      <c r="CO65" s="137">
        <f>AG65</f>
        <v>0</v>
      </c>
      <c r="CP65" s="137">
        <f>AJ65</f>
        <v>0</v>
      </c>
      <c r="CQ65" s="137">
        <f>AM65</f>
        <v>0</v>
      </c>
      <c r="CR65" s="137">
        <f>AP65</f>
        <v>0</v>
      </c>
      <c r="CS65" s="137">
        <f>AS65</f>
        <v>0</v>
      </c>
      <c r="CT65" s="137">
        <f>AV65</f>
        <v>0</v>
      </c>
      <c r="CU65" s="137">
        <f>AY65</f>
        <v>0</v>
      </c>
      <c r="CV65" s="137">
        <f>BB65</f>
        <v>0</v>
      </c>
      <c r="CW65" s="137">
        <f>BE65</f>
        <v>0</v>
      </c>
      <c r="CX65" s="137">
        <f>BH65</f>
        <v>0</v>
      </c>
      <c r="CY65" s="137">
        <f>BK65</f>
        <v>0</v>
      </c>
      <c r="CZ65" s="137">
        <f>BN65</f>
        <v>0</v>
      </c>
      <c r="DA65" s="137">
        <f>BQ65</f>
        <v>0</v>
      </c>
      <c r="DB65" s="137">
        <f>BT65</f>
        <v>0</v>
      </c>
      <c r="DC65" s="137">
        <f>BW65</f>
        <v>0</v>
      </c>
      <c r="DD65" s="137">
        <f>BZ65</f>
        <v>0</v>
      </c>
      <c r="DE65" s="137">
        <f>CC65</f>
        <v>0</v>
      </c>
      <c r="DF65" s="141"/>
      <c r="DG65" s="141"/>
      <c r="DH65" s="141"/>
      <c r="DI65" s="141"/>
      <c r="DJ65" s="141"/>
      <c r="DK65" s="141"/>
      <c r="EB65"/>
      <c r="EC65"/>
      <c r="ED65"/>
      <c r="EE65"/>
      <c r="EF65"/>
      <c r="EG65"/>
    </row>
    <row r="66" spans="1:137" ht="12.75" customHeight="1">
      <c r="A66" s="1"/>
      <c r="B66" s="112" t="s">
        <v>84</v>
      </c>
      <c r="C66" s="1"/>
      <c r="D66" s="1"/>
      <c r="E66" s="1"/>
      <c r="F66" s="66"/>
      <c r="G66" s="66"/>
      <c r="H66" s="66"/>
      <c r="I66" s="66"/>
      <c r="J66" s="66"/>
      <c r="K66" s="66"/>
      <c r="L66" s="143">
        <f>+-L102*0.5%</f>
        <v>-14.3025</v>
      </c>
      <c r="M66" s="143">
        <f>+-M102*0.5%*0.5</f>
        <v>-7.1512500000000001</v>
      </c>
      <c r="N66" s="143">
        <f>+-N102*0.5%*0.5</f>
        <v>-6.3679999999999994</v>
      </c>
      <c r="O66" s="143">
        <f>+N66+M66</f>
        <v>-13.51925</v>
      </c>
      <c r="P66" s="143">
        <f>+-P102*0.5%*0.5</f>
        <v>-6.0045000000000002</v>
      </c>
      <c r="Q66" s="143">
        <f>+-Q102*0.5%*0.5</f>
        <v>-5.7389999999999999</v>
      </c>
      <c r="R66" s="143">
        <f>+Q66+P66</f>
        <v>-11.743500000000001</v>
      </c>
      <c r="S66" s="143">
        <f>+-S102*0.5%*0.5</f>
        <v>-5.6245000000000003</v>
      </c>
      <c r="T66" s="143">
        <f>+-T102*0.5%*0.5</f>
        <v>-6.0212500000000002</v>
      </c>
      <c r="U66" s="143">
        <f>+T66+S66</f>
        <v>-11.64575</v>
      </c>
      <c r="V66" s="143">
        <f>+-V102*0.5%*0.5</f>
        <v>-6.05375</v>
      </c>
      <c r="W66" s="143">
        <f>+-W102*0.5%*0.5</f>
        <v>-5.6475</v>
      </c>
      <c r="X66" s="143">
        <f>+W66+V66</f>
        <v>-11.70125</v>
      </c>
      <c r="Y66" s="143">
        <f>+-Y102*0.5%*0.5</f>
        <v>-5.3422499999999999</v>
      </c>
      <c r="Z66" s="143">
        <f>+-Z102*0.5%*0.5</f>
        <v>-5.226</v>
      </c>
      <c r="AA66" s="143">
        <f>+Z66+Y66</f>
        <v>-10.568249999999999</v>
      </c>
      <c r="AB66" s="143">
        <f>+-AB102*0.5%*0.5</f>
        <v>-5.4237500000000001</v>
      </c>
      <c r="AC66" s="143">
        <f>+-AC102*0.5%*0.5</f>
        <v>-5.47675</v>
      </c>
      <c r="AD66" s="143">
        <f>+AC66+AB66</f>
        <v>-10.900500000000001</v>
      </c>
      <c r="AE66" s="144">
        <f>+-AE102*0.5%*0.5</f>
        <v>-5.8722500000000002</v>
      </c>
      <c r="AF66" s="66">
        <f>+-AF102*0.5%*0.5</f>
        <v>-6.774</v>
      </c>
      <c r="AG66" s="19">
        <f>+AF66+AE66</f>
        <v>-12.64625</v>
      </c>
      <c r="AH66" s="66">
        <f>+-AH102*0.5%*0.5</f>
        <v>-7.5767500000000005</v>
      </c>
      <c r="AI66" s="66">
        <f>+-AI102*0.5%*0.5</f>
        <v>-6.3812500000000005</v>
      </c>
      <c r="AJ66" s="19">
        <f>+AI66+AH66</f>
        <v>-13.958000000000002</v>
      </c>
      <c r="AK66" s="66">
        <f>+-AK102*0.5%*0.5</f>
        <v>-6.4657500000000008</v>
      </c>
      <c r="AL66" s="66">
        <f>+-AL102*0.5%*0.5</f>
        <v>-4.5845000000000002</v>
      </c>
      <c r="AM66" s="19">
        <f>+AL66+AK66</f>
        <v>-11.050250000000002</v>
      </c>
      <c r="AN66" s="66">
        <f>+-AN102*0.5%*0.5</f>
        <v>-4.0326250000000003</v>
      </c>
      <c r="AO66" s="66">
        <f>+-AO102*0.5%*0.5</f>
        <v>-4.0607499999999996</v>
      </c>
      <c r="AP66" s="19">
        <f>+AO66+AN66</f>
        <v>-8.093375</v>
      </c>
      <c r="AQ66" s="66">
        <f>+-AQ102*0.5%*0.5</f>
        <v>-4.5294999999999996</v>
      </c>
      <c r="AR66" s="66">
        <f>+-AR102*0.5%*0.5</f>
        <v>-4.391</v>
      </c>
      <c r="AS66" s="19">
        <f>+AR66+AQ66</f>
        <v>-8.9205000000000005</v>
      </c>
      <c r="AT66" s="66">
        <f>+-AT102*0.5%*0.5</f>
        <v>-3.8984999999999999</v>
      </c>
      <c r="AU66" s="66">
        <f>+-AU102*0.5%*0.5</f>
        <v>-4.7530000000000001</v>
      </c>
      <c r="AV66" s="19">
        <f>+AU66+AT66</f>
        <v>-8.6515000000000004</v>
      </c>
      <c r="AW66" s="66">
        <f>+-AV102*0.5%*0.5</f>
        <v>-4.7530000000000001</v>
      </c>
      <c r="AX66" s="66">
        <f>+-AW102*0.5%*0.5</f>
        <v>-4.5635000000000003</v>
      </c>
      <c r="AY66" s="19">
        <f>+AX66+AW66</f>
        <v>-9.3165000000000013</v>
      </c>
      <c r="AZ66" s="66">
        <f>+-AY102*0.5%*0.5</f>
        <v>-4.6280000000000001</v>
      </c>
      <c r="BA66" s="66">
        <f>+-AZ102*0.5%*0.5</f>
        <v>-4.4137500000000003</v>
      </c>
      <c r="BB66" s="19">
        <f>+BA66+AZ66</f>
        <v>-9.0417500000000004</v>
      </c>
      <c r="BC66" s="66">
        <f>+-BB102*0.5%*0.5</f>
        <v>-3.55925</v>
      </c>
      <c r="BD66" s="66">
        <f>+-BC102*0.5%*0.5</f>
        <v>-3.9852499999999997</v>
      </c>
      <c r="BE66" s="19">
        <f>+BD66+BC66</f>
        <v>-7.5444999999999993</v>
      </c>
      <c r="BF66" s="66">
        <f>+-BE102*0.5%*0.5</f>
        <v>-4.1120000000000001</v>
      </c>
      <c r="BG66" s="66">
        <f>+-BF102*0.5%*0.5</f>
        <v>-4.1120000000000001</v>
      </c>
      <c r="BH66" s="19">
        <f>+BG66+BF66</f>
        <v>-8.2240000000000002</v>
      </c>
      <c r="BI66" s="66">
        <f>+-BH102*0.5%*0.5</f>
        <v>-4.4457500000000003</v>
      </c>
      <c r="BJ66" s="66">
        <f>+-BI102*0.5%*0.5</f>
        <v>-16.419499999999999</v>
      </c>
      <c r="BK66" s="19">
        <f>+BJ66+BI66</f>
        <v>-20.86525</v>
      </c>
      <c r="BL66" s="66">
        <f>+-BK102*0.5%*0.5</f>
        <v>-16.979749999999999</v>
      </c>
      <c r="BM66" s="66">
        <f>+-BL102*0.5%*0.5</f>
        <v>-14.005000000000001</v>
      </c>
      <c r="BN66" s="19">
        <f>+BM66+BL66</f>
        <v>-30.984749999999998</v>
      </c>
      <c r="BO66" s="66">
        <f>+-BN102*0.5%*0.5</f>
        <v>-14.206010261923776</v>
      </c>
      <c r="BP66" s="66">
        <f>+-BO102*0.5%*0.5</f>
        <v>-14.379577935078984</v>
      </c>
      <c r="BQ66" s="19">
        <f>+BP66+BO66</f>
        <v>-28.58558819700276</v>
      </c>
      <c r="BR66" s="66">
        <f>+-BQ102*0.5%*0.5</f>
        <v>-14.553352485580191</v>
      </c>
      <c r="BS66" s="66">
        <f>+-BR102*0.5%*0.5</f>
        <v>-14.694369826320663</v>
      </c>
      <c r="BT66" s="19">
        <f>+BS66+BR66</f>
        <v>-29.247722311900855</v>
      </c>
      <c r="BU66" s="66">
        <f>+-BT102*0.5%*0.5</f>
        <v>-14.83513611749898</v>
      </c>
      <c r="BV66" s="66">
        <f>+-BU102*0.5%*0.5</f>
        <v>-14.978413489644597</v>
      </c>
      <c r="BW66" s="19">
        <f>+BV66+BU66</f>
        <v>-29.813549607143578</v>
      </c>
      <c r="BX66" s="66">
        <f>+-BW102*0.5%*0.5</f>
        <v>-15.121413638638108</v>
      </c>
      <c r="BY66" s="66">
        <f>+-BX102*0.5%*0.5</f>
        <v>-15.266942481718688</v>
      </c>
      <c r="BZ66" s="19">
        <f>+BY66+BX66</f>
        <v>-30.388356120356796</v>
      </c>
      <c r="CA66" s="66">
        <f>+-BZ102*0.5%*0.5</f>
        <v>-15.412165574978056</v>
      </c>
      <c r="CB66" s="66">
        <f>+-CA102*0.5%*0.5</f>
        <v>-15.5863529531889</v>
      </c>
      <c r="CC66" s="19">
        <f>+CB66+CA66</f>
        <v>-30.998518528166954</v>
      </c>
      <c r="CD66" s="68"/>
      <c r="CE66" s="65"/>
      <c r="CF66" s="65"/>
      <c r="CG66" s="65"/>
      <c r="CH66" s="65"/>
      <c r="CI66" s="65"/>
      <c r="CJ66" s="65"/>
      <c r="CK66" s="19"/>
      <c r="CL66" s="58">
        <f>X66</f>
        <v>-11.70125</v>
      </c>
      <c r="CM66" s="19">
        <f>AA66</f>
        <v>-10.568249999999999</v>
      </c>
      <c r="CN66" s="19">
        <f>AD66</f>
        <v>-10.900500000000001</v>
      </c>
      <c r="CO66" s="19">
        <f>AG66</f>
        <v>-12.64625</v>
      </c>
      <c r="CP66" s="19">
        <f>AJ66</f>
        <v>-13.958000000000002</v>
      </c>
      <c r="CQ66" s="19">
        <f>AM66</f>
        <v>-11.050250000000002</v>
      </c>
      <c r="CR66" s="19">
        <f>AP66</f>
        <v>-8.093375</v>
      </c>
      <c r="CS66" s="19">
        <f>AS66</f>
        <v>-8.9205000000000005</v>
      </c>
      <c r="CT66" s="19">
        <f>AV66</f>
        <v>-8.6515000000000004</v>
      </c>
      <c r="CU66" s="19">
        <f>AY66</f>
        <v>-9.3165000000000013</v>
      </c>
      <c r="CV66" s="19">
        <f>BB66</f>
        <v>-9.0417500000000004</v>
      </c>
      <c r="CW66" s="19">
        <f>BE66</f>
        <v>-7.5444999999999993</v>
      </c>
      <c r="CX66" s="19">
        <f>BH66</f>
        <v>-8.2240000000000002</v>
      </c>
      <c r="CY66" s="19">
        <f>BK66</f>
        <v>-20.86525</v>
      </c>
      <c r="CZ66" s="19">
        <f>BN66</f>
        <v>-30.984749999999998</v>
      </c>
      <c r="DA66" s="19">
        <f>BQ66</f>
        <v>-28.58558819700276</v>
      </c>
      <c r="DB66" s="19">
        <f>BT66</f>
        <v>-29.247722311900855</v>
      </c>
      <c r="DC66" s="19">
        <f>BW66</f>
        <v>-29.813549607143578</v>
      </c>
      <c r="DD66" s="19">
        <f>BZ66</f>
        <v>-30.388356120356796</v>
      </c>
      <c r="DE66" s="19">
        <f>CC66</f>
        <v>-30.998518528166954</v>
      </c>
    </row>
    <row r="67" spans="1:137" ht="12.75" customHeight="1">
      <c r="A67" s="1"/>
      <c r="B67" s="145" t="s">
        <v>85</v>
      </c>
      <c r="C67" s="1"/>
      <c r="D67" s="1"/>
      <c r="E67" s="1"/>
      <c r="F67" s="66"/>
      <c r="G67" s="66"/>
      <c r="H67" s="66"/>
      <c r="I67" s="66"/>
      <c r="J67" s="66"/>
      <c r="K67" s="66"/>
      <c r="L67" s="105">
        <f t="shared" ref="L67:AD67" si="298">+L66/L102</f>
        <v>-5.0000000000000001E-3</v>
      </c>
      <c r="M67" s="105">
        <f t="shared" si="298"/>
        <v>-2.5000000000000001E-3</v>
      </c>
      <c r="N67" s="105">
        <f t="shared" si="298"/>
        <v>-2.5000000000000001E-3</v>
      </c>
      <c r="O67" s="105">
        <f t="shared" si="298"/>
        <v>-5.3074945037688446E-3</v>
      </c>
      <c r="P67" s="105">
        <f t="shared" si="298"/>
        <v>-2.5000000000000001E-3</v>
      </c>
      <c r="Q67" s="105">
        <f t="shared" si="298"/>
        <v>-2.5000000000000001E-3</v>
      </c>
      <c r="R67" s="105">
        <f t="shared" si="298"/>
        <v>-5.1156560376372194E-3</v>
      </c>
      <c r="S67" s="105">
        <f t="shared" si="298"/>
        <v>-2.5000000000000001E-3</v>
      </c>
      <c r="T67" s="105">
        <f t="shared" si="298"/>
        <v>-2.5000000000000001E-3</v>
      </c>
      <c r="U67" s="105">
        <f t="shared" si="298"/>
        <v>-4.8352709155075769E-3</v>
      </c>
      <c r="V67" s="105">
        <f t="shared" si="298"/>
        <v>-2.5000000000000001E-3</v>
      </c>
      <c r="W67" s="105">
        <f t="shared" si="298"/>
        <v>-2.5000000000000001E-3</v>
      </c>
      <c r="X67" s="105">
        <f t="shared" si="298"/>
        <v>-5.1798362107127044E-3</v>
      </c>
      <c r="Y67" s="105">
        <f t="shared" si="298"/>
        <v>-2.5000000000000001E-3</v>
      </c>
      <c r="Z67" s="105">
        <f t="shared" si="298"/>
        <v>-2.5000000000000001E-3</v>
      </c>
      <c r="AA67" s="105">
        <f t="shared" si="298"/>
        <v>-5.0556113662456941E-3</v>
      </c>
      <c r="AB67" s="105">
        <f t="shared" si="298"/>
        <v>-2.5000000000000001E-3</v>
      </c>
      <c r="AC67" s="105">
        <f t="shared" si="298"/>
        <v>-2.5000000000000001E-3</v>
      </c>
      <c r="AD67" s="105">
        <f t="shared" si="298"/>
        <v>-4.9758068197379842E-3</v>
      </c>
      <c r="AE67" s="105">
        <f t="shared" ref="AE67:BK67" si="299">+AD67</f>
        <v>-4.9758068197379842E-3</v>
      </c>
      <c r="AF67" s="105">
        <f t="shared" si="299"/>
        <v>-4.9758068197379842E-3</v>
      </c>
      <c r="AG67" s="105">
        <f t="shared" si="299"/>
        <v>-4.9758068197379842E-3</v>
      </c>
      <c r="AH67" s="105">
        <f t="shared" si="299"/>
        <v>-4.9758068197379842E-3</v>
      </c>
      <c r="AI67" s="105">
        <f t="shared" si="299"/>
        <v>-4.9758068197379842E-3</v>
      </c>
      <c r="AJ67" s="105">
        <f t="shared" si="299"/>
        <v>-4.9758068197379842E-3</v>
      </c>
      <c r="AK67" s="105">
        <f t="shared" si="299"/>
        <v>-4.9758068197379842E-3</v>
      </c>
      <c r="AL67" s="105">
        <f t="shared" si="299"/>
        <v>-4.9758068197379842E-3</v>
      </c>
      <c r="AM67" s="105">
        <f t="shared" si="299"/>
        <v>-4.9758068197379842E-3</v>
      </c>
      <c r="AN67" s="105">
        <f t="shared" si="299"/>
        <v>-4.9758068197379842E-3</v>
      </c>
      <c r="AO67" s="105">
        <f t="shared" si="299"/>
        <v>-4.9758068197379842E-3</v>
      </c>
      <c r="AP67" s="105">
        <f t="shared" si="299"/>
        <v>-4.9758068197379842E-3</v>
      </c>
      <c r="AQ67" s="105">
        <f t="shared" si="299"/>
        <v>-4.9758068197379842E-3</v>
      </c>
      <c r="AR67" s="105">
        <f t="shared" si="299"/>
        <v>-4.9758068197379842E-3</v>
      </c>
      <c r="AS67" s="105">
        <f t="shared" si="299"/>
        <v>-4.9758068197379842E-3</v>
      </c>
      <c r="AT67" s="105">
        <f t="shared" si="299"/>
        <v>-4.9758068197379842E-3</v>
      </c>
      <c r="AU67" s="105">
        <f t="shared" si="299"/>
        <v>-4.9758068197379842E-3</v>
      </c>
      <c r="AV67" s="105">
        <f t="shared" si="299"/>
        <v>-4.9758068197379842E-3</v>
      </c>
      <c r="AW67" s="105">
        <f t="shared" si="299"/>
        <v>-4.9758068197379842E-3</v>
      </c>
      <c r="AX67" s="105">
        <f t="shared" si="299"/>
        <v>-4.9758068197379842E-3</v>
      </c>
      <c r="AY67" s="105">
        <f t="shared" si="299"/>
        <v>-4.9758068197379842E-3</v>
      </c>
      <c r="AZ67" s="105">
        <f t="shared" si="299"/>
        <v>-4.9758068197379842E-3</v>
      </c>
      <c r="BA67" s="105">
        <f t="shared" si="299"/>
        <v>-4.9758068197379842E-3</v>
      </c>
      <c r="BB67" s="105">
        <f t="shared" si="299"/>
        <v>-4.9758068197379842E-3</v>
      </c>
      <c r="BC67" s="105">
        <f t="shared" si="299"/>
        <v>-4.9758068197379842E-3</v>
      </c>
      <c r="BD67" s="105">
        <f t="shared" si="299"/>
        <v>-4.9758068197379842E-3</v>
      </c>
      <c r="BE67" s="105">
        <f t="shared" si="299"/>
        <v>-4.9758068197379842E-3</v>
      </c>
      <c r="BF67" s="105">
        <f t="shared" si="299"/>
        <v>-4.9758068197379842E-3</v>
      </c>
      <c r="BG67" s="105">
        <f t="shared" si="299"/>
        <v>-4.9758068197379842E-3</v>
      </c>
      <c r="BH67" s="105">
        <f t="shared" si="299"/>
        <v>-4.9758068197379842E-3</v>
      </c>
      <c r="BI67" s="105">
        <f t="shared" si="299"/>
        <v>-4.9758068197379842E-3</v>
      </c>
      <c r="BJ67" s="105">
        <f t="shared" si="299"/>
        <v>-4.9758068197379842E-3</v>
      </c>
      <c r="BK67" s="105">
        <f t="shared" si="299"/>
        <v>-4.9758068197379842E-3</v>
      </c>
      <c r="BL67" s="105">
        <f t="shared" ref="BL67" si="300">+BK67</f>
        <v>-4.9758068197379842E-3</v>
      </c>
      <c r="BM67" s="105">
        <f t="shared" ref="BM67" si="301">+BL67</f>
        <v>-4.9758068197379842E-3</v>
      </c>
      <c r="BN67" s="105">
        <f t="shared" ref="BN67" si="302">+BM67</f>
        <v>-4.9758068197379842E-3</v>
      </c>
      <c r="BO67" s="105">
        <f t="shared" ref="BO67" si="303">+BN67</f>
        <v>-4.9758068197379842E-3</v>
      </c>
      <c r="BP67" s="105">
        <f t="shared" ref="BP67" si="304">+BO67</f>
        <v>-4.9758068197379842E-3</v>
      </c>
      <c r="BQ67" s="105">
        <f t="shared" ref="BQ67" si="305">+BP67</f>
        <v>-4.9758068197379842E-3</v>
      </c>
      <c r="BR67" s="105">
        <f t="shared" ref="BR67" si="306">+BQ67</f>
        <v>-4.9758068197379842E-3</v>
      </c>
      <c r="BS67" s="105">
        <f t="shared" ref="BS67" si="307">+BR67</f>
        <v>-4.9758068197379842E-3</v>
      </c>
      <c r="BT67" s="105">
        <f t="shared" ref="BT67" si="308">+BS67</f>
        <v>-4.9758068197379842E-3</v>
      </c>
      <c r="BU67" s="105">
        <f t="shared" ref="BU67" si="309">+BT67</f>
        <v>-4.9758068197379842E-3</v>
      </c>
      <c r="BV67" s="105">
        <f t="shared" ref="BV67" si="310">+BU67</f>
        <v>-4.9758068197379842E-3</v>
      </c>
      <c r="BW67" s="105">
        <f t="shared" ref="BW67" si="311">+BV67</f>
        <v>-4.9758068197379842E-3</v>
      </c>
      <c r="BX67" s="105">
        <f t="shared" ref="BX67" si="312">+BW67</f>
        <v>-4.9758068197379842E-3</v>
      </c>
      <c r="BY67" s="105">
        <f t="shared" ref="BY67" si="313">+BX67</f>
        <v>-4.9758068197379842E-3</v>
      </c>
      <c r="BZ67" s="105">
        <f t="shared" ref="BZ67" si="314">+BY67</f>
        <v>-4.9758068197379842E-3</v>
      </c>
      <c r="CA67" s="105">
        <f t="shared" ref="CA67" si="315">+BZ67</f>
        <v>-4.9758068197379842E-3</v>
      </c>
      <c r="CB67" s="105">
        <f t="shared" ref="CB67" si="316">+CA67</f>
        <v>-4.9758068197379842E-3</v>
      </c>
      <c r="CC67" s="105">
        <f t="shared" ref="CC67" si="317">+CB67</f>
        <v>-4.9758068197379842E-3</v>
      </c>
      <c r="CD67" s="68"/>
      <c r="CE67" s="65"/>
      <c r="CF67" s="65"/>
      <c r="CG67" s="65"/>
      <c r="CH67" s="65"/>
      <c r="CI67" s="65"/>
      <c r="CJ67" s="65"/>
      <c r="CK67" s="19"/>
      <c r="CL67" s="58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C67" s="19"/>
      <c r="DD67" s="19"/>
      <c r="DE67" s="19"/>
    </row>
    <row r="68" spans="1:137" ht="12.75" customHeight="1">
      <c r="A68" s="1"/>
      <c r="B68" s="112" t="s">
        <v>86</v>
      </c>
      <c r="C68" s="1"/>
      <c r="D68" s="1"/>
      <c r="E68" s="1"/>
      <c r="F68" s="66"/>
      <c r="G68" s="66"/>
      <c r="H68" s="66"/>
      <c r="I68" s="66"/>
      <c r="J68" s="66"/>
      <c r="K68" s="66"/>
      <c r="L68" s="103">
        <f>+-L8*8%*1/5</f>
        <v>-7.1840000000000002</v>
      </c>
      <c r="M68" s="103">
        <f>+-M8*8%*1/5</f>
        <v>-2.8159999999999998</v>
      </c>
      <c r="N68" s="103">
        <f>+-N8*8%*1/5</f>
        <v>-3.2480000000000002</v>
      </c>
      <c r="O68" s="103">
        <f>+N68+M68</f>
        <v>-6.0640000000000001</v>
      </c>
      <c r="P68" s="103">
        <f t="shared" ref="P68:AL68" si="318">+-P8*8%*1/5</f>
        <v>-2.6480000000000001</v>
      </c>
      <c r="Q68" s="103">
        <f t="shared" si="318"/>
        <v>-2.6192000000000006</v>
      </c>
      <c r="R68" s="103">
        <f>+Q68+P68</f>
        <v>-5.2672000000000008</v>
      </c>
      <c r="S68" s="103">
        <f t="shared" si="318"/>
        <v>-2.6368</v>
      </c>
      <c r="T68" s="103">
        <f t="shared" si="318"/>
        <v>-2.6352000000000002</v>
      </c>
      <c r="U68" s="103">
        <f>+T68+S68</f>
        <v>-5.2720000000000002</v>
      </c>
      <c r="V68" s="103">
        <f t="shared" si="318"/>
        <v>-2.7376</v>
      </c>
      <c r="W68" s="103">
        <f t="shared" si="318"/>
        <v>-2.9024000000000005</v>
      </c>
      <c r="X68" s="103">
        <f>+W68+V68</f>
        <v>-5.6400000000000006</v>
      </c>
      <c r="Y68" s="103">
        <f t="shared" si="318"/>
        <v>-3.0464000000000002</v>
      </c>
      <c r="Z68" s="103">
        <f t="shared" si="318"/>
        <v>-3.0831999999999997</v>
      </c>
      <c r="AA68" s="103">
        <f>+Z68+Y68</f>
        <v>-6.1295999999999999</v>
      </c>
      <c r="AB68" s="103">
        <f t="shared" si="318"/>
        <v>-2.9855999999999994</v>
      </c>
      <c r="AC68" s="103">
        <f t="shared" si="318"/>
        <v>-3.1935999999999996</v>
      </c>
      <c r="AD68" s="103">
        <f>+AC68+AB68</f>
        <v>-6.1791999999999989</v>
      </c>
      <c r="AE68" s="146">
        <f t="shared" si="318"/>
        <v>-3.1264000000000003</v>
      </c>
      <c r="AF68" s="103">
        <f t="shared" si="318"/>
        <v>-3.1872000000000003</v>
      </c>
      <c r="AG68" s="103">
        <f>+AF68+AE68</f>
        <v>-6.313600000000001</v>
      </c>
      <c r="AH68" s="103">
        <f t="shared" si="318"/>
        <v>-3.2943999999999996</v>
      </c>
      <c r="AI68" s="103">
        <f t="shared" si="318"/>
        <v>-3.2112000000000003</v>
      </c>
      <c r="AJ68" s="103">
        <f>+AI68+AH68</f>
        <v>-6.5055999999999994</v>
      </c>
      <c r="AK68" s="103">
        <f t="shared" si="318"/>
        <v>-3.1376000000000004</v>
      </c>
      <c r="AL68" s="103">
        <f t="shared" si="318"/>
        <v>-3.2095999999999996</v>
      </c>
      <c r="AM68" s="103">
        <f>+AL68+AK68</f>
        <v>-6.3472</v>
      </c>
      <c r="AN68" s="103">
        <f>+-AN8*8%*1/5</f>
        <v>-3.0896000000000003</v>
      </c>
      <c r="AO68" s="103">
        <f>+-AO8*8%*1/5</f>
        <v>-3.0672000000000006</v>
      </c>
      <c r="AP68" s="103">
        <f>+AO68+AN68</f>
        <v>-6.1568000000000005</v>
      </c>
      <c r="AQ68" s="103">
        <f>+-AQ8*8%*1/5</f>
        <v>-2.9087999999999998</v>
      </c>
      <c r="AR68" s="103">
        <f>+-AR8*8%*1/5</f>
        <v>-3.0448000000000004</v>
      </c>
      <c r="AS68" s="103">
        <f>+AR68+AQ68</f>
        <v>-5.9535999999999998</v>
      </c>
      <c r="AT68" s="103">
        <f>+-AT8*8%*1/5</f>
        <v>-3.4127999999999998</v>
      </c>
      <c r="AU68" s="103">
        <f>+-AU8*8%*1/5</f>
        <v>-3.3903999999999996</v>
      </c>
      <c r="AV68" s="103">
        <f>+AU68+AT68</f>
        <v>-6.8031999999999995</v>
      </c>
      <c r="AW68" s="103">
        <f>+-AW8*8%*1/5</f>
        <v>-3.1376000000000004</v>
      </c>
      <c r="AX68" s="103">
        <f>+-AX8*8%*1/5</f>
        <v>-3.4463999999999997</v>
      </c>
      <c r="AY68" s="103">
        <f>+AX68+AW68</f>
        <v>-6.5839999999999996</v>
      </c>
      <c r="AZ68" s="103">
        <f>+-AZ8*8%*1/5</f>
        <v>-3.7439999999999998</v>
      </c>
      <c r="BA68" s="103">
        <f>+-BA8*8%*1/5</f>
        <v>-4.1696000000000009</v>
      </c>
      <c r="BB68" s="103">
        <f>+BA68+AZ68</f>
        <v>-7.9136000000000006</v>
      </c>
      <c r="BC68" s="103">
        <f>+-BC8*8%*1/5</f>
        <v>-4.1616000000000009</v>
      </c>
      <c r="BD68" s="103">
        <f>+-BD8*8%*1/5</f>
        <v>-4.3407999999999998</v>
      </c>
      <c r="BE68" s="103">
        <f>+BD68+BC68</f>
        <v>-8.5024000000000015</v>
      </c>
      <c r="BF68" s="103">
        <f>+-BF8*8%*1/5</f>
        <v>-4.4512</v>
      </c>
      <c r="BG68" s="103">
        <f>+-BG8*8%*1/5</f>
        <v>-4.6224000000000016</v>
      </c>
      <c r="BH68" s="103">
        <f>+BG68+BF68</f>
        <v>-9.0736000000000026</v>
      </c>
      <c r="BI68" s="103">
        <f>+-BI8*8%*1/10</f>
        <v>-2.4951999999999996</v>
      </c>
      <c r="BJ68" s="103">
        <f>+-BJ8*8%*1/10</f>
        <v>-2.9264000000000006</v>
      </c>
      <c r="BK68" s="103">
        <f>+BJ68+BI68</f>
        <v>-5.4215999999999998</v>
      </c>
      <c r="BL68" s="103">
        <f t="shared" ref="BL68:BM68" si="319">+-BL8*8%*1/10</f>
        <v>-2.9280000000000004</v>
      </c>
      <c r="BM68" s="103">
        <f t="shared" si="319"/>
        <v>-3.0397904609801607</v>
      </c>
      <c r="BN68" s="103">
        <f t="shared" ref="BN68" si="320">+BM68+BL68</f>
        <v>-5.9677904609801615</v>
      </c>
      <c r="BO68" s="103">
        <f t="shared" ref="BO68:BP68" si="321">+-BO8*8%*1/10</f>
        <v>-3.2059640950682478</v>
      </c>
      <c r="BP68" s="103">
        <f t="shared" si="321"/>
        <v>-3.3875975645809904</v>
      </c>
      <c r="BQ68" s="103">
        <f t="shared" ref="BQ68" si="322">+BP68+BO68</f>
        <v>-6.5935616596492377</v>
      </c>
      <c r="BR68" s="103">
        <f t="shared" ref="BR68:BS68" si="323">+-BR8*8%*1/10</f>
        <v>-3.6129472922654871</v>
      </c>
      <c r="BS68" s="103">
        <f t="shared" si="323"/>
        <v>-3.8137869419876962</v>
      </c>
      <c r="BT68" s="103">
        <f t="shared" ref="BT68" si="324">+BS68+BR68</f>
        <v>-7.4267342342531837</v>
      </c>
      <c r="BU68" s="103">
        <f t="shared" ref="BU68:BV68" si="325">+-BU8*8%*1/10</f>
        <v>-4.059191223496315</v>
      </c>
      <c r="BV68" s="103">
        <f t="shared" si="325"/>
        <v>-4.2809697451821904</v>
      </c>
      <c r="BW68" s="103">
        <f t="shared" ref="BW68" si="326">+BV68+BU68</f>
        <v>-8.3401609686785054</v>
      </c>
      <c r="BX68" s="103">
        <f t="shared" ref="BX68:BY68" si="327">+-BX8*8%*1/10</f>
        <v>-4.5482346446399369</v>
      </c>
      <c r="BY68" s="103">
        <f t="shared" si="327"/>
        <v>-4.7928345016115674</v>
      </c>
      <c r="BZ68" s="103">
        <f t="shared" ref="BZ68" si="328">+BY68+BX68</f>
        <v>-9.3410691462515043</v>
      </c>
      <c r="CA68" s="103">
        <f t="shared" ref="CA68:CB68" si="329">+-CA8*8%*1/10</f>
        <v>-5.083922031147396</v>
      </c>
      <c r="CB68" s="103">
        <f t="shared" si="329"/>
        <v>-5.3533880616601976</v>
      </c>
      <c r="CC68" s="103">
        <f t="shared" ref="CC68" si="330">+CB68+CA68</f>
        <v>-10.437310092807593</v>
      </c>
      <c r="CD68" s="68"/>
      <c r="CE68" s="65"/>
      <c r="CF68" s="65"/>
      <c r="CG68" s="65"/>
      <c r="CH68" s="65"/>
      <c r="CI68" s="65"/>
      <c r="CJ68" s="65"/>
      <c r="CK68" s="19"/>
      <c r="CL68" s="147">
        <f>X68</f>
        <v>-5.6400000000000006</v>
      </c>
      <c r="CM68" s="103">
        <f>AA68</f>
        <v>-6.1295999999999999</v>
      </c>
      <c r="CN68" s="103">
        <f>AD68</f>
        <v>-6.1791999999999989</v>
      </c>
      <c r="CO68" s="103">
        <f>AG68</f>
        <v>-6.313600000000001</v>
      </c>
      <c r="CP68" s="103">
        <f>AJ68</f>
        <v>-6.5055999999999994</v>
      </c>
      <c r="CQ68" s="103">
        <f>AM68</f>
        <v>-6.3472</v>
      </c>
      <c r="CR68" s="103">
        <f>AP68</f>
        <v>-6.1568000000000005</v>
      </c>
      <c r="CS68" s="103">
        <f>AS68</f>
        <v>-5.9535999999999998</v>
      </c>
      <c r="CT68" s="103">
        <f>AV68</f>
        <v>-6.8031999999999995</v>
      </c>
      <c r="CU68" s="103">
        <f>AY68</f>
        <v>-6.5839999999999996</v>
      </c>
      <c r="CV68" s="103">
        <f>BB68</f>
        <v>-7.9136000000000006</v>
      </c>
      <c r="CW68" s="103">
        <f>BE68</f>
        <v>-8.5024000000000015</v>
      </c>
      <c r="CX68" s="103">
        <f>BH68</f>
        <v>-9.0736000000000026</v>
      </c>
      <c r="CY68" s="103">
        <f>BK68</f>
        <v>-5.4215999999999998</v>
      </c>
      <c r="CZ68" s="103">
        <f>BN68</f>
        <v>-5.9677904609801615</v>
      </c>
      <c r="DA68" s="103">
        <f>BQ68</f>
        <v>-6.5935616596492377</v>
      </c>
      <c r="DB68" s="103">
        <f>BT68</f>
        <v>-7.4267342342531837</v>
      </c>
      <c r="DC68" s="103">
        <f>BW68</f>
        <v>-8.3401609686785054</v>
      </c>
      <c r="DD68" s="103">
        <f>BZ68</f>
        <v>-9.3410691462515043</v>
      </c>
      <c r="DE68" s="103">
        <f>CC68</f>
        <v>-10.437310092807593</v>
      </c>
    </row>
    <row r="69" spans="1:137" ht="12.75" customHeight="1">
      <c r="A69" s="1"/>
      <c r="B69" s="145" t="s">
        <v>87</v>
      </c>
      <c r="C69" s="1"/>
      <c r="D69" s="1"/>
      <c r="E69" s="1"/>
      <c r="F69" s="66"/>
      <c r="G69" s="66"/>
      <c r="H69" s="66"/>
      <c r="I69" s="66"/>
      <c r="J69" s="66"/>
      <c r="K69" s="66"/>
      <c r="L69" s="105">
        <f t="shared" ref="L69:AB69" si="331">+ABS(L68)/L102</f>
        <v>2.5114490473693409E-3</v>
      </c>
      <c r="M69" s="105">
        <f>+ABS(M68)/M102</f>
        <v>9.8444327914700216E-4</v>
      </c>
      <c r="N69" s="105">
        <f t="shared" si="331"/>
        <v>1.2751256281407037E-3</v>
      </c>
      <c r="O69" s="105">
        <f t="shared" si="331"/>
        <v>2.3806532663316585E-3</v>
      </c>
      <c r="P69" s="105">
        <f t="shared" si="331"/>
        <v>1.1025064534932133E-3</v>
      </c>
      <c r="Q69" s="105">
        <f t="shared" si="331"/>
        <v>1.1409653249695071E-3</v>
      </c>
      <c r="R69" s="105">
        <f t="shared" si="331"/>
        <v>2.294476389614916E-3</v>
      </c>
      <c r="S69" s="105">
        <f t="shared" si="331"/>
        <v>1.172015290248022E-3</v>
      </c>
      <c r="T69" s="105">
        <f t="shared" si="331"/>
        <v>1.0941249740502388E-3</v>
      </c>
      <c r="U69" s="105">
        <f t="shared" si="331"/>
        <v>2.1889142619887897E-3</v>
      </c>
      <c r="V69" s="105">
        <f t="shared" si="331"/>
        <v>1.1305389221556886E-3</v>
      </c>
      <c r="W69" s="105">
        <f t="shared" si="331"/>
        <v>1.28481629039398E-3</v>
      </c>
      <c r="X69" s="105">
        <f t="shared" si="331"/>
        <v>2.4966799468791505E-3</v>
      </c>
      <c r="Y69" s="105">
        <f t="shared" si="331"/>
        <v>1.4256165473349246E-3</v>
      </c>
      <c r="Z69" s="105">
        <f t="shared" si="331"/>
        <v>1.474933027171833E-3</v>
      </c>
      <c r="AA69" s="105">
        <f>+ABS(AA68)/AA102</f>
        <v>2.9322617680826633E-3</v>
      </c>
      <c r="AB69" s="105">
        <f t="shared" si="331"/>
        <v>1.3761696243374047E-3</v>
      </c>
      <c r="AC69" s="105">
        <f>+AB69</f>
        <v>1.3761696243374047E-3</v>
      </c>
      <c r="AD69" s="105">
        <f>+AC69</f>
        <v>1.3761696243374047E-3</v>
      </c>
      <c r="AE69" s="105">
        <f t="shared" ref="AE69:BK69" si="332">+AD69</f>
        <v>1.3761696243374047E-3</v>
      </c>
      <c r="AF69" s="105">
        <f>+AE69</f>
        <v>1.3761696243374047E-3</v>
      </c>
      <c r="AG69" s="105">
        <f>+AF69</f>
        <v>1.3761696243374047E-3</v>
      </c>
      <c r="AH69" s="105">
        <f t="shared" si="332"/>
        <v>1.3761696243374047E-3</v>
      </c>
      <c r="AI69" s="105">
        <f t="shared" si="332"/>
        <v>1.3761696243374047E-3</v>
      </c>
      <c r="AJ69" s="105">
        <f t="shared" si="332"/>
        <v>1.3761696243374047E-3</v>
      </c>
      <c r="AK69" s="105">
        <f t="shared" si="332"/>
        <v>1.3761696243374047E-3</v>
      </c>
      <c r="AL69" s="105">
        <f t="shared" si="332"/>
        <v>1.3761696243374047E-3</v>
      </c>
      <c r="AM69" s="105">
        <f t="shared" si="332"/>
        <v>1.3761696243374047E-3</v>
      </c>
      <c r="AN69" s="105">
        <f t="shared" si="332"/>
        <v>1.3761696243374047E-3</v>
      </c>
      <c r="AO69" s="105">
        <f t="shared" si="332"/>
        <v>1.3761696243374047E-3</v>
      </c>
      <c r="AP69" s="105">
        <f t="shared" si="332"/>
        <v>1.3761696243374047E-3</v>
      </c>
      <c r="AQ69" s="105">
        <f t="shared" si="332"/>
        <v>1.3761696243374047E-3</v>
      </c>
      <c r="AR69" s="105">
        <f t="shared" si="332"/>
        <v>1.3761696243374047E-3</v>
      </c>
      <c r="AS69" s="105">
        <f t="shared" si="332"/>
        <v>1.3761696243374047E-3</v>
      </c>
      <c r="AT69" s="105">
        <f t="shared" si="332"/>
        <v>1.3761696243374047E-3</v>
      </c>
      <c r="AU69" s="105">
        <f t="shared" si="332"/>
        <v>1.3761696243374047E-3</v>
      </c>
      <c r="AV69" s="105">
        <f t="shared" si="332"/>
        <v>1.3761696243374047E-3</v>
      </c>
      <c r="AW69" s="105">
        <f t="shared" si="332"/>
        <v>1.3761696243374047E-3</v>
      </c>
      <c r="AX69" s="105">
        <f t="shared" si="332"/>
        <v>1.3761696243374047E-3</v>
      </c>
      <c r="AY69" s="105">
        <f t="shared" si="332"/>
        <v>1.3761696243374047E-3</v>
      </c>
      <c r="AZ69" s="105">
        <f t="shared" si="332"/>
        <v>1.3761696243374047E-3</v>
      </c>
      <c r="BA69" s="105">
        <f t="shared" si="332"/>
        <v>1.3761696243374047E-3</v>
      </c>
      <c r="BB69" s="105">
        <f t="shared" si="332"/>
        <v>1.3761696243374047E-3</v>
      </c>
      <c r="BC69" s="105">
        <f t="shared" si="332"/>
        <v>1.3761696243374047E-3</v>
      </c>
      <c r="BD69" s="105">
        <f t="shared" si="332"/>
        <v>1.3761696243374047E-3</v>
      </c>
      <c r="BE69" s="105">
        <f t="shared" si="332"/>
        <v>1.3761696243374047E-3</v>
      </c>
      <c r="BF69" s="105">
        <f t="shared" si="332"/>
        <v>1.3761696243374047E-3</v>
      </c>
      <c r="BG69" s="105">
        <f t="shared" si="332"/>
        <v>1.3761696243374047E-3</v>
      </c>
      <c r="BH69" s="105">
        <f t="shared" si="332"/>
        <v>1.3761696243374047E-3</v>
      </c>
      <c r="BI69" s="105">
        <f t="shared" si="332"/>
        <v>1.3761696243374047E-3</v>
      </c>
      <c r="BJ69" s="105">
        <f t="shared" si="332"/>
        <v>1.3761696243374047E-3</v>
      </c>
      <c r="BK69" s="105">
        <f t="shared" si="332"/>
        <v>1.3761696243374047E-3</v>
      </c>
      <c r="BL69" s="105">
        <f t="shared" ref="BL69" si="333">+BK69</f>
        <v>1.3761696243374047E-3</v>
      </c>
      <c r="BM69" s="105">
        <f t="shared" ref="BM69" si="334">+BL69</f>
        <v>1.3761696243374047E-3</v>
      </c>
      <c r="BN69" s="105">
        <f t="shared" ref="BN69" si="335">+BM69</f>
        <v>1.3761696243374047E-3</v>
      </c>
      <c r="BO69" s="105">
        <f t="shared" ref="BO69" si="336">+BN69</f>
        <v>1.3761696243374047E-3</v>
      </c>
      <c r="BP69" s="105">
        <f t="shared" ref="BP69" si="337">+BO69</f>
        <v>1.3761696243374047E-3</v>
      </c>
      <c r="BQ69" s="105">
        <f t="shared" ref="BQ69" si="338">+BP69</f>
        <v>1.3761696243374047E-3</v>
      </c>
      <c r="BR69" s="105">
        <f t="shared" ref="BR69" si="339">+BQ69</f>
        <v>1.3761696243374047E-3</v>
      </c>
      <c r="BS69" s="105">
        <f t="shared" ref="BS69" si="340">+BR69</f>
        <v>1.3761696243374047E-3</v>
      </c>
      <c r="BT69" s="105">
        <f t="shared" ref="BT69" si="341">+BS69</f>
        <v>1.3761696243374047E-3</v>
      </c>
      <c r="BU69" s="105">
        <f t="shared" ref="BU69" si="342">+BT69</f>
        <v>1.3761696243374047E-3</v>
      </c>
      <c r="BV69" s="105">
        <f t="shared" ref="BV69" si="343">+BU69</f>
        <v>1.3761696243374047E-3</v>
      </c>
      <c r="BW69" s="105">
        <f t="shared" ref="BW69" si="344">+BV69</f>
        <v>1.3761696243374047E-3</v>
      </c>
      <c r="BX69" s="105">
        <f t="shared" ref="BX69" si="345">+BW69</f>
        <v>1.3761696243374047E-3</v>
      </c>
      <c r="BY69" s="105">
        <f t="shared" ref="BY69" si="346">+BX69</f>
        <v>1.3761696243374047E-3</v>
      </c>
      <c r="BZ69" s="105">
        <f t="shared" ref="BZ69" si="347">+BY69</f>
        <v>1.3761696243374047E-3</v>
      </c>
      <c r="CA69" s="105">
        <f t="shared" ref="CA69" si="348">+BZ69</f>
        <v>1.3761696243374047E-3</v>
      </c>
      <c r="CB69" s="105">
        <f t="shared" ref="CB69" si="349">+CA69</f>
        <v>1.3761696243374047E-3</v>
      </c>
      <c r="CC69" s="105">
        <f t="shared" ref="CC69" si="350">+CB69</f>
        <v>1.3761696243374047E-3</v>
      </c>
      <c r="CD69" s="68"/>
      <c r="CE69" s="65"/>
      <c r="CF69" s="65"/>
      <c r="CG69" s="65"/>
      <c r="CH69" s="65"/>
      <c r="CI69" s="65"/>
      <c r="CJ69" s="65"/>
      <c r="CK69" s="19"/>
      <c r="CL69" s="147"/>
      <c r="CM69" s="103"/>
      <c r="CN69" s="103"/>
      <c r="CO69" s="103"/>
      <c r="CP69" s="103"/>
      <c r="CQ69" s="103"/>
      <c r="CR69" s="103"/>
      <c r="CS69" s="103"/>
      <c r="CT69" s="103"/>
      <c r="CU69" s="103"/>
      <c r="CV69" s="103"/>
      <c r="CW69" s="103"/>
      <c r="CX69" s="103"/>
      <c r="CY69" s="103"/>
      <c r="CZ69" s="103"/>
      <c r="DA69" s="103"/>
      <c r="DB69" s="103"/>
      <c r="DC69" s="103"/>
      <c r="DD69" s="103"/>
      <c r="DE69" s="103"/>
    </row>
    <row r="70" spans="1:137" s="86" customFormat="1" ht="12.75" customHeight="1" thickBot="1">
      <c r="A70" s="79"/>
      <c r="B70" s="80" t="s">
        <v>88</v>
      </c>
      <c r="C70" s="79"/>
      <c r="D70" s="81"/>
      <c r="E70" s="81"/>
      <c r="F70" s="82"/>
      <c r="G70" s="82"/>
      <c r="H70" s="82"/>
      <c r="I70" s="82"/>
      <c r="J70" s="82"/>
      <c r="K70" s="82"/>
      <c r="L70" s="82">
        <f t="shared" ref="L70:W70" si="351">L66+L68+L62</f>
        <v>587.91349999999989</v>
      </c>
      <c r="M70" s="82">
        <f t="shared" si="351"/>
        <v>393.94475000000011</v>
      </c>
      <c r="N70" s="82">
        <f t="shared" si="351"/>
        <v>396.51999999999992</v>
      </c>
      <c r="O70" s="82">
        <f t="shared" si="351"/>
        <v>772.16270918367343</v>
      </c>
      <c r="P70" s="82">
        <f t="shared" si="351"/>
        <v>131.83349999999996</v>
      </c>
      <c r="Q70" s="82">
        <f t="shared" si="351"/>
        <v>116.4234000000001</v>
      </c>
      <c r="R70" s="82">
        <f t="shared" si="351"/>
        <v>296.95690000000002</v>
      </c>
      <c r="S70" s="82">
        <f t="shared" si="351"/>
        <v>164.21629999999999</v>
      </c>
      <c r="T70" s="82">
        <f t="shared" si="351"/>
        <v>206.71994999999987</v>
      </c>
      <c r="U70" s="82">
        <f t="shared" si="351"/>
        <v>370.93624999999986</v>
      </c>
      <c r="V70" s="82">
        <f t="shared" si="351"/>
        <v>222.66184999999999</v>
      </c>
      <c r="W70" s="82">
        <f t="shared" si="351"/>
        <v>227.62690000000006</v>
      </c>
      <c r="X70" s="82">
        <f>X66+X68+X62</f>
        <v>450.28875000000016</v>
      </c>
      <c r="Y70" s="82">
        <f t="shared" ref="Y70:AU70" si="352">Y66+Y68+Y62</f>
        <v>259.59615000000002</v>
      </c>
      <c r="Z70" s="82">
        <f t="shared" si="352"/>
        <v>272.40320000000014</v>
      </c>
      <c r="AA70" s="82">
        <f t="shared" si="352"/>
        <v>531.99934999999994</v>
      </c>
      <c r="AB70" s="82">
        <f t="shared" si="352"/>
        <v>289.82984999999991</v>
      </c>
      <c r="AC70" s="82">
        <f>AC66+AC68+AC62</f>
        <v>298.82484999999991</v>
      </c>
      <c r="AD70" s="82">
        <f>AD66+AD68+AD62</f>
        <v>588.65469999999993</v>
      </c>
      <c r="AE70" s="82">
        <f>AE66+AE68+AE62</f>
        <v>320.44615000000005</v>
      </c>
      <c r="AF70" s="82">
        <f t="shared" si="352"/>
        <v>318.82919999999996</v>
      </c>
      <c r="AG70" s="82">
        <f t="shared" si="352"/>
        <v>639.27534999999989</v>
      </c>
      <c r="AH70" s="82">
        <f t="shared" si="352"/>
        <v>348.19964999999991</v>
      </c>
      <c r="AI70" s="82">
        <f t="shared" si="352"/>
        <v>350.71595000000002</v>
      </c>
      <c r="AJ70" s="82">
        <f t="shared" si="352"/>
        <v>698.91559999999981</v>
      </c>
      <c r="AK70" s="82">
        <f t="shared" si="352"/>
        <v>380.94985000000003</v>
      </c>
      <c r="AL70" s="82">
        <f t="shared" si="352"/>
        <v>382.41309999999999</v>
      </c>
      <c r="AM70" s="82">
        <f t="shared" si="352"/>
        <v>763.36294999999996</v>
      </c>
      <c r="AN70" s="82">
        <f t="shared" si="352"/>
        <v>416.49497500000001</v>
      </c>
      <c r="AO70" s="82">
        <f t="shared" si="352"/>
        <v>419.77245000000005</v>
      </c>
      <c r="AP70" s="82">
        <f t="shared" si="352"/>
        <v>836.26742500000012</v>
      </c>
      <c r="AQ70" s="82">
        <f t="shared" si="352"/>
        <v>459.74329999999992</v>
      </c>
      <c r="AR70" s="82">
        <f t="shared" si="352"/>
        <v>472.14779999999973</v>
      </c>
      <c r="AS70" s="82">
        <f t="shared" si="352"/>
        <v>931.89109999999971</v>
      </c>
      <c r="AT70" s="82">
        <f t="shared" si="352"/>
        <v>525.64830000000018</v>
      </c>
      <c r="AU70" s="82">
        <f t="shared" si="352"/>
        <v>524.19940000000008</v>
      </c>
      <c r="AV70" s="82">
        <f>AV66+AV68+AV62</f>
        <v>1049.8477000000003</v>
      </c>
      <c r="AW70" s="82">
        <f t="shared" ref="AW70:BK70" si="353">AW66+AW68+AW62</f>
        <v>609.36260000000004</v>
      </c>
      <c r="AX70" s="82">
        <f t="shared" si="353"/>
        <v>599.07489999999996</v>
      </c>
      <c r="AY70" s="82">
        <f t="shared" si="353"/>
        <v>1208.4375000000002</v>
      </c>
      <c r="AZ70" s="82">
        <f t="shared" si="353"/>
        <v>780.63599999999997</v>
      </c>
      <c r="BA70" s="82">
        <f t="shared" si="353"/>
        <v>736.34384999999997</v>
      </c>
      <c r="BB70" s="82">
        <f t="shared" si="353"/>
        <v>1516.9798499999997</v>
      </c>
      <c r="BC70" s="82">
        <f t="shared" si="353"/>
        <v>871.90034999999989</v>
      </c>
      <c r="BD70" s="82">
        <f t="shared" si="353"/>
        <v>901.62955000000011</v>
      </c>
      <c r="BE70" s="82">
        <f t="shared" si="353"/>
        <v>1773.5299</v>
      </c>
      <c r="BF70" s="82">
        <f t="shared" si="353"/>
        <v>1122.1751999999999</v>
      </c>
      <c r="BG70" s="82">
        <f t="shared" si="353"/>
        <v>916.73239999999998</v>
      </c>
      <c r="BH70" s="82">
        <f t="shared" si="353"/>
        <v>2038.9075999999998</v>
      </c>
      <c r="BI70" s="82">
        <f t="shared" si="353"/>
        <v>1219.2018499999999</v>
      </c>
      <c r="BJ70" s="82">
        <f t="shared" si="353"/>
        <v>1073.8436999999997</v>
      </c>
      <c r="BK70" s="82">
        <f t="shared" si="353"/>
        <v>2293.0455499999994</v>
      </c>
      <c r="BL70" s="82">
        <f t="shared" ref="BL70:BN70" si="354">BL66+BL68+BL62</f>
        <v>1187.9842500000002</v>
      </c>
      <c r="BM70" s="82">
        <f t="shared" ca="1" si="354"/>
        <v>1434.7459052301019</v>
      </c>
      <c r="BN70" s="82">
        <f t="shared" ca="1" si="354"/>
        <v>2622.7301552301019</v>
      </c>
      <c r="BO70" s="82">
        <f t="shared" ref="BO70:BQ70" ca="1" si="355">BO66+BO68+BO62</f>
        <v>1478.7928313593125</v>
      </c>
      <c r="BP70" s="82">
        <f t="shared" ca="1" si="355"/>
        <v>1477.9374458071559</v>
      </c>
      <c r="BQ70" s="82">
        <f t="shared" ca="1" si="355"/>
        <v>2956.7302771664681</v>
      </c>
      <c r="BR70" s="82">
        <f t="shared" ref="BR70:BT70" ca="1" si="356">BR66+BR68+BR62</f>
        <v>1665.0281213682192</v>
      </c>
      <c r="BS70" s="82">
        <f t="shared" ca="1" si="356"/>
        <v>1681.3137324363261</v>
      </c>
      <c r="BT70" s="82">
        <f t="shared" ca="1" si="356"/>
        <v>3346.3418538045453</v>
      </c>
      <c r="BU70" s="82">
        <f t="shared" ref="BU70:BZ70" ca="1" si="357">BU66+BU68+BU62</f>
        <v>1822.3674175549554</v>
      </c>
      <c r="BV70" s="82">
        <f t="shared" ca="1" si="357"/>
        <v>1844.7715643077433</v>
      </c>
      <c r="BW70" s="82">
        <f t="shared" ca="1" si="357"/>
        <v>3667.1389818626985</v>
      </c>
      <c r="BX70" s="82">
        <f t="shared" ca="1" si="357"/>
        <v>1947.332588119307</v>
      </c>
      <c r="BY70" s="82">
        <f t="shared" ca="1" si="357"/>
        <v>1960.7878063015323</v>
      </c>
      <c r="BZ70" s="82">
        <f t="shared" ca="1" si="357"/>
        <v>3908.1203944208396</v>
      </c>
      <c r="CA70" s="82">
        <f t="shared" ref="CA70:CC70" ca="1" si="358">CA66+CA68+CA62</f>
        <v>2096.1260275814921</v>
      </c>
      <c r="CB70" s="82">
        <f t="shared" ca="1" si="358"/>
        <v>2114.3336512033052</v>
      </c>
      <c r="CC70" s="82">
        <f t="shared" ca="1" si="358"/>
        <v>4210.4596787847986</v>
      </c>
      <c r="CD70" s="134"/>
      <c r="CE70" s="108"/>
      <c r="CF70" s="108"/>
      <c r="CG70" s="108"/>
      <c r="CH70" s="108"/>
      <c r="CI70" s="108"/>
      <c r="CJ70" s="108"/>
      <c r="CK70" s="51"/>
      <c r="CL70" s="85">
        <f>X70</f>
        <v>450.28875000000016</v>
      </c>
      <c r="CM70" s="82">
        <f>AA70</f>
        <v>531.99934999999994</v>
      </c>
      <c r="CN70" s="82">
        <f>AD70</f>
        <v>588.65469999999993</v>
      </c>
      <c r="CO70" s="82">
        <f>AG70</f>
        <v>639.27534999999989</v>
      </c>
      <c r="CP70" s="82">
        <f>AJ70</f>
        <v>698.91559999999981</v>
      </c>
      <c r="CQ70" s="82">
        <f>AM70</f>
        <v>763.36294999999996</v>
      </c>
      <c r="CR70" s="82">
        <f>AP70</f>
        <v>836.26742500000012</v>
      </c>
      <c r="CS70" s="82">
        <f>AS70</f>
        <v>931.89109999999971</v>
      </c>
      <c r="CT70" s="82">
        <f>AV70</f>
        <v>1049.8477000000003</v>
      </c>
      <c r="CU70" s="82">
        <f>AY70</f>
        <v>1208.4375000000002</v>
      </c>
      <c r="CV70" s="82">
        <f>BB70</f>
        <v>1516.9798499999997</v>
      </c>
      <c r="CW70" s="82">
        <f>BE70</f>
        <v>1773.5299</v>
      </c>
      <c r="CX70" s="82">
        <f>BH70</f>
        <v>2038.9075999999998</v>
      </c>
      <c r="CY70" s="82">
        <f>BK70</f>
        <v>2293.0455499999994</v>
      </c>
      <c r="CZ70" s="82">
        <f ca="1">BN70</f>
        <v>2622.7301552301019</v>
      </c>
      <c r="DA70" s="82">
        <f ca="1">BQ70</f>
        <v>2956.7302771664681</v>
      </c>
      <c r="DB70" s="82">
        <f ca="1">BT70</f>
        <v>3346.3418538045453</v>
      </c>
      <c r="DC70" s="82">
        <f ca="1">BW70</f>
        <v>3667.1389818626985</v>
      </c>
      <c r="DD70" s="82">
        <f ca="1">BZ70</f>
        <v>3908.1203944208396</v>
      </c>
      <c r="DE70" s="82">
        <f ca="1">CC70</f>
        <v>4210.4596787847986</v>
      </c>
      <c r="DF70" s="48"/>
      <c r="DG70" s="48"/>
      <c r="DH70" s="48"/>
      <c r="DI70" s="48"/>
      <c r="DJ70" s="48"/>
      <c r="DK70" s="48"/>
      <c r="EB70"/>
      <c r="EC70"/>
      <c r="ED70"/>
      <c r="EE70"/>
      <c r="EF70"/>
      <c r="EG70"/>
    </row>
    <row r="71" spans="1:137" ht="12.75" customHeight="1" thickTop="1">
      <c r="A71" s="1"/>
      <c r="B71" s="112" t="s">
        <v>89</v>
      </c>
      <c r="C71" s="1"/>
      <c r="F71" s="65"/>
      <c r="G71" s="65"/>
      <c r="H71" s="65"/>
      <c r="I71" s="65"/>
      <c r="J71" s="65"/>
      <c r="K71" s="65"/>
      <c r="L71" s="143">
        <v>-93.3</v>
      </c>
      <c r="M71" s="143">
        <v>-35.5</v>
      </c>
      <c r="N71" s="143">
        <v>-36.200000000000003</v>
      </c>
      <c r="O71" s="143">
        <v>-71.7</v>
      </c>
      <c r="P71" s="143">
        <v>-36</v>
      </c>
      <c r="Q71" s="143">
        <v>-36</v>
      </c>
      <c r="R71" s="143">
        <v>-72</v>
      </c>
      <c r="S71" s="143">
        <v>-36.5</v>
      </c>
      <c r="T71" s="143">
        <v>-37.700000000000003</v>
      </c>
      <c r="U71" s="143">
        <v>-74.2</v>
      </c>
      <c r="V71" s="143">
        <v>-42.8</v>
      </c>
      <c r="W71" s="143">
        <v>-45.2</v>
      </c>
      <c r="X71" s="143">
        <v>-88</v>
      </c>
      <c r="Y71" s="143">
        <v>-47.4</v>
      </c>
      <c r="Z71" s="143">
        <v>-45.699999999999996</v>
      </c>
      <c r="AA71" s="143">
        <v>-93.1</v>
      </c>
      <c r="AB71" s="143">
        <v>-46.3</v>
      </c>
      <c r="AC71" s="66">
        <f>-+Debt!J66</f>
        <v>-45.4</v>
      </c>
      <c r="AD71" s="66">
        <f>-+Debt!K66</f>
        <v>-91.699999999999989</v>
      </c>
      <c r="AE71" s="66">
        <f>-+Debt!L66</f>
        <v>-51</v>
      </c>
      <c r="AF71" s="66">
        <f>-+Debt!M66</f>
        <v>-51.8</v>
      </c>
      <c r="AG71" s="66">
        <f>-+Debt!N66</f>
        <v>-102.8</v>
      </c>
      <c r="AH71" s="66">
        <f>-+Debt!O66</f>
        <v>-46.2</v>
      </c>
      <c r="AI71" s="66">
        <f>-+Debt!P66</f>
        <v>-33.099999999999994</v>
      </c>
      <c r="AJ71" s="66">
        <f>-+Debt!Q66</f>
        <v>-79.3</v>
      </c>
      <c r="AK71" s="103">
        <f>-+Debt!R66</f>
        <v>-26.2</v>
      </c>
      <c r="AL71" s="103">
        <f>-+Debt!S66</f>
        <v>-20.500000000000004</v>
      </c>
      <c r="AM71" s="103">
        <f>-+Debt!T66</f>
        <v>-46.7</v>
      </c>
      <c r="AN71" s="103">
        <f>-+Debt!U66</f>
        <v>-9.1999999999999993</v>
      </c>
      <c r="AO71" s="103">
        <f>-+Debt!V66</f>
        <v>-8.3000000000000007</v>
      </c>
      <c r="AP71" s="103">
        <f>-+Debt!W66</f>
        <v>-17.5</v>
      </c>
      <c r="AQ71" s="103">
        <f>-+Debt!X66</f>
        <v>-9</v>
      </c>
      <c r="AR71" s="103">
        <f>-+Debt!Y66</f>
        <v>-5.3000000000000007</v>
      </c>
      <c r="AS71" s="103">
        <f>-+Debt!Z66</f>
        <v>-14.3</v>
      </c>
      <c r="AT71" s="103">
        <f>-+Debt!AA66</f>
        <v>-6.3</v>
      </c>
      <c r="AU71" s="103">
        <f>-+Debt!AB66</f>
        <v>-5.1000000000000005</v>
      </c>
      <c r="AV71" s="103">
        <f>-+Debt!AC66</f>
        <v>-11.4</v>
      </c>
      <c r="AW71" s="103">
        <f>-+Debt!AD66</f>
        <v>-4.2</v>
      </c>
      <c r="AX71" s="103">
        <f>-+Debt!AE66</f>
        <v>-2.5</v>
      </c>
      <c r="AY71" s="103">
        <f>-+Debt!AF66</f>
        <v>-6.7</v>
      </c>
      <c r="AZ71" s="103">
        <f>-+Debt!AG66</f>
        <v>-4</v>
      </c>
      <c r="BA71" s="103">
        <f>-+Debt!AH66</f>
        <v>-6.8000000000000007</v>
      </c>
      <c r="BB71" s="103">
        <f>-+Debt!AI66</f>
        <v>-10.8</v>
      </c>
      <c r="BC71" s="103">
        <f>-+Debt!AJ66</f>
        <v>-12</v>
      </c>
      <c r="BD71" s="103">
        <f>-+Debt!AK66</f>
        <v>-16.8</v>
      </c>
      <c r="BE71" s="103">
        <f>-+Debt!AL66</f>
        <v>-28.8</v>
      </c>
      <c r="BF71" s="103">
        <f>-+Debt!AM66</f>
        <v>-11.2</v>
      </c>
      <c r="BG71" s="103">
        <f>-+Debt!AN66</f>
        <v>-26.400000000000002</v>
      </c>
      <c r="BH71" s="103">
        <f>-+Debt!AO66</f>
        <v>-37.6</v>
      </c>
      <c r="BI71" s="103">
        <f>-+Debt!AP66</f>
        <v>-27.6</v>
      </c>
      <c r="BJ71" s="103">
        <f>-+Debt!AQ66</f>
        <v>-62.699999999999996</v>
      </c>
      <c r="BK71" s="103">
        <f>-+Debt!AR66</f>
        <v>-90.3</v>
      </c>
      <c r="BL71" s="103">
        <f>-+Debt!AS66</f>
        <v>-42.7</v>
      </c>
      <c r="BM71" s="103">
        <f>-+Debt!AT66</f>
        <v>-56.99</v>
      </c>
      <c r="BN71" s="103">
        <f>-+Debt!AU66</f>
        <v>-99.69</v>
      </c>
      <c r="BO71" s="103">
        <f>-+Debt!AV66</f>
        <v>-56.99</v>
      </c>
      <c r="BP71" s="103">
        <f>-+Debt!AW66</f>
        <v>-56.99</v>
      </c>
      <c r="BQ71" s="103">
        <f>-+Debt!AX66</f>
        <v>-113.98</v>
      </c>
      <c r="BR71" s="103">
        <f>-+Debt!AY66</f>
        <v>-56.99</v>
      </c>
      <c r="BS71" s="103">
        <f>-+Debt!AZ66</f>
        <v>-56.99</v>
      </c>
      <c r="BT71" s="103">
        <f>-+Debt!BA66</f>
        <v>-113.98</v>
      </c>
      <c r="BU71" s="103">
        <f>-+Debt!BB66</f>
        <v>-56.99</v>
      </c>
      <c r="BV71" s="103">
        <f>-+Debt!BC66</f>
        <v>-56.99</v>
      </c>
      <c r="BW71" s="103">
        <f>-+Debt!BD66</f>
        <v>-113.98</v>
      </c>
      <c r="BX71" s="103">
        <f>-+Debt!BE66</f>
        <v>-56.99</v>
      </c>
      <c r="BY71" s="103">
        <f>-+Debt!BF66</f>
        <v>-56.99</v>
      </c>
      <c r="BZ71" s="103">
        <f>-+Debt!BG66</f>
        <v>-113.98</v>
      </c>
      <c r="CA71" s="103">
        <f>-+Debt!BH66</f>
        <v>-56.99</v>
      </c>
      <c r="CB71" s="103">
        <f>-+Debt!BI66</f>
        <v>-56.99</v>
      </c>
      <c r="CC71" s="103">
        <f>-+Debt!BJ66</f>
        <v>-113.98</v>
      </c>
      <c r="CD71" s="68"/>
      <c r="CE71" s="65"/>
      <c r="CF71" s="65"/>
      <c r="CG71" s="65"/>
      <c r="CH71" s="65"/>
      <c r="CI71" s="65"/>
      <c r="CJ71" s="65"/>
      <c r="CK71" s="19"/>
      <c r="CL71" s="147">
        <f>X71</f>
        <v>-88</v>
      </c>
      <c r="CM71" s="103">
        <f>AA71</f>
        <v>-93.1</v>
      </c>
      <c r="CN71" s="103">
        <f>AD71</f>
        <v>-91.699999999999989</v>
      </c>
      <c r="CO71" s="103">
        <f>AG71</f>
        <v>-102.8</v>
      </c>
      <c r="CP71" s="103">
        <f>AJ71</f>
        <v>-79.3</v>
      </c>
      <c r="CQ71" s="103">
        <f>AM71</f>
        <v>-46.7</v>
      </c>
      <c r="CR71" s="103">
        <f>AP71</f>
        <v>-17.5</v>
      </c>
      <c r="CS71" s="103">
        <f>AS71</f>
        <v>-14.3</v>
      </c>
      <c r="CT71" s="103">
        <f>AV71</f>
        <v>-11.4</v>
      </c>
      <c r="CU71" s="103">
        <f>AY71</f>
        <v>-6.7</v>
      </c>
      <c r="CV71" s="103">
        <f>BB71</f>
        <v>-10.8</v>
      </c>
      <c r="CW71" s="103">
        <f>BE71</f>
        <v>-28.8</v>
      </c>
      <c r="CX71" s="103">
        <f>BH71</f>
        <v>-37.6</v>
      </c>
      <c r="CY71" s="103">
        <f>BK71</f>
        <v>-90.3</v>
      </c>
      <c r="CZ71" s="103">
        <f>BN71</f>
        <v>-99.69</v>
      </c>
      <c r="DA71" s="103">
        <f>BQ71</f>
        <v>-113.98</v>
      </c>
      <c r="DB71" s="103">
        <f>BT71</f>
        <v>-113.98</v>
      </c>
      <c r="DC71" s="103">
        <f>BW71</f>
        <v>-113.98</v>
      </c>
      <c r="DD71" s="103">
        <f>BZ71</f>
        <v>-113.98</v>
      </c>
      <c r="DE71" s="103">
        <f>CC71</f>
        <v>-113.98</v>
      </c>
    </row>
    <row r="72" spans="1:137" s="86" customFormat="1" ht="12.75" customHeight="1" thickBot="1">
      <c r="A72" s="79"/>
      <c r="B72" s="80" t="s">
        <v>90</v>
      </c>
      <c r="C72" s="79"/>
      <c r="D72" s="81"/>
      <c r="E72" s="81"/>
      <c r="F72" s="82"/>
      <c r="G72" s="82"/>
      <c r="H72" s="82"/>
      <c r="I72" s="82"/>
      <c r="J72" s="82"/>
      <c r="K72" s="82"/>
      <c r="L72" s="82">
        <f>+L70+L71</f>
        <v>494.61349999999987</v>
      </c>
      <c r="M72" s="82">
        <f t="shared" ref="M72:AU72" si="359">+M70+M71</f>
        <v>358.44475000000011</v>
      </c>
      <c r="N72" s="82">
        <f t="shared" si="359"/>
        <v>360.31999999999994</v>
      </c>
      <c r="O72" s="82">
        <f t="shared" si="359"/>
        <v>700.46270918367338</v>
      </c>
      <c r="P72" s="82">
        <f t="shared" si="359"/>
        <v>95.833499999999958</v>
      </c>
      <c r="Q72" s="82">
        <f t="shared" si="359"/>
        <v>80.4234000000001</v>
      </c>
      <c r="R72" s="82">
        <f t="shared" si="359"/>
        <v>224.95690000000002</v>
      </c>
      <c r="S72" s="82">
        <f t="shared" si="359"/>
        <v>127.71629999999999</v>
      </c>
      <c r="T72" s="82">
        <f t="shared" si="359"/>
        <v>169.01994999999988</v>
      </c>
      <c r="U72" s="82">
        <f t="shared" si="359"/>
        <v>296.73624999999987</v>
      </c>
      <c r="V72" s="82">
        <f t="shared" si="359"/>
        <v>179.86185</v>
      </c>
      <c r="W72" s="82">
        <f t="shared" si="359"/>
        <v>182.42690000000005</v>
      </c>
      <c r="X72" s="82">
        <f t="shared" si="359"/>
        <v>362.28875000000016</v>
      </c>
      <c r="Y72" s="82">
        <f t="shared" si="359"/>
        <v>212.19615000000002</v>
      </c>
      <c r="Z72" s="82">
        <f t="shared" si="359"/>
        <v>226.70320000000015</v>
      </c>
      <c r="AA72" s="82">
        <f t="shared" si="359"/>
        <v>438.89934999999991</v>
      </c>
      <c r="AB72" s="82">
        <f t="shared" si="359"/>
        <v>243.5298499999999</v>
      </c>
      <c r="AC72" s="82">
        <f t="shared" si="359"/>
        <v>253.42484999999991</v>
      </c>
      <c r="AD72" s="82">
        <f t="shared" si="359"/>
        <v>496.95469999999995</v>
      </c>
      <c r="AE72" s="82">
        <f>+AE70+AE71</f>
        <v>269.44615000000005</v>
      </c>
      <c r="AF72" s="82">
        <f>+AF70+AF71</f>
        <v>267.02919999999995</v>
      </c>
      <c r="AG72" s="82">
        <f>+AG70+AG71</f>
        <v>536.47534999999993</v>
      </c>
      <c r="AH72" s="82">
        <f t="shared" si="359"/>
        <v>301.99964999999992</v>
      </c>
      <c r="AI72" s="82">
        <f t="shared" si="359"/>
        <v>317.61595</v>
      </c>
      <c r="AJ72" s="82">
        <f>+AJ70+AJ71</f>
        <v>619.61559999999986</v>
      </c>
      <c r="AK72" s="82">
        <f t="shared" si="359"/>
        <v>354.74985000000004</v>
      </c>
      <c r="AL72" s="82">
        <f t="shared" si="359"/>
        <v>361.91309999999999</v>
      </c>
      <c r="AM72" s="82">
        <f>+AM70+AM71</f>
        <v>716.66294999999991</v>
      </c>
      <c r="AN72" s="82">
        <f t="shared" si="359"/>
        <v>407.29497500000002</v>
      </c>
      <c r="AO72" s="82">
        <f t="shared" si="359"/>
        <v>411.47245000000004</v>
      </c>
      <c r="AP72" s="82">
        <f>+AP70+AP71</f>
        <v>818.76742500000012</v>
      </c>
      <c r="AQ72" s="82">
        <f t="shared" si="359"/>
        <v>450.74329999999992</v>
      </c>
      <c r="AR72" s="82">
        <f t="shared" si="359"/>
        <v>466.84779999999972</v>
      </c>
      <c r="AS72" s="82">
        <f>+AS70+AS71</f>
        <v>917.59109999999976</v>
      </c>
      <c r="AT72" s="82">
        <f t="shared" si="359"/>
        <v>519.34830000000022</v>
      </c>
      <c r="AU72" s="82">
        <f t="shared" si="359"/>
        <v>519.09940000000006</v>
      </c>
      <c r="AV72" s="82">
        <f>+AV70+AV71</f>
        <v>1038.4477000000002</v>
      </c>
      <c r="AW72" s="82">
        <f t="shared" ref="AW72:BK72" si="360">+AW70+AW71</f>
        <v>605.1626</v>
      </c>
      <c r="AX72" s="82">
        <f t="shared" si="360"/>
        <v>596.57489999999996</v>
      </c>
      <c r="AY72" s="82">
        <f t="shared" si="360"/>
        <v>1201.7375000000002</v>
      </c>
      <c r="AZ72" s="82">
        <f t="shared" si="360"/>
        <v>776.63599999999997</v>
      </c>
      <c r="BA72" s="82">
        <f t="shared" si="360"/>
        <v>729.54385000000002</v>
      </c>
      <c r="BB72" s="82">
        <f t="shared" si="360"/>
        <v>1506.1798499999998</v>
      </c>
      <c r="BC72" s="82">
        <f t="shared" si="360"/>
        <v>859.90034999999989</v>
      </c>
      <c r="BD72" s="82">
        <f t="shared" si="360"/>
        <v>884.82955000000015</v>
      </c>
      <c r="BE72" s="82">
        <f t="shared" si="360"/>
        <v>1744.7299</v>
      </c>
      <c r="BF72" s="82">
        <f t="shared" si="360"/>
        <v>1110.9751999999999</v>
      </c>
      <c r="BG72" s="82">
        <f t="shared" si="360"/>
        <v>890.33240000000001</v>
      </c>
      <c r="BH72" s="82">
        <f t="shared" si="360"/>
        <v>2001.3075999999999</v>
      </c>
      <c r="BI72" s="82">
        <f t="shared" si="360"/>
        <v>1191.60185</v>
      </c>
      <c r="BJ72" s="82">
        <f t="shared" si="360"/>
        <v>1011.1436999999996</v>
      </c>
      <c r="BK72" s="82">
        <f t="shared" si="360"/>
        <v>2202.7455499999992</v>
      </c>
      <c r="BL72" s="82">
        <f t="shared" ref="BL72:BN72" si="361">+BL70+BL71</f>
        <v>1145.2842500000002</v>
      </c>
      <c r="BM72" s="82">
        <f t="shared" ca="1" si="361"/>
        <v>1377.7559052301019</v>
      </c>
      <c r="BN72" s="82">
        <f t="shared" ca="1" si="361"/>
        <v>2523.0401552301018</v>
      </c>
      <c r="BO72" s="82">
        <f t="shared" ref="BO72:BQ72" ca="1" si="362">+BO70+BO71</f>
        <v>1421.8028313593124</v>
      </c>
      <c r="BP72" s="82">
        <f t="shared" ca="1" si="362"/>
        <v>1420.9474458071559</v>
      </c>
      <c r="BQ72" s="82">
        <f t="shared" ca="1" si="362"/>
        <v>2842.7502771664681</v>
      </c>
      <c r="BR72" s="82">
        <f t="shared" ref="BR72:BT72" ca="1" si="363">+BR70+BR71</f>
        <v>1608.0381213682192</v>
      </c>
      <c r="BS72" s="82">
        <f t="shared" ca="1" si="363"/>
        <v>1624.3237324363261</v>
      </c>
      <c r="BT72" s="82">
        <f t="shared" ca="1" si="363"/>
        <v>3232.3618538045453</v>
      </c>
      <c r="BU72" s="82">
        <f t="shared" ref="BU72:BZ72" ca="1" si="364">+BU70+BU71</f>
        <v>1765.3774175549554</v>
      </c>
      <c r="BV72" s="82">
        <f t="shared" ca="1" si="364"/>
        <v>1787.7815643077433</v>
      </c>
      <c r="BW72" s="82">
        <f t="shared" ca="1" si="364"/>
        <v>3553.1589818626985</v>
      </c>
      <c r="BX72" s="82">
        <f t="shared" ca="1" si="364"/>
        <v>1890.342588119307</v>
      </c>
      <c r="BY72" s="82">
        <f t="shared" ca="1" si="364"/>
        <v>1903.7978063015323</v>
      </c>
      <c r="BZ72" s="82">
        <f t="shared" ca="1" si="364"/>
        <v>3794.1403944208396</v>
      </c>
      <c r="CA72" s="82">
        <f t="shared" ref="CA72:CC72" ca="1" si="365">+CA70+CA71</f>
        <v>2039.136027581492</v>
      </c>
      <c r="CB72" s="82">
        <f t="shared" ca="1" si="365"/>
        <v>2057.3436512033054</v>
      </c>
      <c r="CC72" s="82">
        <f t="shared" ca="1" si="365"/>
        <v>4096.479678784799</v>
      </c>
      <c r="CD72" s="134"/>
      <c r="CE72" s="108"/>
      <c r="CF72" s="108"/>
      <c r="CG72" s="108"/>
      <c r="CH72" s="108"/>
      <c r="CI72" s="108"/>
      <c r="CJ72" s="108"/>
      <c r="CK72" s="51"/>
      <c r="CL72" s="85">
        <f>X72</f>
        <v>362.28875000000016</v>
      </c>
      <c r="CM72" s="82">
        <f>AA72</f>
        <v>438.89934999999991</v>
      </c>
      <c r="CN72" s="82">
        <f>AD72</f>
        <v>496.95469999999995</v>
      </c>
      <c r="CO72" s="82">
        <f>AG72</f>
        <v>536.47534999999993</v>
      </c>
      <c r="CP72" s="82">
        <f>AJ72</f>
        <v>619.61559999999986</v>
      </c>
      <c r="CQ72" s="82">
        <f>AM72</f>
        <v>716.66294999999991</v>
      </c>
      <c r="CR72" s="82">
        <f>AP72</f>
        <v>818.76742500000012</v>
      </c>
      <c r="CS72" s="82">
        <f>AS72</f>
        <v>917.59109999999976</v>
      </c>
      <c r="CT72" s="82">
        <f>AV72</f>
        <v>1038.4477000000002</v>
      </c>
      <c r="CU72" s="82">
        <f>AY72</f>
        <v>1201.7375000000002</v>
      </c>
      <c r="CV72" s="82">
        <f>BB72</f>
        <v>1506.1798499999998</v>
      </c>
      <c r="CW72" s="82">
        <f>BE72</f>
        <v>1744.7299</v>
      </c>
      <c r="CX72" s="82">
        <f>BH72</f>
        <v>2001.3075999999999</v>
      </c>
      <c r="CY72" s="82">
        <f>BK72</f>
        <v>2202.7455499999992</v>
      </c>
      <c r="CZ72" s="82">
        <f ca="1">BN72</f>
        <v>2523.0401552301018</v>
      </c>
      <c r="DA72" s="82">
        <f ca="1">BQ72</f>
        <v>2842.7502771664681</v>
      </c>
      <c r="DB72" s="82">
        <f ca="1">BT72</f>
        <v>3232.3618538045453</v>
      </c>
      <c r="DC72" s="82">
        <f ca="1">BW72</f>
        <v>3553.1589818626985</v>
      </c>
      <c r="DD72" s="82">
        <f ca="1">BZ72</f>
        <v>3794.1403944208396</v>
      </c>
      <c r="DE72" s="82">
        <f ca="1">CC72</f>
        <v>4096.479678784799</v>
      </c>
      <c r="DF72" s="48"/>
      <c r="DG72" s="48"/>
      <c r="DH72" s="48"/>
      <c r="DI72" s="48"/>
      <c r="DJ72" s="48"/>
      <c r="DK72" s="48"/>
      <c r="EB72"/>
      <c r="EC72"/>
      <c r="ED72"/>
      <c r="EE72"/>
      <c r="EF72"/>
      <c r="EG72"/>
    </row>
    <row r="73" spans="1:137" ht="12.75" customHeight="1" thickTop="1">
      <c r="A73" s="1"/>
      <c r="B73" s="112"/>
      <c r="C73" s="1"/>
      <c r="D73" s="1"/>
      <c r="E73" s="1"/>
      <c r="F73" s="148"/>
      <c r="G73" s="148"/>
      <c r="H73" s="148"/>
      <c r="I73" s="148"/>
      <c r="J73" s="148"/>
      <c r="K73" s="148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19"/>
      <c r="CA73" s="19"/>
      <c r="CB73" s="19"/>
      <c r="CC73" s="19"/>
      <c r="CD73" s="68"/>
      <c r="CE73" s="65"/>
      <c r="CF73" s="65"/>
      <c r="CG73" s="65"/>
      <c r="CH73" s="65"/>
      <c r="CI73" s="65"/>
      <c r="CJ73" s="65"/>
      <c r="CK73" s="19"/>
      <c r="CL73" s="58"/>
      <c r="CM73" s="19"/>
      <c r="CN73" s="19"/>
      <c r="CO73" s="19"/>
      <c r="CP73" s="19"/>
      <c r="CQ73" s="19"/>
      <c r="CR73" s="19"/>
      <c r="CS73" s="19"/>
      <c r="CT73" s="19"/>
      <c r="CU73" s="19"/>
      <c r="CV73" s="19"/>
      <c r="CW73" s="19"/>
      <c r="CX73" s="19"/>
      <c r="CY73" s="19"/>
      <c r="CZ73" s="19"/>
      <c r="DA73" s="19"/>
      <c r="DB73" s="19"/>
      <c r="DC73" s="19"/>
      <c r="DD73" s="19"/>
      <c r="DE73" s="19"/>
    </row>
    <row r="74" spans="1:137" s="86" customFormat="1" ht="12.75" customHeight="1" thickBot="1">
      <c r="A74" s="79"/>
      <c r="B74" s="80" t="s">
        <v>91</v>
      </c>
      <c r="C74" s="79"/>
      <c r="D74" s="81"/>
      <c r="E74" s="81"/>
      <c r="F74" s="82"/>
      <c r="G74" s="82"/>
      <c r="H74" s="82"/>
      <c r="I74" s="82"/>
      <c r="J74" s="82"/>
      <c r="K74" s="82"/>
      <c r="L74" s="82">
        <f t="shared" ref="L74:BK74" si="366">L51/L211*100</f>
        <v>182.68030329747833</v>
      </c>
      <c r="M74" s="82">
        <f t="shared" si="366"/>
        <v>44.95736504426214</v>
      </c>
      <c r="N74" s="82">
        <f t="shared" si="366"/>
        <v>-1.4061346304770765</v>
      </c>
      <c r="O74" s="82">
        <f t="shared" si="366"/>
        <v>26.138526950230855</v>
      </c>
      <c r="P74" s="82">
        <f t="shared" si="366"/>
        <v>-5.7810454224997514</v>
      </c>
      <c r="Q74" s="82">
        <f t="shared" si="366"/>
        <v>-3.1563706096767481</v>
      </c>
      <c r="R74" s="82">
        <f t="shared" si="366"/>
        <v>-4.645294307181751</v>
      </c>
      <c r="S74" s="82">
        <f t="shared" si="366"/>
        <v>17.788791460160123</v>
      </c>
      <c r="T74" s="82">
        <f t="shared" si="366"/>
        <v>12.430107526881711</v>
      </c>
      <c r="U74" s="82">
        <f t="shared" si="366"/>
        <v>29.97273196256171</v>
      </c>
      <c r="V74" s="82">
        <f t="shared" si="366"/>
        <v>17.284871499287988</v>
      </c>
      <c r="W74" s="82">
        <f t="shared" si="366"/>
        <v>16.162196679438061</v>
      </c>
      <c r="X74" s="82">
        <f t="shared" si="366"/>
        <v>33.438651922064253</v>
      </c>
      <c r="Y74" s="82">
        <f t="shared" si="366"/>
        <v>9.3434844469799305</v>
      </c>
      <c r="Z74" s="82">
        <f t="shared" si="366"/>
        <v>0.37675869782775601</v>
      </c>
      <c r="AA74" s="82">
        <f t="shared" si="366"/>
        <v>9.5981876713962055</v>
      </c>
      <c r="AB74" s="82">
        <f t="shared" si="366"/>
        <v>9.2985507246376784</v>
      </c>
      <c r="AC74" s="82">
        <f t="shared" si="366"/>
        <v>35.486484922150829</v>
      </c>
      <c r="AD74" s="82">
        <f t="shared" si="366"/>
        <v>44.805514524864591</v>
      </c>
      <c r="AE74" s="82">
        <f t="shared" si="366"/>
        <v>29.309665671400865</v>
      </c>
      <c r="AF74" s="82">
        <f t="shared" si="366"/>
        <v>39.686613347750153</v>
      </c>
      <c r="AG74" s="82">
        <f t="shared" si="366"/>
        <v>68.843676981820252</v>
      </c>
      <c r="AH74" s="82">
        <f t="shared" si="366"/>
        <v>51.77404820905609</v>
      </c>
      <c r="AI74" s="82">
        <f t="shared" si="366"/>
        <v>19.938831055865762</v>
      </c>
      <c r="AJ74" s="82">
        <f t="shared" si="366"/>
        <v>71.558499887716138</v>
      </c>
      <c r="AK74" s="82">
        <f t="shared" si="366"/>
        <v>31.002227171492201</v>
      </c>
      <c r="AL74" s="82">
        <f t="shared" si="366"/>
        <v>12.305382562277584</v>
      </c>
      <c r="AM74" s="82">
        <f t="shared" si="366"/>
        <v>43.266236654804267</v>
      </c>
      <c r="AN74" s="82">
        <f t="shared" si="366"/>
        <v>29.996683617068321</v>
      </c>
      <c r="AO74" s="82">
        <f t="shared" si="366"/>
        <v>30.677048818201904</v>
      </c>
      <c r="AP74" s="82">
        <f t="shared" si="366"/>
        <v>60.647227744643253</v>
      </c>
      <c r="AQ74" s="82">
        <f t="shared" si="366"/>
        <v>50.945464510824877</v>
      </c>
      <c r="AR74" s="82">
        <f t="shared" si="366"/>
        <v>38.24830157628611</v>
      </c>
      <c r="AS74" s="82">
        <f t="shared" si="366"/>
        <v>89.145647768351893</v>
      </c>
      <c r="AT74" s="82">
        <f>AT51/AT211*100</f>
        <v>44.00521285838402</v>
      </c>
      <c r="AU74" s="82">
        <f t="shared" si="366"/>
        <v>37.62338648443432</v>
      </c>
      <c r="AV74" s="82">
        <f t="shared" si="366"/>
        <v>81.576092851719281</v>
      </c>
      <c r="AW74" s="82">
        <f t="shared" si="366"/>
        <v>55.957773321915624</v>
      </c>
      <c r="AX74" s="82">
        <f t="shared" si="366"/>
        <v>38.827414465136421</v>
      </c>
      <c r="AY74" s="82">
        <f t="shared" si="366"/>
        <v>95.210047639670847</v>
      </c>
      <c r="AZ74" s="82">
        <f t="shared" si="366"/>
        <v>57.384246563353912</v>
      </c>
      <c r="BA74" s="82">
        <f t="shared" si="366"/>
        <v>48.294490172317708</v>
      </c>
      <c r="BB74" s="82">
        <f t="shared" si="366"/>
        <v>105.67873673567163</v>
      </c>
      <c r="BC74" s="82">
        <f t="shared" si="366"/>
        <v>55.013719755384201</v>
      </c>
      <c r="BD74" s="82">
        <f t="shared" si="366"/>
        <v>56.320179846601434</v>
      </c>
      <c r="BE74" s="82">
        <f t="shared" si="366"/>
        <v>111.03115248320728</v>
      </c>
      <c r="BF74" s="82">
        <f t="shared" si="366"/>
        <v>68.802653748946923</v>
      </c>
      <c r="BG74" s="82">
        <f t="shared" si="366"/>
        <v>57.987573715248516</v>
      </c>
      <c r="BH74" s="82">
        <f t="shared" si="366"/>
        <v>126.79022746419544</v>
      </c>
      <c r="BI74" s="82">
        <f t="shared" si="366"/>
        <v>73.297917974471645</v>
      </c>
      <c r="BJ74" s="82">
        <f t="shared" si="366"/>
        <v>91.717202904530581</v>
      </c>
      <c r="BK74" s="82">
        <f t="shared" si="366"/>
        <v>160.69923323143092</v>
      </c>
      <c r="BL74" s="82">
        <f t="shared" ref="BL74:BN74" si="367">BL51/BL211*100</f>
        <v>70.036140453834122</v>
      </c>
      <c r="BM74" s="82">
        <f t="shared" ca="1" si="367"/>
        <v>81.955692977289303</v>
      </c>
      <c r="BN74" s="82">
        <f t="shared" ca="1" si="367"/>
        <v>151.99183343112344</v>
      </c>
      <c r="BO74" s="82">
        <f t="shared" ref="BO74:BQ74" ca="1" si="368">BO51/BO211*100</f>
        <v>84.002099533247829</v>
      </c>
      <c r="BP74" s="82">
        <f t="shared" ca="1" si="368"/>
        <v>83.964314194155605</v>
      </c>
      <c r="BQ74" s="82">
        <f t="shared" ca="1" si="368"/>
        <v>167.96641372740342</v>
      </c>
      <c r="BR74" s="82">
        <f t="shared" ref="BR74:BT74" ca="1" si="369">BR51/BR211*100</f>
        <v>93.510143700572812</v>
      </c>
      <c r="BS74" s="82">
        <f t="shared" ca="1" si="369"/>
        <v>94.308569394234098</v>
      </c>
      <c r="BT74" s="82">
        <f t="shared" ca="1" si="369"/>
        <v>187.81871309480692</v>
      </c>
      <c r="BU74" s="82">
        <f t="shared" ref="BU74:BZ74" ca="1" si="370">BU51/BU211*100</f>
        <v>101.62847680912752</v>
      </c>
      <c r="BV74" s="82">
        <f t="shared" ca="1" si="370"/>
        <v>102.72572518863119</v>
      </c>
      <c r="BW74" s="82">
        <f t="shared" ca="1" si="370"/>
        <v>204.35420199775871</v>
      </c>
      <c r="BX74" s="82">
        <f t="shared" ca="1" si="370"/>
        <v>108.18624059334408</v>
      </c>
      <c r="BY74" s="82">
        <f t="shared" ca="1" si="370"/>
        <v>108.8453978261698</v>
      </c>
      <c r="BZ74" s="82">
        <f t="shared" ca="1" si="370"/>
        <v>217.03163841951388</v>
      </c>
      <c r="CA74" s="82">
        <f t="shared" ref="CA74:CC74" ca="1" si="371">CA51/CA211*100</f>
        <v>115.9335652672911</v>
      </c>
      <c r="CB74" s="82">
        <f t="shared" ca="1" si="371"/>
        <v>116.82593019221123</v>
      </c>
      <c r="CC74" s="82">
        <f t="shared" ca="1" si="371"/>
        <v>232.75949545950235</v>
      </c>
      <c r="CD74" s="134"/>
      <c r="CE74" s="108"/>
      <c r="CF74" s="108"/>
      <c r="CG74" s="108"/>
      <c r="CH74" s="108"/>
      <c r="CI74" s="108"/>
      <c r="CJ74" s="108"/>
      <c r="CK74" s="51"/>
      <c r="CL74" s="85">
        <f>X74</f>
        <v>33.438651922064253</v>
      </c>
      <c r="CM74" s="82">
        <f>AA74</f>
        <v>9.5981876713962055</v>
      </c>
      <c r="CN74" s="82">
        <f>AD74</f>
        <v>44.805514524864591</v>
      </c>
      <c r="CO74" s="82">
        <f>AG74</f>
        <v>68.843676981820252</v>
      </c>
      <c r="CP74" s="82">
        <f>AJ74</f>
        <v>71.558499887716138</v>
      </c>
      <c r="CQ74" s="82">
        <f>AM74</f>
        <v>43.266236654804267</v>
      </c>
      <c r="CR74" s="82">
        <f>AP74</f>
        <v>60.647227744643253</v>
      </c>
      <c r="CS74" s="82">
        <f>AS74</f>
        <v>89.145647768351893</v>
      </c>
      <c r="CT74" s="82">
        <f>AV74</f>
        <v>81.576092851719281</v>
      </c>
      <c r="CU74" s="82">
        <f>AY74</f>
        <v>95.210047639670847</v>
      </c>
      <c r="CV74" s="82">
        <f>BB74</f>
        <v>105.67873673567163</v>
      </c>
      <c r="CW74" s="82">
        <f>BE74</f>
        <v>111.03115248320728</v>
      </c>
      <c r="CX74" s="82">
        <f>BH74</f>
        <v>126.79022746419544</v>
      </c>
      <c r="CY74" s="82">
        <f>BK74</f>
        <v>160.69923323143092</v>
      </c>
      <c r="CZ74" s="82">
        <f ca="1">BN74</f>
        <v>151.99183343112344</v>
      </c>
      <c r="DA74" s="82">
        <f ca="1">BQ74</f>
        <v>167.96641372740342</v>
      </c>
      <c r="DB74" s="82">
        <f ca="1">BT74</f>
        <v>187.81871309480692</v>
      </c>
      <c r="DC74" s="82">
        <f ca="1">BW74</f>
        <v>204.35420199775871</v>
      </c>
      <c r="DD74" s="82">
        <f ca="1">BZ74</f>
        <v>217.03163841951388</v>
      </c>
      <c r="DE74" s="82">
        <f ca="1">CC74</f>
        <v>232.75949545950235</v>
      </c>
      <c r="DF74" s="48"/>
      <c r="DG74" s="48"/>
      <c r="DH74" s="48"/>
      <c r="DI74" s="48"/>
      <c r="DJ74" s="48"/>
      <c r="DK74" s="48"/>
      <c r="EB74"/>
      <c r="EC74"/>
      <c r="ED74"/>
      <c r="EE74"/>
      <c r="EF74"/>
      <c r="EG74"/>
    </row>
    <row r="75" spans="1:137" ht="12.75" customHeight="1" thickTop="1">
      <c r="A75" s="1"/>
      <c r="B75" s="16" t="s">
        <v>72</v>
      </c>
      <c r="C75" s="1"/>
      <c r="D75" s="127"/>
      <c r="E75" s="127"/>
      <c r="F75" s="19"/>
      <c r="G75" s="19"/>
      <c r="H75" s="19"/>
      <c r="I75" s="11"/>
      <c r="J75" s="11"/>
      <c r="K75" s="11"/>
      <c r="L75" s="11"/>
      <c r="M75" s="11"/>
      <c r="N75" s="11"/>
      <c r="O75" s="11">
        <f t="shared" ref="O75:BK75" si="372">O74/L74-1</f>
        <v>-0.85691655598104288</v>
      </c>
      <c r="P75" s="11">
        <f t="shared" si="372"/>
        <v>-1.1285895073434153</v>
      </c>
      <c r="Q75" s="11">
        <f t="shared" si="372"/>
        <v>1.2447143689262865</v>
      </c>
      <c r="R75" s="11">
        <f t="shared" si="372"/>
        <v>-1.1777182897883511</v>
      </c>
      <c r="S75" s="11">
        <f t="shared" si="372"/>
        <v>-4.0770890314970343</v>
      </c>
      <c r="T75" s="11">
        <f t="shared" si="372"/>
        <v>-4.9381014031665664</v>
      </c>
      <c r="U75" s="11">
        <f t="shared" si="372"/>
        <v>-7.4522783661356078</v>
      </c>
      <c r="V75" s="11">
        <f t="shared" si="372"/>
        <v>-2.8327948079031495E-2</v>
      </c>
      <c r="W75" s="11">
        <f t="shared" si="372"/>
        <v>0.30024592663299376</v>
      </c>
      <c r="X75" s="11">
        <f t="shared" si="372"/>
        <v>0.11563577066754371</v>
      </c>
      <c r="Y75" s="11">
        <f t="shared" si="372"/>
        <v>-0.45944148630987425</v>
      </c>
      <c r="Z75" s="11">
        <f t="shared" si="372"/>
        <v>-0.97668889289615701</v>
      </c>
      <c r="AA75" s="11">
        <f t="shared" si="372"/>
        <v>-0.71296128522863955</v>
      </c>
      <c r="AB75" s="11">
        <f t="shared" si="372"/>
        <v>-4.8090969270865314E-3</v>
      </c>
      <c r="AC75" s="11">
        <f t="shared" si="372"/>
        <v>93.188893651963681</v>
      </c>
      <c r="AD75" s="11">
        <f t="shared" si="372"/>
        <v>3.6681223642240921</v>
      </c>
      <c r="AE75" s="11">
        <f t="shared" si="372"/>
        <v>2.1520681597984108</v>
      </c>
      <c r="AF75" s="11">
        <f t="shared" si="372"/>
        <v>0.11835853663200058</v>
      </c>
      <c r="AG75" s="11">
        <f t="shared" si="372"/>
        <v>0.53650008736348309</v>
      </c>
      <c r="AH75" s="11">
        <f t="shared" si="372"/>
        <v>0.76644963438034108</v>
      </c>
      <c r="AI75" s="11">
        <f t="shared" si="372"/>
        <v>-0.49759303266434796</v>
      </c>
      <c r="AJ75" s="11">
        <f t="shared" si="372"/>
        <v>3.9434600604101977E-2</v>
      </c>
      <c r="AK75" s="11">
        <f t="shared" si="372"/>
        <v>-0.4012014079658266</v>
      </c>
      <c r="AL75" s="11">
        <f t="shared" si="372"/>
        <v>-0.38284333079508737</v>
      </c>
      <c r="AM75" s="11">
        <f t="shared" si="372"/>
        <v>-0.39537250329878104</v>
      </c>
      <c r="AN75" s="11">
        <f t="shared" si="372"/>
        <v>-3.2434558616115106E-2</v>
      </c>
      <c r="AO75" s="11">
        <f t="shared" si="372"/>
        <v>1.4929780657322316</v>
      </c>
      <c r="AP75" s="11">
        <f t="shared" si="372"/>
        <v>0.40172181436790178</v>
      </c>
      <c r="AQ75" s="11">
        <f t="shared" si="372"/>
        <v>0.69836989852560083</v>
      </c>
      <c r="AR75" s="11">
        <f t="shared" si="372"/>
        <v>0.24680512141024091</v>
      </c>
      <c r="AS75" s="11">
        <f t="shared" si="372"/>
        <v>0.469904743934908</v>
      </c>
      <c r="AT75" s="11">
        <f t="shared" si="372"/>
        <v>-0.13622903862160674</v>
      </c>
      <c r="AU75" s="11">
        <f t="shared" si="372"/>
        <v>-1.6338374936868738E-2</v>
      </c>
      <c r="AV75" s="11">
        <f t="shared" si="372"/>
        <v>-8.4912220687457074E-2</v>
      </c>
      <c r="AW75" s="11">
        <f t="shared" si="372"/>
        <v>0.27161692188597986</v>
      </c>
      <c r="AX75" s="11">
        <f t="shared" si="372"/>
        <v>3.2002116056199181E-2</v>
      </c>
      <c r="AY75" s="11">
        <f t="shared" si="372"/>
        <v>0.16713174548251519</v>
      </c>
      <c r="AZ75" s="11">
        <f t="shared" si="372"/>
        <v>2.5491958610147414E-2</v>
      </c>
      <c r="BA75" s="11">
        <f t="shared" si="372"/>
        <v>0.24382452031880431</v>
      </c>
      <c r="BB75" s="11">
        <f t="shared" si="372"/>
        <v>0.10995361682435334</v>
      </c>
      <c r="BC75" s="11">
        <f t="shared" si="372"/>
        <v>-4.1309713901228617E-2</v>
      </c>
      <c r="BD75" s="11">
        <f t="shared" si="372"/>
        <v>0.16618230455788163</v>
      </c>
      <c r="BE75" s="11">
        <f t="shared" si="372"/>
        <v>5.064799138282039E-2</v>
      </c>
      <c r="BF75" s="11">
        <f t="shared" si="372"/>
        <v>0.25064536728064457</v>
      </c>
      <c r="BG75" s="11">
        <f t="shared" si="372"/>
        <v>2.9605620457685777E-2</v>
      </c>
      <c r="BH75" s="11">
        <f t="shared" si="372"/>
        <v>0.14193381432631358</v>
      </c>
      <c r="BI75" s="11">
        <f t="shared" si="372"/>
        <v>6.5335622691639728E-2</v>
      </c>
      <c r="BJ75" s="11">
        <f t="shared" si="372"/>
        <v>0.58166995147811229</v>
      </c>
      <c r="BK75" s="11">
        <f t="shared" si="372"/>
        <v>0.26744179299474102</v>
      </c>
      <c r="BL75" s="11">
        <f t="shared" ref="BL75" si="373">BL74/BI74-1</f>
        <v>-4.4500275188901539E-2</v>
      </c>
      <c r="BM75" s="11">
        <f t="shared" ref="BM75" ca="1" si="374">BM74/BJ74-1</f>
        <v>-0.10643052358892957</v>
      </c>
      <c r="BN75" s="11">
        <f t="shared" ref="BN75" ca="1" si="375">BN74/BK74-1</f>
        <v>-5.4184451445188464E-2</v>
      </c>
      <c r="BO75" s="11">
        <f t="shared" ref="BO75" ca="1" si="376">BO74/BL74-1</f>
        <v>0.19941074692172212</v>
      </c>
      <c r="BP75" s="11">
        <f t="shared" ref="BP75" ca="1" si="377">BP74/BM74-1</f>
        <v>2.4508623426842568E-2</v>
      </c>
      <c r="BQ75" s="11">
        <f t="shared" ref="BQ75" ca="1" si="378">BQ74/BN74-1</f>
        <v>0.10510156983874408</v>
      </c>
      <c r="BR75" s="11">
        <f t="shared" ref="BR75" ca="1" si="379">BR74/BO74-1</f>
        <v>0.11318817291657957</v>
      </c>
      <c r="BS75" s="11">
        <f t="shared" ref="BS75" ca="1" si="380">BS74/BP74-1</f>
        <v>0.12319823367054328</v>
      </c>
      <c r="BT75" s="11">
        <f t="shared" ref="BT75" ca="1" si="381">BT74/BQ74-1</f>
        <v>0.1181920773734102</v>
      </c>
      <c r="BU75" s="11">
        <f t="shared" ref="BU75" ca="1" si="382">BU74/BR74-1</f>
        <v>8.6817673326973877E-2</v>
      </c>
      <c r="BV75" s="11">
        <f t="shared" ref="BV75" ca="1" si="383">BV74/BS74-1</f>
        <v>8.9251229749983896E-2</v>
      </c>
      <c r="BW75" s="11">
        <f t="shared" ref="BW75" ca="1" si="384">BW74/BT74-1</f>
        <v>8.8039624116714066E-2</v>
      </c>
      <c r="BX75" s="11">
        <f t="shared" ref="BX75" ca="1" si="385">BX74/BU74-1</f>
        <v>6.4526833325790678E-2</v>
      </c>
      <c r="BY75" s="11">
        <f t="shared" ref="BY75" ca="1" si="386">BY74/BV74-1</f>
        <v>5.9572931963257414E-2</v>
      </c>
      <c r="BZ75" s="11">
        <f t="shared" ref="BZ75" ca="1" si="387">BZ74/BW74-1</f>
        <v>6.2036583039746906E-2</v>
      </c>
      <c r="CA75" s="11">
        <f t="shared" ref="CA75" ca="1" si="388">CA74/BX74-1</f>
        <v>7.1610998140401838E-2</v>
      </c>
      <c r="CB75" s="11">
        <f t="shared" ref="CB75" ca="1" si="389">CB74/BY74-1</f>
        <v>7.3319887890773705E-2</v>
      </c>
      <c r="CC75" s="11">
        <f t="shared" ref="CC75" ca="1" si="390">CC74/BZ74-1</f>
        <v>7.2468038091235032E-2</v>
      </c>
      <c r="CD75" s="68"/>
      <c r="CE75" s="65"/>
      <c r="CF75" s="65"/>
      <c r="CG75" s="65"/>
      <c r="CH75" s="65"/>
      <c r="CI75" s="65"/>
      <c r="CJ75" s="65"/>
      <c r="CK75" s="19"/>
      <c r="CL75" s="58"/>
      <c r="CM75" s="19"/>
      <c r="CN75" s="19"/>
      <c r="CO75" s="19"/>
      <c r="CP75" s="19"/>
      <c r="CQ75" s="19"/>
      <c r="CR75" s="19"/>
      <c r="CS75" s="19"/>
      <c r="CT75" s="19"/>
      <c r="CU75" s="19"/>
      <c r="CV75" s="19"/>
      <c r="CW75" s="19"/>
      <c r="CX75" s="19"/>
      <c r="CY75" s="19"/>
      <c r="CZ75" s="19"/>
      <c r="DA75" s="19"/>
      <c r="DB75" s="19"/>
      <c r="DC75" s="19"/>
      <c r="DD75" s="19"/>
      <c r="DE75" s="19"/>
    </row>
    <row r="76" spans="1:137" s="86" customFormat="1" ht="12.75" customHeight="1" thickBot="1">
      <c r="A76" s="79"/>
      <c r="B76" s="80" t="s">
        <v>92</v>
      </c>
      <c r="C76" s="79"/>
      <c r="D76" s="81"/>
      <c r="E76" s="81"/>
      <c r="F76" s="82"/>
      <c r="G76" s="82"/>
      <c r="H76" s="82"/>
      <c r="I76" s="82"/>
      <c r="J76" s="82"/>
      <c r="K76" s="82"/>
      <c r="L76" s="82">
        <f t="shared" ref="L76:AX76" si="391">L58/L211*100</f>
        <v>182.68030329747833</v>
      </c>
      <c r="M76" s="82">
        <f t="shared" si="391"/>
        <v>102.98671194289923</v>
      </c>
      <c r="N76" s="82">
        <f t="shared" si="391"/>
        <v>73.721629912154867</v>
      </c>
      <c r="O76" s="82">
        <f t="shared" si="391"/>
        <v>137.72741732028817</v>
      </c>
      <c r="P76" s="82">
        <f t="shared" si="391"/>
        <v>13.949038171014196</v>
      </c>
      <c r="Q76" s="82">
        <f t="shared" si="391"/>
        <v>7.6638027243013855</v>
      </c>
      <c r="R76" s="82">
        <f t="shared" si="391"/>
        <v>24.292393987605614</v>
      </c>
      <c r="S76" s="82">
        <f t="shared" si="391"/>
        <v>13.000381242851697</v>
      </c>
      <c r="T76" s="82">
        <f t="shared" si="391"/>
        <v>15.297491039426514</v>
      </c>
      <c r="U76" s="82">
        <f t="shared" si="391"/>
        <v>28.292431277175904</v>
      </c>
      <c r="V76" s="82">
        <f t="shared" si="391"/>
        <v>15.555706245338033</v>
      </c>
      <c r="W76" s="82">
        <f t="shared" si="391"/>
        <v>14.942528735632187</v>
      </c>
      <c r="X76" s="82">
        <f t="shared" si="391"/>
        <v>30.502896261190109</v>
      </c>
      <c r="Y76" s="82">
        <f t="shared" si="391"/>
        <v>16.057980708684134</v>
      </c>
      <c r="Z76" s="82">
        <f t="shared" si="391"/>
        <v>16.389003355507157</v>
      </c>
      <c r="AA76" s="82">
        <f t="shared" si="391"/>
        <v>32.437105043519729</v>
      </c>
      <c r="AB76" s="82">
        <f t="shared" si="391"/>
        <v>17.159420289855067</v>
      </c>
      <c r="AC76" s="82">
        <f t="shared" si="391"/>
        <v>17.65931585344677</v>
      </c>
      <c r="AD76" s="82">
        <f t="shared" si="391"/>
        <v>34.819127059982044</v>
      </c>
      <c r="AE76" s="82">
        <f t="shared" si="391"/>
        <v>18.699418063419586</v>
      </c>
      <c r="AF76" s="82">
        <f t="shared" si="391"/>
        <v>18.63039061801474</v>
      </c>
      <c r="AG76" s="82">
        <f t="shared" si="391"/>
        <v>37.242833532797619</v>
      </c>
      <c r="AH76" s="82">
        <f t="shared" si="391"/>
        <v>20.083352106330253</v>
      </c>
      <c r="AI76" s="82">
        <f t="shared" si="391"/>
        <v>20.084738629029996</v>
      </c>
      <c r="AJ76" s="82">
        <f t="shared" si="391"/>
        <v>40.113406692117664</v>
      </c>
      <c r="AK76" s="82">
        <f t="shared" si="391"/>
        <v>21.614699331848552</v>
      </c>
      <c r="AL76" s="82">
        <f t="shared" si="391"/>
        <v>21.563612099644132</v>
      </c>
      <c r="AM76" s="82">
        <f t="shared" si="391"/>
        <v>43.149466192170813</v>
      </c>
      <c r="AN76" s="82">
        <f t="shared" si="391"/>
        <v>23.286535485297367</v>
      </c>
      <c r="AO76" s="82">
        <f t="shared" si="391"/>
        <v>23.448199690744424</v>
      </c>
      <c r="AP76" s="82">
        <f t="shared" si="391"/>
        <v>46.714159487519339</v>
      </c>
      <c r="AQ76" s="82">
        <f t="shared" si="391"/>
        <v>25.486434639627291</v>
      </c>
      <c r="AR76" s="82">
        <f t="shared" si="391"/>
        <v>26.13588309572134</v>
      </c>
      <c r="AS76" s="82">
        <f t="shared" si="391"/>
        <v>51.598245633979104</v>
      </c>
      <c r="AT76" s="82">
        <f t="shared" si="391"/>
        <v>28.80104257167681</v>
      </c>
      <c r="AU76" s="82">
        <f t="shared" si="391"/>
        <v>28.73413602342988</v>
      </c>
      <c r="AV76" s="82">
        <f>AV58/AV211*100</f>
        <v>57.500813537260022</v>
      </c>
      <c r="AW76" s="82">
        <f>AW58/AW199*100</f>
        <v>33.1000699790063</v>
      </c>
      <c r="AX76" s="82">
        <f t="shared" si="391"/>
        <v>32.725205716760506</v>
      </c>
      <c r="AY76" s="82">
        <f>AY58/AY199*100</f>
        <v>65.569715545518093</v>
      </c>
      <c r="AZ76" s="82">
        <f t="shared" ref="AZ76:BN76" si="392">AZ58/AZ199*100</f>
        <v>41.908315565031977</v>
      </c>
      <c r="BA76" s="82">
        <f t="shared" si="392"/>
        <v>39.509986684420774</v>
      </c>
      <c r="BB76" s="82">
        <f t="shared" si="392"/>
        <v>81.319850984566244</v>
      </c>
      <c r="BC76" s="82">
        <f t="shared" si="392"/>
        <v>46.422329325777234</v>
      </c>
      <c r="BD76" s="82">
        <f t="shared" si="392"/>
        <v>47.76882145303199</v>
      </c>
      <c r="BE76" s="82">
        <f t="shared" si="392"/>
        <v>94.314275136192947</v>
      </c>
      <c r="BF76" s="82">
        <f t="shared" si="392"/>
        <v>59.187316253674915</v>
      </c>
      <c r="BG76" s="82">
        <f t="shared" si="392"/>
        <v>48.277306524243379</v>
      </c>
      <c r="BH76" s="82">
        <f t="shared" si="392"/>
        <v>107.45595637583894</v>
      </c>
      <c r="BI76" s="82">
        <f t="shared" si="392"/>
        <v>63.799582463465541</v>
      </c>
      <c r="BJ76" s="82">
        <f t="shared" si="392"/>
        <v>54.238808325693164</v>
      </c>
      <c r="BK76" s="82">
        <f t="shared" si="392"/>
        <v>117.96651694569209</v>
      </c>
      <c r="BL76" s="82">
        <f t="shared" si="392"/>
        <v>58.513224426293277</v>
      </c>
      <c r="BM76" s="82">
        <f t="shared" ca="1" si="392"/>
        <v>70.3632346363094</v>
      </c>
      <c r="BN76" s="82">
        <f t="shared" ca="1" si="392"/>
        <v>128.87645906260269</v>
      </c>
      <c r="BO76" s="82">
        <f t="shared" ref="BO76:BQ76" ca="1" si="393">BO58/BO199*100</f>
        <v>72.510494922875438</v>
      </c>
      <c r="BP76" s="82">
        <f t="shared" ca="1" si="393"/>
        <v>72.472930035003131</v>
      </c>
      <c r="BQ76" s="82">
        <f t="shared" ca="1" si="393"/>
        <v>144.98342495787858</v>
      </c>
      <c r="BR76" s="82">
        <f t="shared" ref="BR76:BT76" ca="1" si="394">BR58/BR199*100</f>
        <v>81.572102304923504</v>
      </c>
      <c r="BS76" s="82">
        <f t="shared" ca="1" si="394"/>
        <v>82.365869738995173</v>
      </c>
      <c r="BT76" s="82">
        <f t="shared" ca="1" si="394"/>
        <v>163.93797204391868</v>
      </c>
      <c r="BU76" s="82">
        <f t="shared" ref="BU76:BZ76" ca="1" si="395">BU58/BU199*100</f>
        <v>89.224667350287149</v>
      </c>
      <c r="BV76" s="82">
        <f t="shared" ca="1" si="395"/>
        <v>90.315514047296617</v>
      </c>
      <c r="BW76" s="82">
        <f t="shared" ca="1" si="395"/>
        <v>179.54018139758375</v>
      </c>
      <c r="BX76" s="82">
        <f t="shared" ca="1" si="395"/>
        <v>95.30240589438084</v>
      </c>
      <c r="BY76" s="82">
        <f t="shared" ca="1" si="395"/>
        <v>95.957717402394266</v>
      </c>
      <c r="BZ76" s="82">
        <f t="shared" ca="1" si="395"/>
        <v>191.26012329677511</v>
      </c>
      <c r="CA76" s="82">
        <f t="shared" ref="CA76:CC76" ca="1" si="396">CA58/CA199*100</f>
        <v>102.53773979681526</v>
      </c>
      <c r="CB76" s="82">
        <f t="shared" ca="1" si="396"/>
        <v>103.42489839195174</v>
      </c>
      <c r="CC76" s="82">
        <f t="shared" ca="1" si="396"/>
        <v>205.96263818876704</v>
      </c>
      <c r="CD76" s="134"/>
      <c r="CE76" s="108"/>
      <c r="CF76" s="108"/>
      <c r="CG76" s="108"/>
      <c r="CH76" s="108"/>
      <c r="CI76" s="108"/>
      <c r="CJ76" s="108"/>
      <c r="CK76" s="51"/>
      <c r="CL76" s="85">
        <f>X76</f>
        <v>30.502896261190109</v>
      </c>
      <c r="CM76" s="82">
        <f>AA76</f>
        <v>32.437105043519729</v>
      </c>
      <c r="CN76" s="82">
        <f>AD76</f>
        <v>34.819127059982044</v>
      </c>
      <c r="CO76" s="82">
        <f>AG76</f>
        <v>37.242833532797619</v>
      </c>
      <c r="CP76" s="82">
        <f>AJ76</f>
        <v>40.113406692117664</v>
      </c>
      <c r="CQ76" s="82">
        <f>AM76</f>
        <v>43.149466192170813</v>
      </c>
      <c r="CR76" s="82">
        <f>AP76</f>
        <v>46.714159487519339</v>
      </c>
      <c r="CS76" s="82">
        <f>AS76</f>
        <v>51.598245633979104</v>
      </c>
      <c r="CT76" s="82">
        <f>AV76</f>
        <v>57.500813537260022</v>
      </c>
      <c r="CU76" s="82">
        <f>AY76</f>
        <v>65.569715545518093</v>
      </c>
      <c r="CV76" s="82">
        <f>BB76</f>
        <v>81.319850984566244</v>
      </c>
      <c r="CW76" s="82">
        <f>BE76</f>
        <v>94.314275136192947</v>
      </c>
      <c r="CX76" s="82">
        <f>BH76</f>
        <v>107.45595637583894</v>
      </c>
      <c r="CY76" s="82">
        <f>BK76</f>
        <v>117.96651694569209</v>
      </c>
      <c r="CZ76" s="82">
        <f ca="1">BN76</f>
        <v>128.87645906260269</v>
      </c>
      <c r="DA76" s="82">
        <f ca="1">BQ76</f>
        <v>144.98342495787858</v>
      </c>
      <c r="DB76" s="82">
        <f ca="1">BT76</f>
        <v>163.93797204391868</v>
      </c>
      <c r="DC76" s="82">
        <f ca="1">BW76</f>
        <v>179.54018139758375</v>
      </c>
      <c r="DD76" s="82">
        <f ca="1">BZ76</f>
        <v>191.26012329677511</v>
      </c>
      <c r="DE76" s="82">
        <f ca="1">CC76</f>
        <v>205.96263818876704</v>
      </c>
      <c r="DF76" s="48"/>
      <c r="DG76" s="48"/>
      <c r="DH76" s="48"/>
      <c r="DI76" s="48"/>
      <c r="DJ76" s="48"/>
      <c r="DK76" s="48"/>
      <c r="EB76"/>
      <c r="EC76"/>
      <c r="ED76"/>
      <c r="EE76"/>
      <c r="EF76"/>
      <c r="EG76"/>
    </row>
    <row r="77" spans="1:137" s="153" customFormat="1" ht="12.75" customHeight="1" thickTop="1">
      <c r="A77" s="17"/>
      <c r="B77" s="16" t="s">
        <v>72</v>
      </c>
      <c r="C77" s="17"/>
      <c r="D77" s="17"/>
      <c r="E77" s="17"/>
      <c r="F77" s="149"/>
      <c r="G77" s="149"/>
      <c r="H77" s="149"/>
      <c r="I77" s="11"/>
      <c r="J77" s="11"/>
      <c r="K77" s="11"/>
      <c r="L77" s="11"/>
      <c r="M77" s="11"/>
      <c r="N77" s="11"/>
      <c r="O77" s="11">
        <f t="shared" ref="O77:BK77" si="397">O76/L76-1</f>
        <v>-0.24607407129157466</v>
      </c>
      <c r="P77" s="11">
        <f t="shared" si="397"/>
        <v>-0.86455497114279933</v>
      </c>
      <c r="Q77" s="11">
        <f t="shared" si="397"/>
        <v>-0.89604404116629799</v>
      </c>
      <c r="R77" s="11">
        <f t="shared" si="397"/>
        <v>-0.82361976678098081</v>
      </c>
      <c r="S77" s="11">
        <f t="shared" si="397"/>
        <v>-6.8008769961916626E-2</v>
      </c>
      <c r="T77" s="11">
        <f t="shared" si="397"/>
        <v>0.99607056571527264</v>
      </c>
      <c r="U77" s="11">
        <f t="shared" si="397"/>
        <v>0.16466212805585068</v>
      </c>
      <c r="V77" s="11">
        <f t="shared" si="397"/>
        <v>0.19655769740532736</v>
      </c>
      <c r="W77" s="11">
        <f t="shared" si="397"/>
        <v>-2.3203955660407005E-2</v>
      </c>
      <c r="X77" s="11">
        <f t="shared" si="397"/>
        <v>7.8129198666550659E-2</v>
      </c>
      <c r="Y77" s="11">
        <f t="shared" si="397"/>
        <v>3.2288759855993776E-2</v>
      </c>
      <c r="Z77" s="11">
        <f t="shared" si="397"/>
        <v>9.6802532253170925E-2</v>
      </c>
      <c r="AA77" s="11">
        <f t="shared" si="397"/>
        <v>6.3410659950693837E-2</v>
      </c>
      <c r="AB77" s="11">
        <f t="shared" si="397"/>
        <v>6.8591412653477457E-2</v>
      </c>
      <c r="AC77" s="11">
        <f t="shared" si="397"/>
        <v>7.7510051733118646E-2</v>
      </c>
      <c r="AD77" s="11">
        <f t="shared" si="397"/>
        <v>7.3435098886489358E-2</v>
      </c>
      <c r="AE77" s="11">
        <f t="shared" si="397"/>
        <v>8.9746491871580902E-2</v>
      </c>
      <c r="AF77" s="11">
        <f t="shared" si="397"/>
        <v>5.4989376294463543E-2</v>
      </c>
      <c r="AG77" s="11">
        <f t="shared" si="397"/>
        <v>6.9608478944354735E-2</v>
      </c>
      <c r="AH77" s="11">
        <f t="shared" si="397"/>
        <v>7.4009471215468636E-2</v>
      </c>
      <c r="AI77" s="11">
        <f t="shared" si="397"/>
        <v>7.8063205481530229E-2</v>
      </c>
      <c r="AJ77" s="11">
        <f t="shared" si="397"/>
        <v>7.7077195450021119E-2</v>
      </c>
      <c r="AK77" s="11">
        <f t="shared" si="397"/>
        <v>7.6249583107972363E-2</v>
      </c>
      <c r="AL77" s="11">
        <f t="shared" si="397"/>
        <v>7.363170106065553E-2</v>
      </c>
      <c r="AM77" s="11">
        <f t="shared" si="397"/>
        <v>7.5686902470184281E-2</v>
      </c>
      <c r="AN77" s="11">
        <f t="shared" si="397"/>
        <v>7.7347185254870388E-2</v>
      </c>
      <c r="AO77" s="11">
        <f t="shared" si="397"/>
        <v>8.7396656107136872E-2</v>
      </c>
      <c r="AP77" s="11">
        <f t="shared" si="397"/>
        <v>8.261268585508752E-2</v>
      </c>
      <c r="AQ77" s="11">
        <f t="shared" si="397"/>
        <v>9.4470865179532293E-2</v>
      </c>
      <c r="AR77" s="11">
        <f t="shared" si="397"/>
        <v>0.1146221646192227</v>
      </c>
      <c r="AS77" s="11">
        <f t="shared" si="397"/>
        <v>0.10455258534116729</v>
      </c>
      <c r="AT77" s="11">
        <f t="shared" si="397"/>
        <v>0.13005381015106132</v>
      </c>
      <c r="AU77" s="11">
        <f t="shared" si="397"/>
        <v>9.9413244166748571E-2</v>
      </c>
      <c r="AV77" s="11">
        <f t="shared" si="397"/>
        <v>0.11439474018461371</v>
      </c>
      <c r="AW77" s="11">
        <f t="shared" si="397"/>
        <v>0.14926638147318982</v>
      </c>
      <c r="AX77" s="11">
        <f t="shared" si="397"/>
        <v>0.13889645716426968</v>
      </c>
      <c r="AY77" s="11">
        <f t="shared" si="397"/>
        <v>0.1403267451690835</v>
      </c>
      <c r="AZ77" s="11">
        <f t="shared" si="397"/>
        <v>0.26610957594990903</v>
      </c>
      <c r="BA77" s="11">
        <f t="shared" si="397"/>
        <v>0.20732584621111738</v>
      </c>
      <c r="BB77" s="11">
        <f t="shared" si="397"/>
        <v>0.24020441918974789</v>
      </c>
      <c r="BC77" s="11">
        <f t="shared" si="397"/>
        <v>0.10771164862831473</v>
      </c>
      <c r="BD77" s="11">
        <f t="shared" si="397"/>
        <v>0.20903157560080277</v>
      </c>
      <c r="BE77" s="11">
        <f t="shared" si="397"/>
        <v>0.15979399856614251</v>
      </c>
      <c r="BF77" s="11">
        <f t="shared" si="397"/>
        <v>0.27497514909941367</v>
      </c>
      <c r="BG77" s="11">
        <f t="shared" si="397"/>
        <v>1.0644706227708634E-2</v>
      </c>
      <c r="BH77" s="11">
        <f t="shared" si="397"/>
        <v>0.1393392593079783</v>
      </c>
      <c r="BI77" s="11">
        <f t="shared" si="397"/>
        <v>7.792659815867653E-2</v>
      </c>
      <c r="BJ77" s="11">
        <f t="shared" si="397"/>
        <v>0.12348455683740567</v>
      </c>
      <c r="BK77" s="11">
        <f t="shared" si="397"/>
        <v>9.7812731135083153E-2</v>
      </c>
      <c r="BL77" s="11">
        <f t="shared" ref="BL77" si="398">BL76/BI76-1</f>
        <v>-8.2858818710913384E-2</v>
      </c>
      <c r="BM77" s="11">
        <f t="shared" ref="BM77" ca="1" si="399">BM76/BJ76-1</f>
        <v>0.29728577762609176</v>
      </c>
      <c r="BN77" s="11">
        <f t="shared" ref="BN77" ca="1" si="400">BN76/BK76-1</f>
        <v>9.2483379177272562E-2</v>
      </c>
      <c r="BO77" s="11">
        <f t="shared" ref="BO77" ca="1" si="401">BO76/BL76-1</f>
        <v>0.23921550442351625</v>
      </c>
      <c r="BP77" s="11">
        <f t="shared" ref="BP77" ca="1" si="402">BP76/BM76-1</f>
        <v>2.9982922325817452E-2</v>
      </c>
      <c r="BQ77" s="11">
        <f t="shared" ref="BQ77" ca="1" si="403">BQ76/BN76-1</f>
        <v>0.12497989169187074</v>
      </c>
      <c r="BR77" s="11">
        <f t="shared" ref="BR77" ca="1" si="404">BR76/BO76-1</f>
        <v>0.12496959773459393</v>
      </c>
      <c r="BS77" s="11">
        <f t="shared" ref="BS77" ca="1" si="405">BS76/BP76-1</f>
        <v>0.13650530893692214</v>
      </c>
      <c r="BT77" s="11">
        <f t="shared" ref="BT77" ca="1" si="406">BT76/BQ76-1</f>
        <v>0.13073595889700407</v>
      </c>
      <c r="BU77" s="11">
        <f t="shared" ref="BU77" ca="1" si="407">BU76/BR76-1</f>
        <v>9.3813507671503871E-2</v>
      </c>
      <c r="BV77" s="11">
        <f t="shared" ref="BV77" ca="1" si="408">BV76/BS76-1</f>
        <v>9.6516243117357403E-2</v>
      </c>
      <c r="BW77" s="11">
        <f t="shared" ref="BW77" ca="1" si="409">BW76/BT76-1</f>
        <v>9.517141855021416E-2</v>
      </c>
      <c r="BX77" s="11">
        <f t="shared" ref="BX77" ca="1" si="410">BX76/BU76-1</f>
        <v>6.8117245203426657E-2</v>
      </c>
      <c r="BY77" s="11">
        <f t="shared" ref="BY77" ca="1" si="411">BY76/BV76-1</f>
        <v>6.2472139085018474E-2</v>
      </c>
      <c r="BZ77" s="11">
        <f t="shared" ref="BZ77" ca="1" si="412">BZ76/BW76-1</f>
        <v>6.5277542931952759E-2</v>
      </c>
      <c r="CA77" s="11">
        <f t="shared" ref="CA77" ca="1" si="413">CA76/BX76-1</f>
        <v>7.5919740268183711E-2</v>
      </c>
      <c r="CB77" s="11">
        <f t="shared" ref="CB77" ca="1" si="414">CB76/BY76-1</f>
        <v>7.7817409497604073E-2</v>
      </c>
      <c r="CC77" s="11">
        <f t="shared" ref="CC77" ca="1" si="415">CC76/BZ76-1</f>
        <v>7.6871825859791354E-2</v>
      </c>
      <c r="CD77" s="150"/>
      <c r="CE77" s="151"/>
      <c r="CF77" s="151"/>
      <c r="CG77" s="151"/>
      <c r="CH77" s="151"/>
      <c r="CI77" s="151"/>
      <c r="CJ77" s="151"/>
      <c r="CK77" s="149"/>
      <c r="CL77" s="152">
        <f>X77</f>
        <v>7.8129198666550659E-2</v>
      </c>
      <c r="CM77" s="149">
        <f>AA77</f>
        <v>6.3410659950693837E-2</v>
      </c>
      <c r="CN77" s="149">
        <f>AD77</f>
        <v>7.3435098886489358E-2</v>
      </c>
      <c r="CO77" s="149">
        <f>AG77</f>
        <v>6.9608478944354735E-2</v>
      </c>
      <c r="CP77" s="149">
        <f>AJ77</f>
        <v>7.7077195450021119E-2</v>
      </c>
      <c r="CQ77" s="149">
        <f>AM77</f>
        <v>7.5686902470184281E-2</v>
      </c>
      <c r="CR77" s="149">
        <f>AP77</f>
        <v>8.261268585508752E-2</v>
      </c>
      <c r="CS77" s="149">
        <f>AS77</f>
        <v>0.10455258534116729</v>
      </c>
      <c r="CT77" s="149">
        <f>AV77</f>
        <v>0.11439474018461371</v>
      </c>
      <c r="CU77" s="149">
        <f>AY77</f>
        <v>0.1403267451690835</v>
      </c>
      <c r="CV77" s="149">
        <f>BB77</f>
        <v>0.24020441918974789</v>
      </c>
      <c r="CW77" s="149">
        <f>BE77</f>
        <v>0.15979399856614251</v>
      </c>
      <c r="CX77" s="149">
        <f>BH77</f>
        <v>0.1393392593079783</v>
      </c>
      <c r="CY77" s="149">
        <f>BK77</f>
        <v>9.7812731135083153E-2</v>
      </c>
      <c r="CZ77" s="149">
        <f ca="1">BN77</f>
        <v>9.2483379177272562E-2</v>
      </c>
      <c r="DA77" s="149">
        <f ca="1">BQ77</f>
        <v>0.12497989169187074</v>
      </c>
      <c r="DB77" s="149">
        <f ca="1">BT77</f>
        <v>0.13073595889700407</v>
      </c>
      <c r="DC77" s="149">
        <f ca="1">BW77</f>
        <v>9.517141855021416E-2</v>
      </c>
      <c r="DD77" s="149">
        <f ca="1">BZ77</f>
        <v>6.5277542931952759E-2</v>
      </c>
      <c r="DE77" s="149">
        <f ca="1">CC77</f>
        <v>7.6871825859791354E-2</v>
      </c>
      <c r="DF77" s="17"/>
      <c r="DG77" s="17"/>
      <c r="DH77" s="17"/>
      <c r="DI77" s="17"/>
      <c r="DJ77" s="17"/>
      <c r="DK77" s="17"/>
      <c r="EB77"/>
      <c r="EC77"/>
      <c r="ED77"/>
      <c r="EE77"/>
      <c r="EF77"/>
      <c r="EG77"/>
    </row>
    <row r="78" spans="1:137" s="86" customFormat="1" ht="12.75" customHeight="1" thickBot="1">
      <c r="A78" s="79"/>
      <c r="B78" s="80" t="s">
        <v>42</v>
      </c>
      <c r="C78" s="79"/>
      <c r="D78" s="81"/>
      <c r="E78" s="81"/>
      <c r="F78" s="82"/>
      <c r="G78" s="82"/>
      <c r="H78" s="82"/>
      <c r="I78" s="82"/>
      <c r="J78" s="82"/>
      <c r="K78" s="82"/>
      <c r="L78" s="82">
        <f>SUM(J78:K78)</f>
        <v>0</v>
      </c>
      <c r="M78" s="82">
        <f>M62/M211*100</f>
        <v>103.52804577969216</v>
      </c>
      <c r="N78" s="82">
        <f>N62/N211*100</f>
        <v>74.166479777069412</v>
      </c>
      <c r="O78" s="82">
        <f>SUM(M78:N78)</f>
        <v>177.69452555676156</v>
      </c>
      <c r="P78" s="82">
        <f>P62/P211*100</f>
        <v>14.149058314029606</v>
      </c>
      <c r="Q78" s="82">
        <f>Q62/Q211*100</f>
        <v>7.7863814353582859</v>
      </c>
      <c r="R78" s="82">
        <f>SUM(P78:Q78)</f>
        <v>21.935439749387893</v>
      </c>
      <c r="S78" s="82">
        <f>S62/S211*100</f>
        <v>13.151170415554708</v>
      </c>
      <c r="T78" s="82">
        <f>T62/T211*100</f>
        <v>15.439168458781353</v>
      </c>
      <c r="U78" s="82">
        <f>SUM(S78:T78)</f>
        <v>28.590338874336062</v>
      </c>
      <c r="V78" s="82">
        <f>V62/V211*100</f>
        <v>15.694934562961956</v>
      </c>
      <c r="W78" s="82">
        <f>W62/W211*100</f>
        <v>15.081532567049813</v>
      </c>
      <c r="X78" s="82">
        <f>SUM(V78:W78)</f>
        <v>30.776467130011767</v>
      </c>
      <c r="Y78" s="82">
        <f>Y62/Y211*100</f>
        <v>16.196066046746619</v>
      </c>
      <c r="Z78" s="82">
        <f>Z62/Z211*100</f>
        <v>16.52513098251605</v>
      </c>
      <c r="AA78" s="82">
        <f>SUM(Y78:Z78)</f>
        <v>32.721197029262669</v>
      </c>
      <c r="AB78" s="82">
        <f>AB62/AB211*100</f>
        <v>17.289228985507243</v>
      </c>
      <c r="AC78" s="82">
        <f>AC62/AC211*100</f>
        <v>17.797951033165475</v>
      </c>
      <c r="AD78" s="82">
        <f>SUM(AB78:AC78)</f>
        <v>35.087180018672719</v>
      </c>
      <c r="AE78" s="82">
        <f>AE62/AE211*100</f>
        <v>18.833463907122145</v>
      </c>
      <c r="AF78" s="82">
        <f>AF62/AF211*100</f>
        <v>18.766830831658439</v>
      </c>
      <c r="AG78" s="82">
        <f>SUM(AE78:AF78)</f>
        <v>37.600294738780583</v>
      </c>
      <c r="AH78" s="82">
        <f>AH62/AH211*100</f>
        <v>20.222505068709165</v>
      </c>
      <c r="AI78" s="82">
        <f>AI62/AI211*100</f>
        <v>20.219893936417972</v>
      </c>
      <c r="AJ78" s="82">
        <f>SUM(AH78:AI78)</f>
        <v>40.442399005127136</v>
      </c>
      <c r="AK78" s="82">
        <f>AK62/AK211*100</f>
        <v>21.745723830734967</v>
      </c>
      <c r="AL78" s="82">
        <f>AL62/AL211*100</f>
        <v>21.697464412811389</v>
      </c>
      <c r="AM78" s="82">
        <f>SUM(AK78:AL78)</f>
        <v>43.443188243546359</v>
      </c>
      <c r="AN78" s="82">
        <f>AN62/AN211*100</f>
        <v>23.414614194118951</v>
      </c>
      <c r="AO78" s="82">
        <f>AO62/AO211*100</f>
        <v>23.575237464104269</v>
      </c>
      <c r="AP78" s="82">
        <f>SUM(AN78:AO78)</f>
        <v>46.989851658223216</v>
      </c>
      <c r="AQ78" s="82">
        <f>AQ62/AQ211*100</f>
        <v>25.606007125239788</v>
      </c>
      <c r="AR78" s="82">
        <f>AR62/AR211*100</f>
        <v>26.260927936780192</v>
      </c>
      <c r="AS78" s="82">
        <f>SUM(AQ78:AR78)</f>
        <v>51.866935062019976</v>
      </c>
      <c r="AT78" s="82">
        <f>AT62/AT211*100</f>
        <v>28.940030408340583</v>
      </c>
      <c r="AU78" s="82">
        <f>AU62/AU211*100</f>
        <v>28.872046859746188</v>
      </c>
      <c r="AV78" s="82">
        <f>AV62/AV211*100</f>
        <v>57.777546371623835</v>
      </c>
      <c r="AW78" s="82">
        <f>AW62/AW211*100</f>
        <v>33.163816272517572</v>
      </c>
      <c r="AX78" s="82">
        <f>AX62/AX211*100</f>
        <v>32.865136422693801</v>
      </c>
      <c r="AY78" s="82">
        <f>SUM(AW78:AX78)</f>
        <v>66.028952695211373</v>
      </c>
      <c r="AZ78" s="82">
        <f>AZ62/AZ211*100</f>
        <v>42.233593833636654</v>
      </c>
      <c r="BA78" s="82">
        <f>BA62/BA211*100</f>
        <v>39.874060593084252</v>
      </c>
      <c r="BB78" s="82">
        <f>BB62/BB211*100</f>
        <v>82.107654426720885</v>
      </c>
      <c r="BC78" s="82">
        <f>BC62/BC211*100</f>
        <v>46.775921297527248</v>
      </c>
      <c r="BD78" s="82">
        <f>BD62/BD211*100</f>
        <v>48.133065326633172</v>
      </c>
      <c r="BE78" s="82">
        <f>SUM(BC78:BD78)</f>
        <v>94.90898662416042</v>
      </c>
      <c r="BF78" s="82">
        <f>BF62/BF211*100</f>
        <v>59.537615838247682</v>
      </c>
      <c r="BG78" s="82">
        <f>BG62/BG211*100</f>
        <v>48.729296545914067</v>
      </c>
      <c r="BH78" s="82">
        <f>SUM(BF78:BG78)</f>
        <v>108.26691238416174</v>
      </c>
      <c r="BI78" s="82">
        <f>BI62/BI211*100</f>
        <v>64.142226407198152</v>
      </c>
      <c r="BJ78" s="82">
        <f>BJ62/BJ211*100</f>
        <v>53.819889720362333</v>
      </c>
      <c r="BK78" s="82">
        <f>SUM(BI78:BJ78)</f>
        <v>117.96211612756048</v>
      </c>
      <c r="BL78" s="82">
        <f>BL62/BL211*100</f>
        <v>59.071400625978107</v>
      </c>
      <c r="BM78" s="82">
        <f ca="1">BM62/BM211*100</f>
        <v>70.999153740761074</v>
      </c>
      <c r="BN78" s="82">
        <f ca="1">SUM(BL78:BM78)</f>
        <v>130.07055436673917</v>
      </c>
      <c r="BO78" s="82">
        <f ca="1">BO62/BO211*100</f>
        <v>73.171205287377958</v>
      </c>
      <c r="BP78" s="82">
        <f ca="1">BP62/BP211*100</f>
        <v>73.146743999746477</v>
      </c>
      <c r="BQ78" s="82">
        <f ca="1">SUM(BO78:BP78)</f>
        <v>146.31794928712443</v>
      </c>
      <c r="BR78" s="82">
        <f ca="1">BR62/BR211*100</f>
        <v>82.315846104561089</v>
      </c>
      <c r="BS78" s="82">
        <f ca="1">BS62/BS211*100</f>
        <v>83.129004753747765</v>
      </c>
      <c r="BT78" s="82">
        <f ca="1">SUM(BR78:BS78)</f>
        <v>165.44485085830885</v>
      </c>
      <c r="BU78" s="82">
        <f ca="1">BU62/BU211*100</f>
        <v>90.046055599371613</v>
      </c>
      <c r="BV78" s="82">
        <f ca="1">BV62/BV211*100</f>
        <v>91.159572943200814</v>
      </c>
      <c r="BW78" s="82">
        <f ca="1">SUM(BU78:BV78)</f>
        <v>181.20562854257241</v>
      </c>
      <c r="BX78" s="82">
        <f ca="1">BX62/BX211*100</f>
        <v>96.19533628729387</v>
      </c>
      <c r="BY78" s="82">
        <f ca="1">BY62/BY211*100</f>
        <v>96.872436584744847</v>
      </c>
      <c r="BZ78" s="82">
        <f ca="1">SUM(BX78:BY78)</f>
        <v>193.06777287203872</v>
      </c>
      <c r="CA78" s="82">
        <f ca="1">CA62/CA211*100</f>
        <v>103.51242738593591</v>
      </c>
      <c r="CB78" s="82">
        <f ca="1">CB62/CB211*100</f>
        <v>104.42455947858735</v>
      </c>
      <c r="CC78" s="82">
        <f ca="1">SUM(CA78:CB78)</f>
        <v>207.93698686452325</v>
      </c>
      <c r="CD78" s="134"/>
      <c r="CE78" s="108"/>
      <c r="CF78" s="108"/>
      <c r="CG78" s="108"/>
      <c r="CH78" s="108"/>
      <c r="CI78" s="108"/>
      <c r="CJ78" s="108"/>
      <c r="CK78" s="51"/>
      <c r="CL78" s="85">
        <f>X78</f>
        <v>30.776467130011767</v>
      </c>
      <c r="CM78" s="82">
        <f>AA78</f>
        <v>32.721197029262669</v>
      </c>
      <c r="CN78" s="82">
        <f>AD78</f>
        <v>35.087180018672719</v>
      </c>
      <c r="CO78" s="82">
        <f>AG78</f>
        <v>37.600294738780583</v>
      </c>
      <c r="CP78" s="82">
        <f>AJ78</f>
        <v>40.442399005127136</v>
      </c>
      <c r="CQ78" s="82">
        <f>AM78</f>
        <v>43.443188243546359</v>
      </c>
      <c r="CR78" s="82">
        <f>AP78</f>
        <v>46.989851658223216</v>
      </c>
      <c r="CS78" s="82">
        <f>AS78</f>
        <v>51.866935062019976</v>
      </c>
      <c r="CT78" s="82">
        <f>AV78</f>
        <v>57.777546371623835</v>
      </c>
      <c r="CU78" s="82">
        <f>AY78</f>
        <v>66.028952695211373</v>
      </c>
      <c r="CV78" s="82">
        <f>BB78</f>
        <v>82.107654426720885</v>
      </c>
      <c r="CW78" s="82">
        <f>BE78</f>
        <v>94.90898662416042</v>
      </c>
      <c r="CX78" s="82">
        <f>BH78</f>
        <v>108.26691238416174</v>
      </c>
      <c r="CY78" s="82">
        <f>BK78</f>
        <v>117.96211612756048</v>
      </c>
      <c r="CZ78" s="82">
        <f ca="1">BN78</f>
        <v>130.07055436673917</v>
      </c>
      <c r="DA78" s="82">
        <f ca="1">BQ78</f>
        <v>146.31794928712443</v>
      </c>
      <c r="DB78" s="82">
        <f ca="1">BT78</f>
        <v>165.44485085830885</v>
      </c>
      <c r="DC78" s="82">
        <f ca="1">BW78</f>
        <v>181.20562854257241</v>
      </c>
      <c r="DD78" s="82">
        <f ca="1">BZ78</f>
        <v>193.06777287203872</v>
      </c>
      <c r="DE78" s="82">
        <f ca="1">CC78</f>
        <v>207.93698686452325</v>
      </c>
      <c r="DF78" s="48"/>
      <c r="DG78" s="48"/>
      <c r="DH78" s="48"/>
      <c r="DI78" s="48"/>
      <c r="DJ78" s="48"/>
      <c r="DK78" s="48"/>
      <c r="EB78"/>
      <c r="EC78"/>
      <c r="ED78"/>
      <c r="EE78"/>
      <c r="EF78"/>
      <c r="EG78"/>
    </row>
    <row r="79" spans="1:137" s="119" customFormat="1" ht="12.75" customHeight="1" thickTop="1">
      <c r="A79" s="15"/>
      <c r="B79" s="16" t="s">
        <v>72</v>
      </c>
      <c r="C79" s="15"/>
      <c r="D79" s="15"/>
      <c r="E79" s="15"/>
      <c r="F79" s="114"/>
      <c r="G79" s="114"/>
      <c r="H79" s="114"/>
      <c r="I79" s="11"/>
      <c r="J79" s="11"/>
      <c r="K79" s="11"/>
      <c r="L79" s="11"/>
      <c r="M79" s="11"/>
      <c r="N79" s="11"/>
      <c r="O79" s="11"/>
      <c r="P79" s="11">
        <f t="shared" ref="P79:BK79" si="416">P78/M78-1</f>
        <v>-0.86333115623433265</v>
      </c>
      <c r="Q79" s="11">
        <f t="shared" si="416"/>
        <v>-0.89501481722251486</v>
      </c>
      <c r="R79" s="11">
        <f t="shared" si="416"/>
        <v>-0.87655534304920957</v>
      </c>
      <c r="S79" s="11">
        <f t="shared" si="416"/>
        <v>-7.0526806542696607E-2</v>
      </c>
      <c r="T79" s="11">
        <f t="shared" si="416"/>
        <v>0.98284255490893879</v>
      </c>
      <c r="U79" s="11">
        <f t="shared" si="416"/>
        <v>0.30338571740436038</v>
      </c>
      <c r="V79" s="11">
        <f t="shared" si="416"/>
        <v>0.19342492470469241</v>
      </c>
      <c r="W79" s="11">
        <f t="shared" si="416"/>
        <v>-2.3164193893365215E-2</v>
      </c>
      <c r="X79" s="11">
        <f t="shared" si="416"/>
        <v>7.6463880518676586E-2</v>
      </c>
      <c r="Y79" s="11">
        <f t="shared" si="416"/>
        <v>3.192950450187082E-2</v>
      </c>
      <c r="Z79" s="11">
        <f t="shared" si="416"/>
        <v>9.5719609996414823E-2</v>
      </c>
      <c r="AA79" s="11">
        <f t="shared" si="416"/>
        <v>6.3188860860332152E-2</v>
      </c>
      <c r="AB79" s="11">
        <f t="shared" si="416"/>
        <v>6.7495584150214949E-2</v>
      </c>
      <c r="AC79" s="11">
        <f t="shared" si="416"/>
        <v>7.702329573036959E-2</v>
      </c>
      <c r="AD79" s="11">
        <f t="shared" si="416"/>
        <v>7.2307348270118199E-2</v>
      </c>
      <c r="AE79" s="11">
        <f t="shared" si="416"/>
        <v>8.9317743602641997E-2</v>
      </c>
      <c r="AF79" s="11">
        <f t="shared" si="416"/>
        <v>5.4437715706010747E-2</v>
      </c>
      <c r="AG79" s="11">
        <f t="shared" si="416"/>
        <v>7.1624870359214832E-2</v>
      </c>
      <c r="AH79" s="11">
        <f t="shared" si="416"/>
        <v>7.3753886615713471E-2</v>
      </c>
      <c r="AI79" s="11">
        <f t="shared" si="416"/>
        <v>7.742719683433763E-2</v>
      </c>
      <c r="AJ79" s="11">
        <f t="shared" si="416"/>
        <v>7.5587286910685725E-2</v>
      </c>
      <c r="AK79" s="11">
        <f t="shared" si="416"/>
        <v>7.532295117990695E-2</v>
      </c>
      <c r="AL79" s="11">
        <f t="shared" si="416"/>
        <v>7.3075085410422069E-2</v>
      </c>
      <c r="AM79" s="11">
        <f t="shared" si="416"/>
        <v>7.4199090861024164E-2</v>
      </c>
      <c r="AN79" s="11">
        <f t="shared" si="416"/>
        <v>7.6745680041480524E-2</v>
      </c>
      <c r="AO79" s="11">
        <f t="shared" si="416"/>
        <v>8.6543432705627144E-2</v>
      </c>
      <c r="AP79" s="11">
        <f t="shared" si="416"/>
        <v>8.1639114394504109E-2</v>
      </c>
      <c r="AQ79" s="11">
        <f t="shared" si="416"/>
        <v>9.3590819517805679E-2</v>
      </c>
      <c r="AR79" s="11">
        <f t="shared" si="416"/>
        <v>0.11391997543037102</v>
      </c>
      <c r="AS79" s="11">
        <f t="shared" si="416"/>
        <v>0.10379014258801722</v>
      </c>
      <c r="AT79" s="11">
        <f t="shared" si="416"/>
        <v>0.13020473152233314</v>
      </c>
      <c r="AU79" s="11">
        <f t="shared" si="416"/>
        <v>9.9429804203870154E-2</v>
      </c>
      <c r="AV79" s="11">
        <f t="shared" si="416"/>
        <v>0.11395721190265506</v>
      </c>
      <c r="AW79" s="11">
        <f t="shared" si="416"/>
        <v>0.14594960007228197</v>
      </c>
      <c r="AX79" s="11">
        <f t="shared" si="416"/>
        <v>0.13830296072686266</v>
      </c>
      <c r="AY79" s="11">
        <f t="shared" si="416"/>
        <v>0.14281337373717262</v>
      </c>
      <c r="AZ79" s="11">
        <f t="shared" si="416"/>
        <v>0.27348413362894819</v>
      </c>
      <c r="BA79" s="11">
        <f t="shared" si="416"/>
        <v>0.21326320025711798</v>
      </c>
      <c r="BB79" s="11">
        <f t="shared" si="416"/>
        <v>0.24350987067337804</v>
      </c>
      <c r="BC79" s="11">
        <f t="shared" si="416"/>
        <v>0.10755247308063298</v>
      </c>
      <c r="BD79" s="11">
        <f t="shared" si="416"/>
        <v>0.2071272554313508</v>
      </c>
      <c r="BE79" s="11">
        <f t="shared" si="416"/>
        <v>0.15590912061511175</v>
      </c>
      <c r="BF79" s="11">
        <f t="shared" si="416"/>
        <v>0.27282615043640135</v>
      </c>
      <c r="BG79" s="11">
        <f t="shared" si="416"/>
        <v>1.2387144164512254E-2</v>
      </c>
      <c r="BH79" s="11">
        <f t="shared" si="416"/>
        <v>0.14074458315416116</v>
      </c>
      <c r="BI79" s="11">
        <f t="shared" si="416"/>
        <v>7.7339518959917974E-2</v>
      </c>
      <c r="BJ79" s="11">
        <f t="shared" si="416"/>
        <v>0.10446678969912426</v>
      </c>
      <c r="BK79" s="11">
        <f t="shared" si="416"/>
        <v>8.9549092422599008E-2</v>
      </c>
      <c r="BL79" s="11">
        <f t="shared" ref="BL79" si="417">BL78/BI78-1</f>
        <v>-7.9055967733776544E-2</v>
      </c>
      <c r="BM79" s="11">
        <f t="shared" ref="BM79" ca="1" si="418">BM78/BJ78-1</f>
        <v>0.31919916799642012</v>
      </c>
      <c r="BN79" s="11">
        <f t="shared" ref="BN79" ca="1" si="419">BN78/BK78-1</f>
        <v>0.10264683812627617</v>
      </c>
      <c r="BO79" s="11">
        <f t="shared" ref="BO79" ca="1" si="420">BO78/BL78-1</f>
        <v>0.23869088106908909</v>
      </c>
      <c r="BP79" s="11">
        <f t="shared" ref="BP79" ca="1" si="421">BP78/BM78-1</f>
        <v>3.0248110658148031E-2</v>
      </c>
      <c r="BQ79" s="11">
        <f t="shared" ref="BQ79" ca="1" si="422">BQ78/BN78-1</f>
        <v>0.12491216785756953</v>
      </c>
      <c r="BR79" s="11">
        <f t="shared" ref="BR79" ca="1" si="423">BR78/BO78-1</f>
        <v>0.12497594895789677</v>
      </c>
      <c r="BS79" s="11">
        <f t="shared" ref="BS79" ca="1" si="424">BS78/BP78-1</f>
        <v>0.13646896920026808</v>
      </c>
      <c r="BT79" s="11">
        <f t="shared" ref="BT79" ca="1" si="425">BT78/BQ78-1</f>
        <v>0.13072149838329872</v>
      </c>
      <c r="BU79" s="11">
        <f t="shared" ref="BU79" ca="1" si="426">BU78/BR78-1</f>
        <v>9.3909130023291931E-2</v>
      </c>
      <c r="BV79" s="11">
        <f t="shared" ref="BV79" ca="1" si="427">BV78/BS78-1</f>
        <v>9.6603684998297856E-2</v>
      </c>
      <c r="BW79" s="11">
        <f t="shared" ref="BW79" ca="1" si="428">BW78/BT78-1</f>
        <v>9.5263029356903228E-2</v>
      </c>
      <c r="BX79" s="11">
        <f t="shared" ref="BX79" ca="1" si="429">BX78/BU78-1</f>
        <v>6.8290394809533028E-2</v>
      </c>
      <c r="BY79" s="11">
        <f t="shared" ref="BY79" ca="1" si="430">BY78/BV78-1</f>
        <v>6.2668828485008099E-2</v>
      </c>
      <c r="BZ79" s="11">
        <f t="shared" ref="BZ79" ca="1" si="431">BZ78/BW78-1</f>
        <v>6.5462339248912427E-2</v>
      </c>
      <c r="CA79" s="11">
        <f t="shared" ref="CA79" ca="1" si="432">CA78/BX78-1</f>
        <v>7.6064925609169443E-2</v>
      </c>
      <c r="CB79" s="11">
        <f t="shared" ref="CB79" ca="1" si="433">CB78/BY78-1</f>
        <v>7.7959460503874478E-2</v>
      </c>
      <c r="CC79" s="11">
        <f t="shared" ref="CC79" ca="1" si="434">CC78/BZ78-1</f>
        <v>7.7015515180462124E-2</v>
      </c>
      <c r="CD79" s="116"/>
      <c r="CE79" s="117"/>
      <c r="CF79" s="117"/>
      <c r="CG79" s="117"/>
      <c r="CH79" s="117"/>
      <c r="CI79" s="117"/>
      <c r="CJ79" s="117"/>
      <c r="CK79" s="114"/>
      <c r="CL79" s="123">
        <f>X79</f>
        <v>7.6463880518676586E-2</v>
      </c>
      <c r="CM79" s="114">
        <f>AA79</f>
        <v>6.3188860860332152E-2</v>
      </c>
      <c r="CN79" s="114">
        <f>AD79</f>
        <v>7.2307348270118199E-2</v>
      </c>
      <c r="CO79" s="114">
        <f>AG79</f>
        <v>7.1624870359214832E-2</v>
      </c>
      <c r="CP79" s="114">
        <f>AJ79</f>
        <v>7.5587286910685725E-2</v>
      </c>
      <c r="CQ79" s="114">
        <f>AM79</f>
        <v>7.4199090861024164E-2</v>
      </c>
      <c r="CR79" s="114">
        <f>AP79</f>
        <v>8.1639114394504109E-2</v>
      </c>
      <c r="CS79" s="114">
        <f>AS79</f>
        <v>0.10379014258801722</v>
      </c>
      <c r="CT79" s="114">
        <f>AV79</f>
        <v>0.11395721190265506</v>
      </c>
      <c r="CU79" s="114">
        <f>AY79</f>
        <v>0.14281337373717262</v>
      </c>
      <c r="CV79" s="114">
        <f>BB79</f>
        <v>0.24350987067337804</v>
      </c>
      <c r="CW79" s="76">
        <f>BE79</f>
        <v>0.15590912061511175</v>
      </c>
      <c r="CX79" s="76">
        <f>BH79</f>
        <v>0.14074458315416116</v>
      </c>
      <c r="CY79" s="76">
        <f>BK79</f>
        <v>8.9549092422599008E-2</v>
      </c>
      <c r="CZ79" s="76">
        <f ca="1">BN79</f>
        <v>0.10264683812627617</v>
      </c>
      <c r="DA79" s="76">
        <f ca="1">BQ79</f>
        <v>0.12491216785756953</v>
      </c>
      <c r="DB79" s="76">
        <f ca="1">BT79</f>
        <v>0.13072149838329872</v>
      </c>
      <c r="DC79" s="76">
        <f ca="1">BW79</f>
        <v>9.5263029356903228E-2</v>
      </c>
      <c r="DD79" s="76">
        <f ca="1">BZ79</f>
        <v>6.5462339248912427E-2</v>
      </c>
      <c r="DE79" s="76">
        <f ca="1">CC79</f>
        <v>7.7015515180462124E-2</v>
      </c>
      <c r="DF79" s="15"/>
      <c r="DG79" s="15"/>
      <c r="DH79" s="15"/>
      <c r="DI79" s="15"/>
      <c r="DJ79" s="15"/>
      <c r="DK79" s="15"/>
      <c r="EB79"/>
      <c r="EC79"/>
      <c r="ED79"/>
      <c r="EE79"/>
      <c r="EF79"/>
      <c r="EG79"/>
    </row>
    <row r="80" spans="1:137" s="55" customFormat="1" ht="12.75" customHeight="1">
      <c r="A80" s="48"/>
      <c r="B80" s="154"/>
      <c r="C80" s="48"/>
      <c r="D80" s="48"/>
      <c r="E80" s="48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375"/>
      <c r="BC80" s="51"/>
      <c r="BD80" s="51"/>
      <c r="BE80" s="51"/>
      <c r="BF80" s="51"/>
      <c r="BG80" s="51"/>
      <c r="BH80" s="51"/>
      <c r="BI80" s="51"/>
      <c r="BJ80" s="51"/>
      <c r="BK80" s="51"/>
      <c r="BL80" s="51"/>
      <c r="BM80" s="51"/>
      <c r="BN80" s="51"/>
      <c r="BO80" s="51"/>
      <c r="BP80" s="51"/>
      <c r="BQ80" s="51"/>
      <c r="BR80" s="51"/>
      <c r="BS80" s="51"/>
      <c r="BT80" s="51"/>
      <c r="BU80" s="51"/>
      <c r="BV80" s="51"/>
      <c r="BW80" s="51"/>
      <c r="BX80" s="51"/>
      <c r="BY80" s="51"/>
      <c r="BZ80" s="51"/>
      <c r="CA80" s="51"/>
      <c r="CB80" s="51"/>
      <c r="CC80" s="51"/>
      <c r="CD80" s="52"/>
      <c r="CE80" s="53"/>
      <c r="CF80" s="53"/>
      <c r="CG80" s="53"/>
      <c r="CH80" s="53"/>
      <c r="CI80" s="53"/>
      <c r="CJ80" s="53"/>
      <c r="CK80" s="51"/>
      <c r="CL80" s="54"/>
      <c r="CM80" s="51"/>
      <c r="CN80" s="51"/>
      <c r="CO80" s="51"/>
      <c r="CP80" s="51"/>
      <c r="CQ80" s="51"/>
      <c r="CR80" s="51"/>
      <c r="CS80" s="51"/>
      <c r="CT80" s="51"/>
      <c r="CU80" s="51"/>
      <c r="CV80" s="51"/>
      <c r="CW80" s="51"/>
      <c r="CX80" s="51"/>
      <c r="CY80" s="51"/>
      <c r="CZ80" s="51"/>
      <c r="DA80" s="51"/>
      <c r="DB80" s="51"/>
      <c r="DC80" s="51"/>
      <c r="DD80" s="51"/>
      <c r="DE80" s="51"/>
      <c r="DF80" s="48"/>
      <c r="DG80" s="48"/>
      <c r="DH80" s="48"/>
      <c r="DI80" s="48"/>
      <c r="DJ80" s="48"/>
      <c r="DK80" s="48"/>
      <c r="EB80"/>
      <c r="EC80"/>
      <c r="ED80"/>
      <c r="EE80"/>
      <c r="EF80"/>
      <c r="EG80"/>
    </row>
    <row r="81" spans="1:137" s="161" customFormat="1" ht="12.75" customHeight="1">
      <c r="A81" s="155"/>
      <c r="B81" s="136" t="s">
        <v>93</v>
      </c>
      <c r="C81" s="155"/>
      <c r="D81" s="155"/>
      <c r="E81" s="155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156"/>
      <c r="Y81" s="156"/>
      <c r="Z81" s="156"/>
      <c r="AA81" s="156"/>
      <c r="AB81" s="156"/>
      <c r="AC81" s="156"/>
      <c r="AD81" s="156"/>
      <c r="AE81" s="156"/>
      <c r="AF81" s="156"/>
      <c r="AG81" s="156"/>
      <c r="AH81" s="156"/>
      <c r="AI81" s="156"/>
      <c r="AJ81" s="156"/>
      <c r="AK81" s="156"/>
      <c r="AL81" s="156"/>
      <c r="AM81" s="156"/>
      <c r="AN81" s="156"/>
      <c r="AO81" s="156"/>
      <c r="AP81" s="156"/>
      <c r="AQ81" s="156"/>
      <c r="AR81" s="156"/>
      <c r="AS81" s="156"/>
      <c r="AT81" s="156"/>
      <c r="AU81" s="156"/>
      <c r="AV81" s="156"/>
      <c r="AW81" s="156"/>
      <c r="AX81" s="156"/>
      <c r="AY81" s="156"/>
      <c r="AZ81" s="156"/>
      <c r="BA81" s="156"/>
      <c r="BB81" s="156"/>
      <c r="BC81" s="156"/>
      <c r="BD81" s="156"/>
      <c r="BE81" s="156"/>
      <c r="BF81" s="156"/>
      <c r="BG81" s="156"/>
      <c r="BH81" s="156"/>
      <c r="BI81" s="156"/>
      <c r="BJ81" s="156"/>
      <c r="BK81" s="156"/>
      <c r="BL81" s="156"/>
      <c r="BM81" s="156"/>
      <c r="BN81" s="156"/>
      <c r="BO81" s="156"/>
      <c r="BP81" s="156"/>
      <c r="BQ81" s="156"/>
      <c r="BR81" s="156"/>
      <c r="BS81" s="156"/>
      <c r="BT81" s="156"/>
      <c r="BU81" s="156"/>
      <c r="BV81" s="156"/>
      <c r="BW81" s="156"/>
      <c r="BX81" s="156"/>
      <c r="BY81" s="156"/>
      <c r="BZ81" s="156"/>
      <c r="CA81" s="156"/>
      <c r="CB81" s="156"/>
      <c r="CC81" s="156"/>
      <c r="CD81" s="157"/>
      <c r="CE81" s="156"/>
      <c r="CF81" s="156"/>
      <c r="CG81" s="156"/>
      <c r="CH81" s="156"/>
      <c r="CI81" s="156"/>
      <c r="CJ81" s="156"/>
      <c r="CK81" s="158"/>
      <c r="CL81" s="159"/>
      <c r="CM81" s="156"/>
      <c r="CN81" s="156"/>
      <c r="CO81" s="156"/>
      <c r="CP81" s="156"/>
      <c r="CQ81" s="156"/>
      <c r="CR81" s="156"/>
      <c r="CS81" s="156"/>
      <c r="CT81" s="156"/>
      <c r="CU81" s="156"/>
      <c r="CV81" s="156"/>
      <c r="CW81" s="156"/>
      <c r="CX81" s="156"/>
      <c r="CY81" s="156"/>
      <c r="CZ81" s="156"/>
      <c r="DA81" s="156"/>
      <c r="DB81" s="156"/>
      <c r="DC81" s="156"/>
      <c r="DD81" s="156"/>
      <c r="DE81" s="156"/>
      <c r="DF81" s="160"/>
      <c r="DG81" s="160"/>
      <c r="DH81" s="160"/>
      <c r="DI81" s="160"/>
      <c r="DJ81" s="160"/>
      <c r="DK81" s="160"/>
      <c r="EB81"/>
      <c r="EC81"/>
      <c r="ED81"/>
      <c r="EE81"/>
      <c r="EF81"/>
      <c r="EG81"/>
    </row>
    <row r="82" spans="1:137" s="153" customFormat="1" ht="12.75" customHeight="1">
      <c r="A82" s="17"/>
      <c r="B82" s="16" t="s">
        <v>94</v>
      </c>
      <c r="C82" s="17"/>
      <c r="D82" s="162"/>
      <c r="E82" s="162"/>
      <c r="F82" s="162"/>
      <c r="G82" s="162"/>
      <c r="H82" s="162"/>
      <c r="I82" s="162"/>
      <c r="J82" s="162"/>
      <c r="K82" s="162"/>
      <c r="L82" s="163">
        <v>0.9313303158460785</v>
      </c>
      <c r="M82" s="163">
        <v>1.1701383174601416</v>
      </c>
      <c r="N82" s="163">
        <v>0</v>
      </c>
      <c r="O82" s="163">
        <v>0.64703781639566493</v>
      </c>
      <c r="P82" s="163">
        <v>0.7957337015973498</v>
      </c>
      <c r="Q82" s="163">
        <v>0.88762760895056003</v>
      </c>
      <c r="R82" s="163">
        <v>0.8787649313526088</v>
      </c>
      <c r="S82" s="163">
        <v>0.60000000000000031</v>
      </c>
      <c r="T82" s="163">
        <v>0.60000000000000009</v>
      </c>
      <c r="U82" s="163">
        <v>0.59999999999999976</v>
      </c>
      <c r="V82" s="163">
        <v>0.57949433304272013</v>
      </c>
      <c r="W82" s="163">
        <v>0.61752735042735041</v>
      </c>
      <c r="X82" s="163">
        <v>0.59869961156668094</v>
      </c>
      <c r="Y82" s="163">
        <v>0.60550000000000015</v>
      </c>
      <c r="Z82" s="163">
        <v>0.63004094010614076</v>
      </c>
      <c r="AA82" s="163">
        <v>0.61772644003777144</v>
      </c>
      <c r="AB82" s="163">
        <v>0.60249999999999992</v>
      </c>
      <c r="AC82" s="163">
        <v>0.58603736479842705</v>
      </c>
      <c r="AD82" s="163">
        <f>AVERAGE(AB82:AC82)</f>
        <v>0.59426868239921349</v>
      </c>
      <c r="AE82" s="163">
        <f>AE84/AE58</f>
        <v>0.59360136033934574</v>
      </c>
      <c r="AF82" s="162">
        <v>0.59599999999999997</v>
      </c>
      <c r="AG82" s="162">
        <f>AVERAGE(AE82:AF82)</f>
        <v>0.5948006801696728</v>
      </c>
      <c r="AH82" s="162">
        <v>0.60250000000000004</v>
      </c>
      <c r="AI82" s="162">
        <v>0.60250000000000004</v>
      </c>
      <c r="AJ82" s="162">
        <v>0.60250000000000004</v>
      </c>
      <c r="AK82" s="162">
        <v>0.58750000000000002</v>
      </c>
      <c r="AL82" s="162">
        <v>0.61199999999999999</v>
      </c>
      <c r="AM82" s="162">
        <f t="shared" ref="AM82:AS82" si="435">AL82</f>
        <v>0.61199999999999999</v>
      </c>
      <c r="AN82" s="164">
        <v>0.59050000000000002</v>
      </c>
      <c r="AO82" s="164">
        <v>0.60799999999999998</v>
      </c>
      <c r="AP82" s="162">
        <f t="shared" si="435"/>
        <v>0.60799999999999998</v>
      </c>
      <c r="AQ82" s="165">
        <f>AQ84/AQ58</f>
        <v>0.5851612903225808</v>
      </c>
      <c r="AR82" s="165">
        <f>AR84/AR58</f>
        <v>0.5700446260213704</v>
      </c>
      <c r="AS82" s="18">
        <f t="shared" si="435"/>
        <v>0.5700446260213704</v>
      </c>
      <c r="AT82" s="165">
        <f t="shared" ref="AT82:BK82" si="436">AT84/AT58</f>
        <v>0.51715686274509798</v>
      </c>
      <c r="AU82" s="165">
        <f t="shared" si="436"/>
        <v>0.52271372625737411</v>
      </c>
      <c r="AV82" s="165">
        <f t="shared" si="436"/>
        <v>0.51993372210069488</v>
      </c>
      <c r="AW82" s="165">
        <f t="shared" si="436"/>
        <v>0.45403111428062592</v>
      </c>
      <c r="AX82" s="165">
        <f t="shared" si="436"/>
        <v>0.45836228287841191</v>
      </c>
      <c r="AY82" s="165">
        <f t="shared" si="436"/>
        <v>0.45617822877739606</v>
      </c>
      <c r="AZ82" s="165">
        <f t="shared" si="436"/>
        <v>0.35643602136860852</v>
      </c>
      <c r="BA82" s="165">
        <f t="shared" si="436"/>
        <v>0.37777028848746297</v>
      </c>
      <c r="BB82" s="165">
        <f t="shared" si="436"/>
        <v>0.36679319371727759</v>
      </c>
      <c r="BC82" s="165">
        <f t="shared" si="436"/>
        <v>0.32181973759269827</v>
      </c>
      <c r="BD82" s="165">
        <f t="shared" si="436"/>
        <v>0.31275504577037599</v>
      </c>
      <c r="BE82" s="165">
        <f t="shared" si="436"/>
        <v>0.31692462987886943</v>
      </c>
      <c r="BF82" s="165">
        <f t="shared" si="436"/>
        <v>0.25268759978712085</v>
      </c>
      <c r="BG82" s="165">
        <f t="shared" si="436"/>
        <v>0.30898047722342731</v>
      </c>
      <c r="BH82" s="165">
        <f t="shared" si="436"/>
        <v>0.27801307699814576</v>
      </c>
      <c r="BI82" s="165">
        <f t="shared" si="436"/>
        <v>0.23457133507853406</v>
      </c>
      <c r="BJ82" s="165">
        <f t="shared" si="436"/>
        <v>0.27983100661278482</v>
      </c>
      <c r="BK82" s="165">
        <f t="shared" si="436"/>
        <v>0.25589304257528567</v>
      </c>
      <c r="BL82" s="165">
        <f t="shared" ref="BL82:BN82" si="437">BL84/BL58</f>
        <v>0.25485666805151641</v>
      </c>
      <c r="BM82" s="165">
        <f t="shared" ca="1" si="437"/>
        <v>0.21193575723621502</v>
      </c>
      <c r="BN82" s="165">
        <f t="shared" ca="1" si="437"/>
        <v>0.23142295377609431</v>
      </c>
      <c r="BO82" s="165">
        <f t="shared" ref="BO82:BQ82" ca="1" si="438">BO84/BO58</f>
        <v>0.20565968319616518</v>
      </c>
      <c r="BP82" s="165">
        <f t="shared" ca="1" si="438"/>
        <v>0.20576628276286393</v>
      </c>
      <c r="BQ82" s="165">
        <f t="shared" ca="1" si="438"/>
        <v>0.20571296916965742</v>
      </c>
      <c r="BR82" s="165">
        <f t="shared" ref="BR82:BT82" ca="1" si="439">BR84/BR58</f>
        <v>0.19195422506601748</v>
      </c>
      <c r="BS82" s="165">
        <f t="shared" ca="1" si="439"/>
        <v>0.19010434460979578</v>
      </c>
      <c r="BT82" s="165">
        <f t="shared" ca="1" si="439"/>
        <v>0.19102480639144068</v>
      </c>
      <c r="BU82" s="165">
        <f t="shared" ref="BU82:BZ82" ca="1" si="440">BU84/BU58</f>
        <v>0.18426535685080317</v>
      </c>
      <c r="BV82" s="165">
        <f t="shared" ca="1" si="440"/>
        <v>0.18203976739350675</v>
      </c>
      <c r="BW82" s="165">
        <f t="shared" ca="1" si="440"/>
        <v>0.18314580102586586</v>
      </c>
      <c r="BX82" s="165">
        <f t="shared" ca="1" si="440"/>
        <v>0.18113987538558526</v>
      </c>
      <c r="BY82" s="165">
        <f t="shared" ca="1" si="440"/>
        <v>0.17990284049028321</v>
      </c>
      <c r="BZ82" s="165">
        <f t="shared" ca="1" si="440"/>
        <v>0.18051923872147463</v>
      </c>
      <c r="CA82" s="165">
        <f t="shared" ref="CA82:CC82" ca="1" si="441">CA84/CA58</f>
        <v>0.17677607542311288</v>
      </c>
      <c r="CB82" s="165">
        <f t="shared" ca="1" si="441"/>
        <v>0.17525972474581492</v>
      </c>
      <c r="CC82" s="165">
        <f t="shared" ca="1" si="441"/>
        <v>0.17601463433794684</v>
      </c>
      <c r="CD82" s="166"/>
      <c r="CE82" s="167"/>
      <c r="CF82" s="167"/>
      <c r="CG82" s="167"/>
      <c r="CH82" s="167"/>
      <c r="CI82" s="167"/>
      <c r="CJ82" s="167"/>
      <c r="CK82" s="162"/>
      <c r="CL82" s="168">
        <f>X82</f>
        <v>0.59869961156668094</v>
      </c>
      <c r="CM82" s="162">
        <f>AA82</f>
        <v>0.61772644003777144</v>
      </c>
      <c r="CN82" s="162">
        <f>AD82</f>
        <v>0.59426868239921349</v>
      </c>
      <c r="CO82" s="162">
        <f>AG82</f>
        <v>0.5948006801696728</v>
      </c>
      <c r="CP82" s="162">
        <f>AJ82</f>
        <v>0.60250000000000004</v>
      </c>
      <c r="CQ82" s="162">
        <f>AM82</f>
        <v>0.61199999999999999</v>
      </c>
      <c r="CR82" s="162">
        <f>AP82</f>
        <v>0.60799999999999998</v>
      </c>
      <c r="CS82" s="162">
        <f>AS82</f>
        <v>0.5700446260213704</v>
      </c>
      <c r="CT82" s="162">
        <f>AV82</f>
        <v>0.51993372210069488</v>
      </c>
      <c r="CU82" s="162">
        <f>AY82</f>
        <v>0.45617822877739606</v>
      </c>
      <c r="CV82" s="162">
        <f>BB82</f>
        <v>0.36679319371727759</v>
      </c>
      <c r="CW82" s="162">
        <f>BE82</f>
        <v>0.31692462987886943</v>
      </c>
      <c r="CX82" s="162">
        <f>BH82</f>
        <v>0.27801307699814576</v>
      </c>
      <c r="CY82" s="162">
        <f>BK82</f>
        <v>0.25589304257528567</v>
      </c>
      <c r="CZ82" s="162">
        <f ca="1">BN82</f>
        <v>0.23142295377609431</v>
      </c>
      <c r="DA82" s="162">
        <f ca="1">BQ82</f>
        <v>0.20571296916965742</v>
      </c>
      <c r="DB82" s="162">
        <f ca="1">BT82</f>
        <v>0.19102480639144068</v>
      </c>
      <c r="DC82" s="162">
        <f ca="1">BW82</f>
        <v>0.18314580102586586</v>
      </c>
      <c r="DD82" s="162">
        <f ca="1">BZ82</f>
        <v>0.18051923872147463</v>
      </c>
      <c r="DE82" s="162">
        <f ca="1">CC82</f>
        <v>0.17601463433794684</v>
      </c>
      <c r="DF82" s="17"/>
      <c r="DG82" s="17"/>
      <c r="DH82" s="17"/>
      <c r="DI82" s="17"/>
      <c r="DJ82" s="17"/>
      <c r="DK82" s="17"/>
      <c r="EB82"/>
      <c r="EC82"/>
      <c r="ED82"/>
      <c r="EE82"/>
      <c r="EF82"/>
      <c r="EG82"/>
    </row>
    <row r="83" spans="1:137" ht="12.75" customHeight="1">
      <c r="A83" s="1"/>
      <c r="B83" s="13"/>
      <c r="C83" s="1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>
        <v>110.20911767123295</v>
      </c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68"/>
      <c r="CE83" s="65"/>
      <c r="CF83" s="65"/>
      <c r="CG83" s="65"/>
      <c r="CH83" s="65"/>
      <c r="CI83" s="65"/>
      <c r="CJ83" s="65"/>
      <c r="CK83" s="19"/>
      <c r="CL83" s="58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</row>
    <row r="84" spans="1:137" s="86" customFormat="1" ht="12.75" customHeight="1" thickBot="1">
      <c r="A84" s="79"/>
      <c r="B84" s="80" t="s">
        <v>95</v>
      </c>
      <c r="C84" s="79"/>
      <c r="D84" s="81"/>
      <c r="E84" s="81"/>
      <c r="F84" s="81"/>
      <c r="G84" s="81"/>
      <c r="H84" s="81"/>
      <c r="I84" s="81"/>
      <c r="J84" s="81"/>
      <c r="K84" s="81"/>
      <c r="L84" s="81">
        <f t="shared" ref="L84:AB84" si="442">L82*L58</f>
        <v>567.5526944766001</v>
      </c>
      <c r="M84" s="81">
        <f t="shared" si="442"/>
        <v>470.16157595548498</v>
      </c>
      <c r="N84" s="81">
        <f t="shared" si="442"/>
        <v>0</v>
      </c>
      <c r="O84" s="81">
        <f t="shared" si="442"/>
        <v>509.34684858132783</v>
      </c>
      <c r="P84" s="81">
        <f t="shared" si="442"/>
        <v>110.20911767123292</v>
      </c>
      <c r="Q84" s="81">
        <f t="shared" si="442"/>
        <v>109.01593757400281</v>
      </c>
      <c r="R84" s="81">
        <f t="shared" si="442"/>
        <v>272.43224347612801</v>
      </c>
      <c r="S84" s="81">
        <f t="shared" si="442"/>
        <v>102.30000000000005</v>
      </c>
      <c r="T84" s="81">
        <f t="shared" si="442"/>
        <v>128.03999999999994</v>
      </c>
      <c r="U84" s="81">
        <f t="shared" si="442"/>
        <v>230.33999999999983</v>
      </c>
      <c r="V84" s="81">
        <f t="shared" si="442"/>
        <v>132.93599999999998</v>
      </c>
      <c r="W84" s="81">
        <f t="shared" si="442"/>
        <v>144.50140000000002</v>
      </c>
      <c r="X84" s="81">
        <f t="shared" si="442"/>
        <v>277.43740000000003</v>
      </c>
      <c r="Y84" s="81">
        <f t="shared" si="442"/>
        <v>160.88135000000003</v>
      </c>
      <c r="Z84" s="81">
        <f t="shared" si="442"/>
        <v>175.40339772554964</v>
      </c>
      <c r="AA84" s="81">
        <f>AA82*AA58</f>
        <v>336.10495602455137</v>
      </c>
      <c r="AB84" s="81">
        <f t="shared" si="442"/>
        <v>178.33999999999995</v>
      </c>
      <c r="AC84" s="82">
        <f>AC58*AC82</f>
        <v>178.80000000000004</v>
      </c>
      <c r="AD84" s="82">
        <f>SUM(AB84:AC84)</f>
        <v>357.14</v>
      </c>
      <c r="AE84" s="82">
        <f>AE86*AE211/100</f>
        <v>194.167004967</v>
      </c>
      <c r="AF84" s="82">
        <f>AF58*AF82</f>
        <v>194.53439999999998</v>
      </c>
      <c r="AG84" s="82">
        <f>SUM(AE84:AF84)</f>
        <v>388.70140496699997</v>
      </c>
      <c r="AH84" s="82">
        <v>210.9</v>
      </c>
      <c r="AI84" s="82">
        <f>AI58*AI82</f>
        <v>215.63475</v>
      </c>
      <c r="AJ84" s="82">
        <f>SUM(AH84:AI84)</f>
        <v>426.53475000000003</v>
      </c>
      <c r="AK84" s="82">
        <f>AK41*AK82</f>
        <v>228.0675</v>
      </c>
      <c r="AL84" s="82">
        <f>AL41*AL82</f>
        <v>237.33359999999999</v>
      </c>
      <c r="AM84" s="82">
        <f>SUM(AK84:AL84)</f>
        <v>465.40109999999999</v>
      </c>
      <c r="AN84" s="82">
        <f>AN58*AN82</f>
        <v>248.77765000000002</v>
      </c>
      <c r="AO84" s="82">
        <f>AO58*AO82</f>
        <v>258.15680000000003</v>
      </c>
      <c r="AP84" s="82">
        <f>SUM(AN84:AO84)</f>
        <v>506.93445000000008</v>
      </c>
      <c r="AQ84" s="82">
        <v>272.10000000000002</v>
      </c>
      <c r="AR84" s="82">
        <f>AR86*AR210/100</f>
        <v>272.08229999999998</v>
      </c>
      <c r="AS84" s="82">
        <f>SUM(AQ84:AR84)</f>
        <v>544.18229999999994</v>
      </c>
      <c r="AT84" s="82">
        <v>274.3</v>
      </c>
      <c r="AU84" s="82">
        <f>AU86*AU210/100</f>
        <v>276.93373217115686</v>
      </c>
      <c r="AV84" s="82">
        <f>SUM(AT84:AU84)</f>
        <v>551.23373217115682</v>
      </c>
      <c r="AW84" s="82">
        <f>AW86*AW210/100</f>
        <v>279.18373217115686</v>
      </c>
      <c r="AX84" s="82">
        <f>AX86*AX210/100</f>
        <v>277.08</v>
      </c>
      <c r="AY84" s="82">
        <f>SUM(AW84:AX84)</f>
        <v>556.26373217115679</v>
      </c>
      <c r="AZ84" s="82">
        <f t="shared" ref="AZ84:BJ84" si="443">AZ86*AZ210/100</f>
        <v>280.23</v>
      </c>
      <c r="BA84" s="82">
        <f t="shared" si="443"/>
        <v>280.23</v>
      </c>
      <c r="BB84" s="82">
        <f t="shared" si="443"/>
        <v>560.46</v>
      </c>
      <c r="BC84" s="82">
        <f t="shared" si="443"/>
        <v>282.07499999999999</v>
      </c>
      <c r="BD84" s="82">
        <f t="shared" si="443"/>
        <v>283.57499999999999</v>
      </c>
      <c r="BE84" s="82">
        <f t="shared" si="443"/>
        <v>565.14</v>
      </c>
      <c r="BF84" s="82">
        <f t="shared" si="443"/>
        <v>284.88</v>
      </c>
      <c r="BG84" s="82">
        <f t="shared" si="443"/>
        <v>284.88</v>
      </c>
      <c r="BH84" s="82">
        <f>SUM(BF84:BG84)</f>
        <v>569.76</v>
      </c>
      <c r="BI84" s="82">
        <f t="shared" si="443"/>
        <v>286.74</v>
      </c>
      <c r="BJ84" s="82">
        <f t="shared" si="443"/>
        <v>304.68</v>
      </c>
      <c r="BK84" s="82">
        <f>SUM(BI84:BJ84)</f>
        <v>591.42000000000007</v>
      </c>
      <c r="BL84" s="82">
        <f t="shared" ref="BL84:BN84" si="444">BL86*BL210/100</f>
        <v>306.72000000000003</v>
      </c>
      <c r="BM84" s="82">
        <f t="shared" si="444"/>
        <v>306.72000000000003</v>
      </c>
      <c r="BN84" s="82">
        <f t="shared" si="444"/>
        <v>613.44000000000005</v>
      </c>
      <c r="BO84" s="82">
        <f t="shared" ref="BO84:BQ84" si="445">BO86*BO210/100</f>
        <v>306.72000000000003</v>
      </c>
      <c r="BP84" s="82">
        <f t="shared" si="445"/>
        <v>306.72000000000003</v>
      </c>
      <c r="BQ84" s="82">
        <f t="shared" si="445"/>
        <v>613.44000000000005</v>
      </c>
      <c r="BR84" s="82">
        <f t="shared" ref="BR84:BT84" si="446">BR86*BR210/100</f>
        <v>322.05599999999998</v>
      </c>
      <c r="BS84" s="82">
        <f t="shared" si="446"/>
        <v>322.05599999999998</v>
      </c>
      <c r="BT84" s="82">
        <f t="shared" si="446"/>
        <v>644.11199999999997</v>
      </c>
      <c r="BU84" s="82">
        <f t="shared" ref="BU84:BZ84" si="447">BU86*BU210/100</f>
        <v>338.15880000000004</v>
      </c>
      <c r="BV84" s="82">
        <f t="shared" si="447"/>
        <v>338.15880000000004</v>
      </c>
      <c r="BW84" s="82">
        <f t="shared" si="447"/>
        <v>676.31760000000008</v>
      </c>
      <c r="BX84" s="82">
        <f t="shared" si="447"/>
        <v>355.06674000000004</v>
      </c>
      <c r="BY84" s="82">
        <f t="shared" si="447"/>
        <v>355.06674000000004</v>
      </c>
      <c r="BZ84" s="82">
        <f t="shared" si="447"/>
        <v>710.13348000000008</v>
      </c>
      <c r="CA84" s="82">
        <f t="shared" ref="CA84:CC84" si="448">CA86*CA210/100</f>
        <v>372.82007700000003</v>
      </c>
      <c r="CB84" s="82">
        <f t="shared" si="448"/>
        <v>372.82007700000003</v>
      </c>
      <c r="CC84" s="82">
        <f t="shared" si="448"/>
        <v>745.64015400000005</v>
      </c>
      <c r="CD84" s="134"/>
      <c r="CE84" s="108"/>
      <c r="CF84" s="108"/>
      <c r="CG84" s="108"/>
      <c r="CH84" s="108"/>
      <c r="CI84" s="108"/>
      <c r="CJ84" s="108"/>
      <c r="CK84" s="51"/>
      <c r="CL84" s="85">
        <f>X84</f>
        <v>277.43740000000003</v>
      </c>
      <c r="CM84" s="82">
        <f>AA84</f>
        <v>336.10495602455137</v>
      </c>
      <c r="CN84" s="82">
        <f>AD84</f>
        <v>357.14</v>
      </c>
      <c r="CO84" s="82">
        <f>AG84</f>
        <v>388.70140496699997</v>
      </c>
      <c r="CP84" s="82">
        <f>AJ84</f>
        <v>426.53475000000003</v>
      </c>
      <c r="CQ84" s="82">
        <f>AM84</f>
        <v>465.40109999999999</v>
      </c>
      <c r="CR84" s="82">
        <f>AP84</f>
        <v>506.93445000000008</v>
      </c>
      <c r="CS84" s="82">
        <f>AS84</f>
        <v>544.18229999999994</v>
      </c>
      <c r="CT84" s="82">
        <f>AV84</f>
        <v>551.23373217115682</v>
      </c>
      <c r="CU84" s="82">
        <f>AY84</f>
        <v>556.26373217115679</v>
      </c>
      <c r="CV84" s="82">
        <f>BB84</f>
        <v>560.46</v>
      </c>
      <c r="CW84" s="82">
        <f>BE84</f>
        <v>565.14</v>
      </c>
      <c r="CX84" s="82">
        <f>BH84</f>
        <v>569.76</v>
      </c>
      <c r="CY84" s="82">
        <f>BK84</f>
        <v>591.42000000000007</v>
      </c>
      <c r="CZ84" s="82">
        <f>BN84</f>
        <v>613.44000000000005</v>
      </c>
      <c r="DA84" s="82">
        <f>BQ84</f>
        <v>613.44000000000005</v>
      </c>
      <c r="DB84" s="82">
        <f>BT84</f>
        <v>644.11199999999997</v>
      </c>
      <c r="DC84" s="82">
        <f>BW84</f>
        <v>676.31760000000008</v>
      </c>
      <c r="DD84" s="82">
        <f>BZ84</f>
        <v>710.13348000000008</v>
      </c>
      <c r="DE84" s="82">
        <f>CC84</f>
        <v>745.64015400000005</v>
      </c>
      <c r="DF84" s="48"/>
      <c r="DG84" s="48"/>
      <c r="DH84" s="48"/>
      <c r="DI84" s="48"/>
      <c r="DJ84" s="48"/>
      <c r="DK84" s="48"/>
      <c r="EB84"/>
      <c r="EC84"/>
      <c r="ED84"/>
      <c r="EE84"/>
      <c r="EF84"/>
      <c r="EG84"/>
    </row>
    <row r="85" spans="1:137" ht="12.75" customHeight="1" thickTop="1">
      <c r="A85" s="1"/>
      <c r="B85" s="16" t="s">
        <v>72</v>
      </c>
      <c r="C85" s="1"/>
      <c r="D85" s="1"/>
      <c r="E85" s="1"/>
      <c r="F85" s="19"/>
      <c r="G85" s="19"/>
      <c r="H85" s="19"/>
      <c r="I85" s="11"/>
      <c r="J85" s="11"/>
      <c r="K85" s="11"/>
      <c r="L85" s="11"/>
      <c r="M85" s="11"/>
      <c r="N85" s="11"/>
      <c r="O85" s="11">
        <f t="shared" ref="O85:BK85" si="449">O84/L84-1</f>
        <v>-0.10255584452638355</v>
      </c>
      <c r="P85" s="11">
        <f t="shared" si="449"/>
        <v>-0.76559309967587064</v>
      </c>
      <c r="Q85" s="11" t="e">
        <f t="shared" si="449"/>
        <v>#DIV/0!</v>
      </c>
      <c r="R85" s="11">
        <f t="shared" si="449"/>
        <v>-0.4651341335772915</v>
      </c>
      <c r="S85" s="11">
        <f t="shared" si="449"/>
        <v>-7.1764640152793158E-2</v>
      </c>
      <c r="T85" s="11">
        <f t="shared" si="449"/>
        <v>0.17450716701934632</v>
      </c>
      <c r="U85" s="11">
        <f t="shared" si="449"/>
        <v>-0.15450536595465991</v>
      </c>
      <c r="V85" s="11">
        <f t="shared" si="449"/>
        <v>0.29947214076246254</v>
      </c>
      <c r="W85" s="11">
        <f t="shared" si="449"/>
        <v>0.12856451109028511</v>
      </c>
      <c r="X85" s="11">
        <f t="shared" si="449"/>
        <v>0.20446904575844504</v>
      </c>
      <c r="Y85" s="11">
        <f t="shared" si="449"/>
        <v>0.21021657037973207</v>
      </c>
      <c r="Z85" s="11">
        <f t="shared" si="449"/>
        <v>0.21385258361199</v>
      </c>
      <c r="AA85" s="11">
        <f t="shared" si="449"/>
        <v>0.21146231915578562</v>
      </c>
      <c r="AB85" s="11">
        <f t="shared" si="449"/>
        <v>0.10851879350838312</v>
      </c>
      <c r="AC85" s="11">
        <f t="shared" si="449"/>
        <v>1.9364518125042363E-2</v>
      </c>
      <c r="AD85" s="11">
        <f t="shared" si="449"/>
        <v>6.2584748003275736E-2</v>
      </c>
      <c r="AE85" s="11">
        <f t="shared" si="449"/>
        <v>8.8746242946058373E-2</v>
      </c>
      <c r="AF85" s="11">
        <f t="shared" si="449"/>
        <v>8.7999999999999634E-2</v>
      </c>
      <c r="AG85" s="11">
        <f t="shared" si="449"/>
        <v>8.8372640888727094E-2</v>
      </c>
      <c r="AH85" s="11">
        <f t="shared" si="449"/>
        <v>8.6178365041186478E-2</v>
      </c>
      <c r="AI85" s="11">
        <f t="shared" si="449"/>
        <v>0.10846590628701147</v>
      </c>
      <c r="AJ85" s="11">
        <f t="shared" si="449"/>
        <v>9.7332668597408523E-2</v>
      </c>
      <c r="AK85" s="11">
        <f t="shared" si="449"/>
        <v>8.1401137980085192E-2</v>
      </c>
      <c r="AL85" s="11">
        <f t="shared" si="449"/>
        <v>0.10062779769958219</v>
      </c>
      <c r="AM85" s="11">
        <f t="shared" si="449"/>
        <v>9.1121180630651999E-2</v>
      </c>
      <c r="AN85" s="11">
        <f t="shared" si="449"/>
        <v>9.08071075449155E-2</v>
      </c>
      <c r="AO85" s="11">
        <f t="shared" si="449"/>
        <v>8.7738103665052192E-2</v>
      </c>
      <c r="AP85" s="11">
        <f t="shared" si="449"/>
        <v>8.9242053789731157E-2</v>
      </c>
      <c r="AQ85" s="11">
        <f t="shared" si="449"/>
        <v>9.3747770348341142E-2</v>
      </c>
      <c r="AR85" s="11">
        <f t="shared" si="449"/>
        <v>5.3942022832634828E-2</v>
      </c>
      <c r="AS85" s="11">
        <f t="shared" si="449"/>
        <v>7.3476659556279689E-2</v>
      </c>
      <c r="AT85" s="11">
        <f t="shared" si="449"/>
        <v>8.0852627710399361E-3</v>
      </c>
      <c r="AU85" s="11">
        <f t="shared" si="449"/>
        <v>1.7830752574338415E-2</v>
      </c>
      <c r="AV85" s="11">
        <f t="shared" si="449"/>
        <v>1.2957849182446468E-2</v>
      </c>
      <c r="AW85" s="11">
        <f t="shared" si="449"/>
        <v>1.7804346230976487E-2</v>
      </c>
      <c r="AX85" s="11">
        <f t="shared" si="449"/>
        <v>5.2816905942210113E-4</v>
      </c>
      <c r="AY85" s="11">
        <f t="shared" si="449"/>
        <v>9.1249858389257366E-3</v>
      </c>
      <c r="AZ85" s="11">
        <f t="shared" si="449"/>
        <v>3.7475959673816117E-3</v>
      </c>
      <c r="BA85" s="11">
        <f t="shared" si="449"/>
        <v>1.1368557817237113E-2</v>
      </c>
      <c r="BB85" s="11">
        <f t="shared" si="449"/>
        <v>7.5436660457168792E-3</v>
      </c>
      <c r="BC85" s="11">
        <f t="shared" si="449"/>
        <v>6.5838775291724438E-3</v>
      </c>
      <c r="BD85" s="11">
        <f t="shared" si="449"/>
        <v>1.1936623487849074E-2</v>
      </c>
      <c r="BE85" s="11">
        <f t="shared" si="449"/>
        <v>8.3502836955358095E-3</v>
      </c>
      <c r="BF85" s="11">
        <f t="shared" si="449"/>
        <v>9.9441637862272003E-3</v>
      </c>
      <c r="BG85" s="11">
        <f t="shared" si="449"/>
        <v>4.6019571541919824E-3</v>
      </c>
      <c r="BH85" s="11">
        <f t="shared" si="449"/>
        <v>8.1749654952754103E-3</v>
      </c>
      <c r="BI85" s="11">
        <f t="shared" si="449"/>
        <v>6.5290648694187325E-3</v>
      </c>
      <c r="BJ85" s="11">
        <f t="shared" si="449"/>
        <v>6.9502948609940995E-2</v>
      </c>
      <c r="BK85" s="11">
        <f t="shared" si="449"/>
        <v>3.8016006739679975E-2</v>
      </c>
      <c r="BL85" s="11">
        <f t="shared" ref="BL85" si="450">BL84/BI84-1</f>
        <v>6.9679849340866351E-2</v>
      </c>
      <c r="BM85" s="11">
        <f t="shared" ref="BM85" si="451">BM84/BJ84-1</f>
        <v>6.6955494289091533E-3</v>
      </c>
      <c r="BN85" s="11">
        <f t="shared" ref="BN85" si="452">BN84/BK84-1</f>
        <v>3.7232423658313918E-2</v>
      </c>
      <c r="BO85" s="11">
        <f t="shared" ref="BO85" si="453">BO84/BL84-1</f>
        <v>0</v>
      </c>
      <c r="BP85" s="11">
        <f t="shared" ref="BP85" si="454">BP84/BM84-1</f>
        <v>0</v>
      </c>
      <c r="BQ85" s="11">
        <f t="shared" ref="BQ85" si="455">BQ84/BN84-1</f>
        <v>0</v>
      </c>
      <c r="BR85" s="11">
        <f t="shared" ref="BR85" si="456">BR84/BO84-1</f>
        <v>4.9999999999999822E-2</v>
      </c>
      <c r="BS85" s="11">
        <f t="shared" ref="BS85" si="457">BS84/BP84-1</f>
        <v>4.9999999999999822E-2</v>
      </c>
      <c r="BT85" s="11">
        <f t="shared" ref="BT85" si="458">BT84/BQ84-1</f>
        <v>4.9999999999999822E-2</v>
      </c>
      <c r="BU85" s="11">
        <f t="shared" ref="BU85" si="459">BU84/BR84-1</f>
        <v>5.0000000000000266E-2</v>
      </c>
      <c r="BV85" s="11">
        <f t="shared" ref="BV85" si="460">BV84/BS84-1</f>
        <v>5.0000000000000266E-2</v>
      </c>
      <c r="BW85" s="11">
        <f t="shared" ref="BW85" si="461">BW84/BT84-1</f>
        <v>5.0000000000000266E-2</v>
      </c>
      <c r="BX85" s="11">
        <f t="shared" ref="BX85" si="462">BX84/BU84-1</f>
        <v>5.0000000000000044E-2</v>
      </c>
      <c r="BY85" s="11">
        <f t="shared" ref="BY85" si="463">BY84/BV84-1</f>
        <v>5.0000000000000044E-2</v>
      </c>
      <c r="BZ85" s="11">
        <f t="shared" ref="BZ85" si="464">BZ84/BW84-1</f>
        <v>5.0000000000000044E-2</v>
      </c>
      <c r="CA85" s="11">
        <f t="shared" ref="CA85" si="465">CA84/BX84-1</f>
        <v>5.0000000000000044E-2</v>
      </c>
      <c r="CB85" s="11">
        <f t="shared" ref="CB85" si="466">CB84/BY84-1</f>
        <v>5.0000000000000044E-2</v>
      </c>
      <c r="CC85" s="11">
        <f t="shared" ref="CC85" si="467">CC84/BZ84-1</f>
        <v>5.0000000000000044E-2</v>
      </c>
      <c r="CD85" s="68"/>
      <c r="CE85" s="65"/>
      <c r="CF85" s="65"/>
      <c r="CG85" s="65"/>
      <c r="CH85" s="65"/>
      <c r="CI85" s="65"/>
      <c r="CJ85" s="65"/>
      <c r="CK85" s="19"/>
      <c r="CL85" s="58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</row>
    <row r="86" spans="1:137" s="86" customFormat="1" ht="12.75" customHeight="1" thickBot="1">
      <c r="A86" s="79"/>
      <c r="B86" s="80" t="s">
        <v>96</v>
      </c>
      <c r="C86" s="79"/>
      <c r="D86" s="81"/>
      <c r="E86" s="81"/>
      <c r="F86" s="81"/>
      <c r="G86" s="81"/>
      <c r="H86" s="81"/>
      <c r="I86" s="81"/>
      <c r="J86" s="81"/>
      <c r="K86" s="81"/>
      <c r="L86" s="81">
        <f>L84/L211*100</f>
        <v>170.13570456889789</v>
      </c>
      <c r="M86" s="169">
        <v>48.25</v>
      </c>
      <c r="N86" s="81">
        <f>N84/N211*100</f>
        <v>0</v>
      </c>
      <c r="O86" s="169">
        <v>48.25</v>
      </c>
      <c r="P86" s="169">
        <v>7.5</v>
      </c>
      <c r="Q86" s="81">
        <f>Q84/Q211*100</f>
        <v>6.8026028876404254</v>
      </c>
      <c r="R86" s="169">
        <v>17</v>
      </c>
      <c r="S86" s="169">
        <v>7.3993276470089135</v>
      </c>
      <c r="T86" s="169">
        <v>10.100672352991086</v>
      </c>
      <c r="U86" s="169">
        <v>17.5</v>
      </c>
      <c r="V86" s="81">
        <f>V84/V211*100</f>
        <v>9.014443615650638</v>
      </c>
      <c r="W86" s="169">
        <v>8.9161645020302558</v>
      </c>
      <c r="X86" s="169">
        <v>17.916164502030256</v>
      </c>
      <c r="Y86" s="82">
        <f>(Y84/(Y211+4))*100</f>
        <v>9.6996587781161789</v>
      </c>
      <c r="Z86" s="82">
        <f>(Z84/(Z211+14))*100</f>
        <v>10.24133810507092</v>
      </c>
      <c r="AA86" s="82">
        <f>+Y86+Z86</f>
        <v>19.940996883187097</v>
      </c>
      <c r="AB86" s="170">
        <f>AB84/AB210*100</f>
        <v>10.351164342891522</v>
      </c>
      <c r="AC86" s="171">
        <f>AC84/AC211*100</f>
        <v>10.349018926897033</v>
      </c>
      <c r="AD86" s="171">
        <f>SUM(AB86:AC86)</f>
        <v>20.700183269788553</v>
      </c>
      <c r="AE86" s="171">
        <v>11.1</v>
      </c>
      <c r="AF86" s="82">
        <f>AF84/AF211*100</f>
        <v>11.103712808336786</v>
      </c>
      <c r="AG86" s="82">
        <f>SUM(AE86:AF86)</f>
        <v>22.203712808336785</v>
      </c>
      <c r="AH86" s="82">
        <v>11.9</v>
      </c>
      <c r="AI86" s="82">
        <f>AI84/AI211*100</f>
        <v>12.101055023990574</v>
      </c>
      <c r="AJ86" s="82">
        <f>SUM(AH86:AI86)</f>
        <v>24.001055023990574</v>
      </c>
      <c r="AK86" s="82">
        <f>AK84/AK210*100</f>
        <v>12.698635857461024</v>
      </c>
      <c r="AL86" s="82">
        <f>AL84/AL210*100</f>
        <v>13.201282161541508</v>
      </c>
      <c r="AM86" s="82">
        <f>SUM(AK86:AL86)</f>
        <v>25.899918019002534</v>
      </c>
      <c r="AN86" s="82">
        <f>AN84/AN210*100</f>
        <v>13.750699204068098</v>
      </c>
      <c r="AO86" s="82">
        <f>AO84/AO210*100</f>
        <v>14.253582776133436</v>
      </c>
      <c r="AP86" s="82">
        <f>SUM(AN86:AO86)</f>
        <v>28.004281980201533</v>
      </c>
      <c r="AQ86" s="82">
        <f>AQ84/AQ210*100</f>
        <v>15.000975807687599</v>
      </c>
      <c r="AR86" s="82">
        <v>15</v>
      </c>
      <c r="AS86" s="82">
        <f>SUM(AQ86:AR86)</f>
        <v>30.000975807687599</v>
      </c>
      <c r="AT86" s="82">
        <v>15</v>
      </c>
      <c r="AU86" s="82">
        <v>15</v>
      </c>
      <c r="AV86" s="82">
        <f>SUM(AT86:AU86)</f>
        <v>30</v>
      </c>
      <c r="AW86" s="82">
        <v>15</v>
      </c>
      <c r="AX86" s="82">
        <v>15</v>
      </c>
      <c r="AY86" s="82">
        <f>SUM(AW86:AX86)</f>
        <v>30</v>
      </c>
      <c r="AZ86" s="82">
        <v>15</v>
      </c>
      <c r="BA86" s="82">
        <v>15</v>
      </c>
      <c r="BB86" s="82">
        <f>SUM(AZ86:BA86)</f>
        <v>30</v>
      </c>
      <c r="BC86" s="82">
        <v>15</v>
      </c>
      <c r="BD86" s="82">
        <v>15</v>
      </c>
      <c r="BE86" s="82">
        <f>SUM(BC86:BD86)</f>
        <v>30</v>
      </c>
      <c r="BF86" s="82">
        <v>15</v>
      </c>
      <c r="BG86" s="82">
        <v>15</v>
      </c>
      <c r="BH86" s="82">
        <f>SUM(BF86:BG86)</f>
        <v>30</v>
      </c>
      <c r="BI86" s="82">
        <v>15</v>
      </c>
      <c r="BJ86" s="82">
        <v>15</v>
      </c>
      <c r="BK86" s="82">
        <f>SUM(BI86:BJ86)</f>
        <v>30</v>
      </c>
      <c r="BL86" s="82">
        <v>15</v>
      </c>
      <c r="BM86" s="82">
        <v>15</v>
      </c>
      <c r="BN86" s="82">
        <f>SUM(BL86:BM86)</f>
        <v>30</v>
      </c>
      <c r="BO86" s="82">
        <v>15</v>
      </c>
      <c r="BP86" s="82">
        <v>15</v>
      </c>
      <c r="BQ86" s="82">
        <f>SUM(BO86:BP86)</f>
        <v>30</v>
      </c>
      <c r="BR86" s="82">
        <f>BO86*1.05</f>
        <v>15.75</v>
      </c>
      <c r="BS86" s="82">
        <f>BP86*1.05</f>
        <v>15.75</v>
      </c>
      <c r="BT86" s="82">
        <f>SUM(BR86:BS86)</f>
        <v>31.5</v>
      </c>
      <c r="BU86" s="82">
        <f>BR86*1.05</f>
        <v>16.537500000000001</v>
      </c>
      <c r="BV86" s="82">
        <f>BS86*1.05</f>
        <v>16.537500000000001</v>
      </c>
      <c r="BW86" s="82">
        <f>SUM(BU86:BV86)</f>
        <v>33.075000000000003</v>
      </c>
      <c r="BX86" s="82">
        <f>BU86*1.05</f>
        <v>17.364375000000003</v>
      </c>
      <c r="BY86" s="82">
        <f>BV86*1.05</f>
        <v>17.364375000000003</v>
      </c>
      <c r="BZ86" s="82">
        <f>SUM(BX86:BY86)</f>
        <v>34.728750000000005</v>
      </c>
      <c r="CA86" s="82">
        <f>BX86*1.05</f>
        <v>18.232593750000003</v>
      </c>
      <c r="CB86" s="82">
        <f>BY86*1.05</f>
        <v>18.232593750000003</v>
      </c>
      <c r="CC86" s="82">
        <f>SUM(CA86:CB86)</f>
        <v>36.465187500000006</v>
      </c>
      <c r="CD86" s="134"/>
      <c r="CE86" s="108"/>
      <c r="CF86" s="108"/>
      <c r="CG86" s="108"/>
      <c r="CH86" s="108"/>
      <c r="CI86" s="108"/>
      <c r="CJ86" s="108"/>
      <c r="CK86" s="51"/>
      <c r="CL86" s="85">
        <f t="shared" ref="CL86:CL91" si="468">X86</f>
        <v>17.916164502030256</v>
      </c>
      <c r="CM86" s="82">
        <f t="shared" ref="CM86:CM91" si="469">AA86</f>
        <v>19.940996883187097</v>
      </c>
      <c r="CN86" s="82">
        <f t="shared" ref="CN86:CN91" si="470">AD86</f>
        <v>20.700183269788553</v>
      </c>
      <c r="CO86" s="82">
        <f t="shared" ref="CO86:CO91" si="471">AG86</f>
        <v>22.203712808336785</v>
      </c>
      <c r="CP86" s="82">
        <f t="shared" ref="CP86:CP91" si="472">AJ86</f>
        <v>24.001055023990574</v>
      </c>
      <c r="CQ86" s="82">
        <f t="shared" ref="CQ86:CQ91" si="473">AM86</f>
        <v>25.899918019002534</v>
      </c>
      <c r="CR86" s="82">
        <f t="shared" ref="CR86:CR91" si="474">AP86</f>
        <v>28.004281980201533</v>
      </c>
      <c r="CS86" s="82">
        <f t="shared" ref="CS86:CS91" si="475">AS86</f>
        <v>30.000975807687599</v>
      </c>
      <c r="CT86" s="82">
        <f t="shared" ref="CT86:CT91" si="476">AV86</f>
        <v>30</v>
      </c>
      <c r="CU86" s="82">
        <f t="shared" ref="CU86:CU91" si="477">AY86</f>
        <v>30</v>
      </c>
      <c r="CV86" s="82">
        <f t="shared" ref="CV86:CV91" si="478">BB86</f>
        <v>30</v>
      </c>
      <c r="CW86" s="82">
        <f t="shared" ref="CW86:CW91" si="479">BE86</f>
        <v>30</v>
      </c>
      <c r="CX86" s="82">
        <f t="shared" ref="CX86:CX91" si="480">BH86</f>
        <v>30</v>
      </c>
      <c r="CY86" s="82">
        <f t="shared" ref="CY86:CY91" si="481">BK86</f>
        <v>30</v>
      </c>
      <c r="CZ86" s="82">
        <f t="shared" ref="CZ86:CZ91" si="482">BN86</f>
        <v>30</v>
      </c>
      <c r="DA86" s="82">
        <f t="shared" ref="DA86:DA91" si="483">BQ86</f>
        <v>30</v>
      </c>
      <c r="DB86" s="82">
        <f t="shared" ref="DB86:DB91" si="484">BT86</f>
        <v>31.5</v>
      </c>
      <c r="DC86" s="82">
        <f t="shared" ref="DC86:DC91" si="485">BW86</f>
        <v>33.075000000000003</v>
      </c>
      <c r="DD86" s="82">
        <f t="shared" ref="DD86:DD91" si="486">BZ86</f>
        <v>34.728750000000005</v>
      </c>
      <c r="DE86" s="82">
        <f t="shared" ref="DE86:DE91" si="487">CC86</f>
        <v>36.465187500000006</v>
      </c>
      <c r="DF86" s="48"/>
      <c r="DG86" s="48"/>
      <c r="DH86" s="48"/>
      <c r="DI86" s="48"/>
      <c r="DJ86" s="48"/>
      <c r="DK86" s="48"/>
      <c r="EB86"/>
      <c r="EC86"/>
      <c r="ED86"/>
      <c r="EE86"/>
      <c r="EF86"/>
      <c r="EG86"/>
    </row>
    <row r="87" spans="1:137" ht="12.75" customHeight="1" thickTop="1">
      <c r="A87" s="1"/>
      <c r="B87" s="16" t="s">
        <v>72</v>
      </c>
      <c r="C87" s="1"/>
      <c r="D87" s="1"/>
      <c r="E87" s="1"/>
      <c r="F87" s="19"/>
      <c r="G87" s="19"/>
      <c r="H87" s="19"/>
      <c r="I87" s="11"/>
      <c r="J87" s="11"/>
      <c r="K87" s="11"/>
      <c r="L87" s="11"/>
      <c r="M87" s="11"/>
      <c r="N87" s="11"/>
      <c r="O87" s="11">
        <f t="shared" ref="O87:BK87" si="488">O86/L86-1</f>
        <v>-0.71640285546023796</v>
      </c>
      <c r="P87" s="11">
        <f t="shared" si="488"/>
        <v>-0.84455958549222798</v>
      </c>
      <c r="Q87" s="11" t="e">
        <f t="shared" si="488"/>
        <v>#DIV/0!</v>
      </c>
      <c r="R87" s="11">
        <f t="shared" si="488"/>
        <v>-0.6476683937823835</v>
      </c>
      <c r="S87" s="11">
        <f t="shared" si="488"/>
        <v>-1.3422980398811513E-2</v>
      </c>
      <c r="T87" s="11">
        <f t="shared" si="488"/>
        <v>0.48482463548517396</v>
      </c>
      <c r="U87" s="11">
        <f t="shared" si="488"/>
        <v>2.9411764705882248E-2</v>
      </c>
      <c r="V87" s="11">
        <f t="shared" si="488"/>
        <v>0.21827874716355011</v>
      </c>
      <c r="W87" s="11">
        <f t="shared" si="488"/>
        <v>-0.11727019841506547</v>
      </c>
      <c r="X87" s="11">
        <f t="shared" si="488"/>
        <v>2.3780828687443245E-2</v>
      </c>
      <c r="Y87" s="11">
        <f t="shared" si="488"/>
        <v>7.6013028832515817E-2</v>
      </c>
      <c r="Z87" s="11">
        <f t="shared" si="488"/>
        <v>0.14862597058846494</v>
      </c>
      <c r="AA87" s="11">
        <f t="shared" si="488"/>
        <v>0.1130170679626985</v>
      </c>
      <c r="AB87" s="11">
        <f t="shared" si="488"/>
        <v>6.7167884940987133E-2</v>
      </c>
      <c r="AC87" s="11">
        <f t="shared" si="488"/>
        <v>1.0514331303328017E-2</v>
      </c>
      <c r="AD87" s="11">
        <f>AD86/AA86-1</f>
        <v>3.8071636591125113E-2</v>
      </c>
      <c r="AE87" s="11">
        <f t="shared" si="488"/>
        <v>7.234313284019378E-2</v>
      </c>
      <c r="AF87" s="11">
        <f t="shared" si="488"/>
        <v>7.2924195691468796E-2</v>
      </c>
      <c r="AG87" s="11">
        <f>AG86/AD86-1</f>
        <v>7.2633634154466664E-2</v>
      </c>
      <c r="AH87" s="11">
        <f>AH86/AE86-1</f>
        <v>7.2072072072072224E-2</v>
      </c>
      <c r="AI87" s="11">
        <f t="shared" si="488"/>
        <v>8.9820606212452914E-2</v>
      </c>
      <c r="AJ87" s="11">
        <f t="shared" si="488"/>
        <v>8.0947823058625801E-2</v>
      </c>
      <c r="AK87" s="11">
        <f t="shared" si="488"/>
        <v>6.7112256929497738E-2</v>
      </c>
      <c r="AL87" s="11">
        <f t="shared" si="488"/>
        <v>9.0919935110592709E-2</v>
      </c>
      <c r="AM87" s="11">
        <f t="shared" si="488"/>
        <v>7.911581358044173E-2</v>
      </c>
      <c r="AN87" s="11">
        <f t="shared" si="488"/>
        <v>8.2848532583831735E-2</v>
      </c>
      <c r="AO87" s="11">
        <f t="shared" si="488"/>
        <v>7.9712000828035645E-2</v>
      </c>
      <c r="AP87" s="11">
        <f t="shared" si="488"/>
        <v>8.1249830970702153E-2</v>
      </c>
      <c r="AQ87" s="11">
        <f t="shared" si="488"/>
        <v>9.0924583911311974E-2</v>
      </c>
      <c r="AR87" s="11">
        <f t="shared" si="488"/>
        <v>5.2366989801075459E-2</v>
      </c>
      <c r="AS87" s="11">
        <f t="shared" si="488"/>
        <v>7.1299590144738856E-2</v>
      </c>
      <c r="AT87" s="11">
        <f t="shared" si="488"/>
        <v>-6.5049614112355769E-5</v>
      </c>
      <c r="AU87" s="11">
        <f t="shared" si="488"/>
        <v>0</v>
      </c>
      <c r="AV87" s="11">
        <f t="shared" si="488"/>
        <v>-3.2525864953614203E-5</v>
      </c>
      <c r="AW87" s="11">
        <f t="shared" si="488"/>
        <v>0</v>
      </c>
      <c r="AX87" s="11">
        <f t="shared" si="488"/>
        <v>0</v>
      </c>
      <c r="AY87" s="11">
        <f t="shared" si="488"/>
        <v>0</v>
      </c>
      <c r="AZ87" s="11">
        <f t="shared" si="488"/>
        <v>0</v>
      </c>
      <c r="BA87" s="11">
        <f t="shared" si="488"/>
        <v>0</v>
      </c>
      <c r="BB87" s="11">
        <f t="shared" si="488"/>
        <v>0</v>
      </c>
      <c r="BC87" s="11">
        <f t="shared" si="488"/>
        <v>0</v>
      </c>
      <c r="BD87" s="11">
        <f t="shared" si="488"/>
        <v>0</v>
      </c>
      <c r="BE87" s="11">
        <f t="shared" si="488"/>
        <v>0</v>
      </c>
      <c r="BF87" s="11">
        <f t="shared" si="488"/>
        <v>0</v>
      </c>
      <c r="BG87" s="11">
        <f t="shared" si="488"/>
        <v>0</v>
      </c>
      <c r="BH87" s="11">
        <f t="shared" si="488"/>
        <v>0</v>
      </c>
      <c r="BI87" s="11">
        <f t="shared" si="488"/>
        <v>0</v>
      </c>
      <c r="BJ87" s="11">
        <f t="shared" si="488"/>
        <v>0</v>
      </c>
      <c r="BK87" s="11">
        <f t="shared" si="488"/>
        <v>0</v>
      </c>
      <c r="BL87" s="11">
        <f t="shared" ref="BL87" si="489">BL86/BI86-1</f>
        <v>0</v>
      </c>
      <c r="BM87" s="11">
        <f t="shared" ref="BM87" si="490">BM86/BJ86-1</f>
        <v>0</v>
      </c>
      <c r="BN87" s="11">
        <f t="shared" ref="BN87" si="491">BN86/BK86-1</f>
        <v>0</v>
      </c>
      <c r="BO87" s="11">
        <f t="shared" ref="BO87" si="492">BO86/BL86-1</f>
        <v>0</v>
      </c>
      <c r="BP87" s="11">
        <f t="shared" ref="BP87" si="493">BP86/BM86-1</f>
        <v>0</v>
      </c>
      <c r="BQ87" s="11">
        <f t="shared" ref="BQ87" si="494">BQ86/BN86-1</f>
        <v>0</v>
      </c>
      <c r="BR87" s="11">
        <f t="shared" ref="BR87" si="495">BR86/BO86-1</f>
        <v>5.0000000000000044E-2</v>
      </c>
      <c r="BS87" s="11">
        <f t="shared" ref="BS87" si="496">BS86/BP86-1</f>
        <v>5.0000000000000044E-2</v>
      </c>
      <c r="BT87" s="11">
        <f t="shared" ref="BT87" si="497">BT86/BQ86-1</f>
        <v>5.0000000000000044E-2</v>
      </c>
      <c r="BU87" s="11">
        <f t="shared" ref="BU87" si="498">BU86/BR86-1</f>
        <v>5.0000000000000044E-2</v>
      </c>
      <c r="BV87" s="11">
        <f t="shared" ref="BV87" si="499">BV86/BS86-1</f>
        <v>5.0000000000000044E-2</v>
      </c>
      <c r="BW87" s="11">
        <f t="shared" ref="BW87" si="500">BW86/BT86-1</f>
        <v>5.0000000000000044E-2</v>
      </c>
      <c r="BX87" s="11">
        <f t="shared" ref="BX87" si="501">BX86/BU86-1</f>
        <v>5.0000000000000044E-2</v>
      </c>
      <c r="BY87" s="11">
        <f t="shared" ref="BY87" si="502">BY86/BV86-1</f>
        <v>5.0000000000000044E-2</v>
      </c>
      <c r="BZ87" s="11">
        <f t="shared" ref="BZ87" si="503">BZ86/BW86-1</f>
        <v>5.0000000000000044E-2</v>
      </c>
      <c r="CA87" s="11">
        <f t="shared" ref="CA87" si="504">CA86/BX86-1</f>
        <v>5.0000000000000044E-2</v>
      </c>
      <c r="CB87" s="11">
        <f t="shared" ref="CB87" si="505">CB86/BY86-1</f>
        <v>5.0000000000000044E-2</v>
      </c>
      <c r="CC87" s="11">
        <f t="shared" ref="CC87" si="506">CC86/BZ86-1</f>
        <v>5.0000000000000044E-2</v>
      </c>
      <c r="CD87" s="68"/>
      <c r="CE87" s="65"/>
      <c r="CF87" s="65"/>
      <c r="CG87" s="65"/>
      <c r="CH87" s="65"/>
      <c r="CI87" s="65"/>
      <c r="CJ87" s="65"/>
      <c r="CK87" s="19"/>
      <c r="CL87" s="58">
        <f t="shared" si="468"/>
        <v>2.3780828687443245E-2</v>
      </c>
      <c r="CM87" s="19">
        <f t="shared" si="469"/>
        <v>0.1130170679626985</v>
      </c>
      <c r="CN87" s="19">
        <f t="shared" si="470"/>
        <v>3.8071636591125113E-2</v>
      </c>
      <c r="CO87" s="19">
        <f t="shared" si="471"/>
        <v>7.2633634154466664E-2</v>
      </c>
      <c r="CP87" s="19">
        <f t="shared" si="472"/>
        <v>8.0947823058625801E-2</v>
      </c>
      <c r="CQ87" s="19">
        <f t="shared" si="473"/>
        <v>7.911581358044173E-2</v>
      </c>
      <c r="CR87" s="19">
        <f t="shared" si="474"/>
        <v>8.1249830970702153E-2</v>
      </c>
      <c r="CS87" s="19">
        <f t="shared" si="475"/>
        <v>7.1299590144738856E-2</v>
      </c>
      <c r="CT87" s="19">
        <f t="shared" si="476"/>
        <v>-3.2525864953614203E-5</v>
      </c>
      <c r="CU87" s="19">
        <f t="shared" si="477"/>
        <v>0</v>
      </c>
      <c r="CV87" s="19">
        <f t="shared" si="478"/>
        <v>0</v>
      </c>
      <c r="CW87" s="19">
        <f t="shared" si="479"/>
        <v>0</v>
      </c>
      <c r="CX87" s="19">
        <f t="shared" si="480"/>
        <v>0</v>
      </c>
      <c r="CY87" s="19">
        <f t="shared" si="481"/>
        <v>0</v>
      </c>
      <c r="CZ87" s="19">
        <f t="shared" si="482"/>
        <v>0</v>
      </c>
      <c r="DA87" s="19">
        <f t="shared" si="483"/>
        <v>0</v>
      </c>
      <c r="DB87" s="19">
        <f t="shared" si="484"/>
        <v>5.0000000000000044E-2</v>
      </c>
      <c r="DC87" s="19">
        <f t="shared" si="485"/>
        <v>5.0000000000000044E-2</v>
      </c>
      <c r="DD87" s="19">
        <f t="shared" si="486"/>
        <v>5.0000000000000044E-2</v>
      </c>
      <c r="DE87" s="19">
        <f t="shared" si="487"/>
        <v>5.0000000000000044E-2</v>
      </c>
    </row>
    <row r="88" spans="1:137" ht="12.75" customHeight="1">
      <c r="A88" s="1"/>
      <c r="B88" s="112"/>
      <c r="C88" s="1"/>
      <c r="D88" s="1"/>
      <c r="E88" s="1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68"/>
      <c r="CE88" s="65"/>
      <c r="CF88" s="65"/>
      <c r="CG88" s="65"/>
      <c r="CH88" s="65"/>
      <c r="CI88" s="65"/>
      <c r="CJ88" s="65"/>
      <c r="CK88" s="19"/>
      <c r="CL88" s="58">
        <f t="shared" si="468"/>
        <v>0</v>
      </c>
      <c r="CM88" s="19">
        <f t="shared" si="469"/>
        <v>0</v>
      </c>
      <c r="CN88" s="19">
        <f t="shared" si="470"/>
        <v>0</v>
      </c>
      <c r="CO88" s="19">
        <f t="shared" si="471"/>
        <v>0</v>
      </c>
      <c r="CP88" s="19">
        <f t="shared" si="472"/>
        <v>0</v>
      </c>
      <c r="CQ88" s="19">
        <f t="shared" si="473"/>
        <v>0</v>
      </c>
      <c r="CR88" s="19">
        <f t="shared" si="474"/>
        <v>0</v>
      </c>
      <c r="CS88" s="19">
        <f t="shared" si="475"/>
        <v>0</v>
      </c>
      <c r="CT88" s="19">
        <f t="shared" si="476"/>
        <v>0</v>
      </c>
      <c r="CU88" s="19">
        <f t="shared" si="477"/>
        <v>0</v>
      </c>
      <c r="CV88" s="19">
        <f t="shared" si="478"/>
        <v>0</v>
      </c>
      <c r="CW88" s="19">
        <f t="shared" si="479"/>
        <v>0</v>
      </c>
      <c r="CX88" s="19">
        <f t="shared" si="480"/>
        <v>0</v>
      </c>
      <c r="CY88" s="19">
        <f t="shared" si="481"/>
        <v>0</v>
      </c>
      <c r="CZ88" s="19">
        <f t="shared" si="482"/>
        <v>0</v>
      </c>
      <c r="DA88" s="19">
        <f t="shared" si="483"/>
        <v>0</v>
      </c>
      <c r="DB88" s="19">
        <f t="shared" si="484"/>
        <v>0</v>
      </c>
      <c r="DC88" s="19">
        <f t="shared" si="485"/>
        <v>0</v>
      </c>
      <c r="DD88" s="19">
        <f t="shared" si="486"/>
        <v>0</v>
      </c>
      <c r="DE88" s="19">
        <f t="shared" si="487"/>
        <v>0</v>
      </c>
    </row>
    <row r="89" spans="1:137" ht="12.75" customHeight="1">
      <c r="A89" s="1"/>
      <c r="B89" s="172" t="s">
        <v>97</v>
      </c>
      <c r="C89" s="1"/>
      <c r="D89" s="1"/>
      <c r="E89" s="1"/>
      <c r="F89" s="19"/>
      <c r="G89" s="19"/>
      <c r="H89" s="19"/>
      <c r="I89" s="19">
        <f>SUM(G89:H89)</f>
        <v>0</v>
      </c>
      <c r="J89" s="19"/>
      <c r="K89" s="19"/>
      <c r="L89" s="19">
        <f>SUM(J89:K89)</f>
        <v>0</v>
      </c>
      <c r="M89" s="19">
        <f>M62-M84</f>
        <v>-66.249575955484886</v>
      </c>
      <c r="N89" s="19">
        <f>N62-N84</f>
        <v>406.13599999999991</v>
      </c>
      <c r="O89" s="19">
        <f>SUM(M89:N89)</f>
        <v>339.88642404451502</v>
      </c>
      <c r="P89" s="19">
        <f>P62-P84</f>
        <v>30.276882328767044</v>
      </c>
      <c r="Q89" s="19">
        <f>Q62-Q84</f>
        <v>15.765662425997292</v>
      </c>
      <c r="R89" s="19">
        <f>SUM(P89:Q89)</f>
        <v>46.042544754764336</v>
      </c>
      <c r="S89" s="19">
        <f>S62-S84</f>
        <v>70.177599999999941</v>
      </c>
      <c r="T89" s="19">
        <f>T62-T84</f>
        <v>87.336399999999941</v>
      </c>
      <c r="U89" s="19">
        <f>SUM(S89:T89)</f>
        <v>157.5139999999999</v>
      </c>
      <c r="V89" s="19">
        <f>V62-V84</f>
        <v>98.517200000000003</v>
      </c>
      <c r="W89" s="19">
        <f>W62-W84</f>
        <v>91.675400000000053</v>
      </c>
      <c r="X89" s="19">
        <f>SUM(V89:W89)</f>
        <v>190.19260000000006</v>
      </c>
      <c r="Y89" s="19">
        <f>Y62-Y84</f>
        <v>107.10344999999998</v>
      </c>
      <c r="Z89" s="19">
        <f>Z62-Z84</f>
        <v>105.30900227445048</v>
      </c>
      <c r="AA89" s="19">
        <f>SUM(Y89:Z89)</f>
        <v>212.41245227445046</v>
      </c>
      <c r="AB89" s="19">
        <f>AB62-AB84</f>
        <v>119.89919999999998</v>
      </c>
      <c r="AC89" s="19">
        <f>AC62-AC84</f>
        <v>128.69519999999986</v>
      </c>
      <c r="AD89" s="19">
        <f>SUM(AB89:AC89)</f>
        <v>248.59439999999984</v>
      </c>
      <c r="AE89" s="19">
        <f>AE62-AE84</f>
        <v>135.27779503300005</v>
      </c>
      <c r="AF89" s="19">
        <f>AF62-AF84</f>
        <v>134.256</v>
      </c>
      <c r="AG89" s="19">
        <f>SUM(AE89:AF89)</f>
        <v>269.53379503300005</v>
      </c>
      <c r="AH89" s="19">
        <f>AH62-AH84</f>
        <v>148.1707999999999</v>
      </c>
      <c r="AI89" s="19">
        <f>AI62-AI84</f>
        <v>144.67365000000001</v>
      </c>
      <c r="AJ89" s="19">
        <f>SUM(AH89:AI89)</f>
        <v>292.84444999999994</v>
      </c>
      <c r="AK89" s="19">
        <f>AK62-AK84</f>
        <v>162.48570000000001</v>
      </c>
      <c r="AL89" s="19">
        <f>AL62-AL84</f>
        <v>152.87360000000001</v>
      </c>
      <c r="AM89" s="19">
        <f>SUM(AK89:AL89)</f>
        <v>315.35930000000002</v>
      </c>
      <c r="AN89" s="19">
        <f>AN62-AN84</f>
        <v>174.83955</v>
      </c>
      <c r="AO89" s="19">
        <f>AO62-AO84</f>
        <v>168.74360000000001</v>
      </c>
      <c r="AP89" s="19">
        <f>SUM(AN89:AO89)</f>
        <v>343.58315000000005</v>
      </c>
      <c r="AQ89" s="19">
        <f>AQ62-AQ84</f>
        <v>195.08159999999992</v>
      </c>
      <c r="AR89" s="19">
        <f>AR62-AR84</f>
        <v>207.50129999999979</v>
      </c>
      <c r="AS89" s="19">
        <f>SUM(AQ89:AR89)</f>
        <v>402.58289999999971</v>
      </c>
      <c r="AT89" s="19">
        <f>AT62-AT84</f>
        <v>258.65960000000013</v>
      </c>
      <c r="AU89" s="19">
        <f>AU62-AU84</f>
        <v>255.40906782884326</v>
      </c>
      <c r="AV89" s="19">
        <f>SUM(AT89:AU89)</f>
        <v>514.06866782884345</v>
      </c>
      <c r="AW89" s="19">
        <f>AW62-AW84</f>
        <v>338.06946782884313</v>
      </c>
      <c r="AX89" s="19">
        <f>AX62-AX84</f>
        <v>330.00479999999999</v>
      </c>
      <c r="AY89" s="19">
        <f>SUM(AW89:AX89)</f>
        <v>668.07426782884318</v>
      </c>
      <c r="AZ89" s="19">
        <f>AZ62-AZ84</f>
        <v>508.77799999999991</v>
      </c>
      <c r="BA89" s="19">
        <f>BA62-BA84</f>
        <v>464.69719999999995</v>
      </c>
      <c r="BB89" s="19">
        <f>SUM(AZ89:BA89)</f>
        <v>973.47519999999986</v>
      </c>
      <c r="BC89" s="19">
        <f>BC62-BC84</f>
        <v>597.5462</v>
      </c>
      <c r="BD89" s="19">
        <f>BD62-BD84</f>
        <v>626.38060000000019</v>
      </c>
      <c r="BE89" s="19">
        <f>SUM(BC89:BD89)</f>
        <v>1223.9268000000002</v>
      </c>
      <c r="BF89" s="19">
        <f>BF62-BF84</f>
        <v>845.85839999999996</v>
      </c>
      <c r="BG89" s="19">
        <f>BG62-BG84</f>
        <v>640.58680000000004</v>
      </c>
      <c r="BH89" s="19">
        <f>SUM(BF89:BG89)</f>
        <v>1486.4452000000001</v>
      </c>
      <c r="BI89" s="19">
        <f>BI62-BI84</f>
        <v>939.40279999999984</v>
      </c>
      <c r="BJ89" s="19">
        <f>BJ62-BJ84</f>
        <v>788.50959999999964</v>
      </c>
      <c r="BK89" s="19">
        <f>SUM(BI89:BJ89)</f>
        <v>1727.9123999999995</v>
      </c>
      <c r="BL89" s="19">
        <f>BL62-BL84</f>
        <v>901.17200000000025</v>
      </c>
      <c r="BM89" s="19">
        <f ca="1">BM62-BM84</f>
        <v>1145.0706956910822</v>
      </c>
      <c r="BN89" s="19">
        <f ca="1">SUM(BL89:BM89)</f>
        <v>2046.2426956910824</v>
      </c>
      <c r="BO89" s="19">
        <f ca="1">BO62-BO84</f>
        <v>1189.4848057163044</v>
      </c>
      <c r="BP89" s="19">
        <f ca="1">BP62-BP84</f>
        <v>1188.9846213068158</v>
      </c>
      <c r="BQ89" s="19">
        <f ca="1">SUM(BO89:BP89)</f>
        <v>2378.4694270231203</v>
      </c>
      <c r="BR89" s="19">
        <f ca="1">BR62-BR84</f>
        <v>1361.138421146065</v>
      </c>
      <c r="BS89" s="19">
        <f ca="1">BS62-BS84</f>
        <v>1377.7658892046343</v>
      </c>
      <c r="BT89" s="19">
        <f ca="1">SUM(BR89:BS89)</f>
        <v>2738.9043103506992</v>
      </c>
      <c r="BU89" s="19">
        <f ca="1">BU62-BU84</f>
        <v>1503.1029448959507</v>
      </c>
      <c r="BV89" s="19">
        <f ca="1">BV62-BV84</f>
        <v>1525.87214754257</v>
      </c>
      <c r="BW89" s="19">
        <f ca="1">SUM(BU89:BV89)</f>
        <v>3028.9750924385207</v>
      </c>
      <c r="BX89" s="19">
        <f ca="1">BX62-BX84</f>
        <v>1611.9354964025852</v>
      </c>
      <c r="BY89" s="19">
        <f ca="1">BY62-BY84</f>
        <v>1625.7808432848626</v>
      </c>
      <c r="BZ89" s="19">
        <f ca="1">SUM(BX89:BY89)</f>
        <v>3237.7163396874475</v>
      </c>
      <c r="CA89" s="19">
        <f ca="1">CA62-CA84</f>
        <v>1743.8020381876174</v>
      </c>
      <c r="CB89" s="19">
        <f ca="1">CB62-CB84</f>
        <v>1762.4533152181541</v>
      </c>
      <c r="CC89" s="19">
        <f ca="1">SUM(CA89:CB89)</f>
        <v>3506.2553534057715</v>
      </c>
      <c r="CD89" s="68"/>
      <c r="CE89" s="65"/>
      <c r="CF89" s="65"/>
      <c r="CG89" s="65"/>
      <c r="CH89" s="65"/>
      <c r="CI89" s="65"/>
      <c r="CJ89" s="65"/>
      <c r="CK89" s="19"/>
      <c r="CL89" s="58">
        <f t="shared" si="468"/>
        <v>190.19260000000006</v>
      </c>
      <c r="CM89" s="19">
        <f t="shared" si="469"/>
        <v>212.41245227445046</v>
      </c>
      <c r="CN89" s="19">
        <f t="shared" si="470"/>
        <v>248.59439999999984</v>
      </c>
      <c r="CO89" s="19">
        <f t="shared" si="471"/>
        <v>269.53379503300005</v>
      </c>
      <c r="CP89" s="19">
        <f t="shared" si="472"/>
        <v>292.84444999999994</v>
      </c>
      <c r="CQ89" s="19">
        <f t="shared" si="473"/>
        <v>315.35930000000002</v>
      </c>
      <c r="CR89" s="19">
        <f t="shared" si="474"/>
        <v>343.58315000000005</v>
      </c>
      <c r="CS89" s="19">
        <f t="shared" si="475"/>
        <v>402.58289999999971</v>
      </c>
      <c r="CT89" s="19">
        <f t="shared" si="476"/>
        <v>514.06866782884345</v>
      </c>
      <c r="CU89" s="19">
        <f t="shared" si="477"/>
        <v>668.07426782884318</v>
      </c>
      <c r="CV89" s="19">
        <f t="shared" si="478"/>
        <v>973.47519999999986</v>
      </c>
      <c r="CW89" s="19">
        <f t="shared" si="479"/>
        <v>1223.9268000000002</v>
      </c>
      <c r="CX89" s="19">
        <f t="shared" si="480"/>
        <v>1486.4452000000001</v>
      </c>
      <c r="CY89" s="19">
        <f t="shared" si="481"/>
        <v>1727.9123999999995</v>
      </c>
      <c r="CZ89" s="19">
        <f t="shared" ca="1" si="482"/>
        <v>2046.2426956910824</v>
      </c>
      <c r="DA89" s="19">
        <f t="shared" ca="1" si="483"/>
        <v>2378.4694270231203</v>
      </c>
      <c r="DB89" s="19">
        <f t="shared" ca="1" si="484"/>
        <v>2738.9043103506992</v>
      </c>
      <c r="DC89" s="19">
        <f t="shared" ca="1" si="485"/>
        <v>3028.9750924385207</v>
      </c>
      <c r="DD89" s="19">
        <f t="shared" ca="1" si="486"/>
        <v>3237.7163396874475</v>
      </c>
      <c r="DE89" s="19">
        <f t="shared" ca="1" si="487"/>
        <v>3506.2553534057715</v>
      </c>
    </row>
    <row r="90" spans="1:137" s="86" customFormat="1" ht="12.75" customHeight="1" thickBot="1">
      <c r="A90" s="79"/>
      <c r="B90" s="80" t="s">
        <v>98</v>
      </c>
      <c r="C90" s="79"/>
      <c r="D90" s="81"/>
      <c r="E90" s="81"/>
      <c r="F90" s="82"/>
      <c r="G90" s="82"/>
      <c r="H90" s="82"/>
      <c r="I90" s="82">
        <f t="shared" ref="I90:BK90" si="507">I70/I211*100</f>
        <v>0</v>
      </c>
      <c r="J90" s="82">
        <f t="shared" si="507"/>
        <v>0</v>
      </c>
      <c r="K90" s="82">
        <f t="shared" si="507"/>
        <v>0</v>
      </c>
      <c r="L90" s="82">
        <f t="shared" si="507"/>
        <v>176.23927878681002</v>
      </c>
      <c r="M90" s="82">
        <f t="shared" si="507"/>
        <v>100.97330634561339</v>
      </c>
      <c r="N90" s="82">
        <f t="shared" si="507"/>
        <v>72.410455022956768</v>
      </c>
      <c r="O90" s="82">
        <f t="shared" si="507"/>
        <v>135.09686406858481</v>
      </c>
      <c r="P90" s="82">
        <f t="shared" si="507"/>
        <v>13.277621109880144</v>
      </c>
      <c r="Q90" s="82">
        <f t="shared" si="507"/>
        <v>7.2648291126359332</v>
      </c>
      <c r="R90" s="82">
        <f t="shared" si="507"/>
        <v>23.269012210090285</v>
      </c>
      <c r="S90" s="82">
        <f t="shared" si="507"/>
        <v>12.521258101410599</v>
      </c>
      <c r="T90" s="82">
        <f t="shared" si="507"/>
        <v>14.818634408602142</v>
      </c>
      <c r="U90" s="82">
        <f t="shared" si="507"/>
        <v>27.337036627607031</v>
      </c>
      <c r="V90" s="82">
        <f t="shared" si="507"/>
        <v>15.098789584322233</v>
      </c>
      <c r="W90" s="82">
        <f t="shared" si="507"/>
        <v>14.535561941251601</v>
      </c>
      <c r="X90" s="82">
        <f t="shared" si="507"/>
        <v>29.639859794628766</v>
      </c>
      <c r="Y90" s="82">
        <f t="shared" si="507"/>
        <v>15.689085317081949</v>
      </c>
      <c r="Z90" s="82">
        <f t="shared" si="507"/>
        <v>16.035980455642555</v>
      </c>
      <c r="AA90" s="82">
        <f t="shared" si="507"/>
        <v>31.715711815905561</v>
      </c>
      <c r="AB90" s="82">
        <f t="shared" si="507"/>
        <v>16.801730434782602</v>
      </c>
      <c r="AC90" s="82">
        <f t="shared" si="507"/>
        <v>17.296107541818596</v>
      </c>
      <c r="AD90" s="82">
        <f t="shared" si="507"/>
        <v>34.098224577866596</v>
      </c>
      <c r="AE90" s="82">
        <f t="shared" si="507"/>
        <v>18.319035541618046</v>
      </c>
      <c r="AF90" s="82">
        <f t="shared" si="507"/>
        <v>18.198261447393214</v>
      </c>
      <c r="AG90" s="82">
        <f t="shared" si="507"/>
        <v>36.432173590927221</v>
      </c>
      <c r="AH90" s="82">
        <f t="shared" si="507"/>
        <v>19.610252872268525</v>
      </c>
      <c r="AI90" s="82">
        <f t="shared" si="507"/>
        <v>19.681581974802885</v>
      </c>
      <c r="AJ90" s="82">
        <f t="shared" si="507"/>
        <v>39.238468448237128</v>
      </c>
      <c r="AK90" s="82">
        <f t="shared" si="507"/>
        <v>21.21101614699332</v>
      </c>
      <c r="AL90" s="82">
        <f t="shared" si="507"/>
        <v>21.264073620996442</v>
      </c>
      <c r="AM90" s="82">
        <f t="shared" si="507"/>
        <v>42.446783251779358</v>
      </c>
      <c r="AN90" s="82">
        <f t="shared" si="507"/>
        <v>23.02094710369224</v>
      </c>
      <c r="AO90" s="82">
        <f t="shared" si="507"/>
        <v>23.181602054340626</v>
      </c>
      <c r="AP90" s="82">
        <f t="shared" si="507"/>
        <v>46.182208140048601</v>
      </c>
      <c r="AQ90" s="82">
        <f t="shared" si="507"/>
        <v>25.198317347218413</v>
      </c>
      <c r="AR90" s="82">
        <f t="shared" si="507"/>
        <v>25.853760118797442</v>
      </c>
      <c r="AS90" s="82">
        <f t="shared" si="507"/>
        <v>51.028277493281315</v>
      </c>
      <c r="AT90" s="82">
        <f t="shared" si="507"/>
        <v>28.543022371850572</v>
      </c>
      <c r="AU90" s="82">
        <f t="shared" si="507"/>
        <v>28.430382904870381</v>
      </c>
      <c r="AV90" s="82">
        <f t="shared" si="507"/>
        <v>56.939348085475658</v>
      </c>
      <c r="AW90" s="82">
        <f t="shared" si="507"/>
        <v>32.739869651131201</v>
      </c>
      <c r="AX90" s="82">
        <f t="shared" si="507"/>
        <v>32.431512559549589</v>
      </c>
      <c r="AY90" s="82">
        <f t="shared" si="507"/>
        <v>65.4199599393677</v>
      </c>
      <c r="AZ90" s="82">
        <f t="shared" si="507"/>
        <v>41.78546194197623</v>
      </c>
      <c r="BA90" s="82">
        <f t="shared" si="507"/>
        <v>39.414615672840164</v>
      </c>
      <c r="BB90" s="82">
        <f t="shared" si="507"/>
        <v>81.200077614816379</v>
      </c>
      <c r="BC90" s="82">
        <f t="shared" si="507"/>
        <v>46.365346982185585</v>
      </c>
      <c r="BD90" s="82">
        <f t="shared" si="507"/>
        <v>47.692650092568115</v>
      </c>
      <c r="BE90" s="82">
        <f t="shared" si="507"/>
        <v>93.80281906172317</v>
      </c>
      <c r="BF90" s="82">
        <f t="shared" si="507"/>
        <v>59.08673125526537</v>
      </c>
      <c r="BG90" s="82">
        <f t="shared" si="507"/>
        <v>48.269397641112043</v>
      </c>
      <c r="BH90" s="82">
        <f t="shared" si="507"/>
        <v>107.3561288963774</v>
      </c>
      <c r="BI90" s="82">
        <f t="shared" si="507"/>
        <v>63.779130048127222</v>
      </c>
      <c r="BJ90" s="82">
        <f t="shared" si="507"/>
        <v>52.867452737298123</v>
      </c>
      <c r="BK90" s="82">
        <f t="shared" si="507"/>
        <v>112.8911751673887</v>
      </c>
      <c r="BL90" s="82">
        <f t="shared" ref="BL90:BN90" si="508">BL70/BL211*100</f>
        <v>58.097821302816911</v>
      </c>
      <c r="BM90" s="82">
        <f t="shared" ca="1" si="508"/>
        <v>70.165586132145052</v>
      </c>
      <c r="BN90" s="82">
        <f t="shared" ca="1" si="508"/>
        <v>128.26340743496195</v>
      </c>
      <c r="BO90" s="82">
        <f t="shared" ref="BO90:BQ90" ca="1" si="509">BO70/BO211*100</f>
        <v>72.319680719841188</v>
      </c>
      <c r="BP90" s="82">
        <f t="shared" ca="1" si="509"/>
        <v>72.277848484309274</v>
      </c>
      <c r="BQ90" s="82">
        <f t="shared" ca="1" si="509"/>
        <v>144.59752920415042</v>
      </c>
      <c r="BR90" s="82">
        <f t="shared" ref="BR90:BT90" ca="1" si="510">BR70/BR211*100</f>
        <v>81.42743160055845</v>
      </c>
      <c r="BS90" s="82">
        <f t="shared" ca="1" si="510"/>
        <v>82.223871891447871</v>
      </c>
      <c r="BT90" s="82">
        <f t="shared" ca="1" si="510"/>
        <v>163.65130349200632</v>
      </c>
      <c r="BU90" s="82">
        <f t="shared" ref="BU90:BZ90" ca="1" si="511">BU70/BU211*100</f>
        <v>89.122037243493509</v>
      </c>
      <c r="BV90" s="82">
        <f t="shared" ca="1" si="511"/>
        <v>90.217701697366167</v>
      </c>
      <c r="BW90" s="82">
        <f t="shared" ca="1" si="511"/>
        <v>179.33973894085969</v>
      </c>
      <c r="BX90" s="82">
        <f t="shared" ca="1" si="511"/>
        <v>95.233401218667211</v>
      </c>
      <c r="BY90" s="82">
        <f t="shared" ca="1" si="511"/>
        <v>95.89142245214849</v>
      </c>
      <c r="BZ90" s="82">
        <f t="shared" ca="1" si="511"/>
        <v>191.12482367081572</v>
      </c>
      <c r="CA90" s="82">
        <f t="shared" ref="CA90:CC90" ca="1" si="512">CA70/CA211*100</f>
        <v>102.5100756837584</v>
      </c>
      <c r="CB90" s="82">
        <f t="shared" ca="1" si="512"/>
        <v>103.40051111127275</v>
      </c>
      <c r="CC90" s="82">
        <f t="shared" ca="1" si="512"/>
        <v>205.91058679503124</v>
      </c>
      <c r="CD90" s="134"/>
      <c r="CE90" s="108"/>
      <c r="CF90" s="108"/>
      <c r="CG90" s="108"/>
      <c r="CH90" s="108"/>
      <c r="CI90" s="108"/>
      <c r="CJ90" s="108"/>
      <c r="CK90" s="51"/>
      <c r="CL90" s="85">
        <f t="shared" si="468"/>
        <v>29.639859794628766</v>
      </c>
      <c r="CM90" s="82">
        <f t="shared" si="469"/>
        <v>31.715711815905561</v>
      </c>
      <c r="CN90" s="82">
        <f t="shared" si="470"/>
        <v>34.098224577866596</v>
      </c>
      <c r="CO90" s="82">
        <f t="shared" si="471"/>
        <v>36.432173590927221</v>
      </c>
      <c r="CP90" s="82">
        <f t="shared" si="472"/>
        <v>39.238468448237128</v>
      </c>
      <c r="CQ90" s="82">
        <f t="shared" si="473"/>
        <v>42.446783251779358</v>
      </c>
      <c r="CR90" s="82">
        <f t="shared" si="474"/>
        <v>46.182208140048601</v>
      </c>
      <c r="CS90" s="82">
        <f t="shared" si="475"/>
        <v>51.028277493281315</v>
      </c>
      <c r="CT90" s="82">
        <f t="shared" si="476"/>
        <v>56.939348085475658</v>
      </c>
      <c r="CU90" s="82">
        <f t="shared" si="477"/>
        <v>65.4199599393677</v>
      </c>
      <c r="CV90" s="82">
        <f t="shared" si="478"/>
        <v>81.200077614816379</v>
      </c>
      <c r="CW90" s="82">
        <f t="shared" si="479"/>
        <v>93.80281906172317</v>
      </c>
      <c r="CX90" s="82">
        <f t="shared" si="480"/>
        <v>107.3561288963774</v>
      </c>
      <c r="CY90" s="82">
        <f t="shared" si="481"/>
        <v>112.8911751673887</v>
      </c>
      <c r="CZ90" s="82">
        <f t="shared" ca="1" si="482"/>
        <v>128.26340743496195</v>
      </c>
      <c r="DA90" s="82">
        <f t="shared" ca="1" si="483"/>
        <v>144.59752920415042</v>
      </c>
      <c r="DB90" s="82">
        <f t="shared" ca="1" si="484"/>
        <v>163.65130349200632</v>
      </c>
      <c r="DC90" s="82">
        <f t="shared" ca="1" si="485"/>
        <v>179.33973894085969</v>
      </c>
      <c r="DD90" s="82">
        <f t="shared" ca="1" si="486"/>
        <v>191.12482367081572</v>
      </c>
      <c r="DE90" s="82">
        <f t="shared" ca="1" si="487"/>
        <v>205.91058679503124</v>
      </c>
      <c r="DF90" s="48"/>
      <c r="DG90" s="48"/>
      <c r="DH90" s="48"/>
      <c r="DI90" s="48"/>
      <c r="DJ90" s="48"/>
      <c r="DK90" s="48"/>
      <c r="EB90"/>
      <c r="EC90"/>
      <c r="ED90"/>
      <c r="EE90"/>
      <c r="EF90"/>
      <c r="EG90"/>
    </row>
    <row r="91" spans="1:137" ht="12.75" customHeight="1" thickTop="1">
      <c r="A91" s="1"/>
      <c r="B91" s="173" t="s">
        <v>72</v>
      </c>
      <c r="C91" s="1"/>
      <c r="D91" s="1"/>
      <c r="E91" s="1"/>
      <c r="F91" s="19"/>
      <c r="G91" s="19"/>
      <c r="H91" s="19"/>
      <c r="I91" s="11"/>
      <c r="J91" s="11"/>
      <c r="K91" s="11"/>
      <c r="L91" s="11" t="e">
        <f t="shared" ref="L91:BK91" si="513">L90/I90-1</f>
        <v>#DIV/0!</v>
      </c>
      <c r="M91" s="11" t="e">
        <f t="shared" si="513"/>
        <v>#DIV/0!</v>
      </c>
      <c r="N91" s="11" t="e">
        <f t="shared" si="513"/>
        <v>#DIV/0!</v>
      </c>
      <c r="O91" s="11">
        <f t="shared" si="513"/>
        <v>-0.23344634068772852</v>
      </c>
      <c r="P91" s="11">
        <f t="shared" si="513"/>
        <v>-0.86850365120823869</v>
      </c>
      <c r="Q91" s="11">
        <f t="shared" si="513"/>
        <v>-0.89967154452581855</v>
      </c>
      <c r="R91" s="11">
        <f t="shared" si="513"/>
        <v>-0.82776053041262843</v>
      </c>
      <c r="S91" s="11">
        <f t="shared" si="513"/>
        <v>-5.696525019129528E-2</v>
      </c>
      <c r="T91" s="11">
        <f t="shared" si="513"/>
        <v>1.039777423370861</v>
      </c>
      <c r="U91" s="11">
        <f t="shared" si="513"/>
        <v>0.17482583191703793</v>
      </c>
      <c r="V91" s="11">
        <f t="shared" si="513"/>
        <v>0.20585243607599302</v>
      </c>
      <c r="W91" s="11">
        <f t="shared" si="513"/>
        <v>-1.9102466498952086E-2</v>
      </c>
      <c r="X91" s="11">
        <f t="shared" si="513"/>
        <v>8.4238214931320332E-2</v>
      </c>
      <c r="Y91" s="11">
        <f t="shared" si="513"/>
        <v>3.9095566532872716E-2</v>
      </c>
      <c r="Z91" s="11">
        <f t="shared" si="513"/>
        <v>0.1032239771984873</v>
      </c>
      <c r="AA91" s="11">
        <f t="shared" si="513"/>
        <v>7.0035824584196327E-2</v>
      </c>
      <c r="AB91" s="11">
        <f t="shared" si="513"/>
        <v>7.0918418455486965E-2</v>
      </c>
      <c r="AC91" s="11">
        <f t="shared" si="513"/>
        <v>7.8581231104746241E-2</v>
      </c>
      <c r="AD91" s="11">
        <f t="shared" si="513"/>
        <v>7.512089830398172E-2</v>
      </c>
      <c r="AE91" s="11">
        <f t="shared" si="513"/>
        <v>9.0306478414529767E-2</v>
      </c>
      <c r="AF91" s="11">
        <f t="shared" si="513"/>
        <v>5.2159360329680382E-2</v>
      </c>
      <c r="AG91" s="11">
        <f t="shared" si="513"/>
        <v>6.8447816329287869E-2</v>
      </c>
      <c r="AH91" s="11">
        <f t="shared" si="513"/>
        <v>7.0485006031951292E-2</v>
      </c>
      <c r="AI91" s="11">
        <f t="shared" si="513"/>
        <v>8.1508914007944799E-2</v>
      </c>
      <c r="AJ91" s="11">
        <f t="shared" si="513"/>
        <v>7.7027928358596842E-2</v>
      </c>
      <c r="AK91" s="11">
        <f t="shared" si="513"/>
        <v>8.1628895106624855E-2</v>
      </c>
      <c r="AL91" s="11">
        <f t="shared" si="513"/>
        <v>8.0404697560364946E-2</v>
      </c>
      <c r="AM91" s="11">
        <f t="shared" si="513"/>
        <v>8.1764526762164502E-2</v>
      </c>
      <c r="AN91" s="11">
        <f t="shared" si="513"/>
        <v>8.532976186317609E-2</v>
      </c>
      <c r="AO91" s="11">
        <f t="shared" si="513"/>
        <v>9.0176909068391709E-2</v>
      </c>
      <c r="AP91" s="11">
        <f t="shared" si="513"/>
        <v>8.800254346983194E-2</v>
      </c>
      <c r="AQ91" s="11">
        <f t="shared" si="513"/>
        <v>9.4582131383158963E-2</v>
      </c>
      <c r="AR91" s="11">
        <f t="shared" si="513"/>
        <v>0.1152706382498041</v>
      </c>
      <c r="AS91" s="11">
        <f t="shared" si="513"/>
        <v>0.10493368655168878</v>
      </c>
      <c r="AT91" s="11">
        <f t="shared" si="513"/>
        <v>0.13273525285613452</v>
      </c>
      <c r="AU91" s="11">
        <f t="shared" si="513"/>
        <v>9.9661433162271829E-2</v>
      </c>
      <c r="AV91" s="11">
        <f t="shared" si="513"/>
        <v>0.11583911671274083</v>
      </c>
      <c r="AW91" s="11">
        <f t="shared" si="513"/>
        <v>0.14703584030469052</v>
      </c>
      <c r="AX91" s="11">
        <f t="shared" si="513"/>
        <v>0.14073428655770148</v>
      </c>
      <c r="AY91" s="11">
        <f t="shared" si="513"/>
        <v>0.14894114771319833</v>
      </c>
      <c r="AZ91" s="11">
        <f t="shared" si="513"/>
        <v>0.2762867533448623</v>
      </c>
      <c r="BA91" s="11">
        <f t="shared" si="513"/>
        <v>0.21531845301598107</v>
      </c>
      <c r="BB91" s="11">
        <f t="shared" si="513"/>
        <v>0.24121258542612911</v>
      </c>
      <c r="BC91" s="11">
        <f t="shared" si="513"/>
        <v>0.10960474833493605</v>
      </c>
      <c r="BD91" s="11">
        <f t="shared" si="513"/>
        <v>0.21002448656202888</v>
      </c>
      <c r="BE91" s="11">
        <f t="shared" si="513"/>
        <v>0.15520602710122522</v>
      </c>
      <c r="BF91" s="11">
        <f t="shared" si="513"/>
        <v>0.27437267487651007</v>
      </c>
      <c r="BG91" s="11">
        <f t="shared" si="513"/>
        <v>1.2093006939738027E-2</v>
      </c>
      <c r="BH91" s="11">
        <f t="shared" si="513"/>
        <v>0.14448723364844729</v>
      </c>
      <c r="BI91" s="11">
        <f t="shared" si="513"/>
        <v>7.9415440542646376E-2</v>
      </c>
      <c r="BJ91" s="11">
        <f t="shared" si="513"/>
        <v>9.5258182635157285E-2</v>
      </c>
      <c r="BK91" s="11">
        <f t="shared" si="513"/>
        <v>5.1557804178593791E-2</v>
      </c>
      <c r="BL91" s="11">
        <f t="shared" ref="BL91" si="514">BL90/BI90-1</f>
        <v>-8.9077865142143553E-2</v>
      </c>
      <c r="BM91" s="11">
        <f t="shared" ref="BM91" ca="1" si="515">BM90/BJ90-1</f>
        <v>0.32719816255953349</v>
      </c>
      <c r="BN91" s="11">
        <f t="shared" ref="BN91" ca="1" si="516">BN90/BK90-1</f>
        <v>0.13616859107702761</v>
      </c>
      <c r="BO91" s="11">
        <f t="shared" ref="BO91" ca="1" si="517">BO90/BL90-1</f>
        <v>0.24479161349093004</v>
      </c>
      <c r="BP91" s="11">
        <f t="shared" ref="BP91" ca="1" si="518">BP90/BM90-1</f>
        <v>3.010396504329238E-2</v>
      </c>
      <c r="BQ91" s="11">
        <f t="shared" ref="BQ91" ca="1" si="519">BQ90/BN90-1</f>
        <v>0.12734826008322719</v>
      </c>
      <c r="BR91" s="11">
        <f t="shared" ref="BR91" ca="1" si="520">BR90/BO90-1</f>
        <v>0.1259373767978833</v>
      </c>
      <c r="BS91" s="11">
        <f t="shared" ref="BS91" ca="1" si="521">BS90/BP90-1</f>
        <v>0.13760818308389156</v>
      </c>
      <c r="BT91" s="11">
        <f t="shared" ref="BT91" ca="1" si="522">BT90/BQ90-1</f>
        <v>0.13177109175188439</v>
      </c>
      <c r="BU91" s="11">
        <f t="shared" ref="BU91" ca="1" si="523">BU90/BR90-1</f>
        <v>9.4496479769629493E-2</v>
      </c>
      <c r="BV91" s="11">
        <f t="shared" ref="BV91" ca="1" si="524">BV90/BS90-1</f>
        <v>9.7220303812398434E-2</v>
      </c>
      <c r="BW91" s="11">
        <f t="shared" ref="BW91" ca="1" si="525">BW90/BT90-1</f>
        <v>9.5865019795700501E-2</v>
      </c>
      <c r="BX91" s="11">
        <f t="shared" ref="BX91" ca="1" si="526">BX90/BU90-1</f>
        <v>6.8572983340547067E-2</v>
      </c>
      <c r="BY91" s="11">
        <f t="shared" ref="BY91" ca="1" si="527">BY90/BV90-1</f>
        <v>6.2889218501871458E-2</v>
      </c>
      <c r="BZ91" s="11">
        <f t="shared" ref="BZ91" ca="1" si="528">BZ90/BW90-1</f>
        <v>6.5713738625672757E-2</v>
      </c>
      <c r="CA91" s="11">
        <f t="shared" ref="CA91" ca="1" si="529">CA90/BX90-1</f>
        <v>7.6408847861929141E-2</v>
      </c>
      <c r="CB91" s="11">
        <f t="shared" ref="CB91" ca="1" si="530">CB90/BY90-1</f>
        <v>7.8308241416185309E-2</v>
      </c>
      <c r="CC91" s="11">
        <f t="shared" ref="CC91" ca="1" si="531">CC90/BZ90-1</f>
        <v>7.7361814338057E-2</v>
      </c>
      <c r="CD91" s="68"/>
      <c r="CE91" s="65"/>
      <c r="CF91" s="65"/>
      <c r="CG91" s="65"/>
      <c r="CH91" s="65"/>
      <c r="CI91" s="65"/>
      <c r="CJ91" s="65"/>
      <c r="CK91" s="19"/>
      <c r="CL91" s="58">
        <f t="shared" si="468"/>
        <v>8.4238214931320332E-2</v>
      </c>
      <c r="CM91" s="19">
        <f t="shared" si="469"/>
        <v>7.0035824584196327E-2</v>
      </c>
      <c r="CN91" s="19">
        <f t="shared" si="470"/>
        <v>7.512089830398172E-2</v>
      </c>
      <c r="CO91" s="19">
        <f t="shared" si="471"/>
        <v>6.8447816329287869E-2</v>
      </c>
      <c r="CP91" s="19">
        <f t="shared" si="472"/>
        <v>7.7027928358596842E-2</v>
      </c>
      <c r="CQ91" s="19">
        <f t="shared" si="473"/>
        <v>8.1764526762164502E-2</v>
      </c>
      <c r="CR91" s="19">
        <f t="shared" si="474"/>
        <v>8.800254346983194E-2</v>
      </c>
      <c r="CS91" s="19">
        <f t="shared" si="475"/>
        <v>0.10493368655168878</v>
      </c>
      <c r="CT91" s="19">
        <f t="shared" si="476"/>
        <v>0.11583911671274083</v>
      </c>
      <c r="CU91" s="19">
        <f t="shared" si="477"/>
        <v>0.14894114771319833</v>
      </c>
      <c r="CV91" s="19">
        <f t="shared" si="478"/>
        <v>0.24121258542612911</v>
      </c>
      <c r="CW91" s="19">
        <f t="shared" si="479"/>
        <v>0.15520602710122522</v>
      </c>
      <c r="CX91" s="19">
        <f t="shared" si="480"/>
        <v>0.14448723364844729</v>
      </c>
      <c r="CY91" s="19">
        <f t="shared" si="481"/>
        <v>5.1557804178593791E-2</v>
      </c>
      <c r="CZ91" s="19">
        <f t="shared" ca="1" si="482"/>
        <v>0.13616859107702761</v>
      </c>
      <c r="DA91" s="19">
        <f t="shared" ca="1" si="483"/>
        <v>0.12734826008322719</v>
      </c>
      <c r="DB91" s="19">
        <f t="shared" ca="1" si="484"/>
        <v>0.13177109175188439</v>
      </c>
      <c r="DC91" s="19">
        <f t="shared" ca="1" si="485"/>
        <v>9.5865019795700501E-2</v>
      </c>
      <c r="DD91" s="19">
        <f t="shared" ca="1" si="486"/>
        <v>6.5713738625672757E-2</v>
      </c>
      <c r="DE91" s="19">
        <f t="shared" ca="1" si="487"/>
        <v>7.7361814338057E-2</v>
      </c>
    </row>
    <row r="92" spans="1:137" ht="12.75" customHeight="1">
      <c r="A92" s="1"/>
      <c r="B92" s="112"/>
      <c r="C92" s="1"/>
      <c r="D92" s="1"/>
      <c r="E92" s="1"/>
      <c r="F92" s="174"/>
      <c r="G92" s="174"/>
      <c r="H92" s="174"/>
      <c r="I92" s="174"/>
      <c r="J92" s="174"/>
      <c r="K92" s="174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9">
        <f>AT41-AT84</f>
        <v>256.10000000000008</v>
      </c>
      <c r="AU92" s="19">
        <f>AU41-AU84</f>
        <v>252.86626782884321</v>
      </c>
      <c r="AV92" s="19">
        <f>SUM(AT92:AU92)</f>
        <v>508.96626782884329</v>
      </c>
      <c r="AW92" s="1">
        <f t="shared" ref="AW92:AX92" si="532">AW41-AW84</f>
        <v>335.71626782884323</v>
      </c>
      <c r="AX92" s="1">
        <f t="shared" si="532"/>
        <v>327.42</v>
      </c>
      <c r="AY92" s="1">
        <f t="shared" ref="AY92" si="533">SUM(AW92:AX92)</f>
        <v>663.1362678288433</v>
      </c>
      <c r="AZ92" s="1">
        <f t="shared" ref="AZ92:BA92" si="534">AZ41-AZ84</f>
        <v>505.96999999999991</v>
      </c>
      <c r="BA92" s="1">
        <f t="shared" si="534"/>
        <v>461.56999999999994</v>
      </c>
      <c r="BB92" s="1">
        <f t="shared" ref="BB92" si="535">SUM(AZ92:BA92)</f>
        <v>967.53999999999985</v>
      </c>
      <c r="BC92" s="1">
        <f t="shared" ref="BC92:BD92" si="536">BC41-BC84</f>
        <v>594.42499999999973</v>
      </c>
      <c r="BD92" s="1">
        <f t="shared" si="536"/>
        <v>623.125</v>
      </c>
      <c r="BE92" s="1">
        <f t="shared" ref="BE92" si="537">SUM(BC92:BD92)</f>
        <v>1217.5499999999997</v>
      </c>
      <c r="BF92" s="1">
        <f t="shared" ref="BF92:BG92" si="538">BF41-BF84</f>
        <v>842.51999999999987</v>
      </c>
      <c r="BG92" s="1">
        <f t="shared" si="538"/>
        <v>637.12</v>
      </c>
      <c r="BH92" s="1">
        <f t="shared" ref="BH92" si="539">SUM(BF92:BG92)</f>
        <v>1479.6399999999999</v>
      </c>
      <c r="BI92" s="1">
        <f t="shared" ref="BI92:BJ92" si="540">BI41-BI84</f>
        <v>935.65999999999985</v>
      </c>
      <c r="BJ92" s="1">
        <f t="shared" si="540"/>
        <v>784.11999999999989</v>
      </c>
      <c r="BK92" s="1">
        <f t="shared" ref="BK92" si="541">SUM(BI92:BJ92)</f>
        <v>1719.7799999999997</v>
      </c>
      <c r="BL92" s="1">
        <f t="shared" ref="BL92:BM92" si="542">BL41-BL84</f>
        <v>896.7800000000002</v>
      </c>
      <c r="BM92" s="1">
        <f t="shared" ca="1" si="542"/>
        <v>1140.5110099996118</v>
      </c>
      <c r="BN92" s="1">
        <f t="shared" ref="BN92" ca="1" si="543">SUM(BL92:BM92)</f>
        <v>2037.291009999612</v>
      </c>
      <c r="BO92" s="1">
        <f t="shared" ref="BO92:BP92" ca="1" si="544">BO41-BO84</f>
        <v>1184.6758595737022</v>
      </c>
      <c r="BP92" s="1">
        <f t="shared" ca="1" si="544"/>
        <v>1183.9032249599443</v>
      </c>
      <c r="BQ92" s="1">
        <f t="shared" ref="BQ92" ca="1" si="545">SUM(BO92:BP92)</f>
        <v>2368.5790845336464</v>
      </c>
      <c r="BR92" s="1">
        <f t="shared" ref="BR92:BS92" ca="1" si="546">BR41-BR84</f>
        <v>1355.7190002076668</v>
      </c>
      <c r="BS92" s="1">
        <f t="shared" ca="1" si="546"/>
        <v>1372.0452087916528</v>
      </c>
      <c r="BT92" s="1">
        <f t="shared" ref="BT92" ca="1" si="547">SUM(BR92:BS92)</f>
        <v>2727.7642089993196</v>
      </c>
      <c r="BU92" s="1">
        <f t="shared" ref="BU92:BV92" ca="1" si="548">BU41-BU84</f>
        <v>1497.0141580607064</v>
      </c>
      <c r="BV92" s="1">
        <f t="shared" ca="1" si="548"/>
        <v>1519.4506929247968</v>
      </c>
      <c r="BW92" s="1">
        <f t="shared" ref="BW92" ca="1" si="549">SUM(BU92:BV92)</f>
        <v>3016.4648509855033</v>
      </c>
      <c r="BX92" s="1">
        <f t="shared" ref="BX92:BY92" ca="1" si="550">BX41-BX84</f>
        <v>1605.1131444356251</v>
      </c>
      <c r="BY92" s="1">
        <f t="shared" ca="1" si="550"/>
        <v>1618.5915915324456</v>
      </c>
      <c r="BZ92" s="1">
        <f t="shared" ref="BZ92" ca="1" si="551">SUM(BX92:BY92)</f>
        <v>3223.704735968071</v>
      </c>
      <c r="CA92" s="1">
        <f t="shared" ref="CA92:CB92" ca="1" si="552">CA41-CA84</f>
        <v>1736.176155140897</v>
      </c>
      <c r="CB92" s="1">
        <f t="shared" ca="1" si="552"/>
        <v>1754.4232331256637</v>
      </c>
      <c r="CC92" s="1">
        <f t="shared" ref="CC92" ca="1" si="553">SUM(CA92:CB92)</f>
        <v>3490.5993882665607</v>
      </c>
      <c r="CD92" s="12"/>
      <c r="CL92" s="13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</row>
    <row r="93" spans="1:137" s="47" customFormat="1" ht="12.75" customHeight="1">
      <c r="A93" s="42"/>
      <c r="B93" s="176" t="s">
        <v>99</v>
      </c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4"/>
      <c r="CE93" s="42"/>
      <c r="CF93" s="42"/>
      <c r="CG93" s="42"/>
      <c r="CH93" s="42"/>
      <c r="CI93" s="42"/>
      <c r="CJ93" s="42"/>
      <c r="CK93" s="45"/>
      <c r="CL93" s="177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5"/>
      <c r="DG93" s="45"/>
      <c r="DH93" s="45"/>
      <c r="DI93" s="45"/>
      <c r="DJ93" s="45"/>
      <c r="DK93" s="45"/>
      <c r="EB93"/>
      <c r="EC93"/>
      <c r="ED93"/>
      <c r="EE93"/>
      <c r="EF93"/>
      <c r="EG93"/>
    </row>
    <row r="94" spans="1:137" ht="12.75" customHeight="1">
      <c r="A94" s="1"/>
      <c r="B94" s="154" t="s">
        <v>100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78"/>
      <c r="AD94" s="1"/>
      <c r="AE94" s="1"/>
      <c r="AF94" s="1"/>
      <c r="AG94" s="1"/>
      <c r="AH94" s="1"/>
      <c r="AI94" s="1"/>
      <c r="AJ94" s="1"/>
      <c r="AK94" s="1"/>
      <c r="AL94" s="1"/>
      <c r="AM94" s="179"/>
      <c r="AN94" s="1"/>
      <c r="AO94" s="1"/>
      <c r="AP94" s="179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2"/>
      <c r="CL94" s="13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</row>
    <row r="95" spans="1:137" ht="12.75" customHeight="1">
      <c r="A95" s="1"/>
      <c r="B95" s="112" t="s">
        <v>34</v>
      </c>
      <c r="C95" s="180"/>
      <c r="D95" s="181"/>
      <c r="E95" s="181"/>
      <c r="F95" s="182"/>
      <c r="G95" s="182"/>
      <c r="H95" s="182"/>
      <c r="I95" s="182">
        <v>81.8</v>
      </c>
      <c r="J95" s="182">
        <v>160.19999999999999</v>
      </c>
      <c r="K95" s="182">
        <v>639.20000000000005</v>
      </c>
      <c r="L95" s="182">
        <v>639.20000000000005</v>
      </c>
      <c r="M95" s="182">
        <v>166.7</v>
      </c>
      <c r="N95" s="182">
        <v>242.5</v>
      </c>
      <c r="O95" s="182">
        <v>242.5</v>
      </c>
      <c r="P95" s="182">
        <v>676.3</v>
      </c>
      <c r="Q95" s="182">
        <v>515.1</v>
      </c>
      <c r="R95" s="182">
        <v>515.1</v>
      </c>
      <c r="S95" s="182">
        <v>220.7</v>
      </c>
      <c r="T95" s="182">
        <v>227.8</v>
      </c>
      <c r="U95" s="182">
        <v>227.8</v>
      </c>
      <c r="V95" s="182">
        <v>296.39999999999998</v>
      </c>
      <c r="W95" s="182">
        <v>310.8</v>
      </c>
      <c r="X95" s="182">
        <v>310.8</v>
      </c>
      <c r="Y95" s="183">
        <v>378.1</v>
      </c>
      <c r="Z95" s="183">
        <v>645.4</v>
      </c>
      <c r="AA95" s="183">
        <f>+Z95</f>
        <v>645.4</v>
      </c>
      <c r="AB95" s="183">
        <v>565.70000000000005</v>
      </c>
      <c r="AC95" s="183">
        <v>359.9</v>
      </c>
      <c r="AD95" s="182">
        <f>AC95</f>
        <v>359.9</v>
      </c>
      <c r="AE95" s="184">
        <f t="shared" ref="AE95:AY95" si="554">+AE177</f>
        <v>479.99999999999898</v>
      </c>
      <c r="AF95" s="184">
        <v>746.5</v>
      </c>
      <c r="AG95" s="184">
        <f>AF95</f>
        <v>746.5</v>
      </c>
      <c r="AH95" s="182">
        <v>844.7</v>
      </c>
      <c r="AI95" s="182">
        <v>1337</v>
      </c>
      <c r="AJ95" s="182">
        <f t="shared" si="554"/>
        <v>1336.9999999999991</v>
      </c>
      <c r="AK95" s="185">
        <f t="shared" si="554"/>
        <v>1709.4999999999991</v>
      </c>
      <c r="AL95" s="185">
        <f t="shared" si="554"/>
        <v>2095.099999999999</v>
      </c>
      <c r="AM95" s="185">
        <f t="shared" si="554"/>
        <v>2095.099999999999</v>
      </c>
      <c r="AN95" s="185">
        <f t="shared" si="554"/>
        <v>2343.7999999999993</v>
      </c>
      <c r="AO95" s="185">
        <f t="shared" si="554"/>
        <v>2406.7999999999993</v>
      </c>
      <c r="AP95" s="185">
        <f t="shared" si="554"/>
        <v>2406.7999999999993</v>
      </c>
      <c r="AQ95" s="185">
        <f t="shared" si="554"/>
        <v>2062.5999999999995</v>
      </c>
      <c r="AR95" s="185">
        <f t="shared" si="554"/>
        <v>1607.0999999999995</v>
      </c>
      <c r="AS95" s="185">
        <f t="shared" si="554"/>
        <v>1607.0999999999992</v>
      </c>
      <c r="AT95" s="185">
        <f t="shared" si="554"/>
        <v>1362.4999999999991</v>
      </c>
      <c r="AU95" s="185">
        <v>1781.9</v>
      </c>
      <c r="AV95" s="185">
        <f>AU95</f>
        <v>1781.9</v>
      </c>
      <c r="AW95" s="185">
        <v>1275.2</v>
      </c>
      <c r="AX95" s="185">
        <f>+AX177</f>
        <v>920.4</v>
      </c>
      <c r="AY95" s="185">
        <f t="shared" si="554"/>
        <v>920.4</v>
      </c>
      <c r="AZ95" s="185">
        <v>719.6</v>
      </c>
      <c r="BA95" s="182">
        <v>1056</v>
      </c>
      <c r="BB95" s="185">
        <f>BA95</f>
        <v>1056</v>
      </c>
      <c r="BC95" s="182">
        <v>981.6</v>
      </c>
      <c r="BD95" s="182">
        <v>1360.1</v>
      </c>
      <c r="BE95" s="185">
        <f>BD95</f>
        <v>1360.1</v>
      </c>
      <c r="BF95" s="182">
        <v>1213.8</v>
      </c>
      <c r="BG95" s="182">
        <v>1785.3</v>
      </c>
      <c r="BH95" s="185">
        <f>BG95</f>
        <v>1785.3</v>
      </c>
      <c r="BI95" s="182">
        <v>1489.1</v>
      </c>
      <c r="BJ95" s="182">
        <v>3957.1</v>
      </c>
      <c r="BK95" s="185">
        <f>BJ95</f>
        <v>3957.1</v>
      </c>
      <c r="BL95" s="182">
        <v>2963.4</v>
      </c>
      <c r="BM95" s="185">
        <f t="shared" ref="BM95:BN95" ca="1" si="555">+BM177</f>
        <v>2498.9259052301022</v>
      </c>
      <c r="BN95" s="185">
        <f t="shared" ca="1" si="555"/>
        <v>2498.9259052301022</v>
      </c>
      <c r="BO95" s="185">
        <f t="shared" ref="BO95:BQ95" ca="1" si="556">+BO177</f>
        <v>1920.9987365894144</v>
      </c>
      <c r="BP95" s="185">
        <f t="shared" ca="1" si="556"/>
        <v>1692.2161823965703</v>
      </c>
      <c r="BQ95" s="185">
        <f t="shared" ca="1" si="556"/>
        <v>1692.2161823965703</v>
      </c>
      <c r="BR95" s="185">
        <f t="shared" ref="BR95:BT95" ca="1" si="557">+BR177</f>
        <v>1784.6046035426352</v>
      </c>
      <c r="BS95" s="185">
        <f t="shared" ca="1" si="557"/>
        <v>2024.8704927472695</v>
      </c>
      <c r="BT95" s="185">
        <f t="shared" ca="1" si="557"/>
        <v>2024.8704927472695</v>
      </c>
      <c r="BU95" s="185">
        <f t="shared" ref="BU95:BZ95" ca="1" si="558">+BU177</f>
        <v>2390.4734376432198</v>
      </c>
      <c r="BV95" s="185">
        <f t="shared" ca="1" si="558"/>
        <v>2778.8455851857898</v>
      </c>
      <c r="BW95" s="185">
        <f t="shared" ca="1" si="558"/>
        <v>2778.8455851857898</v>
      </c>
      <c r="BX95" s="185">
        <f t="shared" ca="1" si="558"/>
        <v>3253.2810815883745</v>
      </c>
      <c r="BY95" s="185">
        <f t="shared" ca="1" si="558"/>
        <v>3741.5619248732373</v>
      </c>
      <c r="BZ95" s="185">
        <f t="shared" ca="1" si="558"/>
        <v>3741.5619248732373</v>
      </c>
      <c r="CA95" s="185">
        <f t="shared" ref="CA95:CC95" ca="1" si="559">+CA177</f>
        <v>4331.1661130608545</v>
      </c>
      <c r="CB95" s="185">
        <f t="shared" ca="1" si="559"/>
        <v>4939.0397282790082</v>
      </c>
      <c r="CC95" s="185">
        <f t="shared" ca="1" si="559"/>
        <v>4939.0397282790091</v>
      </c>
      <c r="CD95" s="186"/>
      <c r="CE95" s="187"/>
      <c r="CF95" s="187"/>
      <c r="CG95" s="187"/>
      <c r="CH95" s="187"/>
      <c r="CI95" s="187"/>
      <c r="CJ95" s="187"/>
      <c r="CK95" s="188"/>
      <c r="CL95" s="189">
        <f>X95</f>
        <v>310.8</v>
      </c>
      <c r="CM95" s="185">
        <f>AA95</f>
        <v>645.4</v>
      </c>
      <c r="CN95" s="185">
        <f>AD95</f>
        <v>359.9</v>
      </c>
      <c r="CO95" s="185">
        <f>AG95</f>
        <v>746.5</v>
      </c>
      <c r="CP95" s="185">
        <f>AJ95</f>
        <v>1336.9999999999991</v>
      </c>
      <c r="CQ95" s="185">
        <f>AM95</f>
        <v>2095.099999999999</v>
      </c>
      <c r="CR95" s="185">
        <f>AP95</f>
        <v>2406.7999999999993</v>
      </c>
      <c r="CS95" s="185">
        <f>AS95</f>
        <v>1607.0999999999992</v>
      </c>
      <c r="CT95" s="185">
        <f>AV95</f>
        <v>1781.9</v>
      </c>
      <c r="CU95" s="185">
        <f>AY95</f>
        <v>920.4</v>
      </c>
      <c r="CV95" s="185">
        <f>BB95</f>
        <v>1056</v>
      </c>
      <c r="CW95" s="185">
        <f>BE95</f>
        <v>1360.1</v>
      </c>
      <c r="CX95" s="185">
        <f>BH95</f>
        <v>1785.3</v>
      </c>
      <c r="CY95" s="185">
        <f>BK95</f>
        <v>3957.1</v>
      </c>
      <c r="CZ95" s="185">
        <f ca="1">BN95</f>
        <v>2498.9259052301022</v>
      </c>
      <c r="DA95" s="185">
        <f ca="1">BQ95</f>
        <v>1692.2161823965703</v>
      </c>
      <c r="DB95" s="185">
        <f ca="1">BT95</f>
        <v>2024.8704927472695</v>
      </c>
      <c r="DC95" s="185">
        <f ca="1">BW95</f>
        <v>2778.8455851857898</v>
      </c>
      <c r="DD95" s="185">
        <f ca="1">BZ95</f>
        <v>3741.5619248732373</v>
      </c>
      <c r="DE95" s="185">
        <f ca="1">CC95</f>
        <v>4939.0397282790091</v>
      </c>
    </row>
    <row r="96" spans="1:137" ht="12.75" customHeight="1">
      <c r="A96" s="1"/>
      <c r="B96" s="112" t="s">
        <v>101</v>
      </c>
      <c r="C96" s="180"/>
      <c r="D96" s="190"/>
      <c r="E96" s="190"/>
      <c r="F96" s="184"/>
      <c r="G96" s="184"/>
      <c r="H96" s="184"/>
      <c r="I96" s="184"/>
      <c r="J96" s="184"/>
      <c r="K96" s="184"/>
      <c r="L96" s="184">
        <v>532.9</v>
      </c>
      <c r="M96" s="184">
        <v>450.1</v>
      </c>
      <c r="N96" s="184">
        <v>315.60000000000002</v>
      </c>
      <c r="O96" s="184">
        <v>315.60000000000002</v>
      </c>
      <c r="P96" s="184">
        <v>224.8</v>
      </c>
      <c r="Q96" s="184">
        <v>228</v>
      </c>
      <c r="R96" s="184">
        <v>228</v>
      </c>
      <c r="S96" s="184">
        <v>220.1</v>
      </c>
      <c r="T96" s="184">
        <v>226.5</v>
      </c>
      <c r="U96" s="184">
        <v>226.5</v>
      </c>
      <c r="V96" s="184">
        <v>242.3</v>
      </c>
      <c r="W96" s="184">
        <v>164.3</v>
      </c>
      <c r="X96" s="184">
        <v>164.3</v>
      </c>
      <c r="Y96" s="191">
        <v>379.6</v>
      </c>
      <c r="Z96" s="191">
        <v>338.7</v>
      </c>
      <c r="AA96" s="183">
        <f>+Z96</f>
        <v>338.7</v>
      </c>
      <c r="AB96" s="191">
        <v>248</v>
      </c>
      <c r="AC96" s="191">
        <v>354.8</v>
      </c>
      <c r="AD96" s="184">
        <f>AC96</f>
        <v>354.8</v>
      </c>
      <c r="AE96" s="184">
        <v>295.89999999999998</v>
      </c>
      <c r="AF96" s="184">
        <v>344.8</v>
      </c>
      <c r="AG96" s="184">
        <f t="shared" ref="AG96:BB98" si="560">AF96</f>
        <v>344.8</v>
      </c>
      <c r="AH96" s="184">
        <v>415.5</v>
      </c>
      <c r="AI96" s="184">
        <v>403.2</v>
      </c>
      <c r="AJ96" s="184">
        <f t="shared" si="560"/>
        <v>403.2</v>
      </c>
      <c r="AK96" s="184">
        <v>304.89999999999998</v>
      </c>
      <c r="AL96" s="184">
        <v>552</v>
      </c>
      <c r="AM96" s="184">
        <f t="shared" si="560"/>
        <v>552</v>
      </c>
      <c r="AN96" s="184">
        <v>549.79999999999995</v>
      </c>
      <c r="AO96" s="184">
        <v>464.6</v>
      </c>
      <c r="AP96" s="184">
        <f t="shared" si="560"/>
        <v>464.6</v>
      </c>
      <c r="AQ96" s="184">
        <v>329.4</v>
      </c>
      <c r="AR96" s="184">
        <v>237.6</v>
      </c>
      <c r="AS96" s="184">
        <f t="shared" si="560"/>
        <v>237.6</v>
      </c>
      <c r="AT96" s="184">
        <v>260.10000000000002</v>
      </c>
      <c r="AU96" s="184">
        <v>282.3</v>
      </c>
      <c r="AV96" s="184">
        <f t="shared" si="560"/>
        <v>282.3</v>
      </c>
      <c r="AW96" s="188">
        <v>234.9</v>
      </c>
      <c r="AX96" s="188">
        <v>331.3</v>
      </c>
      <c r="AY96" s="188">
        <f t="shared" si="560"/>
        <v>331.3</v>
      </c>
      <c r="AZ96" s="188">
        <v>303.8</v>
      </c>
      <c r="BA96" s="184">
        <v>217.8</v>
      </c>
      <c r="BB96" s="188">
        <f t="shared" si="560"/>
        <v>217.8</v>
      </c>
      <c r="BC96" s="184">
        <v>276.5</v>
      </c>
      <c r="BD96" s="184">
        <v>243.1</v>
      </c>
      <c r="BE96" s="185">
        <f t="shared" ref="BE96:BE98" si="561">BD96</f>
        <v>243.1</v>
      </c>
      <c r="BF96" s="184">
        <v>385.9</v>
      </c>
      <c r="BG96" s="184">
        <v>221.3</v>
      </c>
      <c r="BH96" s="185">
        <f t="shared" ref="BH96:BH98" si="562">BG96</f>
        <v>221.3</v>
      </c>
      <c r="BI96" s="184">
        <v>359.6</v>
      </c>
      <c r="BJ96" s="184">
        <v>494.7</v>
      </c>
      <c r="BK96" s="185">
        <f t="shared" ref="BK96:BK98" si="563">BJ96</f>
        <v>494.7</v>
      </c>
      <c r="BL96" s="184">
        <v>416.9</v>
      </c>
      <c r="BM96" s="188">
        <f t="shared" ref="BM96:BM98" si="564">BL96</f>
        <v>416.9</v>
      </c>
      <c r="BN96" s="188">
        <f t="shared" ref="BN96:BN98" si="565">BM96</f>
        <v>416.9</v>
      </c>
      <c r="BO96" s="188">
        <f t="shared" ref="BO96:BO98" si="566">BN96</f>
        <v>416.9</v>
      </c>
      <c r="BP96" s="188">
        <f t="shared" ref="BP96:BP98" si="567">BO96</f>
        <v>416.9</v>
      </c>
      <c r="BQ96" s="188">
        <f t="shared" ref="BQ96:BQ98" si="568">BP96</f>
        <v>416.9</v>
      </c>
      <c r="BR96" s="188">
        <f t="shared" ref="BR96:BR98" si="569">BQ96</f>
        <v>416.9</v>
      </c>
      <c r="BS96" s="188">
        <f t="shared" ref="BS96:BS98" si="570">BR96</f>
        <v>416.9</v>
      </c>
      <c r="BT96" s="188">
        <f t="shared" ref="BT96:BT98" si="571">BS96</f>
        <v>416.9</v>
      </c>
      <c r="BU96" s="188">
        <f t="shared" ref="BU96:BU98" si="572">BT96</f>
        <v>416.9</v>
      </c>
      <c r="BV96" s="188">
        <f t="shared" ref="BV96:BV98" si="573">BU96</f>
        <v>416.9</v>
      </c>
      <c r="BW96" s="188">
        <f t="shared" ref="BW96:BW98" si="574">BV96</f>
        <v>416.9</v>
      </c>
      <c r="BX96" s="188">
        <f t="shared" ref="BX96:BX98" si="575">BW96</f>
        <v>416.9</v>
      </c>
      <c r="BY96" s="188">
        <f t="shared" ref="BY96:BY98" si="576">BX96</f>
        <v>416.9</v>
      </c>
      <c r="BZ96" s="188">
        <f t="shared" ref="BZ96:BZ98" si="577">BY96</f>
        <v>416.9</v>
      </c>
      <c r="CA96" s="188">
        <f t="shared" ref="CA96:CA98" si="578">BZ96</f>
        <v>416.9</v>
      </c>
      <c r="CB96" s="188">
        <f t="shared" ref="CB96:CB98" si="579">CA96</f>
        <v>416.9</v>
      </c>
      <c r="CC96" s="188">
        <f t="shared" ref="CC96:CC98" si="580">CB96</f>
        <v>416.9</v>
      </c>
      <c r="CD96" s="186"/>
      <c r="CE96" s="187"/>
      <c r="CF96" s="187"/>
      <c r="CG96" s="187"/>
      <c r="CH96" s="187"/>
      <c r="CI96" s="187"/>
      <c r="CJ96" s="187"/>
      <c r="CK96" s="188"/>
      <c r="CL96" s="192">
        <f>X96</f>
        <v>164.3</v>
      </c>
      <c r="CM96" s="188">
        <f>AA96</f>
        <v>338.7</v>
      </c>
      <c r="CN96" s="188">
        <f>AD96</f>
        <v>354.8</v>
      </c>
      <c r="CO96" s="188">
        <f>AG96</f>
        <v>344.8</v>
      </c>
      <c r="CP96" s="188">
        <f>AJ96</f>
        <v>403.2</v>
      </c>
      <c r="CQ96" s="188">
        <f>AM96</f>
        <v>552</v>
      </c>
      <c r="CR96" s="188">
        <f>AP96</f>
        <v>464.6</v>
      </c>
      <c r="CS96" s="188">
        <f>AS96</f>
        <v>237.6</v>
      </c>
      <c r="CT96" s="188">
        <f>AV96</f>
        <v>282.3</v>
      </c>
      <c r="CU96" s="188">
        <f>AY96</f>
        <v>331.3</v>
      </c>
      <c r="CV96" s="188">
        <f>BB96</f>
        <v>217.8</v>
      </c>
      <c r="CW96" s="188">
        <f>BE96</f>
        <v>243.1</v>
      </c>
      <c r="CX96" s="188">
        <f>BH96</f>
        <v>221.3</v>
      </c>
      <c r="CY96" s="188">
        <f>BK96</f>
        <v>494.7</v>
      </c>
      <c r="CZ96" s="188">
        <f>BN96</f>
        <v>416.9</v>
      </c>
      <c r="DA96" s="188">
        <f>BQ96</f>
        <v>416.9</v>
      </c>
      <c r="DB96" s="188">
        <f>BT96</f>
        <v>416.9</v>
      </c>
      <c r="DC96" s="188">
        <f>BW96</f>
        <v>416.9</v>
      </c>
      <c r="DD96" s="188">
        <f>BZ96</f>
        <v>416.9</v>
      </c>
      <c r="DE96" s="188">
        <f>CC96</f>
        <v>416.9</v>
      </c>
    </row>
    <row r="97" spans="1:137" ht="12.75" customHeight="1">
      <c r="A97" s="1"/>
      <c r="B97" s="112" t="s">
        <v>102</v>
      </c>
      <c r="C97" s="180"/>
      <c r="D97" s="181"/>
      <c r="E97" s="181"/>
      <c r="F97" s="182"/>
      <c r="G97" s="182"/>
      <c r="H97" s="182"/>
      <c r="I97" s="182"/>
      <c r="J97" s="182"/>
      <c r="K97" s="182"/>
      <c r="L97" s="182">
        <v>8.6999999999999993</v>
      </c>
      <c r="M97" s="182">
        <v>14.6</v>
      </c>
      <c r="N97" s="182">
        <v>10</v>
      </c>
      <c r="O97" s="182">
        <v>10</v>
      </c>
      <c r="P97" s="182">
        <v>137.5</v>
      </c>
      <c r="Q97" s="182">
        <v>244.3</v>
      </c>
      <c r="R97" s="182">
        <v>244.3</v>
      </c>
      <c r="S97" s="182">
        <v>263.89999999999998</v>
      </c>
      <c r="T97" s="182">
        <v>216.2</v>
      </c>
      <c r="U97" s="182">
        <v>216.2</v>
      </c>
      <c r="V97" s="182">
        <v>99.5</v>
      </c>
      <c r="W97" s="182">
        <v>194.3</v>
      </c>
      <c r="X97" s="182">
        <v>194.3</v>
      </c>
      <c r="Y97" s="183">
        <v>143.30000000000001</v>
      </c>
      <c r="Z97" s="183">
        <v>156.80000000000001</v>
      </c>
      <c r="AA97" s="183">
        <f>+Z97</f>
        <v>156.80000000000001</v>
      </c>
      <c r="AB97" s="183">
        <v>327.9</v>
      </c>
      <c r="AC97" s="183">
        <v>121.1</v>
      </c>
      <c r="AD97" s="182">
        <f>AC97</f>
        <v>121.1</v>
      </c>
      <c r="AE97" s="182">
        <v>66.400000000000006</v>
      </c>
      <c r="AF97" s="182">
        <v>364.3</v>
      </c>
      <c r="AG97" s="182">
        <f t="shared" si="560"/>
        <v>364.3</v>
      </c>
      <c r="AH97" s="182">
        <v>298.10000000000002</v>
      </c>
      <c r="AI97" s="182">
        <v>687</v>
      </c>
      <c r="AJ97" s="182">
        <f t="shared" si="560"/>
        <v>687</v>
      </c>
      <c r="AK97" s="182">
        <v>745.3</v>
      </c>
      <c r="AL97" s="182">
        <v>709.7</v>
      </c>
      <c r="AM97" s="182">
        <f t="shared" si="560"/>
        <v>709.7</v>
      </c>
      <c r="AN97" s="182">
        <v>528.5</v>
      </c>
      <c r="AO97" s="182">
        <v>520.5</v>
      </c>
      <c r="AP97" s="184">
        <f t="shared" si="560"/>
        <v>520.5</v>
      </c>
      <c r="AQ97" s="184">
        <v>214</v>
      </c>
      <c r="AR97" s="184">
        <v>307.89999999999998</v>
      </c>
      <c r="AS97" s="184">
        <f t="shared" si="560"/>
        <v>307.89999999999998</v>
      </c>
      <c r="AT97" s="184">
        <v>476.3</v>
      </c>
      <c r="AU97" s="184">
        <v>544.1</v>
      </c>
      <c r="AV97" s="184">
        <f t="shared" si="560"/>
        <v>544.1</v>
      </c>
      <c r="AW97" s="188">
        <v>241.1</v>
      </c>
      <c r="AX97" s="188">
        <v>235.1</v>
      </c>
      <c r="AY97" s="188">
        <f t="shared" si="560"/>
        <v>235.1</v>
      </c>
      <c r="AZ97" s="188">
        <v>418.4</v>
      </c>
      <c r="BA97" s="184">
        <v>389</v>
      </c>
      <c r="BB97" s="188">
        <f t="shared" si="560"/>
        <v>389</v>
      </c>
      <c r="BC97" s="184">
        <v>499.7</v>
      </c>
      <c r="BD97" s="184">
        <v>464.2</v>
      </c>
      <c r="BE97" s="185">
        <f t="shared" si="561"/>
        <v>464.2</v>
      </c>
      <c r="BF97" s="184">
        <v>391.9</v>
      </c>
      <c r="BG97" s="184">
        <v>434.4</v>
      </c>
      <c r="BH97" s="185">
        <f t="shared" si="562"/>
        <v>434.4</v>
      </c>
      <c r="BI97" s="184">
        <v>126.8</v>
      </c>
      <c r="BJ97" s="184">
        <v>69.400000000000006</v>
      </c>
      <c r="BK97" s="185">
        <f t="shared" si="563"/>
        <v>69.400000000000006</v>
      </c>
      <c r="BL97" s="184">
        <v>502.7</v>
      </c>
      <c r="BM97" s="188">
        <f t="shared" si="564"/>
        <v>502.7</v>
      </c>
      <c r="BN97" s="188">
        <f t="shared" si="565"/>
        <v>502.7</v>
      </c>
      <c r="BO97" s="188">
        <f t="shared" si="566"/>
        <v>502.7</v>
      </c>
      <c r="BP97" s="188">
        <f t="shared" si="567"/>
        <v>502.7</v>
      </c>
      <c r="BQ97" s="188">
        <f t="shared" si="568"/>
        <v>502.7</v>
      </c>
      <c r="BR97" s="188">
        <f t="shared" si="569"/>
        <v>502.7</v>
      </c>
      <c r="BS97" s="188">
        <f t="shared" si="570"/>
        <v>502.7</v>
      </c>
      <c r="BT97" s="188">
        <f t="shared" si="571"/>
        <v>502.7</v>
      </c>
      <c r="BU97" s="188">
        <f t="shared" si="572"/>
        <v>502.7</v>
      </c>
      <c r="BV97" s="188">
        <f t="shared" si="573"/>
        <v>502.7</v>
      </c>
      <c r="BW97" s="188">
        <f t="shared" si="574"/>
        <v>502.7</v>
      </c>
      <c r="BX97" s="188">
        <f t="shared" si="575"/>
        <v>502.7</v>
      </c>
      <c r="BY97" s="188">
        <f t="shared" si="576"/>
        <v>502.7</v>
      </c>
      <c r="BZ97" s="188">
        <f t="shared" si="577"/>
        <v>502.7</v>
      </c>
      <c r="CA97" s="188">
        <f t="shared" si="578"/>
        <v>502.7</v>
      </c>
      <c r="CB97" s="188">
        <f t="shared" si="579"/>
        <v>502.7</v>
      </c>
      <c r="CC97" s="188">
        <f t="shared" si="580"/>
        <v>502.7</v>
      </c>
      <c r="CD97" s="186"/>
      <c r="CE97" s="187"/>
      <c r="CF97" s="187"/>
      <c r="CG97" s="187"/>
      <c r="CH97" s="187"/>
      <c r="CI97" s="187"/>
      <c r="CJ97" s="187"/>
      <c r="CK97" s="188"/>
      <c r="CL97" s="192">
        <f>X97</f>
        <v>194.3</v>
      </c>
      <c r="CM97" s="188">
        <f>AA97</f>
        <v>156.80000000000001</v>
      </c>
      <c r="CN97" s="188">
        <f>AD97</f>
        <v>121.1</v>
      </c>
      <c r="CO97" s="188">
        <f>AG97</f>
        <v>364.3</v>
      </c>
      <c r="CP97" s="188">
        <f>AJ97</f>
        <v>687</v>
      </c>
      <c r="CQ97" s="188">
        <f>AM97</f>
        <v>709.7</v>
      </c>
      <c r="CR97" s="188">
        <f>AP97</f>
        <v>520.5</v>
      </c>
      <c r="CS97" s="188">
        <f>AS97</f>
        <v>307.89999999999998</v>
      </c>
      <c r="CT97" s="188">
        <f>AV97</f>
        <v>544.1</v>
      </c>
      <c r="CU97" s="188">
        <f>AY97</f>
        <v>235.1</v>
      </c>
      <c r="CV97" s="188">
        <f>BB97</f>
        <v>389</v>
      </c>
      <c r="CW97" s="188">
        <f>BE97</f>
        <v>464.2</v>
      </c>
      <c r="CX97" s="188">
        <f>BH97</f>
        <v>434.4</v>
      </c>
      <c r="CY97" s="188">
        <f>BK97</f>
        <v>69.400000000000006</v>
      </c>
      <c r="CZ97" s="188">
        <f>BN97</f>
        <v>502.7</v>
      </c>
      <c r="DA97" s="188">
        <f>BQ97</f>
        <v>502.7</v>
      </c>
      <c r="DB97" s="188">
        <f>BT97</f>
        <v>502.7</v>
      </c>
      <c r="DC97" s="188">
        <f>BW97</f>
        <v>502.7</v>
      </c>
      <c r="DD97" s="188">
        <f>BZ97</f>
        <v>502.7</v>
      </c>
      <c r="DE97" s="188">
        <f>CC97</f>
        <v>502.7</v>
      </c>
    </row>
    <row r="98" spans="1:137" ht="12.75" customHeight="1">
      <c r="A98" s="1"/>
      <c r="B98" s="112" t="s">
        <v>103</v>
      </c>
      <c r="C98" s="180"/>
      <c r="D98" s="190"/>
      <c r="E98" s="190"/>
      <c r="F98" s="184"/>
      <c r="G98" s="184"/>
      <c r="H98" s="184"/>
      <c r="I98" s="184"/>
      <c r="J98" s="184"/>
      <c r="K98" s="184"/>
      <c r="L98" s="184">
        <v>131.69999999999982</v>
      </c>
      <c r="M98" s="184">
        <v>222.69999999999993</v>
      </c>
      <c r="N98" s="184">
        <v>231.19999999999993</v>
      </c>
      <c r="O98" s="184">
        <v>231.19999999999993</v>
      </c>
      <c r="P98" s="184">
        <v>24.299999999999955</v>
      </c>
      <c r="Q98" s="184">
        <v>32.800000000000068</v>
      </c>
      <c r="R98" s="184">
        <v>32.800000000000068</v>
      </c>
      <c r="S98" s="184">
        <v>23.5</v>
      </c>
      <c r="T98" s="184">
        <v>12.299999999999955</v>
      </c>
      <c r="U98" s="184">
        <v>12.299999999999955</v>
      </c>
      <c r="V98" s="184">
        <v>3.8999999999999773</v>
      </c>
      <c r="W98" s="184">
        <v>121.39999999999998</v>
      </c>
      <c r="X98" s="184">
        <v>121.39999999999998</v>
      </c>
      <c r="Y98" s="191">
        <v>27.5</v>
      </c>
      <c r="Z98" s="191">
        <f>3+33.4</f>
        <v>36.4</v>
      </c>
      <c r="AA98" s="183">
        <f>+Z98</f>
        <v>36.4</v>
      </c>
      <c r="AB98" s="191">
        <f>2.5+13.9</f>
        <v>16.399999999999999</v>
      </c>
      <c r="AC98" s="191">
        <v>24.2</v>
      </c>
      <c r="AD98" s="184">
        <f>AC98</f>
        <v>24.2</v>
      </c>
      <c r="AE98" s="184">
        <f>11.2+10.6</f>
        <v>21.799999999999997</v>
      </c>
      <c r="AF98" s="184">
        <f>13.6+4.4+13.8</f>
        <v>31.8</v>
      </c>
      <c r="AG98" s="184">
        <f t="shared" si="560"/>
        <v>31.8</v>
      </c>
      <c r="AH98" s="184">
        <f>1.5+2.3+8.6</f>
        <v>12.399999999999999</v>
      </c>
      <c r="AI98" s="184">
        <f>0.9+15.7</f>
        <v>16.599999999999998</v>
      </c>
      <c r="AJ98" s="184">
        <f t="shared" si="560"/>
        <v>16.599999999999998</v>
      </c>
      <c r="AK98" s="184">
        <f>2+10.2+15.4</f>
        <v>27.6</v>
      </c>
      <c r="AL98" s="184">
        <f>27.3+14.7</f>
        <v>42</v>
      </c>
      <c r="AM98" s="184">
        <f t="shared" si="560"/>
        <v>42</v>
      </c>
      <c r="AN98" s="184">
        <f>6.4+10.1</f>
        <v>16.5</v>
      </c>
      <c r="AO98" s="184">
        <f>1.6+17.1+145.4</f>
        <v>164.10000000000002</v>
      </c>
      <c r="AP98" s="184">
        <f t="shared" si="560"/>
        <v>164.10000000000002</v>
      </c>
      <c r="AQ98" s="184">
        <f>1.1+6.6+267.9</f>
        <v>275.59999999999997</v>
      </c>
      <c r="AR98" s="184">
        <f>12+1.3+308.1</f>
        <v>321.40000000000003</v>
      </c>
      <c r="AS98" s="184">
        <f t="shared" si="560"/>
        <v>321.40000000000003</v>
      </c>
      <c r="AT98" s="184">
        <f>AT99-SUM(AT95:AT97)</f>
        <v>299.900000000001</v>
      </c>
      <c r="AU98" s="184">
        <f>AU99-SUM(AU95:AU97)</f>
        <v>197.5</v>
      </c>
      <c r="AV98" s="184">
        <f t="shared" si="560"/>
        <v>197.5</v>
      </c>
      <c r="AW98" s="184">
        <f>AW99-SUM(AW95:AW97)</f>
        <v>94.599999999999909</v>
      </c>
      <c r="AX98" s="184">
        <f>AX99-SUM(AX95:AX97)</f>
        <v>138.90000000000009</v>
      </c>
      <c r="AY98" s="188">
        <f t="shared" si="560"/>
        <v>138.90000000000009</v>
      </c>
      <c r="AZ98" s="184">
        <f>AZ99-SUM(AZ95:AZ97)</f>
        <v>111.19999999999982</v>
      </c>
      <c r="BA98" s="184">
        <f>BA99-SUM(BA95:BA97)</f>
        <v>687.39999999999986</v>
      </c>
      <c r="BB98" s="188">
        <f t="shared" si="560"/>
        <v>687.39999999999986</v>
      </c>
      <c r="BC98" s="184">
        <f>BC99-SUM(BC95:BC97)</f>
        <v>24.700000000000045</v>
      </c>
      <c r="BD98" s="184">
        <f>BD99-SUM(BD95:BD97)</f>
        <v>670.30000000000018</v>
      </c>
      <c r="BE98" s="185">
        <f t="shared" si="561"/>
        <v>670.30000000000018</v>
      </c>
      <c r="BF98" s="184">
        <f>BF99-SUM(BF95:BF97)</f>
        <v>177.90000000000009</v>
      </c>
      <c r="BG98" s="184">
        <f>BG99-SUM(BG95:BG97)</f>
        <v>47.900000000000091</v>
      </c>
      <c r="BH98" s="185">
        <f t="shared" si="562"/>
        <v>47.900000000000091</v>
      </c>
      <c r="BI98" s="184">
        <f>BI99-SUM(BI95:BI97)</f>
        <v>463.2000000000005</v>
      </c>
      <c r="BJ98" s="184">
        <f>BJ99-SUM(BJ95:BJ97)</f>
        <v>73.200000000000728</v>
      </c>
      <c r="BK98" s="185">
        <f t="shared" si="563"/>
        <v>73.200000000000728</v>
      </c>
      <c r="BL98" s="184">
        <f>BL99-SUM(BL95:BL97)</f>
        <v>44.200000000000273</v>
      </c>
      <c r="BM98" s="188">
        <f t="shared" si="564"/>
        <v>44.200000000000273</v>
      </c>
      <c r="BN98" s="188">
        <f t="shared" si="565"/>
        <v>44.200000000000273</v>
      </c>
      <c r="BO98" s="188">
        <f t="shared" si="566"/>
        <v>44.200000000000273</v>
      </c>
      <c r="BP98" s="188">
        <f t="shared" si="567"/>
        <v>44.200000000000273</v>
      </c>
      <c r="BQ98" s="188">
        <f t="shared" si="568"/>
        <v>44.200000000000273</v>
      </c>
      <c r="BR98" s="188">
        <f t="shared" si="569"/>
        <v>44.200000000000273</v>
      </c>
      <c r="BS98" s="188">
        <f t="shared" si="570"/>
        <v>44.200000000000273</v>
      </c>
      <c r="BT98" s="188">
        <f t="shared" si="571"/>
        <v>44.200000000000273</v>
      </c>
      <c r="BU98" s="188">
        <f t="shared" si="572"/>
        <v>44.200000000000273</v>
      </c>
      <c r="BV98" s="188">
        <f t="shared" si="573"/>
        <v>44.200000000000273</v>
      </c>
      <c r="BW98" s="188">
        <f t="shared" si="574"/>
        <v>44.200000000000273</v>
      </c>
      <c r="BX98" s="188">
        <f t="shared" si="575"/>
        <v>44.200000000000273</v>
      </c>
      <c r="BY98" s="188">
        <f t="shared" si="576"/>
        <v>44.200000000000273</v>
      </c>
      <c r="BZ98" s="188">
        <f t="shared" si="577"/>
        <v>44.200000000000273</v>
      </c>
      <c r="CA98" s="188">
        <f t="shared" si="578"/>
        <v>44.200000000000273</v>
      </c>
      <c r="CB98" s="188">
        <f t="shared" si="579"/>
        <v>44.200000000000273</v>
      </c>
      <c r="CC98" s="188">
        <f t="shared" si="580"/>
        <v>44.200000000000273</v>
      </c>
      <c r="CD98" s="186"/>
      <c r="CE98" s="187"/>
      <c r="CF98" s="187"/>
      <c r="CG98" s="187"/>
      <c r="CH98" s="187"/>
      <c r="CI98" s="187"/>
      <c r="CJ98" s="187"/>
      <c r="CK98" s="188"/>
      <c r="CL98" s="192">
        <f>X98</f>
        <v>121.39999999999998</v>
      </c>
      <c r="CM98" s="188">
        <f>AA98</f>
        <v>36.4</v>
      </c>
      <c r="CN98" s="188">
        <f>AD98</f>
        <v>24.2</v>
      </c>
      <c r="CO98" s="188">
        <f>AG98</f>
        <v>31.8</v>
      </c>
      <c r="CP98" s="188">
        <f>AJ98</f>
        <v>16.599999999999998</v>
      </c>
      <c r="CQ98" s="188">
        <f>AM98</f>
        <v>42</v>
      </c>
      <c r="CR98" s="188">
        <f>AP98</f>
        <v>164.10000000000002</v>
      </c>
      <c r="CS98" s="188">
        <f>AS98</f>
        <v>321.40000000000003</v>
      </c>
      <c r="CT98" s="188">
        <f>AV98</f>
        <v>197.5</v>
      </c>
      <c r="CU98" s="188">
        <f>AY98</f>
        <v>138.90000000000009</v>
      </c>
      <c r="CV98" s="188">
        <f>BB98</f>
        <v>687.39999999999986</v>
      </c>
      <c r="CW98" s="188">
        <f>BE98</f>
        <v>670.30000000000018</v>
      </c>
      <c r="CX98" s="188">
        <f>BH98</f>
        <v>47.900000000000091</v>
      </c>
      <c r="CY98" s="188">
        <f>BK98</f>
        <v>73.200000000000728</v>
      </c>
      <c r="CZ98" s="188">
        <f>BN98</f>
        <v>44.200000000000273</v>
      </c>
      <c r="DA98" s="188">
        <f>BQ98</f>
        <v>44.200000000000273</v>
      </c>
      <c r="DB98" s="188">
        <f>BT98</f>
        <v>44.200000000000273</v>
      </c>
      <c r="DC98" s="188">
        <f>BW98</f>
        <v>44.200000000000273</v>
      </c>
      <c r="DD98" s="188">
        <f>BZ98</f>
        <v>44.200000000000273</v>
      </c>
      <c r="DE98" s="188">
        <f>CC98</f>
        <v>44.200000000000273</v>
      </c>
    </row>
    <row r="99" spans="1:137" ht="12.75" customHeight="1" thickBot="1">
      <c r="A99" s="79"/>
      <c r="B99" s="80" t="s">
        <v>104</v>
      </c>
      <c r="C99" s="79"/>
      <c r="D99" s="81"/>
      <c r="E99" s="81"/>
      <c r="F99" s="82"/>
      <c r="G99" s="82"/>
      <c r="H99" s="82"/>
      <c r="I99" s="82">
        <f t="shared" ref="I99:BK99" si="581">SUM(I95:I98)</f>
        <v>81.8</v>
      </c>
      <c r="J99" s="82">
        <f t="shared" si="581"/>
        <v>160.19999999999999</v>
      </c>
      <c r="K99" s="82">
        <f t="shared" si="581"/>
        <v>639.20000000000005</v>
      </c>
      <c r="L99" s="82">
        <f t="shared" si="581"/>
        <v>1312.4999999999998</v>
      </c>
      <c r="M99" s="82">
        <f t="shared" si="581"/>
        <v>854.09999999999991</v>
      </c>
      <c r="N99" s="82">
        <f t="shared" si="581"/>
        <v>799.3</v>
      </c>
      <c r="O99" s="82">
        <f t="shared" si="581"/>
        <v>799.3</v>
      </c>
      <c r="P99" s="82">
        <f t="shared" si="581"/>
        <v>1062.8999999999999</v>
      </c>
      <c r="Q99" s="82">
        <f t="shared" si="581"/>
        <v>1020.2000000000002</v>
      </c>
      <c r="R99" s="82">
        <f t="shared" si="581"/>
        <v>1020.2000000000002</v>
      </c>
      <c r="S99" s="82">
        <f t="shared" si="581"/>
        <v>728.19999999999993</v>
      </c>
      <c r="T99" s="82">
        <f t="shared" si="581"/>
        <v>682.8</v>
      </c>
      <c r="U99" s="82">
        <f t="shared" si="581"/>
        <v>682.8</v>
      </c>
      <c r="V99" s="82">
        <f t="shared" si="581"/>
        <v>642.1</v>
      </c>
      <c r="W99" s="82">
        <f t="shared" si="581"/>
        <v>790.80000000000007</v>
      </c>
      <c r="X99" s="82">
        <f t="shared" si="581"/>
        <v>790.80000000000007</v>
      </c>
      <c r="Y99" s="82">
        <f>SUM(Y95:Y98)</f>
        <v>928.5</v>
      </c>
      <c r="Z99" s="82">
        <f t="shared" si="581"/>
        <v>1177.3</v>
      </c>
      <c r="AA99" s="82">
        <f>+Z99</f>
        <v>1177.3</v>
      </c>
      <c r="AB99" s="82">
        <f>SUM(AB95:AB98)</f>
        <v>1158</v>
      </c>
      <c r="AC99" s="82">
        <f t="shared" si="581"/>
        <v>860.00000000000011</v>
      </c>
      <c r="AD99" s="82">
        <f>SUM(AD95:AD98)</f>
        <v>860.00000000000011</v>
      </c>
      <c r="AE99" s="82">
        <f t="shared" si="581"/>
        <v>864.09999999999889</v>
      </c>
      <c r="AF99" s="82">
        <f t="shared" si="581"/>
        <v>1487.3999999999999</v>
      </c>
      <c r="AG99" s="82">
        <f t="shared" si="581"/>
        <v>1487.3999999999999</v>
      </c>
      <c r="AH99" s="82">
        <f t="shared" si="581"/>
        <v>1570.7000000000003</v>
      </c>
      <c r="AI99" s="82">
        <f t="shared" si="581"/>
        <v>2443.7999999999997</v>
      </c>
      <c r="AJ99" s="82">
        <f t="shared" si="581"/>
        <v>2443.7999999999988</v>
      </c>
      <c r="AK99" s="82">
        <f t="shared" si="581"/>
        <v>2787.2999999999988</v>
      </c>
      <c r="AL99" s="82">
        <f t="shared" si="581"/>
        <v>3398.7999999999993</v>
      </c>
      <c r="AM99" s="82">
        <f t="shared" si="581"/>
        <v>3398.7999999999993</v>
      </c>
      <c r="AN99" s="82">
        <f t="shared" si="581"/>
        <v>3438.5999999999995</v>
      </c>
      <c r="AO99" s="82">
        <f t="shared" si="581"/>
        <v>3555.9999999999991</v>
      </c>
      <c r="AP99" s="82">
        <f t="shared" si="581"/>
        <v>3555.9999999999991</v>
      </c>
      <c r="AQ99" s="82">
        <f t="shared" si="581"/>
        <v>2881.5999999999995</v>
      </c>
      <c r="AR99" s="82">
        <f t="shared" si="581"/>
        <v>2473.9999999999995</v>
      </c>
      <c r="AS99" s="82">
        <f t="shared" si="581"/>
        <v>2473.9999999999991</v>
      </c>
      <c r="AT99" s="82">
        <v>2398.8000000000002</v>
      </c>
      <c r="AU99" s="82">
        <v>2805.8</v>
      </c>
      <c r="AV99" s="82">
        <f t="shared" si="581"/>
        <v>2805.8</v>
      </c>
      <c r="AW99" s="82">
        <v>1845.8</v>
      </c>
      <c r="AX99" s="82">
        <v>1625.7</v>
      </c>
      <c r="AY99" s="82">
        <f t="shared" si="581"/>
        <v>1625.7</v>
      </c>
      <c r="AZ99" s="82">
        <v>1553</v>
      </c>
      <c r="BA99" s="82">
        <v>2350.1999999999998</v>
      </c>
      <c r="BB99" s="82">
        <f t="shared" si="581"/>
        <v>2350.1999999999998</v>
      </c>
      <c r="BC99" s="82">
        <v>1782.5</v>
      </c>
      <c r="BD99" s="82">
        <v>2737.7</v>
      </c>
      <c r="BE99" s="82">
        <f t="shared" si="581"/>
        <v>2737.7</v>
      </c>
      <c r="BF99" s="82">
        <v>2169.5</v>
      </c>
      <c r="BG99" s="82">
        <v>2488.9</v>
      </c>
      <c r="BH99" s="82">
        <f t="shared" si="581"/>
        <v>2488.9</v>
      </c>
      <c r="BI99" s="82">
        <f>4486.1-2047.4</f>
        <v>2438.7000000000003</v>
      </c>
      <c r="BJ99" s="82">
        <f>6542.6-1948.2</f>
        <v>4594.4000000000005</v>
      </c>
      <c r="BK99" s="82">
        <f t="shared" si="581"/>
        <v>4594.4000000000005</v>
      </c>
      <c r="BL99" s="82">
        <f>4146.8-219.6</f>
        <v>3927.2000000000003</v>
      </c>
      <c r="BM99" s="82">
        <f t="shared" ref="BM99:BN99" ca="1" si="582">SUM(BM95:BM98)</f>
        <v>3462.7259052301024</v>
      </c>
      <c r="BN99" s="82">
        <f t="shared" ca="1" si="582"/>
        <v>3462.7259052301024</v>
      </c>
      <c r="BO99" s="82">
        <f t="shared" ref="BO99:BQ99" ca="1" si="583">SUM(BO95:BO98)</f>
        <v>2884.7987365894146</v>
      </c>
      <c r="BP99" s="82">
        <f t="shared" ca="1" si="583"/>
        <v>2656.0161823965705</v>
      </c>
      <c r="BQ99" s="82">
        <f t="shared" ca="1" si="583"/>
        <v>2656.0161823965705</v>
      </c>
      <c r="BR99" s="82">
        <f t="shared" ref="BR99:BT99" ca="1" si="584">SUM(BR95:BR98)</f>
        <v>2748.4046035426354</v>
      </c>
      <c r="BS99" s="82">
        <f t="shared" ca="1" si="584"/>
        <v>2988.6704927472697</v>
      </c>
      <c r="BT99" s="82">
        <f t="shared" ca="1" si="584"/>
        <v>2988.6704927472697</v>
      </c>
      <c r="BU99" s="82">
        <f t="shared" ref="BU99:BZ99" ca="1" si="585">SUM(BU95:BU98)</f>
        <v>3354.2734376432199</v>
      </c>
      <c r="BV99" s="82">
        <f t="shared" ca="1" si="585"/>
        <v>3742.64558518579</v>
      </c>
      <c r="BW99" s="82">
        <f t="shared" ca="1" si="585"/>
        <v>3742.64558518579</v>
      </c>
      <c r="BX99" s="82">
        <f t="shared" ca="1" si="585"/>
        <v>4217.0810815883742</v>
      </c>
      <c r="BY99" s="82">
        <f t="shared" ca="1" si="585"/>
        <v>4705.3619248732375</v>
      </c>
      <c r="BZ99" s="82">
        <f t="shared" ca="1" si="585"/>
        <v>4705.3619248732375</v>
      </c>
      <c r="CA99" s="82">
        <f t="shared" ref="CA99:CC99" ca="1" si="586">SUM(CA95:CA98)</f>
        <v>5294.9661130608547</v>
      </c>
      <c r="CB99" s="82">
        <f t="shared" ca="1" si="586"/>
        <v>5902.8397282790083</v>
      </c>
      <c r="CC99" s="82">
        <f t="shared" ca="1" si="586"/>
        <v>5902.8397282790083</v>
      </c>
      <c r="CD99" s="134"/>
      <c r="CE99" s="187"/>
      <c r="CF99" s="187"/>
      <c r="CG99" s="187"/>
      <c r="CH99" s="187"/>
      <c r="CI99" s="187"/>
      <c r="CJ99" s="187"/>
      <c r="CK99" s="188"/>
      <c r="CL99" s="85">
        <f>X99</f>
        <v>790.80000000000007</v>
      </c>
      <c r="CM99" s="82">
        <f>AA99</f>
        <v>1177.3</v>
      </c>
      <c r="CN99" s="82">
        <f>AD99</f>
        <v>860.00000000000011</v>
      </c>
      <c r="CO99" s="82">
        <f>AG99</f>
        <v>1487.3999999999999</v>
      </c>
      <c r="CP99" s="82">
        <f>AJ99</f>
        <v>2443.7999999999988</v>
      </c>
      <c r="CQ99" s="82">
        <f>AM99</f>
        <v>3398.7999999999993</v>
      </c>
      <c r="CR99" s="82">
        <f>AP99</f>
        <v>3555.9999999999991</v>
      </c>
      <c r="CS99" s="82">
        <f>AS99</f>
        <v>2473.9999999999991</v>
      </c>
      <c r="CT99" s="82">
        <f>AV99</f>
        <v>2805.8</v>
      </c>
      <c r="CU99" s="82">
        <f>AY99</f>
        <v>1625.7</v>
      </c>
      <c r="CV99" s="82">
        <f>BB99</f>
        <v>2350.1999999999998</v>
      </c>
      <c r="CW99" s="82">
        <f>BE99</f>
        <v>2737.7</v>
      </c>
      <c r="CX99" s="82">
        <f>BH99</f>
        <v>2488.9</v>
      </c>
      <c r="CY99" s="82">
        <f>BK99</f>
        <v>4594.4000000000005</v>
      </c>
      <c r="CZ99" s="82">
        <f ca="1">BN99</f>
        <v>3462.7259052301024</v>
      </c>
      <c r="DA99" s="82">
        <f ca="1">BQ99</f>
        <v>2656.0161823965705</v>
      </c>
      <c r="DB99" s="82">
        <f ca="1">BT99</f>
        <v>2988.6704927472697</v>
      </c>
      <c r="DC99" s="82">
        <f ca="1">BW99</f>
        <v>3742.64558518579</v>
      </c>
      <c r="DD99" s="82">
        <f ca="1">BZ99</f>
        <v>4705.3619248732375</v>
      </c>
      <c r="DE99" s="82">
        <f ca="1">CC99</f>
        <v>5902.8397282790083</v>
      </c>
    </row>
    <row r="100" spans="1:137" ht="12.75" customHeight="1" thickTop="1">
      <c r="A100" s="1"/>
      <c r="B100" s="112"/>
      <c r="C100" s="180"/>
      <c r="D100" s="1"/>
      <c r="E100" s="1"/>
      <c r="F100" s="188"/>
      <c r="G100" s="188"/>
      <c r="H100" s="188"/>
      <c r="I100" s="188"/>
      <c r="J100" s="188"/>
      <c r="K100" s="188"/>
      <c r="L100" s="188"/>
      <c r="M100" s="188"/>
      <c r="N100" s="188"/>
      <c r="O100" s="188"/>
      <c r="P100" s="188"/>
      <c r="Q100" s="188"/>
      <c r="R100" s="188"/>
      <c r="S100" s="188"/>
      <c r="T100" s="188"/>
      <c r="U100" s="188"/>
      <c r="V100" s="188"/>
      <c r="W100" s="188"/>
      <c r="X100" s="188"/>
      <c r="Y100" s="187"/>
      <c r="Z100" s="187"/>
      <c r="AA100" s="187"/>
      <c r="AB100" s="187"/>
      <c r="AC100" s="187"/>
      <c r="AD100" s="188"/>
      <c r="AE100" s="188"/>
      <c r="AF100" s="188"/>
      <c r="AG100" s="188"/>
      <c r="AH100" s="188"/>
      <c r="AI100" s="188"/>
      <c r="AJ100" s="188"/>
      <c r="AK100" s="188"/>
      <c r="AL100" s="188"/>
      <c r="AM100" s="188"/>
      <c r="AN100" s="188"/>
      <c r="AO100" s="188"/>
      <c r="AP100" s="188"/>
      <c r="AQ100" s="188"/>
      <c r="AR100" s="188"/>
      <c r="AS100" s="188"/>
      <c r="AT100" s="188"/>
      <c r="AU100" s="188"/>
      <c r="AV100" s="188"/>
      <c r="AW100" s="188"/>
      <c r="AX100" s="188"/>
      <c r="AY100" s="188"/>
      <c r="AZ100" s="188"/>
      <c r="BA100" s="188"/>
      <c r="BB100" s="188"/>
      <c r="BC100" s="188"/>
      <c r="BD100" s="188"/>
      <c r="BE100" s="188"/>
      <c r="BF100" s="188"/>
      <c r="BG100" s="188"/>
      <c r="BH100" s="188"/>
      <c r="BI100" s="188"/>
      <c r="BJ100" s="188"/>
      <c r="BK100" s="188"/>
      <c r="BL100" s="188"/>
      <c r="BM100" s="188"/>
      <c r="BN100" s="188"/>
      <c r="BO100" s="188"/>
      <c r="BP100" s="188"/>
      <c r="BQ100" s="188"/>
      <c r="BR100" s="188"/>
      <c r="BS100" s="188"/>
      <c r="BT100" s="188"/>
      <c r="BU100" s="188"/>
      <c r="BV100" s="188"/>
      <c r="BW100" s="188"/>
      <c r="BX100" s="188"/>
      <c r="BY100" s="188"/>
      <c r="BZ100" s="188"/>
      <c r="CA100" s="188"/>
      <c r="CB100" s="188"/>
      <c r="CC100" s="188"/>
      <c r="CD100" s="186"/>
      <c r="CE100" s="187"/>
      <c r="CF100" s="187"/>
      <c r="CG100" s="187"/>
      <c r="CH100" s="187"/>
      <c r="CI100" s="187"/>
      <c r="CJ100" s="187"/>
      <c r="CK100" s="188"/>
      <c r="CL100" s="192"/>
      <c r="CM100" s="188"/>
      <c r="CN100" s="188"/>
      <c r="CO100" s="188"/>
      <c r="CP100" s="188"/>
      <c r="CQ100" s="188"/>
      <c r="CR100" s="188"/>
      <c r="CS100" s="188"/>
      <c r="CT100" s="188"/>
      <c r="CU100" s="188"/>
      <c r="CV100" s="188"/>
      <c r="CW100" s="188"/>
      <c r="CX100" s="188"/>
      <c r="CY100" s="188"/>
      <c r="CZ100" s="188"/>
      <c r="DA100" s="188"/>
      <c r="DB100" s="188"/>
      <c r="DC100" s="188"/>
      <c r="DD100" s="188"/>
      <c r="DE100" s="188"/>
    </row>
    <row r="101" spans="1:137" ht="12.75" customHeight="1">
      <c r="A101" s="1"/>
      <c r="B101" s="154" t="s">
        <v>105</v>
      </c>
      <c r="C101" s="193"/>
      <c r="D101" s="1"/>
      <c r="E101" s="1"/>
      <c r="F101" s="188"/>
      <c r="G101" s="188"/>
      <c r="H101" s="188"/>
      <c r="I101" s="188"/>
      <c r="J101" s="188"/>
      <c r="K101" s="188"/>
      <c r="L101" s="188"/>
      <c r="M101" s="188"/>
      <c r="N101" s="188"/>
      <c r="O101" s="188"/>
      <c r="P101" s="188"/>
      <c r="Q101" s="188"/>
      <c r="R101" s="188"/>
      <c r="S101" s="188"/>
      <c r="T101" s="188"/>
      <c r="U101" s="188"/>
      <c r="V101" s="188"/>
      <c r="W101" s="188"/>
      <c r="X101" s="188"/>
      <c r="Y101" s="187"/>
      <c r="Z101" s="187"/>
      <c r="AA101" s="187"/>
      <c r="AB101" s="194"/>
      <c r="AC101" s="187"/>
      <c r="AD101" s="188"/>
      <c r="AE101" s="188"/>
      <c r="AF101" s="188"/>
      <c r="AG101" s="188"/>
      <c r="AH101" s="188"/>
      <c r="AI101" s="188"/>
      <c r="AJ101" s="188"/>
      <c r="AK101" s="188"/>
      <c r="AL101" s="188"/>
      <c r="AM101" s="188"/>
      <c r="AN101" s="188"/>
      <c r="AO101" s="188"/>
      <c r="AP101" s="188"/>
      <c r="AQ101" s="188"/>
      <c r="AR101" s="188"/>
      <c r="AS101" s="188"/>
      <c r="AT101" s="188"/>
      <c r="AU101" s="188"/>
      <c r="AV101" s="188"/>
      <c r="AW101" s="188"/>
      <c r="AX101" s="188"/>
      <c r="AY101" s="188"/>
      <c r="AZ101" s="188"/>
      <c r="BA101" s="188"/>
      <c r="BB101" s="188"/>
      <c r="BC101" s="188"/>
      <c r="BD101" s="188"/>
      <c r="BE101" s="188"/>
      <c r="BF101" s="188"/>
      <c r="BG101" s="188"/>
      <c r="BH101" s="188"/>
      <c r="BI101" s="188"/>
      <c r="BJ101" s="188"/>
      <c r="BK101" s="188"/>
      <c r="BL101" s="188"/>
      <c r="BM101" s="188"/>
      <c r="BN101" s="188"/>
      <c r="BO101" s="188"/>
      <c r="BP101" s="188"/>
      <c r="BQ101" s="188"/>
      <c r="BR101" s="188"/>
      <c r="BS101" s="188"/>
      <c r="BT101" s="188"/>
      <c r="BU101" s="188"/>
      <c r="BV101" s="188"/>
      <c r="BW101" s="188"/>
      <c r="BX101" s="188"/>
      <c r="BY101" s="188"/>
      <c r="BZ101" s="188"/>
      <c r="CA101" s="188"/>
      <c r="CB101" s="188"/>
      <c r="CC101" s="188"/>
      <c r="CD101" s="186"/>
      <c r="CE101" s="187"/>
      <c r="CF101" s="187"/>
      <c r="CG101" s="187"/>
      <c r="CH101" s="187"/>
      <c r="CI101" s="187"/>
      <c r="CJ101" s="187"/>
      <c r="CK101" s="188"/>
      <c r="CL101" s="192"/>
      <c r="CM101" s="188"/>
      <c r="CN101" s="188"/>
      <c r="CO101" s="188"/>
      <c r="CP101" s="188"/>
      <c r="CQ101" s="188"/>
      <c r="CR101" s="188"/>
      <c r="CS101" s="188"/>
      <c r="CT101" s="188"/>
      <c r="CU101" s="188"/>
      <c r="CV101" s="188"/>
      <c r="CW101" s="188"/>
      <c r="CX101" s="188"/>
      <c r="CY101" s="188"/>
      <c r="CZ101" s="188"/>
      <c r="DA101" s="188"/>
      <c r="DB101" s="188"/>
      <c r="DC101" s="188"/>
      <c r="DD101" s="188"/>
      <c r="DE101" s="188"/>
    </row>
    <row r="102" spans="1:137" ht="12.75" customHeight="1">
      <c r="A102" s="1"/>
      <c r="B102" s="112" t="s">
        <v>106</v>
      </c>
      <c r="C102" s="180"/>
      <c r="D102" s="181"/>
      <c r="E102" s="181"/>
      <c r="F102" s="182"/>
      <c r="G102" s="182"/>
      <c r="H102" s="182"/>
      <c r="I102" s="182"/>
      <c r="J102" s="182"/>
      <c r="K102" s="182"/>
      <c r="L102" s="183">
        <v>2860.5</v>
      </c>
      <c r="M102" s="183">
        <v>2860.5</v>
      </c>
      <c r="N102" s="183">
        <v>2547.1999999999998</v>
      </c>
      <c r="O102" s="183">
        <f t="shared" ref="O102:O107" si="587">N102</f>
        <v>2547.1999999999998</v>
      </c>
      <c r="P102" s="183">
        <v>2401.8000000000002</v>
      </c>
      <c r="Q102" s="183">
        <v>2295.6</v>
      </c>
      <c r="R102" s="183">
        <f t="shared" ref="R102:R107" si="588">Q102</f>
        <v>2295.6</v>
      </c>
      <c r="S102" s="183">
        <v>2249.8000000000002</v>
      </c>
      <c r="T102" s="183">
        <v>2408.5</v>
      </c>
      <c r="U102" s="183">
        <f t="shared" ref="U102:U107" si="589">T102</f>
        <v>2408.5</v>
      </c>
      <c r="V102" s="183">
        <v>2421.5</v>
      </c>
      <c r="W102" s="183">
        <v>2259</v>
      </c>
      <c r="X102" s="183">
        <f>W102</f>
        <v>2259</v>
      </c>
      <c r="Y102" s="183">
        <v>2136.9</v>
      </c>
      <c r="Z102" s="183">
        <v>2090.4</v>
      </c>
      <c r="AA102" s="183">
        <f t="shared" ref="AA102:AA107" si="590">+Z102</f>
        <v>2090.4</v>
      </c>
      <c r="AB102" s="183">
        <v>2169.5</v>
      </c>
      <c r="AC102" s="183">
        <v>2190.6999999999998</v>
      </c>
      <c r="AD102" s="184">
        <f>AC102</f>
        <v>2190.6999999999998</v>
      </c>
      <c r="AE102" s="184">
        <f>2697-AE104</f>
        <v>2348.9</v>
      </c>
      <c r="AF102" s="184">
        <f>2906-AF104</f>
        <v>2709.6</v>
      </c>
      <c r="AG102" s="184">
        <f>AF102</f>
        <v>2709.6</v>
      </c>
      <c r="AH102" s="182">
        <f>3208.3-AH104</f>
        <v>3030.7000000000003</v>
      </c>
      <c r="AI102" s="182">
        <f>2720.7-AI104</f>
        <v>2552.5</v>
      </c>
      <c r="AJ102" s="182">
        <f>AI102</f>
        <v>2552.5</v>
      </c>
      <c r="AK102" s="182">
        <f>2551.9+213-AK104</f>
        <v>2586.3000000000002</v>
      </c>
      <c r="AL102" s="182">
        <f>2010.2-AL104</f>
        <v>1833.8</v>
      </c>
      <c r="AM102" s="182">
        <f>AL102</f>
        <v>1833.8</v>
      </c>
      <c r="AN102" s="182">
        <f>1917.7-AN104</f>
        <v>1613.0500000000002</v>
      </c>
      <c r="AO102" s="182">
        <f>1774.6-AO104</f>
        <v>1624.3</v>
      </c>
      <c r="AP102" s="182">
        <f>AO102</f>
        <v>1624.3</v>
      </c>
      <c r="AQ102" s="182">
        <v>1811.8</v>
      </c>
      <c r="AR102" s="182">
        <f>1897.1-AR104</f>
        <v>1756.3999999999999</v>
      </c>
      <c r="AS102" s="184">
        <f>AR102</f>
        <v>1756.3999999999999</v>
      </c>
      <c r="AT102" s="184">
        <f>1994.1-AT104</f>
        <v>1559.3999999999999</v>
      </c>
      <c r="AU102" s="184">
        <v>1901.2</v>
      </c>
      <c r="AV102" s="184">
        <f t="shared" ref="AV102:AV107" si="591">AU102</f>
        <v>1901.2</v>
      </c>
      <c r="AW102" s="185">
        <v>1825.4</v>
      </c>
      <c r="AX102" s="185">
        <v>1851.2</v>
      </c>
      <c r="AY102" s="188">
        <f t="shared" ref="AY102:AY107" si="592">AX102</f>
        <v>1851.2</v>
      </c>
      <c r="AZ102" s="185">
        <v>1765.5</v>
      </c>
      <c r="BA102" s="182">
        <v>1423.7</v>
      </c>
      <c r="BB102" s="188">
        <f t="shared" ref="BB102:BB107" si="593">BA102</f>
        <v>1423.7</v>
      </c>
      <c r="BC102" s="182">
        <v>1594.1</v>
      </c>
      <c r="BD102" s="182">
        <v>1644.8</v>
      </c>
      <c r="BE102" s="185">
        <f t="shared" ref="BE102:BE107" si="594">BD102</f>
        <v>1644.8</v>
      </c>
      <c r="BF102" s="182">
        <v>1644.8</v>
      </c>
      <c r="BG102" s="182">
        <v>1778.3</v>
      </c>
      <c r="BH102" s="188">
        <f>BG102</f>
        <v>1778.3</v>
      </c>
      <c r="BI102" s="182">
        <f>4520.4+2047.4</f>
        <v>6567.7999999999993</v>
      </c>
      <c r="BJ102" s="182">
        <f>4843.7+1948.2</f>
        <v>6791.9</v>
      </c>
      <c r="BK102" s="185">
        <f t="shared" ref="BK102:BK107" si="595">BJ102</f>
        <v>6791.9</v>
      </c>
      <c r="BL102" s="182">
        <f>5382.4+219.6</f>
        <v>5602</v>
      </c>
      <c r="BM102" s="185">
        <f>BL102-BM68-BM152+BM21+Debt!AT15-Debt!AT20+BM47-BM61</f>
        <v>5682.40410476951</v>
      </c>
      <c r="BN102" s="188">
        <f t="shared" ref="BN102:BN107" si="596">BM102</f>
        <v>5682.40410476951</v>
      </c>
      <c r="BO102" s="185">
        <f>BN102-BO68-BO152+BO21+Debt!AV15-Debt!AV20+BO47-BO61</f>
        <v>5751.8311740315939</v>
      </c>
      <c r="BP102" s="185">
        <f>BO102-BP68-BP152+BP21+Debt!AW15-Debt!AW20+BP47-BP61</f>
        <v>5821.3409942320768</v>
      </c>
      <c r="BQ102" s="188">
        <f t="shared" ref="BQ102:BQ107" si="597">BP102</f>
        <v>5821.3409942320768</v>
      </c>
      <c r="BR102" s="185">
        <f>BQ102-BR68-BR152+BR21+Debt!AY15-Debt!AY20+BR47-BR61</f>
        <v>5877.747930528265</v>
      </c>
      <c r="BS102" s="185">
        <f>BR102-BS68-BS152+BS21+Debt!AZ15-Debt!AZ20+BS47-BS61</f>
        <v>5934.0544469995921</v>
      </c>
      <c r="BT102" s="188">
        <f t="shared" ref="BT102:BT107" si="598">BS102</f>
        <v>5934.0544469995921</v>
      </c>
      <c r="BU102" s="185">
        <f>BT102-BU68-BU152+BU21+Debt!BB15-Debt!BB20+BU47-BU61</f>
        <v>5991.3653958578388</v>
      </c>
      <c r="BV102" s="185">
        <f>BU102-BV68-BV152+BV21+Debt!BC15-Debt!BC20+BV47-BV61</f>
        <v>6048.565455455243</v>
      </c>
      <c r="BW102" s="188">
        <f t="shared" ref="BW102:BW107" si="599">BV102</f>
        <v>6048.565455455243</v>
      </c>
      <c r="BX102" s="185">
        <f>BW102-BX68-BX152+BX21+Debt!BE15-Debt!BE20+BX47-BX61</f>
        <v>6106.7769926874753</v>
      </c>
      <c r="BY102" s="185">
        <f>BX102-BY68-BY152+BY21+Debt!BF15-Debt!BF20+BY47-BY61</f>
        <v>6164.8662299912221</v>
      </c>
      <c r="BZ102" s="188">
        <f t="shared" ref="BZ102:BZ107" si="600">BY102</f>
        <v>6164.8662299912221</v>
      </c>
      <c r="CA102" s="185">
        <f>BZ102-CA68-CA152+CA21+Debt!BH15-Debt!BH20+CA47-CA61</f>
        <v>6234.5411812755601</v>
      </c>
      <c r="CB102" s="185">
        <f>CA102-CB68-CB152+CB21+Debt!BI15-Debt!BI20+CB47-CB61</f>
        <v>6304.4136495446419</v>
      </c>
      <c r="CC102" s="188">
        <f t="shared" ref="CC102:CC107" si="601">CB102</f>
        <v>6304.4136495446419</v>
      </c>
      <c r="CD102" s="195"/>
      <c r="CE102" s="196"/>
      <c r="CF102" s="196"/>
      <c r="CG102" s="187"/>
      <c r="CH102" s="187"/>
      <c r="CI102" s="187"/>
      <c r="CJ102" s="187"/>
      <c r="CK102" s="188"/>
      <c r="CL102" s="192">
        <f t="shared" ref="CL102:CL108" si="602">X102</f>
        <v>2259</v>
      </c>
      <c r="CM102" s="188">
        <f t="shared" ref="CM102:CM108" si="603">AA102</f>
        <v>2090.4</v>
      </c>
      <c r="CN102" s="188">
        <f t="shared" ref="CN102:CN108" si="604">AD102</f>
        <v>2190.6999999999998</v>
      </c>
      <c r="CO102" s="188">
        <f t="shared" ref="CO102:CO108" si="605">AG102</f>
        <v>2709.6</v>
      </c>
      <c r="CP102" s="188">
        <f t="shared" ref="CP102:CP108" si="606">AJ102</f>
        <v>2552.5</v>
      </c>
      <c r="CQ102" s="188">
        <f t="shared" ref="CQ102:CQ108" si="607">AM102</f>
        <v>1833.8</v>
      </c>
      <c r="CR102" s="188">
        <f t="shared" ref="CR102:CR108" si="608">AP102</f>
        <v>1624.3</v>
      </c>
      <c r="CS102" s="188">
        <f t="shared" ref="CS102:CS108" si="609">AS102</f>
        <v>1756.3999999999999</v>
      </c>
      <c r="CT102" s="188">
        <f t="shared" ref="CT102:CT108" si="610">AV102</f>
        <v>1901.2</v>
      </c>
      <c r="CU102" s="188">
        <f t="shared" ref="CU102:CU108" si="611">AY102</f>
        <v>1851.2</v>
      </c>
      <c r="CV102" s="188">
        <f t="shared" ref="CV102:CV108" si="612">BB102</f>
        <v>1423.7</v>
      </c>
      <c r="CW102" s="188">
        <f t="shared" ref="CW102:CW108" si="613">BE102</f>
        <v>1644.8</v>
      </c>
      <c r="CX102" s="188">
        <f t="shared" ref="CX102:CX108" si="614">BH102</f>
        <v>1778.3</v>
      </c>
      <c r="CY102" s="188">
        <f t="shared" ref="CY102:CY108" si="615">BK102</f>
        <v>6791.9</v>
      </c>
      <c r="CZ102" s="188">
        <f t="shared" ref="CZ102:CZ108" si="616">BN102</f>
        <v>5682.40410476951</v>
      </c>
      <c r="DA102" s="188">
        <f t="shared" ref="DA102:DA108" si="617">BQ102</f>
        <v>5821.3409942320768</v>
      </c>
      <c r="DB102" s="188">
        <f t="shared" ref="DB102:DB108" si="618">BT102</f>
        <v>5934.0544469995921</v>
      </c>
      <c r="DC102" s="188">
        <f t="shared" ref="DC102:DC108" si="619">BW102</f>
        <v>6048.565455455243</v>
      </c>
      <c r="DD102" s="188">
        <f t="shared" ref="DD102:DD108" si="620">BZ102</f>
        <v>6164.8662299912221</v>
      </c>
      <c r="DE102" s="188">
        <f t="shared" ref="DE102:DE108" si="621">CC102</f>
        <v>6304.4136495446419</v>
      </c>
    </row>
    <row r="103" spans="1:137" ht="12.75" customHeight="1">
      <c r="A103" s="1"/>
      <c r="B103" s="112" t="s">
        <v>107</v>
      </c>
      <c r="C103" s="180"/>
      <c r="D103" s="181"/>
      <c r="E103" s="181"/>
      <c r="F103" s="182"/>
      <c r="G103" s="182"/>
      <c r="H103" s="182"/>
      <c r="I103" s="182"/>
      <c r="J103" s="182"/>
      <c r="K103" s="182"/>
      <c r="L103" s="183">
        <v>34.200000000000003</v>
      </c>
      <c r="M103" s="183">
        <v>39.799999999999997</v>
      </c>
      <c r="N103" s="183">
        <v>35.5</v>
      </c>
      <c r="O103" s="183">
        <f t="shared" si="587"/>
        <v>35.5</v>
      </c>
      <c r="P103" s="183">
        <v>119.4</v>
      </c>
      <c r="Q103" s="183">
        <v>181.9</v>
      </c>
      <c r="R103" s="183">
        <f t="shared" si="588"/>
        <v>181.9</v>
      </c>
      <c r="S103" s="183">
        <v>158.6</v>
      </c>
      <c r="T103" s="183">
        <f>268.7</f>
        <v>268.7</v>
      </c>
      <c r="U103" s="183">
        <f t="shared" si="589"/>
        <v>268.7</v>
      </c>
      <c r="V103" s="183">
        <v>553.1</v>
      </c>
      <c r="W103" s="183">
        <f>601</f>
        <v>601</v>
      </c>
      <c r="X103" s="183">
        <f>W103</f>
        <v>601</v>
      </c>
      <c r="Y103" s="183">
        <f>694.4+400</f>
        <v>1094.4000000000001</v>
      </c>
      <c r="Z103" s="183">
        <f>792.7+600</f>
        <v>1392.7</v>
      </c>
      <c r="AA103" s="183">
        <f t="shared" si="590"/>
        <v>1392.7</v>
      </c>
      <c r="AB103" s="183">
        <f>888.4+1150</f>
        <v>2038.4</v>
      </c>
      <c r="AC103" s="183">
        <f>1009+1150</f>
        <v>2159</v>
      </c>
      <c r="AD103" s="182">
        <f>AC103</f>
        <v>2159</v>
      </c>
      <c r="AE103" s="184">
        <f>1266.8+1150</f>
        <v>2416.8000000000002</v>
      </c>
      <c r="AF103" s="184">
        <f>1067.4+1150</f>
        <v>2217.4</v>
      </c>
      <c r="AG103" s="184">
        <f>AF103</f>
        <v>2217.4</v>
      </c>
      <c r="AH103" s="182">
        <f>937.8+1150</f>
        <v>2087.8000000000002</v>
      </c>
      <c r="AI103" s="182">
        <v>688.8</v>
      </c>
      <c r="AJ103" s="182">
        <f>AI103</f>
        <v>688.8</v>
      </c>
      <c r="AK103" s="182">
        <v>709.9</v>
      </c>
      <c r="AL103" s="182">
        <v>525.79999999999995</v>
      </c>
      <c r="AM103" s="182">
        <f>AL103</f>
        <v>525.79999999999995</v>
      </c>
      <c r="AN103" s="182">
        <v>536.29999999999995</v>
      </c>
      <c r="AO103" s="182">
        <v>437.5</v>
      </c>
      <c r="AP103" s="182">
        <f t="shared" ref="AP103:AP107" si="622">AO103</f>
        <v>437.5</v>
      </c>
      <c r="AQ103" s="182">
        <v>721.7</v>
      </c>
      <c r="AR103" s="182">
        <v>761.1</v>
      </c>
      <c r="AS103" s="182">
        <f>AR103</f>
        <v>761.1</v>
      </c>
      <c r="AT103" s="182">
        <v>670.9</v>
      </c>
      <c r="AU103" s="182">
        <v>636.1</v>
      </c>
      <c r="AV103" s="182">
        <f t="shared" si="591"/>
        <v>636.1</v>
      </c>
      <c r="AW103" s="185">
        <v>900</v>
      </c>
      <c r="AX103" s="185">
        <v>1192.7</v>
      </c>
      <c r="AY103" s="185">
        <f t="shared" si="592"/>
        <v>1192.7</v>
      </c>
      <c r="AZ103" s="185">
        <v>1356</v>
      </c>
      <c r="BA103" s="182">
        <v>1727.1</v>
      </c>
      <c r="BB103" s="185">
        <f t="shared" si="593"/>
        <v>1727.1</v>
      </c>
      <c r="BC103" s="182">
        <v>1658.5</v>
      </c>
      <c r="BD103" s="182">
        <v>1781.3</v>
      </c>
      <c r="BE103" s="185">
        <f t="shared" si="594"/>
        <v>1781.3</v>
      </c>
      <c r="BF103" s="182">
        <v>2048.1</v>
      </c>
      <c r="BG103" s="182">
        <v>1924.5</v>
      </c>
      <c r="BH103" s="188">
        <f t="shared" ref="BH103:BH107" si="623">BG103</f>
        <v>1924.5</v>
      </c>
      <c r="BI103" s="182">
        <v>2026.5</v>
      </c>
      <c r="BJ103" s="182">
        <v>2062.3000000000002</v>
      </c>
      <c r="BK103" s="185">
        <f t="shared" si="595"/>
        <v>2062.3000000000002</v>
      </c>
      <c r="BL103" s="182">
        <v>1776.9</v>
      </c>
      <c r="BM103" s="185">
        <f>BL103+Debt!AT17</f>
        <v>1776.9</v>
      </c>
      <c r="BN103" s="185">
        <f t="shared" si="596"/>
        <v>1776.9</v>
      </c>
      <c r="BO103" s="185">
        <f>BN103+Debt!AV17</f>
        <v>1776.9</v>
      </c>
      <c r="BP103" s="185">
        <f>BO103+Debt!AW17</f>
        <v>1776.9</v>
      </c>
      <c r="BQ103" s="185">
        <f t="shared" si="597"/>
        <v>1776.9</v>
      </c>
      <c r="BR103" s="185">
        <f>BQ103+Debt!AY17</f>
        <v>1776.9</v>
      </c>
      <c r="BS103" s="185">
        <f>BR103+Debt!AZ17</f>
        <v>1776.9</v>
      </c>
      <c r="BT103" s="185">
        <f t="shared" si="598"/>
        <v>1776.9</v>
      </c>
      <c r="BU103" s="185">
        <f>BT103+Debt!BB17</f>
        <v>1776.9</v>
      </c>
      <c r="BV103" s="185">
        <f>BU103+Debt!BC17</f>
        <v>1776.9</v>
      </c>
      <c r="BW103" s="185">
        <f t="shared" si="599"/>
        <v>1776.9</v>
      </c>
      <c r="BX103" s="185">
        <f>BW103+Debt!BE17</f>
        <v>1776.9</v>
      </c>
      <c r="BY103" s="185">
        <f>BX103+Debt!BF17</f>
        <v>1776.9</v>
      </c>
      <c r="BZ103" s="185">
        <f t="shared" si="600"/>
        <v>1776.9</v>
      </c>
      <c r="CA103" s="185">
        <f>BZ103+Debt!BH17</f>
        <v>1776.9</v>
      </c>
      <c r="CB103" s="185">
        <f>CA103+Debt!BI17</f>
        <v>1776.9</v>
      </c>
      <c r="CC103" s="185">
        <f t="shared" si="601"/>
        <v>1776.9</v>
      </c>
      <c r="CD103" s="195"/>
      <c r="CE103" s="196"/>
      <c r="CF103" s="196"/>
      <c r="CG103" s="187"/>
      <c r="CH103" s="187"/>
      <c r="CI103" s="187"/>
      <c r="CJ103" s="187"/>
      <c r="CK103" s="188"/>
      <c r="CL103" s="192">
        <f>X103</f>
        <v>601</v>
      </c>
      <c r="CM103" s="188">
        <f>AA103</f>
        <v>1392.7</v>
      </c>
      <c r="CN103" s="188">
        <f>AD103</f>
        <v>2159</v>
      </c>
      <c r="CO103" s="188">
        <f>AG103</f>
        <v>2217.4</v>
      </c>
      <c r="CP103" s="188">
        <f>AJ103</f>
        <v>688.8</v>
      </c>
      <c r="CQ103" s="188">
        <f>AM103</f>
        <v>525.79999999999995</v>
      </c>
      <c r="CR103" s="188">
        <f>AP103</f>
        <v>437.5</v>
      </c>
      <c r="CS103" s="188">
        <f>AS103</f>
        <v>761.1</v>
      </c>
      <c r="CT103" s="188">
        <f>AV103</f>
        <v>636.1</v>
      </c>
      <c r="CU103" s="188">
        <f t="shared" si="611"/>
        <v>1192.7</v>
      </c>
      <c r="CV103" s="188">
        <f t="shared" si="612"/>
        <v>1727.1</v>
      </c>
      <c r="CW103" s="188">
        <f t="shared" si="613"/>
        <v>1781.3</v>
      </c>
      <c r="CX103" s="188">
        <f t="shared" si="614"/>
        <v>1924.5</v>
      </c>
      <c r="CY103" s="188">
        <f t="shared" si="615"/>
        <v>2062.3000000000002</v>
      </c>
      <c r="CZ103" s="188">
        <f t="shared" si="616"/>
        <v>1776.9</v>
      </c>
      <c r="DA103" s="188">
        <f t="shared" si="617"/>
        <v>1776.9</v>
      </c>
      <c r="DB103" s="188">
        <f t="shared" si="618"/>
        <v>1776.9</v>
      </c>
      <c r="DC103" s="188">
        <f t="shared" si="619"/>
        <v>1776.9</v>
      </c>
      <c r="DD103" s="188">
        <f t="shared" si="620"/>
        <v>1776.9</v>
      </c>
      <c r="DE103" s="188">
        <f t="shared" si="621"/>
        <v>1776.9</v>
      </c>
    </row>
    <row r="104" spans="1:137" ht="12.75" customHeight="1">
      <c r="A104" s="1"/>
      <c r="B104" s="112" t="s">
        <v>108</v>
      </c>
      <c r="C104" s="180"/>
      <c r="D104" s="190"/>
      <c r="E104" s="190"/>
      <c r="F104" s="184"/>
      <c r="G104" s="184"/>
      <c r="H104" s="184"/>
      <c r="I104" s="184"/>
      <c r="J104" s="184"/>
      <c r="K104" s="184"/>
      <c r="L104" s="191">
        <f>111.3+962.5+329.5</f>
        <v>1403.3</v>
      </c>
      <c r="M104" s="191">
        <f>111.3+962.5</f>
        <v>1073.8</v>
      </c>
      <c r="N104" s="191">
        <v>986.8</v>
      </c>
      <c r="O104" s="191">
        <f t="shared" si="587"/>
        <v>986.8</v>
      </c>
      <c r="P104" s="191">
        <v>635.20000000000005</v>
      </c>
      <c r="Q104" s="191">
        <v>501.8</v>
      </c>
      <c r="R104" s="191">
        <f t="shared" si="588"/>
        <v>501.8</v>
      </c>
      <c r="S104" s="191">
        <v>470.5</v>
      </c>
      <c r="T104" s="191">
        <v>516.20000000000005</v>
      </c>
      <c r="U104" s="191">
        <f t="shared" si="589"/>
        <v>516.20000000000005</v>
      </c>
      <c r="V104" s="191">
        <v>394.5</v>
      </c>
      <c r="W104" s="191">
        <v>415.5</v>
      </c>
      <c r="X104" s="191">
        <f>W104</f>
        <v>415.5</v>
      </c>
      <c r="Y104" s="191">
        <v>368</v>
      </c>
      <c r="Z104" s="191">
        <v>315.5</v>
      </c>
      <c r="AA104" s="183">
        <f t="shared" si="590"/>
        <v>315.5</v>
      </c>
      <c r="AB104" s="191">
        <v>332.9</v>
      </c>
      <c r="AC104" s="191">
        <v>342.2</v>
      </c>
      <c r="AD104" s="184">
        <f>+AC104</f>
        <v>342.2</v>
      </c>
      <c r="AE104" s="184">
        <v>348.1</v>
      </c>
      <c r="AF104" s="184">
        <v>196.4</v>
      </c>
      <c r="AG104" s="184">
        <f>AF104</f>
        <v>196.4</v>
      </c>
      <c r="AH104" s="184">
        <v>177.6</v>
      </c>
      <c r="AI104" s="184">
        <v>168.2</v>
      </c>
      <c r="AJ104" s="184">
        <f>AI104</f>
        <v>168.2</v>
      </c>
      <c r="AK104" s="184">
        <v>178.6</v>
      </c>
      <c r="AL104" s="184">
        <v>176.4</v>
      </c>
      <c r="AM104" s="188">
        <f>AL104</f>
        <v>176.4</v>
      </c>
      <c r="AN104" s="188">
        <f>AM104+Debt!U13</f>
        <v>304.64999999999998</v>
      </c>
      <c r="AO104" s="188">
        <v>150.30000000000001</v>
      </c>
      <c r="AP104" s="188">
        <f t="shared" si="622"/>
        <v>150.30000000000001</v>
      </c>
      <c r="AQ104" s="188">
        <v>0</v>
      </c>
      <c r="AR104" s="184">
        <v>140.69999999999999</v>
      </c>
      <c r="AS104" s="184">
        <f>AR104</f>
        <v>140.69999999999999</v>
      </c>
      <c r="AT104" s="184">
        <f>AS104+Debt!AA13</f>
        <v>434.7</v>
      </c>
      <c r="AU104" s="184">
        <v>0</v>
      </c>
      <c r="AV104" s="184">
        <f t="shared" si="591"/>
        <v>0</v>
      </c>
      <c r="AW104" s="188">
        <v>0</v>
      </c>
      <c r="AX104" s="188">
        <v>0</v>
      </c>
      <c r="AY104" s="188">
        <f t="shared" si="592"/>
        <v>0</v>
      </c>
      <c r="AZ104" s="188">
        <v>0</v>
      </c>
      <c r="BA104" s="184">
        <v>0</v>
      </c>
      <c r="BB104" s="188">
        <f t="shared" si="593"/>
        <v>0</v>
      </c>
      <c r="BC104" s="184">
        <v>0</v>
      </c>
      <c r="BD104" s="184">
        <v>0</v>
      </c>
      <c r="BE104" s="185">
        <f t="shared" si="594"/>
        <v>0</v>
      </c>
      <c r="BF104" s="184">
        <v>0</v>
      </c>
      <c r="BG104" s="184">
        <v>0</v>
      </c>
      <c r="BH104" s="188">
        <f t="shared" si="623"/>
        <v>0</v>
      </c>
      <c r="BI104" s="184">
        <v>0</v>
      </c>
      <c r="BJ104" s="184">
        <v>0</v>
      </c>
      <c r="BK104" s="185">
        <f t="shared" si="595"/>
        <v>0</v>
      </c>
      <c r="BL104" s="184">
        <v>0</v>
      </c>
      <c r="BM104" s="188">
        <f>BL104+Debt!AT13</f>
        <v>1592.5</v>
      </c>
      <c r="BN104" s="188">
        <f t="shared" si="596"/>
        <v>1592.5</v>
      </c>
      <c r="BO104" s="188">
        <f>BN104+Debt!AV13</f>
        <v>3342.5</v>
      </c>
      <c r="BP104" s="188">
        <f>BO104+Debt!AW13</f>
        <v>4742.5</v>
      </c>
      <c r="BQ104" s="188">
        <f t="shared" si="597"/>
        <v>4742.5</v>
      </c>
      <c r="BR104" s="188">
        <f>BQ104+Debt!AY13</f>
        <v>6011.25</v>
      </c>
      <c r="BS104" s="188">
        <f>BR104+Debt!AZ13</f>
        <v>7148.75</v>
      </c>
      <c r="BT104" s="188">
        <f t="shared" si="598"/>
        <v>7148.75</v>
      </c>
      <c r="BU104" s="188">
        <f>BT104+Debt!BB13</f>
        <v>8286.25</v>
      </c>
      <c r="BV104" s="188">
        <f>BU104+Debt!BC13</f>
        <v>9423.75</v>
      </c>
      <c r="BW104" s="188">
        <f t="shared" si="599"/>
        <v>9423.75</v>
      </c>
      <c r="BX104" s="188">
        <f>BW104+Debt!BE13</f>
        <v>10561.25</v>
      </c>
      <c r="BY104" s="188">
        <f>BX104+Debt!BF13</f>
        <v>11698.75</v>
      </c>
      <c r="BZ104" s="188">
        <f t="shared" si="600"/>
        <v>11698.75</v>
      </c>
      <c r="CA104" s="188">
        <f>BZ104+Debt!BH13</f>
        <v>12836.25</v>
      </c>
      <c r="CB104" s="188">
        <f>CA104+Debt!BI13</f>
        <v>13973.75</v>
      </c>
      <c r="CC104" s="188">
        <f t="shared" si="601"/>
        <v>13973.75</v>
      </c>
      <c r="CD104" s="186"/>
      <c r="CE104" s="187"/>
      <c r="CF104" s="187"/>
      <c r="CG104" s="187"/>
      <c r="CH104" s="187"/>
      <c r="CI104" s="187"/>
      <c r="CJ104" s="187"/>
      <c r="CK104" s="188"/>
      <c r="CL104" s="192">
        <f t="shared" si="602"/>
        <v>415.5</v>
      </c>
      <c r="CM104" s="188">
        <f t="shared" si="603"/>
        <v>315.5</v>
      </c>
      <c r="CN104" s="188">
        <f t="shared" si="604"/>
        <v>342.2</v>
      </c>
      <c r="CO104" s="188">
        <f t="shared" si="605"/>
        <v>196.4</v>
      </c>
      <c r="CP104" s="188">
        <f t="shared" si="606"/>
        <v>168.2</v>
      </c>
      <c r="CQ104" s="188">
        <f t="shared" si="607"/>
        <v>176.4</v>
      </c>
      <c r="CR104" s="188">
        <f t="shared" si="608"/>
        <v>150.30000000000001</v>
      </c>
      <c r="CS104" s="188">
        <f t="shared" si="609"/>
        <v>140.69999999999999</v>
      </c>
      <c r="CT104" s="188">
        <f t="shared" si="610"/>
        <v>0</v>
      </c>
      <c r="CU104" s="188">
        <f t="shared" si="611"/>
        <v>0</v>
      </c>
      <c r="CV104" s="188">
        <f t="shared" si="612"/>
        <v>0</v>
      </c>
      <c r="CW104" s="188">
        <f t="shared" si="613"/>
        <v>0</v>
      </c>
      <c r="CX104" s="188">
        <f t="shared" si="614"/>
        <v>0</v>
      </c>
      <c r="CY104" s="188">
        <f t="shared" si="615"/>
        <v>0</v>
      </c>
      <c r="CZ104" s="188">
        <f t="shared" si="616"/>
        <v>1592.5</v>
      </c>
      <c r="DA104" s="188">
        <f t="shared" si="617"/>
        <v>4742.5</v>
      </c>
      <c r="DB104" s="188">
        <f t="shared" si="618"/>
        <v>7148.75</v>
      </c>
      <c r="DC104" s="188">
        <f t="shared" si="619"/>
        <v>9423.75</v>
      </c>
      <c r="DD104" s="188">
        <f t="shared" si="620"/>
        <v>11698.75</v>
      </c>
      <c r="DE104" s="188">
        <f t="shared" si="621"/>
        <v>13973.75</v>
      </c>
    </row>
    <row r="105" spans="1:137" ht="12.75" customHeight="1">
      <c r="A105" s="1"/>
      <c r="B105" s="112" t="s">
        <v>109</v>
      </c>
      <c r="C105" s="180"/>
      <c r="D105" s="181"/>
      <c r="E105" s="181"/>
      <c r="F105" s="182"/>
      <c r="G105" s="182"/>
      <c r="H105" s="182"/>
      <c r="I105" s="182"/>
      <c r="J105" s="182"/>
      <c r="K105" s="182"/>
      <c r="L105" s="183">
        <v>2399.5</v>
      </c>
      <c r="M105" s="183">
        <v>3113.5</v>
      </c>
      <c r="N105" s="183">
        <v>2662.3</v>
      </c>
      <c r="O105" s="183">
        <f t="shared" si="587"/>
        <v>2662.3</v>
      </c>
      <c r="P105" s="183">
        <v>2215.9</v>
      </c>
      <c r="Q105" s="183">
        <v>2279.1999999999998</v>
      </c>
      <c r="R105" s="183">
        <f t="shared" si="588"/>
        <v>2279.1999999999998</v>
      </c>
      <c r="S105" s="183">
        <v>2244.8000000000002</v>
      </c>
      <c r="T105" s="183">
        <f>2597.4</f>
        <v>2597.4</v>
      </c>
      <c r="U105" s="183">
        <f t="shared" si="589"/>
        <v>2597.4</v>
      </c>
      <c r="V105" s="183">
        <v>2711.1</v>
      </c>
      <c r="W105" s="183">
        <f>2893.4</f>
        <v>2893.4</v>
      </c>
      <c r="X105" s="183">
        <f>W105</f>
        <v>2893.4</v>
      </c>
      <c r="Y105" s="183">
        <f>3086-400</f>
        <v>2686</v>
      </c>
      <c r="Z105" s="183">
        <f>3243.1-600</f>
        <v>2643.1</v>
      </c>
      <c r="AA105" s="183">
        <f t="shared" si="590"/>
        <v>2643.1</v>
      </c>
      <c r="AB105" s="183">
        <f>3624.7-1150</f>
        <v>2474.6999999999998</v>
      </c>
      <c r="AC105" s="183">
        <f>3855.6-1150</f>
        <v>2705.6</v>
      </c>
      <c r="AD105" s="182">
        <f>+AC105</f>
        <v>2705.6</v>
      </c>
      <c r="AE105" s="184">
        <f>4302.1-1150</f>
        <v>3152.1000000000004</v>
      </c>
      <c r="AF105" s="184">
        <f>4508.8-1150</f>
        <v>3358.8</v>
      </c>
      <c r="AG105" s="184">
        <f>AF105</f>
        <v>3358.8</v>
      </c>
      <c r="AH105" s="182">
        <f>5170.9-1150</f>
        <v>4020.8999999999996</v>
      </c>
      <c r="AI105" s="182">
        <v>5348.1</v>
      </c>
      <c r="AJ105" s="182">
        <f>AI105</f>
        <v>5348.1</v>
      </c>
      <c r="AK105" s="182">
        <v>5429.1</v>
      </c>
      <c r="AL105" s="182">
        <f>5522.7+203.6</f>
        <v>5726.3</v>
      </c>
      <c r="AM105" s="182">
        <f>AL105</f>
        <v>5726.3</v>
      </c>
      <c r="AN105" s="182">
        <v>5949</v>
      </c>
      <c r="AO105" s="182">
        <v>6585.5</v>
      </c>
      <c r="AP105" s="182">
        <f t="shared" si="622"/>
        <v>6585.5</v>
      </c>
      <c r="AQ105" s="182">
        <v>7572.7</v>
      </c>
      <c r="AR105" s="182">
        <v>8452.4</v>
      </c>
      <c r="AS105" s="182">
        <f>AR105</f>
        <v>8452.4</v>
      </c>
      <c r="AT105" s="182">
        <v>8911.1</v>
      </c>
      <c r="AU105" s="182">
        <v>9370.7999999999993</v>
      </c>
      <c r="AV105" s="182">
        <f t="shared" si="591"/>
        <v>9370.7999999999993</v>
      </c>
      <c r="AW105" s="185">
        <v>9331.9</v>
      </c>
      <c r="AX105" s="185">
        <v>10660</v>
      </c>
      <c r="AY105" s="185">
        <f t="shared" si="592"/>
        <v>10660</v>
      </c>
      <c r="AZ105" s="185">
        <v>13093.9</v>
      </c>
      <c r="BA105" s="182">
        <v>14379.6</v>
      </c>
      <c r="BB105" s="185">
        <f t="shared" si="593"/>
        <v>14379.6</v>
      </c>
      <c r="BC105" s="182">
        <v>16525.599999999999</v>
      </c>
      <c r="BD105" s="182">
        <v>16285.2</v>
      </c>
      <c r="BE105" s="185">
        <f t="shared" si="594"/>
        <v>16285.2</v>
      </c>
      <c r="BF105" s="182">
        <v>15721</v>
      </c>
      <c r="BG105" s="182">
        <v>16098</v>
      </c>
      <c r="BH105" s="188">
        <f t="shared" si="623"/>
        <v>16098</v>
      </c>
      <c r="BI105" s="182">
        <v>14755.4</v>
      </c>
      <c r="BJ105" s="182">
        <v>16068</v>
      </c>
      <c r="BK105" s="185">
        <f t="shared" si="595"/>
        <v>16068</v>
      </c>
      <c r="BL105" s="182">
        <v>16613.900000000001</v>
      </c>
      <c r="BM105" s="185">
        <f ca="1">BL105+-BM39+Debt!AT16+BM48</f>
        <v>16945.503063445427</v>
      </c>
      <c r="BN105" s="185">
        <f t="shared" ca="1" si="596"/>
        <v>16945.503063445427</v>
      </c>
      <c r="BO105" s="185">
        <f ca="1">BN105+-BO39+Debt!AV16+BO48</f>
        <v>17254.428439810661</v>
      </c>
      <c r="BP105" s="185">
        <f ca="1">BO105+-BP39+Debt!AW16+BP48</f>
        <v>17610.700823932511</v>
      </c>
      <c r="BQ105" s="185">
        <f t="shared" ca="1" si="597"/>
        <v>17610.700823932511</v>
      </c>
      <c r="BR105" s="185">
        <f ca="1">BQ105+-BR39+Debt!AY16+BR48</f>
        <v>17980.867011825343</v>
      </c>
      <c r="BS105" s="185">
        <f ca="1">BR105+-BS39+Debt!AZ16+BS48</f>
        <v>18358.559126233748</v>
      </c>
      <c r="BT105" s="185">
        <f t="shared" ca="1" si="598"/>
        <v>18358.559126233748</v>
      </c>
      <c r="BU105" s="185">
        <f ca="1">BT105+-BU39+Debt!BB16+BU48</f>
        <v>18751.550995924568</v>
      </c>
      <c r="BV105" s="185">
        <f ca="1">BU105+-BV39+Debt!BC16+BV48</f>
        <v>19152.670866252207</v>
      </c>
      <c r="BW105" s="185">
        <f t="shared" ca="1" si="599"/>
        <v>19152.670866252207</v>
      </c>
      <c r="BX105" s="185">
        <f ca="1">BW105+-BX39+Debt!BE16+BX48</f>
        <v>19570.178720020183</v>
      </c>
      <c r="BY105" s="185">
        <f ca="1">BX105+-BY39+Debt!BF16+BY48</f>
        <v>19996.464814475923</v>
      </c>
      <c r="BZ105" s="185">
        <f t="shared" ca="1" si="600"/>
        <v>19996.464814475923</v>
      </c>
      <c r="CA105" s="185">
        <f ca="1">BZ105+-CA39+Debt!BH16+CA48</f>
        <v>20440.311463737267</v>
      </c>
      <c r="CB105" s="185">
        <f ca="1">CA105+-CB39+Debt!BI16+CB48</f>
        <v>20893.638612941395</v>
      </c>
      <c r="CC105" s="185">
        <f t="shared" ca="1" si="601"/>
        <v>20893.638612941395</v>
      </c>
      <c r="CD105" s="186"/>
      <c r="CE105" s="187"/>
      <c r="CF105" s="187"/>
      <c r="CG105" s="187"/>
      <c r="CH105" s="187"/>
      <c r="CI105" s="187"/>
      <c r="CJ105" s="187"/>
      <c r="CK105" s="188"/>
      <c r="CL105" s="192">
        <f t="shared" si="602"/>
        <v>2893.4</v>
      </c>
      <c r="CM105" s="188">
        <f t="shared" si="603"/>
        <v>2643.1</v>
      </c>
      <c r="CN105" s="188">
        <f t="shared" si="604"/>
        <v>2705.6</v>
      </c>
      <c r="CO105" s="188">
        <f t="shared" si="605"/>
        <v>3358.8</v>
      </c>
      <c r="CP105" s="188">
        <f t="shared" si="606"/>
        <v>5348.1</v>
      </c>
      <c r="CQ105" s="188">
        <f t="shared" si="607"/>
        <v>5726.3</v>
      </c>
      <c r="CR105" s="188">
        <f t="shared" si="608"/>
        <v>6585.5</v>
      </c>
      <c r="CS105" s="188">
        <f t="shared" si="609"/>
        <v>8452.4</v>
      </c>
      <c r="CT105" s="188">
        <f t="shared" si="610"/>
        <v>9370.7999999999993</v>
      </c>
      <c r="CU105" s="188">
        <f t="shared" si="611"/>
        <v>10660</v>
      </c>
      <c r="CV105" s="188">
        <f t="shared" si="612"/>
        <v>14379.6</v>
      </c>
      <c r="CW105" s="188">
        <f t="shared" si="613"/>
        <v>16285.2</v>
      </c>
      <c r="CX105" s="188">
        <f t="shared" si="614"/>
        <v>16098</v>
      </c>
      <c r="CY105" s="188">
        <f t="shared" si="615"/>
        <v>16068</v>
      </c>
      <c r="CZ105" s="188">
        <f t="shared" ca="1" si="616"/>
        <v>16945.503063445427</v>
      </c>
      <c r="DA105" s="188">
        <f t="shared" ca="1" si="617"/>
        <v>17610.700823932511</v>
      </c>
      <c r="DB105" s="188">
        <f t="shared" ca="1" si="618"/>
        <v>18358.559126233748</v>
      </c>
      <c r="DC105" s="188">
        <f t="shared" ca="1" si="619"/>
        <v>19152.670866252207</v>
      </c>
      <c r="DD105" s="188">
        <f t="shared" ca="1" si="620"/>
        <v>19996.464814475923</v>
      </c>
      <c r="DE105" s="188">
        <f t="shared" ca="1" si="621"/>
        <v>20893.638612941395</v>
      </c>
    </row>
    <row r="106" spans="1:137" ht="12.75" customHeight="1">
      <c r="A106" s="1"/>
      <c r="B106" s="112" t="s">
        <v>110</v>
      </c>
      <c r="C106" s="180"/>
      <c r="D106" s="181"/>
      <c r="E106" s="181"/>
      <c r="F106" s="182"/>
      <c r="G106" s="182"/>
      <c r="H106" s="182"/>
      <c r="I106" s="182"/>
      <c r="J106" s="182"/>
      <c r="K106" s="182"/>
      <c r="L106" s="183">
        <v>1073.2</v>
      </c>
      <c r="M106" s="183">
        <v>1293.5999999999999</v>
      </c>
      <c r="N106" s="183">
        <v>1125.4000000000001</v>
      </c>
      <c r="O106" s="183">
        <f t="shared" si="587"/>
        <v>1125.4000000000001</v>
      </c>
      <c r="P106" s="183">
        <v>1024.5</v>
      </c>
      <c r="Q106" s="183">
        <v>929.4</v>
      </c>
      <c r="R106" s="183">
        <f t="shared" si="588"/>
        <v>929.4</v>
      </c>
      <c r="S106" s="183">
        <v>826</v>
      </c>
      <c r="T106" s="183">
        <v>827.9</v>
      </c>
      <c r="U106" s="183">
        <f t="shared" si="589"/>
        <v>827.9</v>
      </c>
      <c r="V106" s="183">
        <v>802.3</v>
      </c>
      <c r="W106" s="183">
        <v>783.2</v>
      </c>
      <c r="X106" s="183">
        <f>W106</f>
        <v>783.2</v>
      </c>
      <c r="Y106" s="183">
        <v>800.1</v>
      </c>
      <c r="Z106" s="183">
        <v>891.4</v>
      </c>
      <c r="AA106" s="183">
        <f t="shared" si="590"/>
        <v>891.4</v>
      </c>
      <c r="AB106" s="183">
        <v>979</v>
      </c>
      <c r="AC106" s="183">
        <v>932.7</v>
      </c>
      <c r="AD106" s="182">
        <f>AC106</f>
        <v>932.7</v>
      </c>
      <c r="AE106" s="182">
        <v>966.8</v>
      </c>
      <c r="AF106" s="182">
        <v>976.4</v>
      </c>
      <c r="AG106" s="182">
        <f t="shared" ref="AG106:AS107" si="624">AF106</f>
        <v>976.4</v>
      </c>
      <c r="AH106" s="182">
        <v>996.3</v>
      </c>
      <c r="AI106" s="182">
        <v>780.6</v>
      </c>
      <c r="AJ106" s="182">
        <f t="shared" si="624"/>
        <v>780.6</v>
      </c>
      <c r="AK106" s="182">
        <v>767.3</v>
      </c>
      <c r="AL106" s="182">
        <v>771.9</v>
      </c>
      <c r="AM106" s="182">
        <f t="shared" si="624"/>
        <v>771.9</v>
      </c>
      <c r="AN106" s="182">
        <v>793.1</v>
      </c>
      <c r="AO106" s="182">
        <v>816.7</v>
      </c>
      <c r="AP106" s="182">
        <f t="shared" si="622"/>
        <v>816.7</v>
      </c>
      <c r="AQ106" s="182">
        <v>841.5</v>
      </c>
      <c r="AR106" s="182">
        <v>840</v>
      </c>
      <c r="AS106" s="182">
        <f t="shared" si="624"/>
        <v>840</v>
      </c>
      <c r="AT106" s="182">
        <v>835</v>
      </c>
      <c r="AU106" s="182">
        <v>845.8</v>
      </c>
      <c r="AV106" s="182">
        <f t="shared" si="591"/>
        <v>845.8</v>
      </c>
      <c r="AW106" s="185">
        <v>821.1</v>
      </c>
      <c r="AX106" s="185">
        <v>822.6</v>
      </c>
      <c r="AY106" s="185">
        <f t="shared" si="592"/>
        <v>822.6</v>
      </c>
      <c r="AZ106" s="185">
        <v>820.3</v>
      </c>
      <c r="BA106" s="182">
        <v>795.4</v>
      </c>
      <c r="BB106" s="185">
        <f t="shared" si="593"/>
        <v>795.4</v>
      </c>
      <c r="BC106" s="182">
        <v>819</v>
      </c>
      <c r="BD106" s="182">
        <v>850.1</v>
      </c>
      <c r="BE106" s="185">
        <f t="shared" si="594"/>
        <v>850.1</v>
      </c>
      <c r="BF106" s="182">
        <v>840.9</v>
      </c>
      <c r="BG106" s="182">
        <v>829.5</v>
      </c>
      <c r="BH106" s="188">
        <f t="shared" si="623"/>
        <v>829.5</v>
      </c>
      <c r="BI106" s="182">
        <v>870.2</v>
      </c>
      <c r="BJ106" s="182">
        <v>915.8</v>
      </c>
      <c r="BK106" s="185">
        <f t="shared" si="595"/>
        <v>915.8</v>
      </c>
      <c r="BL106" s="182">
        <v>898.8</v>
      </c>
      <c r="BM106" s="185">
        <f t="shared" ref="BM106:BM107" si="625">BL106</f>
        <v>898.8</v>
      </c>
      <c r="BN106" s="185">
        <f t="shared" si="596"/>
        <v>898.8</v>
      </c>
      <c r="BO106" s="185">
        <f t="shared" ref="BO106:BO107" si="626">BN106</f>
        <v>898.8</v>
      </c>
      <c r="BP106" s="185">
        <f t="shared" ref="BP106:BP107" si="627">BO106</f>
        <v>898.8</v>
      </c>
      <c r="BQ106" s="185">
        <f t="shared" si="597"/>
        <v>898.8</v>
      </c>
      <c r="BR106" s="185">
        <f t="shared" ref="BR106:BR107" si="628">BQ106</f>
        <v>898.8</v>
      </c>
      <c r="BS106" s="185">
        <f t="shared" ref="BS106:BS107" si="629">BR106</f>
        <v>898.8</v>
      </c>
      <c r="BT106" s="185">
        <f t="shared" si="598"/>
        <v>898.8</v>
      </c>
      <c r="BU106" s="185">
        <f t="shared" ref="BU106:BU107" si="630">BT106</f>
        <v>898.8</v>
      </c>
      <c r="BV106" s="185">
        <f t="shared" ref="BV106:BV107" si="631">BU106</f>
        <v>898.8</v>
      </c>
      <c r="BW106" s="185">
        <f t="shared" si="599"/>
        <v>898.8</v>
      </c>
      <c r="BX106" s="185">
        <f t="shared" ref="BX106:BX107" si="632">BW106</f>
        <v>898.8</v>
      </c>
      <c r="BY106" s="185">
        <f t="shared" ref="BY106:BY107" si="633">BX106</f>
        <v>898.8</v>
      </c>
      <c r="BZ106" s="185">
        <f t="shared" si="600"/>
        <v>898.8</v>
      </c>
      <c r="CA106" s="185">
        <f t="shared" ref="CA106:CA107" si="634">BZ106</f>
        <v>898.8</v>
      </c>
      <c r="CB106" s="185">
        <f t="shared" ref="CB106:CB107" si="635">CA106</f>
        <v>898.8</v>
      </c>
      <c r="CC106" s="185">
        <f t="shared" si="601"/>
        <v>898.8</v>
      </c>
      <c r="CD106" s="186"/>
      <c r="CE106" s="187"/>
      <c r="CF106" s="187"/>
      <c r="CG106" s="187"/>
      <c r="CH106" s="187"/>
      <c r="CI106" s="187"/>
      <c r="CJ106" s="187"/>
      <c r="CK106" s="188"/>
      <c r="CL106" s="192">
        <f t="shared" si="602"/>
        <v>783.2</v>
      </c>
      <c r="CM106" s="188">
        <f t="shared" si="603"/>
        <v>891.4</v>
      </c>
      <c r="CN106" s="188">
        <f t="shared" si="604"/>
        <v>932.7</v>
      </c>
      <c r="CO106" s="188">
        <f t="shared" si="605"/>
        <v>976.4</v>
      </c>
      <c r="CP106" s="188">
        <f t="shared" si="606"/>
        <v>780.6</v>
      </c>
      <c r="CQ106" s="188">
        <f t="shared" si="607"/>
        <v>771.9</v>
      </c>
      <c r="CR106" s="188">
        <f t="shared" si="608"/>
        <v>816.7</v>
      </c>
      <c r="CS106" s="188">
        <f t="shared" si="609"/>
        <v>840</v>
      </c>
      <c r="CT106" s="188">
        <f t="shared" si="610"/>
        <v>845.8</v>
      </c>
      <c r="CU106" s="188">
        <f t="shared" si="611"/>
        <v>822.6</v>
      </c>
      <c r="CV106" s="188">
        <f t="shared" si="612"/>
        <v>795.4</v>
      </c>
      <c r="CW106" s="188">
        <f t="shared" si="613"/>
        <v>850.1</v>
      </c>
      <c r="CX106" s="188">
        <f t="shared" si="614"/>
        <v>829.5</v>
      </c>
      <c r="CY106" s="188">
        <f t="shared" si="615"/>
        <v>915.8</v>
      </c>
      <c r="CZ106" s="188">
        <f t="shared" si="616"/>
        <v>898.8</v>
      </c>
      <c r="DA106" s="188">
        <f t="shared" si="617"/>
        <v>898.8</v>
      </c>
      <c r="DB106" s="188">
        <f t="shared" si="618"/>
        <v>898.8</v>
      </c>
      <c r="DC106" s="188">
        <f t="shared" si="619"/>
        <v>898.8</v>
      </c>
      <c r="DD106" s="188">
        <f t="shared" si="620"/>
        <v>898.8</v>
      </c>
      <c r="DE106" s="188">
        <f t="shared" si="621"/>
        <v>898.8</v>
      </c>
    </row>
    <row r="107" spans="1:137" ht="12.75" customHeight="1">
      <c r="A107" s="1"/>
      <c r="B107" s="112" t="s">
        <v>103</v>
      </c>
      <c r="C107" s="180"/>
      <c r="D107" s="190"/>
      <c r="E107" s="190"/>
      <c r="F107" s="184"/>
      <c r="G107" s="184"/>
      <c r="H107" s="184"/>
      <c r="I107" s="184"/>
      <c r="J107" s="184"/>
      <c r="K107" s="184"/>
      <c r="L107" s="191">
        <f>252.2+24.9+238.7+34.6</f>
        <v>550.4</v>
      </c>
      <c r="M107" s="191">
        <f>301.8+23.1+62+28.7</f>
        <v>415.6</v>
      </c>
      <c r="N107" s="191">
        <f>303.6+28.2+71.1+23.6</f>
        <v>426.5</v>
      </c>
      <c r="O107" s="191">
        <f t="shared" si="587"/>
        <v>426.5</v>
      </c>
      <c r="P107" s="191">
        <f>330.6+17.7+83.8+16.5</f>
        <v>448.6</v>
      </c>
      <c r="Q107" s="191">
        <f>288.5+1+18+69.9+12.7</f>
        <v>390.09999999999997</v>
      </c>
      <c r="R107" s="191">
        <f t="shared" si="588"/>
        <v>390.09999999999997</v>
      </c>
      <c r="S107" s="191">
        <f>242.7+31.9+17.2+9.7+120.6</f>
        <v>422.09999999999991</v>
      </c>
      <c r="T107" s="191">
        <f>186+31+13.8+25.7+6.9</f>
        <v>263.39999999999998</v>
      </c>
      <c r="U107" s="191">
        <f t="shared" si="589"/>
        <v>263.39999999999998</v>
      </c>
      <c r="V107" s="191">
        <f>317.8+68.2+15.8+18.2+8.8</f>
        <v>428.8</v>
      </c>
      <c r="W107" s="191">
        <f>364.4+67.5+18.8+13.6+12.7</f>
        <v>477</v>
      </c>
      <c r="X107" s="191">
        <f>364.4+67.5+18.8+13.6+12.7</f>
        <v>477</v>
      </c>
      <c r="Y107" s="191">
        <f>14.5+13.1+17.9+21.4+331.9</f>
        <v>398.79999999999995</v>
      </c>
      <c r="Z107" s="191">
        <f>20.8+15.7+13.4+21.1+309.3</f>
        <v>380.3</v>
      </c>
      <c r="AA107" s="183">
        <f t="shared" si="590"/>
        <v>380.3</v>
      </c>
      <c r="AB107" s="191">
        <f>20.5+17.7+12.3+5+150.8</f>
        <v>206.3</v>
      </c>
      <c r="AC107" s="191">
        <f>169.4+0.4+11.6+13.1+19.2</f>
        <v>213.7</v>
      </c>
      <c r="AD107" s="184">
        <f>AC107</f>
        <v>213.7</v>
      </c>
      <c r="AE107" s="184">
        <f>271.8+12.8+0.8+18.6+1.4</f>
        <v>305.40000000000003</v>
      </c>
      <c r="AF107" s="184">
        <f>1.6+17.5+16.7+45.7+234.8</f>
        <v>316.3</v>
      </c>
      <c r="AG107" s="184">
        <f t="shared" si="624"/>
        <v>316.3</v>
      </c>
      <c r="AH107" s="184">
        <f>19.9+16.3+277.9+17.8+46.3</f>
        <v>378.2</v>
      </c>
      <c r="AI107" s="184">
        <f>34.3+12.3+330.1+19.7+8.7</f>
        <v>405.1</v>
      </c>
      <c r="AJ107" s="184">
        <f t="shared" si="624"/>
        <v>405.1</v>
      </c>
      <c r="AK107" s="184">
        <f>28.5+9.4+299.7+18.8+1.9</f>
        <v>358.29999999999995</v>
      </c>
      <c r="AL107" s="184">
        <f>34.8+10.2+215.3+17.9</f>
        <v>278.2</v>
      </c>
      <c r="AM107" s="184">
        <f t="shared" si="624"/>
        <v>278.2</v>
      </c>
      <c r="AN107" s="184">
        <f>44.4+9.2+164.8+19.2</f>
        <v>237.6</v>
      </c>
      <c r="AO107" s="184">
        <f>71.9+6+187.8+23.4</f>
        <v>289.10000000000002</v>
      </c>
      <c r="AP107" s="184">
        <f t="shared" si="622"/>
        <v>289.10000000000002</v>
      </c>
      <c r="AQ107" s="184">
        <f>24.2+121.2+7.6+252.7</f>
        <v>405.7</v>
      </c>
      <c r="AR107" s="184">
        <f>118.8+6.8+340.4+22.2</f>
        <v>488.2</v>
      </c>
      <c r="AS107" s="184">
        <f t="shared" si="624"/>
        <v>488.2</v>
      </c>
      <c r="AT107" s="184">
        <f>12977-SUM(AT102:AT106)</f>
        <v>565.89999999999964</v>
      </c>
      <c r="AU107" s="184">
        <f>AU108-SUM(AU102:AU106)</f>
        <v>578.50000000000182</v>
      </c>
      <c r="AV107" s="184">
        <f t="shared" si="591"/>
        <v>578.50000000000182</v>
      </c>
      <c r="AW107" s="184">
        <f>AW108-SUM(AW102:AW106)</f>
        <v>734</v>
      </c>
      <c r="AX107" s="184">
        <f>AX108-SUM(AX102:AX106)</f>
        <v>714.79999999999927</v>
      </c>
      <c r="AY107" s="188">
        <f t="shared" si="592"/>
        <v>714.79999999999927</v>
      </c>
      <c r="AZ107" s="184">
        <f>AZ108-SUM(AZ102:AZ106)</f>
        <v>565.79999999999927</v>
      </c>
      <c r="BA107" s="184">
        <f>BA108-SUM(BA102:BA106)</f>
        <v>756.39999999999782</v>
      </c>
      <c r="BB107" s="188">
        <f t="shared" si="593"/>
        <v>756.39999999999782</v>
      </c>
      <c r="BC107" s="184">
        <f>BC108-SUM(BC102:BC106)</f>
        <v>825.60000000000218</v>
      </c>
      <c r="BD107" s="184">
        <f>BD108-SUM(BD102:BD106)</f>
        <v>728.10000000000218</v>
      </c>
      <c r="BE107" s="185">
        <f t="shared" si="594"/>
        <v>728.10000000000218</v>
      </c>
      <c r="BF107" s="184">
        <f>BF108-SUM(BF102:BF106)</f>
        <v>641.89999999999782</v>
      </c>
      <c r="BG107" s="184">
        <f>BG108-SUM(BG102:BG106)</f>
        <v>708.90000000000146</v>
      </c>
      <c r="BH107" s="188">
        <f t="shared" si="623"/>
        <v>708.90000000000146</v>
      </c>
      <c r="BI107" s="184">
        <f>BI108-SUM(BI102:BI106)</f>
        <v>733.10000000000218</v>
      </c>
      <c r="BJ107" s="184">
        <f>BJ108-SUM(BJ102:BJ106)</f>
        <v>1132.9000000000015</v>
      </c>
      <c r="BK107" s="185">
        <f t="shared" si="595"/>
        <v>1132.9000000000015</v>
      </c>
      <c r="BL107" s="184">
        <f>BL108-SUM(BL102:BL106)</f>
        <v>1505.5999999999949</v>
      </c>
      <c r="BM107" s="188">
        <f t="shared" si="625"/>
        <v>1505.5999999999949</v>
      </c>
      <c r="BN107" s="188">
        <f t="shared" si="596"/>
        <v>1505.5999999999949</v>
      </c>
      <c r="BO107" s="188">
        <f t="shared" si="626"/>
        <v>1505.5999999999949</v>
      </c>
      <c r="BP107" s="188">
        <f t="shared" si="627"/>
        <v>1505.5999999999949</v>
      </c>
      <c r="BQ107" s="188">
        <f t="shared" si="597"/>
        <v>1505.5999999999949</v>
      </c>
      <c r="BR107" s="188">
        <f t="shared" si="628"/>
        <v>1505.5999999999949</v>
      </c>
      <c r="BS107" s="188">
        <f t="shared" si="629"/>
        <v>1505.5999999999949</v>
      </c>
      <c r="BT107" s="188">
        <f t="shared" si="598"/>
        <v>1505.5999999999949</v>
      </c>
      <c r="BU107" s="188">
        <f t="shared" si="630"/>
        <v>1505.5999999999949</v>
      </c>
      <c r="BV107" s="188">
        <f t="shared" si="631"/>
        <v>1505.5999999999949</v>
      </c>
      <c r="BW107" s="188">
        <f t="shared" si="599"/>
        <v>1505.5999999999949</v>
      </c>
      <c r="BX107" s="188">
        <f t="shared" si="632"/>
        <v>1505.5999999999949</v>
      </c>
      <c r="BY107" s="188">
        <f t="shared" si="633"/>
        <v>1505.5999999999949</v>
      </c>
      <c r="BZ107" s="188">
        <f t="shared" si="600"/>
        <v>1505.5999999999949</v>
      </c>
      <c r="CA107" s="188">
        <f t="shared" si="634"/>
        <v>1505.5999999999949</v>
      </c>
      <c r="CB107" s="188">
        <f t="shared" si="635"/>
        <v>1505.5999999999949</v>
      </c>
      <c r="CC107" s="188">
        <f t="shared" si="601"/>
        <v>1505.5999999999949</v>
      </c>
      <c r="CD107" s="186"/>
      <c r="CE107" s="187"/>
      <c r="CF107" s="187"/>
      <c r="CG107" s="187"/>
      <c r="CH107" s="187"/>
      <c r="CI107" s="187"/>
      <c r="CJ107" s="187"/>
      <c r="CK107" s="188"/>
      <c r="CL107" s="192">
        <f t="shared" si="602"/>
        <v>477</v>
      </c>
      <c r="CM107" s="188">
        <f t="shared" si="603"/>
        <v>380.3</v>
      </c>
      <c r="CN107" s="188">
        <f t="shared" si="604"/>
        <v>213.7</v>
      </c>
      <c r="CO107" s="188">
        <f t="shared" si="605"/>
        <v>316.3</v>
      </c>
      <c r="CP107" s="188">
        <f t="shared" si="606"/>
        <v>405.1</v>
      </c>
      <c r="CQ107" s="188">
        <f t="shared" si="607"/>
        <v>278.2</v>
      </c>
      <c r="CR107" s="188">
        <f t="shared" si="608"/>
        <v>289.10000000000002</v>
      </c>
      <c r="CS107" s="188">
        <f t="shared" si="609"/>
        <v>488.2</v>
      </c>
      <c r="CT107" s="188">
        <f t="shared" si="610"/>
        <v>578.50000000000182</v>
      </c>
      <c r="CU107" s="188">
        <f t="shared" si="611"/>
        <v>714.79999999999927</v>
      </c>
      <c r="CV107" s="188">
        <f t="shared" si="612"/>
        <v>756.39999999999782</v>
      </c>
      <c r="CW107" s="188">
        <f t="shared" si="613"/>
        <v>728.10000000000218</v>
      </c>
      <c r="CX107" s="188">
        <f t="shared" si="614"/>
        <v>708.90000000000146</v>
      </c>
      <c r="CY107" s="188">
        <f t="shared" si="615"/>
        <v>1132.9000000000015</v>
      </c>
      <c r="CZ107" s="188">
        <f t="shared" si="616"/>
        <v>1505.5999999999949</v>
      </c>
      <c r="DA107" s="188">
        <f t="shared" si="617"/>
        <v>1505.5999999999949</v>
      </c>
      <c r="DB107" s="188">
        <f t="shared" si="618"/>
        <v>1505.5999999999949</v>
      </c>
      <c r="DC107" s="188">
        <f t="shared" si="619"/>
        <v>1505.5999999999949</v>
      </c>
      <c r="DD107" s="188">
        <f t="shared" si="620"/>
        <v>1505.5999999999949</v>
      </c>
      <c r="DE107" s="188">
        <f t="shared" si="621"/>
        <v>1505.5999999999949</v>
      </c>
    </row>
    <row r="108" spans="1:137" ht="12.75" customHeight="1" thickBot="1">
      <c r="A108" s="79"/>
      <c r="B108" s="80" t="s">
        <v>111</v>
      </c>
      <c r="C108" s="79"/>
      <c r="D108" s="81"/>
      <c r="E108" s="81"/>
      <c r="F108" s="82"/>
      <c r="G108" s="82"/>
      <c r="H108" s="82"/>
      <c r="I108" s="82"/>
      <c r="J108" s="82"/>
      <c r="K108" s="82"/>
      <c r="L108" s="82">
        <f t="shared" ref="L108:AS108" si="636">SUM(L102:L107)</f>
        <v>8321.1</v>
      </c>
      <c r="M108" s="82">
        <f t="shared" si="636"/>
        <v>8796.8000000000011</v>
      </c>
      <c r="N108" s="82">
        <f t="shared" si="636"/>
        <v>7783.7000000000007</v>
      </c>
      <c r="O108" s="82">
        <f t="shared" si="636"/>
        <v>7783.7000000000007</v>
      </c>
      <c r="P108" s="82">
        <f t="shared" si="636"/>
        <v>6845.4000000000015</v>
      </c>
      <c r="Q108" s="82">
        <f t="shared" si="636"/>
        <v>6578</v>
      </c>
      <c r="R108" s="82">
        <f t="shared" si="636"/>
        <v>6578</v>
      </c>
      <c r="S108" s="82">
        <f t="shared" si="636"/>
        <v>6371.8000000000011</v>
      </c>
      <c r="T108" s="82">
        <f t="shared" si="636"/>
        <v>6882.0999999999985</v>
      </c>
      <c r="U108" s="82">
        <f t="shared" si="636"/>
        <v>6882.0999999999985</v>
      </c>
      <c r="V108" s="82">
        <f t="shared" si="636"/>
        <v>7311.3</v>
      </c>
      <c r="W108" s="82">
        <f t="shared" si="636"/>
        <v>7429.0999999999995</v>
      </c>
      <c r="X108" s="82">
        <f t="shared" si="636"/>
        <v>7429.0999999999995</v>
      </c>
      <c r="Y108" s="82">
        <f t="shared" si="636"/>
        <v>7484.2000000000007</v>
      </c>
      <c r="Z108" s="82">
        <f>SUM(Z102:Z107)</f>
        <v>7713.4000000000005</v>
      </c>
      <c r="AA108" s="82">
        <f>SUM(AA102:AA107)</f>
        <v>7713.4000000000005</v>
      </c>
      <c r="AB108" s="82">
        <f t="shared" si="636"/>
        <v>8200.7999999999993</v>
      </c>
      <c r="AC108" s="82">
        <f t="shared" si="636"/>
        <v>8543.9000000000015</v>
      </c>
      <c r="AD108" s="82">
        <f>SUM(AD102:AD107)</f>
        <v>8543.9000000000015</v>
      </c>
      <c r="AE108" s="82">
        <f t="shared" si="636"/>
        <v>9538.1</v>
      </c>
      <c r="AF108" s="82">
        <f t="shared" si="636"/>
        <v>9774.9</v>
      </c>
      <c r="AG108" s="82">
        <f t="shared" si="636"/>
        <v>9774.9</v>
      </c>
      <c r="AH108" s="82">
        <f t="shared" si="636"/>
        <v>10691.5</v>
      </c>
      <c r="AI108" s="82">
        <f t="shared" si="636"/>
        <v>9943.3000000000011</v>
      </c>
      <c r="AJ108" s="82">
        <f t="shared" si="636"/>
        <v>9943.3000000000011</v>
      </c>
      <c r="AK108" s="82">
        <f t="shared" si="636"/>
        <v>10029.5</v>
      </c>
      <c r="AL108" s="82">
        <f t="shared" si="636"/>
        <v>9312.4</v>
      </c>
      <c r="AM108" s="82">
        <f t="shared" si="636"/>
        <v>9312.4</v>
      </c>
      <c r="AN108" s="82">
        <f t="shared" si="636"/>
        <v>9433.7000000000007</v>
      </c>
      <c r="AO108" s="82">
        <f t="shared" si="636"/>
        <v>9903.4000000000015</v>
      </c>
      <c r="AP108" s="82">
        <f t="shared" si="636"/>
        <v>9903.4000000000015</v>
      </c>
      <c r="AQ108" s="82">
        <f t="shared" si="636"/>
        <v>11353.400000000001</v>
      </c>
      <c r="AR108" s="82">
        <f t="shared" si="636"/>
        <v>12438.8</v>
      </c>
      <c r="AS108" s="82">
        <f t="shared" si="636"/>
        <v>12438.8</v>
      </c>
      <c r="AT108" s="82">
        <f t="shared" ref="AT108:BK108" si="637">SUM(AT102:AT107)</f>
        <v>12977</v>
      </c>
      <c r="AU108" s="82">
        <v>13332.4</v>
      </c>
      <c r="AV108" s="82">
        <f t="shared" si="637"/>
        <v>13332.4</v>
      </c>
      <c r="AW108" s="82">
        <v>13612.4</v>
      </c>
      <c r="AX108" s="82">
        <v>15241.3</v>
      </c>
      <c r="AY108" s="82">
        <f t="shared" si="637"/>
        <v>15241.3</v>
      </c>
      <c r="AZ108" s="82">
        <v>17601.5</v>
      </c>
      <c r="BA108" s="82">
        <v>19082.2</v>
      </c>
      <c r="BB108" s="82">
        <f t="shared" si="637"/>
        <v>19082.2</v>
      </c>
      <c r="BC108" s="82">
        <v>21422.799999999999</v>
      </c>
      <c r="BD108" s="82">
        <v>21289.5</v>
      </c>
      <c r="BE108" s="82">
        <f t="shared" si="637"/>
        <v>21289.5</v>
      </c>
      <c r="BF108" s="82">
        <v>20896.7</v>
      </c>
      <c r="BG108" s="82">
        <v>21339.200000000001</v>
      </c>
      <c r="BH108" s="82">
        <f t="shared" si="637"/>
        <v>21339.200000000001</v>
      </c>
      <c r="BI108" s="82">
        <f>22905.6+2047.4</f>
        <v>24953</v>
      </c>
      <c r="BJ108" s="82">
        <f>25022.7+1948.2</f>
        <v>26970.9</v>
      </c>
      <c r="BK108" s="82">
        <f t="shared" si="637"/>
        <v>26970.9</v>
      </c>
      <c r="BL108" s="82">
        <f>26177.6+219.6</f>
        <v>26397.199999999997</v>
      </c>
      <c r="BM108" s="82">
        <f t="shared" ref="BM108:BN108" ca="1" si="638">SUM(BM102:BM107)</f>
        <v>28401.707168214933</v>
      </c>
      <c r="BN108" s="82">
        <f t="shared" ca="1" si="638"/>
        <v>28401.707168214933</v>
      </c>
      <c r="BO108" s="82">
        <f t="shared" ref="BO108:BQ108" ca="1" si="639">SUM(BO102:BO107)</f>
        <v>30530.059613842248</v>
      </c>
      <c r="BP108" s="82">
        <f t="shared" ca="1" si="639"/>
        <v>32355.841818164583</v>
      </c>
      <c r="BQ108" s="82">
        <f t="shared" ca="1" si="639"/>
        <v>32355.841818164583</v>
      </c>
      <c r="BR108" s="82">
        <f t="shared" ref="BR108:BT108" ca="1" si="640">SUM(BR102:BR107)</f>
        <v>34051.1649423536</v>
      </c>
      <c r="BS108" s="82">
        <f t="shared" ca="1" si="640"/>
        <v>35622.663573233338</v>
      </c>
      <c r="BT108" s="82">
        <f t="shared" ca="1" si="640"/>
        <v>35622.663573233338</v>
      </c>
      <c r="BU108" s="82">
        <f t="shared" ref="BU108:BZ108" ca="1" si="641">SUM(BU102:BU107)</f>
        <v>37210.466391782407</v>
      </c>
      <c r="BV108" s="82">
        <f t="shared" ca="1" si="641"/>
        <v>38806.286321707448</v>
      </c>
      <c r="BW108" s="82">
        <f t="shared" ca="1" si="641"/>
        <v>38806.286321707448</v>
      </c>
      <c r="BX108" s="82">
        <f t="shared" ca="1" si="641"/>
        <v>40419.505712707658</v>
      </c>
      <c r="BY108" s="82">
        <f t="shared" ca="1" si="641"/>
        <v>42041.38104446714</v>
      </c>
      <c r="BZ108" s="82">
        <f t="shared" ca="1" si="641"/>
        <v>42041.38104446714</v>
      </c>
      <c r="CA108" s="82">
        <f t="shared" ref="CA108:CC108" ca="1" si="642">SUM(CA102:CA107)</f>
        <v>43692.402645012829</v>
      </c>
      <c r="CB108" s="82">
        <f t="shared" ca="1" si="642"/>
        <v>45353.102262486034</v>
      </c>
      <c r="CC108" s="82">
        <f t="shared" ca="1" si="642"/>
        <v>45353.102262486034</v>
      </c>
      <c r="CD108" s="134"/>
      <c r="CE108" s="187"/>
      <c r="CF108" s="187"/>
      <c r="CG108" s="187"/>
      <c r="CH108" s="187"/>
      <c r="CI108" s="187"/>
      <c r="CJ108" s="187"/>
      <c r="CK108" s="188"/>
      <c r="CL108" s="85">
        <f t="shared" si="602"/>
        <v>7429.0999999999995</v>
      </c>
      <c r="CM108" s="82">
        <f t="shared" si="603"/>
        <v>7713.4000000000005</v>
      </c>
      <c r="CN108" s="82">
        <f t="shared" si="604"/>
        <v>8543.9000000000015</v>
      </c>
      <c r="CO108" s="82">
        <f t="shared" si="605"/>
        <v>9774.9</v>
      </c>
      <c r="CP108" s="82">
        <f t="shared" si="606"/>
        <v>9943.3000000000011</v>
      </c>
      <c r="CQ108" s="82">
        <f t="shared" si="607"/>
        <v>9312.4</v>
      </c>
      <c r="CR108" s="82">
        <f t="shared" si="608"/>
        <v>9903.4000000000015</v>
      </c>
      <c r="CS108" s="82">
        <f t="shared" si="609"/>
        <v>12438.8</v>
      </c>
      <c r="CT108" s="82">
        <f t="shared" si="610"/>
        <v>13332.4</v>
      </c>
      <c r="CU108" s="82">
        <f t="shared" si="611"/>
        <v>15241.3</v>
      </c>
      <c r="CV108" s="82">
        <f t="shared" si="612"/>
        <v>19082.2</v>
      </c>
      <c r="CW108" s="82">
        <f t="shared" si="613"/>
        <v>21289.5</v>
      </c>
      <c r="CX108" s="82">
        <f t="shared" si="614"/>
        <v>21339.200000000001</v>
      </c>
      <c r="CY108" s="82">
        <f t="shared" si="615"/>
        <v>26970.9</v>
      </c>
      <c r="CZ108" s="82">
        <f t="shared" ca="1" si="616"/>
        <v>28401.707168214933</v>
      </c>
      <c r="DA108" s="82">
        <f t="shared" ca="1" si="617"/>
        <v>32355.841818164583</v>
      </c>
      <c r="DB108" s="82">
        <f t="shared" ca="1" si="618"/>
        <v>35622.663573233338</v>
      </c>
      <c r="DC108" s="82">
        <f t="shared" ca="1" si="619"/>
        <v>38806.286321707448</v>
      </c>
      <c r="DD108" s="82">
        <f t="shared" ca="1" si="620"/>
        <v>42041.38104446714</v>
      </c>
      <c r="DE108" s="82">
        <f t="shared" ca="1" si="621"/>
        <v>45353.102262486034</v>
      </c>
    </row>
    <row r="109" spans="1:137" ht="12.75" customHeight="1" thickTop="1">
      <c r="A109" s="1"/>
      <c r="B109" s="112"/>
      <c r="C109" s="180"/>
      <c r="D109" s="1"/>
      <c r="E109" s="1"/>
      <c r="F109" s="188"/>
      <c r="G109" s="188"/>
      <c r="H109" s="188"/>
      <c r="I109" s="188"/>
      <c r="J109" s="188"/>
      <c r="K109" s="188"/>
      <c r="L109" s="188"/>
      <c r="M109" s="188"/>
      <c r="N109" s="188"/>
      <c r="O109" s="188"/>
      <c r="P109" s="188"/>
      <c r="Q109" s="188"/>
      <c r="R109" s="188"/>
      <c r="S109" s="188"/>
      <c r="T109" s="188"/>
      <c r="U109" s="188"/>
      <c r="V109" s="188"/>
      <c r="W109" s="188"/>
      <c r="X109" s="188"/>
      <c r="Y109" s="187"/>
      <c r="Z109" s="187"/>
      <c r="AA109" s="187"/>
      <c r="AB109" s="187"/>
      <c r="AC109" s="187"/>
      <c r="AD109" s="188"/>
      <c r="AE109" s="188"/>
      <c r="AF109" s="188"/>
      <c r="AG109" s="188"/>
      <c r="AH109" s="188"/>
      <c r="AI109" s="188"/>
      <c r="AJ109" s="188"/>
      <c r="AK109" s="188"/>
      <c r="AL109" s="188"/>
      <c r="AM109" s="188"/>
      <c r="AN109" s="188"/>
      <c r="AO109" s="188"/>
      <c r="AP109" s="188"/>
      <c r="AQ109" s="188"/>
      <c r="AR109" s="188"/>
      <c r="AS109" s="188"/>
      <c r="AT109" s="188"/>
      <c r="AU109" s="188"/>
      <c r="AV109" s="188"/>
      <c r="AW109" s="188"/>
      <c r="AX109" s="188"/>
      <c r="AY109" s="188"/>
      <c r="AZ109" s="188"/>
      <c r="BA109" s="188"/>
      <c r="BB109" s="188"/>
      <c r="BC109" s="188"/>
      <c r="BD109" s="188"/>
      <c r="BE109" s="188"/>
      <c r="BF109" s="188"/>
      <c r="BG109" s="188"/>
      <c r="BH109" s="188"/>
      <c r="BI109" s="188"/>
      <c r="BJ109" s="188"/>
      <c r="BK109" s="188"/>
      <c r="BL109" s="188"/>
      <c r="BM109" s="188"/>
      <c r="BN109" s="188"/>
      <c r="BO109" s="188"/>
      <c r="BP109" s="188"/>
      <c r="BQ109" s="188"/>
      <c r="BR109" s="188"/>
      <c r="BS109" s="188"/>
      <c r="BT109" s="188"/>
      <c r="BU109" s="188"/>
      <c r="BV109" s="188"/>
      <c r="BW109" s="188"/>
      <c r="BX109" s="188"/>
      <c r="BY109" s="188"/>
      <c r="BZ109" s="188"/>
      <c r="CA109" s="188"/>
      <c r="CB109" s="188"/>
      <c r="CC109" s="188"/>
      <c r="CD109" s="186"/>
      <c r="CE109" s="187"/>
      <c r="CF109" s="187"/>
      <c r="CG109" s="187"/>
      <c r="CH109" s="187"/>
      <c r="CI109" s="187"/>
      <c r="CJ109" s="187"/>
      <c r="CK109" s="188"/>
      <c r="CL109" s="192"/>
      <c r="CM109" s="188"/>
      <c r="CN109" s="188"/>
      <c r="CO109" s="188"/>
      <c r="CP109" s="188"/>
      <c r="CQ109" s="188"/>
      <c r="CR109" s="188"/>
      <c r="CS109" s="188"/>
      <c r="CT109" s="188"/>
      <c r="CU109" s="188"/>
      <c r="CV109" s="188"/>
      <c r="CW109" s="188"/>
      <c r="CX109" s="188"/>
      <c r="CY109" s="188"/>
      <c r="CZ109" s="188"/>
      <c r="DA109" s="188"/>
      <c r="DB109" s="188"/>
      <c r="DC109" s="188"/>
      <c r="DD109" s="188"/>
      <c r="DE109" s="188"/>
    </row>
    <row r="110" spans="1:137" s="86" customFormat="1" ht="12.75" customHeight="1" thickBot="1">
      <c r="A110" s="79"/>
      <c r="B110" s="80" t="s">
        <v>36</v>
      </c>
      <c r="C110" s="79"/>
      <c r="D110" s="81"/>
      <c r="E110" s="81"/>
      <c r="F110" s="82"/>
      <c r="G110" s="82"/>
      <c r="H110" s="82"/>
      <c r="I110" s="82">
        <f t="shared" ref="I110:BK110" si="643">I108+I99</f>
        <v>81.8</v>
      </c>
      <c r="J110" s="82">
        <f t="shared" si="643"/>
        <v>160.19999999999999</v>
      </c>
      <c r="K110" s="82">
        <f t="shared" si="643"/>
        <v>639.20000000000005</v>
      </c>
      <c r="L110" s="82">
        <f t="shared" si="643"/>
        <v>9633.6</v>
      </c>
      <c r="M110" s="82">
        <f t="shared" si="643"/>
        <v>9650.9000000000015</v>
      </c>
      <c r="N110" s="82">
        <f t="shared" si="643"/>
        <v>8583</v>
      </c>
      <c r="O110" s="82">
        <f t="shared" si="643"/>
        <v>8583</v>
      </c>
      <c r="P110" s="82">
        <f t="shared" si="643"/>
        <v>7908.3000000000011</v>
      </c>
      <c r="Q110" s="82">
        <f t="shared" si="643"/>
        <v>7598.2</v>
      </c>
      <c r="R110" s="82">
        <f t="shared" si="643"/>
        <v>7598.2</v>
      </c>
      <c r="S110" s="82">
        <f t="shared" si="643"/>
        <v>7100.0000000000009</v>
      </c>
      <c r="T110" s="82">
        <f t="shared" si="643"/>
        <v>7564.8999999999987</v>
      </c>
      <c r="U110" s="82">
        <f t="shared" si="643"/>
        <v>7564.8999999999987</v>
      </c>
      <c r="V110" s="82">
        <f t="shared" si="643"/>
        <v>7953.4000000000005</v>
      </c>
      <c r="W110" s="82">
        <f t="shared" si="643"/>
        <v>8219.9</v>
      </c>
      <c r="X110" s="82">
        <f t="shared" si="643"/>
        <v>8219.9</v>
      </c>
      <c r="Y110" s="82">
        <f t="shared" si="643"/>
        <v>8412.7000000000007</v>
      </c>
      <c r="Z110" s="82">
        <f t="shared" si="643"/>
        <v>8890.7000000000007</v>
      </c>
      <c r="AA110" s="82">
        <f>AA108+AA99</f>
        <v>8890.7000000000007</v>
      </c>
      <c r="AB110" s="82">
        <f t="shared" si="643"/>
        <v>9358.7999999999993</v>
      </c>
      <c r="AC110" s="82">
        <f t="shared" si="643"/>
        <v>9403.9000000000015</v>
      </c>
      <c r="AD110" s="82">
        <f t="shared" si="643"/>
        <v>9403.9000000000015</v>
      </c>
      <c r="AE110" s="82">
        <f t="shared" si="643"/>
        <v>10402.199999999999</v>
      </c>
      <c r="AF110" s="82">
        <f t="shared" si="643"/>
        <v>11262.3</v>
      </c>
      <c r="AG110" s="82">
        <f t="shared" si="643"/>
        <v>11262.3</v>
      </c>
      <c r="AH110" s="82">
        <f t="shared" si="643"/>
        <v>12262.2</v>
      </c>
      <c r="AI110" s="82">
        <f t="shared" si="643"/>
        <v>12387.1</v>
      </c>
      <c r="AJ110" s="82">
        <f t="shared" si="643"/>
        <v>12387.1</v>
      </c>
      <c r="AK110" s="82">
        <f t="shared" si="643"/>
        <v>12816.8</v>
      </c>
      <c r="AL110" s="82">
        <f t="shared" si="643"/>
        <v>12711.199999999999</v>
      </c>
      <c r="AM110" s="82">
        <f t="shared" si="643"/>
        <v>12711.199999999999</v>
      </c>
      <c r="AN110" s="82">
        <f t="shared" si="643"/>
        <v>12872.3</v>
      </c>
      <c r="AO110" s="82">
        <f t="shared" si="643"/>
        <v>13459.400000000001</v>
      </c>
      <c r="AP110" s="82">
        <f t="shared" si="643"/>
        <v>13459.400000000001</v>
      </c>
      <c r="AQ110" s="82">
        <f t="shared" si="643"/>
        <v>14235</v>
      </c>
      <c r="AR110" s="82">
        <f t="shared" si="643"/>
        <v>14912.8</v>
      </c>
      <c r="AS110" s="82">
        <f t="shared" si="643"/>
        <v>14912.8</v>
      </c>
      <c r="AT110" s="82">
        <f t="shared" si="643"/>
        <v>15375.8</v>
      </c>
      <c r="AU110" s="82">
        <f t="shared" si="643"/>
        <v>16138.2</v>
      </c>
      <c r="AV110" s="82">
        <f t="shared" si="643"/>
        <v>16138.2</v>
      </c>
      <c r="AW110" s="82">
        <f t="shared" si="643"/>
        <v>15458.199999999999</v>
      </c>
      <c r="AX110" s="82">
        <f t="shared" si="643"/>
        <v>16867</v>
      </c>
      <c r="AY110" s="82">
        <f t="shared" si="643"/>
        <v>16867</v>
      </c>
      <c r="AZ110" s="82">
        <f t="shared" si="643"/>
        <v>19154.5</v>
      </c>
      <c r="BA110" s="82">
        <f t="shared" si="643"/>
        <v>21432.400000000001</v>
      </c>
      <c r="BB110" s="82">
        <f t="shared" si="643"/>
        <v>21432.400000000001</v>
      </c>
      <c r="BC110" s="82">
        <f t="shared" si="643"/>
        <v>23205.3</v>
      </c>
      <c r="BD110" s="82">
        <f t="shared" si="643"/>
        <v>24027.200000000001</v>
      </c>
      <c r="BE110" s="82">
        <f t="shared" si="643"/>
        <v>24027.200000000001</v>
      </c>
      <c r="BF110" s="82">
        <f t="shared" si="643"/>
        <v>23066.2</v>
      </c>
      <c r="BG110" s="82">
        <f t="shared" si="643"/>
        <v>23828.100000000002</v>
      </c>
      <c r="BH110" s="82">
        <f t="shared" si="643"/>
        <v>23828.100000000002</v>
      </c>
      <c r="BI110" s="82">
        <f t="shared" si="643"/>
        <v>27391.7</v>
      </c>
      <c r="BJ110" s="82">
        <f t="shared" si="643"/>
        <v>31565.300000000003</v>
      </c>
      <c r="BK110" s="82">
        <f t="shared" si="643"/>
        <v>31565.300000000003</v>
      </c>
      <c r="BL110" s="82">
        <f t="shared" ref="BL110:BN110" si="644">BL108+BL99</f>
        <v>30324.399999999998</v>
      </c>
      <c r="BM110" s="82">
        <f t="shared" ca="1" si="644"/>
        <v>31864.433073445034</v>
      </c>
      <c r="BN110" s="82">
        <f t="shared" ca="1" si="644"/>
        <v>31864.433073445034</v>
      </c>
      <c r="BO110" s="82">
        <f t="shared" ref="BO110:BQ110" ca="1" si="645">BO108+BO99</f>
        <v>33414.858350431663</v>
      </c>
      <c r="BP110" s="82">
        <f t="shared" ca="1" si="645"/>
        <v>35011.858000561151</v>
      </c>
      <c r="BQ110" s="82">
        <f t="shared" ca="1" si="645"/>
        <v>35011.858000561151</v>
      </c>
      <c r="BR110" s="82">
        <f t="shared" ref="BR110:BT110" ca="1" si="646">BR108+BR99</f>
        <v>36799.569545896236</v>
      </c>
      <c r="BS110" s="82">
        <f t="shared" ca="1" si="646"/>
        <v>38611.334065980605</v>
      </c>
      <c r="BT110" s="82">
        <f t="shared" ca="1" si="646"/>
        <v>38611.334065980605</v>
      </c>
      <c r="BU110" s="82">
        <f t="shared" ref="BU110:BZ110" ca="1" si="647">BU108+BU99</f>
        <v>40564.739829425627</v>
      </c>
      <c r="BV110" s="82">
        <f t="shared" ca="1" si="647"/>
        <v>42548.931906893238</v>
      </c>
      <c r="BW110" s="82">
        <f t="shared" ca="1" si="647"/>
        <v>42548.931906893238</v>
      </c>
      <c r="BX110" s="82">
        <f t="shared" ca="1" si="647"/>
        <v>44636.586794296032</v>
      </c>
      <c r="BY110" s="82">
        <f t="shared" ca="1" si="647"/>
        <v>46746.742969340376</v>
      </c>
      <c r="BZ110" s="82">
        <f t="shared" ca="1" si="647"/>
        <v>46746.742969340376</v>
      </c>
      <c r="CA110" s="82">
        <f t="shared" ref="CA110:CC110" ca="1" si="648">CA108+CA99</f>
        <v>48987.368758073688</v>
      </c>
      <c r="CB110" s="82">
        <f t="shared" ca="1" si="648"/>
        <v>51255.941990765044</v>
      </c>
      <c r="CC110" s="82">
        <f t="shared" ca="1" si="648"/>
        <v>51255.941990765044</v>
      </c>
      <c r="CD110" s="134"/>
      <c r="CE110" s="198"/>
      <c r="CF110" s="198"/>
      <c r="CG110" s="198"/>
      <c r="CH110" s="198"/>
      <c r="CI110" s="198"/>
      <c r="CJ110" s="198"/>
      <c r="CK110" s="199"/>
      <c r="CL110" s="85">
        <f>X110</f>
        <v>8219.9</v>
      </c>
      <c r="CM110" s="82">
        <f>AA110</f>
        <v>8890.7000000000007</v>
      </c>
      <c r="CN110" s="82">
        <f>AD110</f>
        <v>9403.9000000000015</v>
      </c>
      <c r="CO110" s="82">
        <f>AG110</f>
        <v>11262.3</v>
      </c>
      <c r="CP110" s="82">
        <f>AJ110</f>
        <v>12387.1</v>
      </c>
      <c r="CQ110" s="82">
        <f>AM110</f>
        <v>12711.199999999999</v>
      </c>
      <c r="CR110" s="82">
        <f>AP110</f>
        <v>13459.400000000001</v>
      </c>
      <c r="CS110" s="82">
        <f>AS110</f>
        <v>14912.8</v>
      </c>
      <c r="CT110" s="82">
        <f>AV110</f>
        <v>16138.2</v>
      </c>
      <c r="CU110" s="82">
        <f>AY110</f>
        <v>16867</v>
      </c>
      <c r="CV110" s="82">
        <f>BB110</f>
        <v>21432.400000000001</v>
      </c>
      <c r="CW110" s="82">
        <f>BE110</f>
        <v>24027.200000000001</v>
      </c>
      <c r="CX110" s="82">
        <f>BH110</f>
        <v>23828.100000000002</v>
      </c>
      <c r="CY110" s="82">
        <f>BK110</f>
        <v>31565.300000000003</v>
      </c>
      <c r="CZ110" s="82">
        <f ca="1">BN110</f>
        <v>31864.433073445034</v>
      </c>
      <c r="DA110" s="82">
        <f ca="1">BQ110</f>
        <v>35011.858000561151</v>
      </c>
      <c r="DB110" s="82">
        <f ca="1">BT110</f>
        <v>38611.334065980605</v>
      </c>
      <c r="DC110" s="82">
        <f ca="1">BW110</f>
        <v>42548.931906893238</v>
      </c>
      <c r="DD110" s="82">
        <f ca="1">BZ110</f>
        <v>46746.742969340376</v>
      </c>
      <c r="DE110" s="82">
        <f ca="1">CC110</f>
        <v>51255.941990765044</v>
      </c>
      <c r="DF110" s="48"/>
      <c r="DG110" s="48"/>
      <c r="DH110" s="48"/>
      <c r="DI110" s="48"/>
      <c r="DJ110" s="48"/>
      <c r="DK110" s="48"/>
      <c r="EB110"/>
      <c r="EC110"/>
      <c r="ED110"/>
      <c r="EE110"/>
      <c r="EF110"/>
      <c r="EG110"/>
    </row>
    <row r="111" spans="1:137" ht="12.75" customHeight="1" thickTop="1">
      <c r="A111" s="1"/>
      <c r="B111" s="13"/>
      <c r="C111" s="200"/>
      <c r="D111" s="201"/>
      <c r="E111" s="201"/>
      <c r="F111" s="202"/>
      <c r="G111" s="202"/>
      <c r="H111" s="202"/>
      <c r="I111" s="202"/>
      <c r="J111" s="202"/>
      <c r="K111" s="202"/>
      <c r="L111" s="202"/>
      <c r="M111" s="202"/>
      <c r="N111" s="202"/>
      <c r="O111" s="202"/>
      <c r="P111" s="202"/>
      <c r="Q111" s="202"/>
      <c r="R111" s="202"/>
      <c r="S111" s="202"/>
      <c r="T111" s="202"/>
      <c r="U111" s="202"/>
      <c r="V111" s="202"/>
      <c r="W111" s="202"/>
      <c r="X111" s="202"/>
      <c r="Y111" s="203"/>
      <c r="Z111" s="203"/>
      <c r="AA111" s="203"/>
      <c r="AB111" s="203"/>
      <c r="AC111" s="204"/>
      <c r="AD111" s="205"/>
      <c r="AE111" s="205"/>
      <c r="AF111" s="205"/>
      <c r="AG111" s="205"/>
      <c r="AH111" s="205"/>
      <c r="AI111" s="205"/>
      <c r="AJ111" s="205"/>
      <c r="AK111" s="205"/>
      <c r="AL111" s="205"/>
      <c r="AM111" s="205"/>
      <c r="AN111" s="205"/>
      <c r="AO111" s="205"/>
      <c r="AP111" s="205"/>
      <c r="AQ111" s="205"/>
      <c r="AR111" s="205"/>
      <c r="AS111" s="205"/>
      <c r="AT111" s="205"/>
      <c r="AU111" s="205"/>
      <c r="AV111" s="205"/>
      <c r="AW111" s="205"/>
      <c r="AX111" s="205"/>
      <c r="AY111" s="205"/>
      <c r="AZ111" s="205"/>
      <c r="BA111" s="205"/>
      <c r="BB111" s="205"/>
      <c r="BC111" s="205"/>
      <c r="BD111" s="205"/>
      <c r="BE111" s="205"/>
      <c r="BF111" s="205"/>
      <c r="BG111" s="205"/>
      <c r="BH111" s="205"/>
      <c r="BI111" s="205"/>
      <c r="BJ111" s="205"/>
      <c r="BK111" s="205"/>
      <c r="BL111" s="205"/>
      <c r="BM111" s="205"/>
      <c r="BN111" s="205"/>
      <c r="BO111" s="205"/>
      <c r="BP111" s="205"/>
      <c r="BQ111" s="205"/>
      <c r="BR111" s="205"/>
      <c r="BS111" s="205"/>
      <c r="BT111" s="205"/>
      <c r="BU111" s="205"/>
      <c r="BV111" s="205"/>
      <c r="BW111" s="205"/>
      <c r="BX111" s="205"/>
      <c r="BY111" s="205"/>
      <c r="BZ111" s="205"/>
      <c r="CA111" s="205"/>
      <c r="CB111" s="205"/>
      <c r="CC111" s="205"/>
      <c r="CD111" s="186"/>
      <c r="CE111" s="187"/>
      <c r="CF111" s="187"/>
      <c r="CG111" s="187"/>
      <c r="CH111" s="187"/>
      <c r="CI111" s="187"/>
      <c r="CJ111" s="187"/>
      <c r="CK111" s="188"/>
      <c r="CL111" s="206"/>
      <c r="CM111" s="205"/>
      <c r="CN111" s="205"/>
      <c r="CO111" s="205"/>
      <c r="CP111" s="205"/>
      <c r="CQ111" s="205"/>
      <c r="CR111" s="205"/>
      <c r="CS111" s="205"/>
      <c r="CT111" s="205"/>
      <c r="CU111" s="205"/>
      <c r="CV111" s="205"/>
      <c r="CW111" s="205"/>
      <c r="CX111" s="205"/>
      <c r="CY111" s="205"/>
      <c r="CZ111" s="205"/>
      <c r="DA111" s="205"/>
      <c r="DB111" s="205"/>
      <c r="DC111" s="205"/>
      <c r="DD111" s="205"/>
      <c r="DE111" s="205"/>
    </row>
    <row r="112" spans="1:137" ht="12.75" customHeight="1">
      <c r="A112" s="1"/>
      <c r="B112" s="154" t="s">
        <v>112</v>
      </c>
      <c r="C112" s="207"/>
      <c r="D112" s="207"/>
      <c r="E112" s="207"/>
      <c r="F112" s="208"/>
      <c r="G112" s="208"/>
      <c r="H112" s="208"/>
      <c r="I112" s="208"/>
      <c r="J112" s="208"/>
      <c r="K112" s="208"/>
      <c r="L112" s="208"/>
      <c r="M112" s="208"/>
      <c r="N112" s="208"/>
      <c r="O112" s="208"/>
      <c r="P112" s="208"/>
      <c r="Q112" s="208"/>
      <c r="R112" s="208"/>
      <c r="S112" s="208"/>
      <c r="T112" s="208"/>
      <c r="U112" s="208"/>
      <c r="V112" s="208"/>
      <c r="W112" s="208"/>
      <c r="X112" s="208"/>
      <c r="Y112" s="209"/>
      <c r="Z112" s="209"/>
      <c r="AA112" s="209"/>
      <c r="AB112" s="209"/>
      <c r="AC112" s="187"/>
      <c r="AD112" s="188"/>
      <c r="AE112" s="188"/>
      <c r="AF112" s="188"/>
      <c r="AG112" s="188"/>
      <c r="AH112" s="188"/>
      <c r="AI112" s="188"/>
      <c r="AJ112" s="188"/>
      <c r="AK112" s="188"/>
      <c r="AL112" s="188"/>
      <c r="AM112" s="188"/>
      <c r="AN112" s="188"/>
      <c r="AO112" s="188"/>
      <c r="AP112" s="188"/>
      <c r="AQ112" s="188"/>
      <c r="AR112" s="188"/>
      <c r="AS112" s="188"/>
      <c r="AT112" s="188"/>
      <c r="AU112" s="188"/>
      <c r="AV112" s="188"/>
      <c r="AW112" s="188"/>
      <c r="AX112" s="188"/>
      <c r="AY112" s="188"/>
      <c r="AZ112" s="188"/>
      <c r="BA112" s="188"/>
      <c r="BB112" s="188"/>
      <c r="BC112" s="188"/>
      <c r="BD112" s="188"/>
      <c r="BE112" s="188"/>
      <c r="BF112" s="188"/>
      <c r="BG112" s="188"/>
      <c r="BH112" s="188"/>
      <c r="BI112" s="188"/>
      <c r="BJ112" s="188"/>
      <c r="BK112" s="188"/>
      <c r="BL112" s="188"/>
      <c r="BM112" s="188"/>
      <c r="BN112" s="188"/>
      <c r="BO112" s="188"/>
      <c r="BP112" s="188"/>
      <c r="BQ112" s="188"/>
      <c r="BR112" s="188"/>
      <c r="BS112" s="188"/>
      <c r="BT112" s="188"/>
      <c r="BU112" s="188"/>
      <c r="BV112" s="188"/>
      <c r="BW112" s="188"/>
      <c r="BX112" s="188"/>
      <c r="BY112" s="188"/>
      <c r="BZ112" s="188"/>
      <c r="CA112" s="188"/>
      <c r="CB112" s="188"/>
      <c r="CC112" s="188"/>
      <c r="CD112" s="186"/>
      <c r="CE112" s="187"/>
      <c r="CF112" s="187"/>
      <c r="CG112" s="187"/>
      <c r="CH112" s="187"/>
      <c r="CI112" s="187"/>
      <c r="CJ112" s="187"/>
      <c r="CK112" s="188"/>
      <c r="CL112" s="192"/>
      <c r="CM112" s="188"/>
      <c r="CN112" s="188"/>
      <c r="CO112" s="188"/>
      <c r="CP112" s="188"/>
      <c r="CQ112" s="188"/>
      <c r="CR112" s="188"/>
      <c r="CS112" s="188"/>
      <c r="CT112" s="188"/>
      <c r="CU112" s="188"/>
      <c r="CV112" s="188"/>
      <c r="CW112" s="188"/>
      <c r="CX112" s="188"/>
      <c r="CY112" s="188"/>
      <c r="CZ112" s="188"/>
      <c r="DA112" s="188"/>
      <c r="DB112" s="188"/>
      <c r="DC112" s="188"/>
      <c r="DD112" s="188"/>
      <c r="DE112" s="188"/>
    </row>
    <row r="113" spans="1:137" ht="12.75" customHeight="1">
      <c r="A113" s="1"/>
      <c r="B113" s="210" t="s">
        <v>113</v>
      </c>
      <c r="C113" s="211"/>
      <c r="D113" s="181"/>
      <c r="E113" s="181"/>
      <c r="F113" s="182"/>
      <c r="G113" s="182"/>
      <c r="H113" s="182"/>
      <c r="I113" s="182"/>
      <c r="J113" s="182"/>
      <c r="K113" s="182"/>
      <c r="L113" s="182">
        <v>474.8</v>
      </c>
      <c r="M113" s="182">
        <v>526.70000000000005</v>
      </c>
      <c r="N113" s="182">
        <v>255.2</v>
      </c>
      <c r="O113" s="182">
        <v>255.2</v>
      </c>
      <c r="P113" s="182">
        <v>147.69999999999999</v>
      </c>
      <c r="Q113" s="182">
        <v>193</v>
      </c>
      <c r="R113" s="182">
        <v>193</v>
      </c>
      <c r="S113" s="182">
        <v>140.80000000000001</v>
      </c>
      <c r="T113" s="182">
        <v>214.6</v>
      </c>
      <c r="U113" s="182">
        <v>214.6</v>
      </c>
      <c r="V113" s="182">
        <v>182.3</v>
      </c>
      <c r="W113" s="182">
        <v>259.5</v>
      </c>
      <c r="X113" s="182">
        <v>259.5</v>
      </c>
      <c r="Y113" s="183">
        <v>160.9</v>
      </c>
      <c r="Z113" s="183">
        <v>271</v>
      </c>
      <c r="AA113" s="183">
        <f>+Z113</f>
        <v>271</v>
      </c>
      <c r="AB113" s="183">
        <v>291.2</v>
      </c>
      <c r="AC113" s="183">
        <v>266.2</v>
      </c>
      <c r="AD113" s="182">
        <f t="shared" ref="AD113:BB117" si="649">AC113</f>
        <v>266.2</v>
      </c>
      <c r="AE113" s="182">
        <v>223.6</v>
      </c>
      <c r="AF113" s="182">
        <v>371.4</v>
      </c>
      <c r="AG113" s="182">
        <f t="shared" si="649"/>
        <v>371.4</v>
      </c>
      <c r="AH113" s="182">
        <v>340.1</v>
      </c>
      <c r="AI113" s="182">
        <v>407.4</v>
      </c>
      <c r="AJ113" s="182">
        <f t="shared" si="649"/>
        <v>407.4</v>
      </c>
      <c r="AK113" s="182">
        <v>371.6</v>
      </c>
      <c r="AL113" s="182">
        <v>358.8</v>
      </c>
      <c r="AM113" s="182">
        <f t="shared" si="649"/>
        <v>358.8</v>
      </c>
      <c r="AN113" s="182">
        <v>303.5</v>
      </c>
      <c r="AO113" s="182">
        <v>422.5</v>
      </c>
      <c r="AP113" s="182">
        <f t="shared" ref="AP113:AP117" si="650">AO113</f>
        <v>422.5</v>
      </c>
      <c r="AQ113" s="182">
        <v>354.1</v>
      </c>
      <c r="AR113" s="182">
        <v>453.3</v>
      </c>
      <c r="AS113" s="182">
        <f t="shared" si="649"/>
        <v>453.3</v>
      </c>
      <c r="AT113" s="182">
        <v>439.5</v>
      </c>
      <c r="AU113" s="182">
        <v>584.5</v>
      </c>
      <c r="AV113" s="182">
        <f t="shared" si="649"/>
        <v>584.5</v>
      </c>
      <c r="AW113" s="185">
        <v>507.8</v>
      </c>
      <c r="AX113" s="185">
        <v>565.9</v>
      </c>
      <c r="AY113" s="185">
        <f t="shared" si="649"/>
        <v>565.9</v>
      </c>
      <c r="AZ113" s="185">
        <v>626</v>
      </c>
      <c r="BA113" s="182">
        <v>606.5</v>
      </c>
      <c r="BB113" s="185">
        <f t="shared" si="649"/>
        <v>606.5</v>
      </c>
      <c r="BC113" s="182">
        <v>635</v>
      </c>
      <c r="BD113" s="182">
        <v>683.4</v>
      </c>
      <c r="BE113" s="185">
        <f t="shared" ref="BE113:BE117" si="651">BD113</f>
        <v>683.4</v>
      </c>
      <c r="BF113" s="182">
        <v>750.6</v>
      </c>
      <c r="BG113" s="182">
        <v>837.2</v>
      </c>
      <c r="BH113" s="185">
        <f>BG113</f>
        <v>837.2</v>
      </c>
      <c r="BI113" s="182">
        <v>729.4</v>
      </c>
      <c r="BJ113" s="182">
        <v>1219.8</v>
      </c>
      <c r="BK113" s="185">
        <f t="shared" ref="BK113:BK117" si="652">BJ113</f>
        <v>1219.8</v>
      </c>
      <c r="BL113" s="182">
        <v>733.5</v>
      </c>
      <c r="BM113" s="185">
        <f t="shared" ref="BM113:BM117" si="653">BL113</f>
        <v>733.5</v>
      </c>
      <c r="BN113" s="185">
        <f t="shared" ref="BN113:BN117" si="654">BM113</f>
        <v>733.5</v>
      </c>
      <c r="BO113" s="185">
        <f t="shared" ref="BO113:BO117" si="655">BN113</f>
        <v>733.5</v>
      </c>
      <c r="BP113" s="185">
        <f t="shared" ref="BP113:BP117" si="656">BO113</f>
        <v>733.5</v>
      </c>
      <c r="BQ113" s="185">
        <f t="shared" ref="BQ113:BQ117" si="657">BP113</f>
        <v>733.5</v>
      </c>
      <c r="BR113" s="185">
        <f t="shared" ref="BR113:BR117" si="658">BQ113</f>
        <v>733.5</v>
      </c>
      <c r="BS113" s="185">
        <f t="shared" ref="BS113:BS117" si="659">BR113</f>
        <v>733.5</v>
      </c>
      <c r="BT113" s="185">
        <f t="shared" ref="BT113:BT117" si="660">BS113</f>
        <v>733.5</v>
      </c>
      <c r="BU113" s="185">
        <f t="shared" ref="BU113:BU117" si="661">BT113</f>
        <v>733.5</v>
      </c>
      <c r="BV113" s="185">
        <f t="shared" ref="BV113:BV117" si="662">BU113</f>
        <v>733.5</v>
      </c>
      <c r="BW113" s="185">
        <f t="shared" ref="BW113:BW117" si="663">BV113</f>
        <v>733.5</v>
      </c>
      <c r="BX113" s="185">
        <f t="shared" ref="BX113:BX117" si="664">BW113</f>
        <v>733.5</v>
      </c>
      <c r="BY113" s="185">
        <f t="shared" ref="BY113:BY117" si="665">BX113</f>
        <v>733.5</v>
      </c>
      <c r="BZ113" s="185">
        <f t="shared" ref="BZ113:BZ117" si="666">BY113</f>
        <v>733.5</v>
      </c>
      <c r="CA113" s="185">
        <f t="shared" ref="CA113:CA117" si="667">BZ113</f>
        <v>733.5</v>
      </c>
      <c r="CB113" s="185">
        <f t="shared" ref="CB113:CB117" si="668">CA113</f>
        <v>733.5</v>
      </c>
      <c r="CC113" s="185">
        <f t="shared" ref="CC113:CC117" si="669">CB113</f>
        <v>733.5</v>
      </c>
      <c r="CD113" s="186"/>
      <c r="CE113" s="187"/>
      <c r="CF113" s="187"/>
      <c r="CG113" s="187"/>
      <c r="CH113" s="187"/>
      <c r="CI113" s="187"/>
      <c r="CJ113" s="187"/>
      <c r="CK113" s="188"/>
      <c r="CL113" s="189">
        <f t="shared" ref="CL113:CL118" si="670">X113</f>
        <v>259.5</v>
      </c>
      <c r="CM113" s="185">
        <f t="shared" ref="CM113:CM118" si="671">AA113</f>
        <v>271</v>
      </c>
      <c r="CN113" s="185">
        <f t="shared" ref="CN113:CN118" si="672">AD113</f>
        <v>266.2</v>
      </c>
      <c r="CO113" s="185">
        <f t="shared" ref="CO113:CO118" si="673">AG113</f>
        <v>371.4</v>
      </c>
      <c r="CP113" s="185">
        <f t="shared" ref="CP113:CP118" si="674">AJ113</f>
        <v>407.4</v>
      </c>
      <c r="CQ113" s="185">
        <f t="shared" ref="CQ113:CQ118" si="675">AM113</f>
        <v>358.8</v>
      </c>
      <c r="CR113" s="185">
        <f t="shared" ref="CR113:CR118" si="676">AP113</f>
        <v>422.5</v>
      </c>
      <c r="CS113" s="185">
        <f t="shared" ref="CS113:CS118" si="677">AS113</f>
        <v>453.3</v>
      </c>
      <c r="CT113" s="185">
        <f t="shared" ref="CT113:CT118" si="678">AV113</f>
        <v>584.5</v>
      </c>
      <c r="CU113" s="185">
        <f t="shared" ref="CU113:CU118" si="679">AY113</f>
        <v>565.9</v>
      </c>
      <c r="CV113" s="185">
        <f t="shared" ref="CV113:CV118" si="680">BB113</f>
        <v>606.5</v>
      </c>
      <c r="CW113" s="185">
        <f t="shared" ref="CW113:CW118" si="681">BE113</f>
        <v>683.4</v>
      </c>
      <c r="CX113" s="185">
        <f t="shared" ref="CX113:CX118" si="682">BH113</f>
        <v>837.2</v>
      </c>
      <c r="CY113" s="185">
        <f t="shared" ref="CY113:CY118" si="683">BK113</f>
        <v>1219.8</v>
      </c>
      <c r="CZ113" s="185">
        <f t="shared" ref="CZ113:CZ118" si="684">BN113</f>
        <v>733.5</v>
      </c>
      <c r="DA113" s="185">
        <f t="shared" ref="DA113:DA118" si="685">BQ113</f>
        <v>733.5</v>
      </c>
      <c r="DB113" s="185">
        <f t="shared" ref="DB113:DB118" si="686">BT113</f>
        <v>733.5</v>
      </c>
      <c r="DC113" s="185">
        <f t="shared" ref="DC113:DC118" si="687">BW113</f>
        <v>733.5</v>
      </c>
      <c r="DD113" s="185">
        <f t="shared" ref="DD113:DD118" si="688">BZ113</f>
        <v>733.5</v>
      </c>
      <c r="DE113" s="185">
        <f t="shared" ref="DE113:DE118" si="689">CC113</f>
        <v>733.5</v>
      </c>
    </row>
    <row r="114" spans="1:137" ht="12.75" customHeight="1">
      <c r="A114" s="1"/>
      <c r="B114" s="13" t="s">
        <v>114</v>
      </c>
      <c r="C114" s="1"/>
      <c r="D114" s="190"/>
      <c r="E114" s="190"/>
      <c r="F114" s="184"/>
      <c r="G114" s="184"/>
      <c r="H114" s="184"/>
      <c r="I114" s="184"/>
      <c r="J114" s="184"/>
      <c r="K114" s="184"/>
      <c r="L114" s="184"/>
      <c r="M114" s="184">
        <v>13</v>
      </c>
      <c r="N114" s="184">
        <v>13.2</v>
      </c>
      <c r="O114" s="184">
        <v>13.2</v>
      </c>
      <c r="P114" s="184">
        <v>18.399999999999999</v>
      </c>
      <c r="Q114" s="184">
        <v>25.3</v>
      </c>
      <c r="R114" s="184">
        <v>25.3</v>
      </c>
      <c r="S114" s="184">
        <v>24.6</v>
      </c>
      <c r="T114" s="184">
        <v>26.1</v>
      </c>
      <c r="U114" s="184">
        <v>26.1</v>
      </c>
      <c r="V114" s="184">
        <v>27.8</v>
      </c>
      <c r="W114" s="184">
        <v>29.9</v>
      </c>
      <c r="X114" s="184">
        <v>29.9</v>
      </c>
      <c r="Y114" s="191">
        <v>37.299999999999997</v>
      </c>
      <c r="Z114" s="191">
        <v>39</v>
      </c>
      <c r="AA114" s="183">
        <f>+Z114</f>
        <v>39</v>
      </c>
      <c r="AB114" s="191">
        <v>40</v>
      </c>
      <c r="AC114" s="191">
        <v>48.4</v>
      </c>
      <c r="AD114" s="184">
        <f t="shared" si="649"/>
        <v>48.4</v>
      </c>
      <c r="AE114" s="184">
        <v>38.700000000000003</v>
      </c>
      <c r="AF114" s="184">
        <v>42.9</v>
      </c>
      <c r="AG114" s="184">
        <f t="shared" si="649"/>
        <v>42.9</v>
      </c>
      <c r="AH114" s="184">
        <v>57.3</v>
      </c>
      <c r="AI114" s="184">
        <v>62.1</v>
      </c>
      <c r="AJ114" s="184">
        <f t="shared" si="649"/>
        <v>62.1</v>
      </c>
      <c r="AK114" s="184">
        <v>62.9</v>
      </c>
      <c r="AL114" s="184">
        <v>63.5</v>
      </c>
      <c r="AM114" s="184">
        <f t="shared" si="649"/>
        <v>63.5</v>
      </c>
      <c r="AN114" s="184">
        <v>64.099999999999994</v>
      </c>
      <c r="AO114" s="184">
        <v>59.2</v>
      </c>
      <c r="AP114" s="184">
        <f t="shared" si="650"/>
        <v>59.2</v>
      </c>
      <c r="AQ114" s="184">
        <v>78.599999999999994</v>
      </c>
      <c r="AR114" s="184">
        <v>92.6</v>
      </c>
      <c r="AS114" s="184">
        <f t="shared" si="649"/>
        <v>92.6</v>
      </c>
      <c r="AT114" s="184">
        <v>94.6</v>
      </c>
      <c r="AU114" s="184">
        <v>140.80000000000001</v>
      </c>
      <c r="AV114" s="184">
        <f t="shared" si="649"/>
        <v>140.80000000000001</v>
      </c>
      <c r="AW114" s="188">
        <v>160</v>
      </c>
      <c r="AX114" s="188">
        <v>160.1</v>
      </c>
      <c r="AY114" s="188">
        <f t="shared" si="649"/>
        <v>160.1</v>
      </c>
      <c r="AZ114" s="188">
        <v>134.30000000000001</v>
      </c>
      <c r="BA114" s="184">
        <v>173.4</v>
      </c>
      <c r="BB114" s="188">
        <f t="shared" si="649"/>
        <v>173.4</v>
      </c>
      <c r="BC114" s="184">
        <v>156.30000000000001</v>
      </c>
      <c r="BD114" s="184">
        <v>170.2</v>
      </c>
      <c r="BE114" s="185">
        <f t="shared" si="651"/>
        <v>170.2</v>
      </c>
      <c r="BF114" s="184">
        <v>177.5</v>
      </c>
      <c r="BG114" s="184">
        <v>217.8</v>
      </c>
      <c r="BH114" s="185">
        <f t="shared" ref="BH114:BH117" si="690">BG114</f>
        <v>217.8</v>
      </c>
      <c r="BI114" s="184">
        <v>173.3</v>
      </c>
      <c r="BJ114" s="184">
        <v>173.4</v>
      </c>
      <c r="BK114" s="185">
        <f t="shared" si="652"/>
        <v>173.4</v>
      </c>
      <c r="BL114" s="184">
        <v>158.4</v>
      </c>
      <c r="BM114" s="188">
        <f t="shared" si="653"/>
        <v>158.4</v>
      </c>
      <c r="BN114" s="188">
        <f t="shared" si="654"/>
        <v>158.4</v>
      </c>
      <c r="BO114" s="188">
        <f t="shared" si="655"/>
        <v>158.4</v>
      </c>
      <c r="BP114" s="188">
        <f t="shared" si="656"/>
        <v>158.4</v>
      </c>
      <c r="BQ114" s="188">
        <f t="shared" si="657"/>
        <v>158.4</v>
      </c>
      <c r="BR114" s="188">
        <f t="shared" si="658"/>
        <v>158.4</v>
      </c>
      <c r="BS114" s="188">
        <f t="shared" si="659"/>
        <v>158.4</v>
      </c>
      <c r="BT114" s="188">
        <f t="shared" si="660"/>
        <v>158.4</v>
      </c>
      <c r="BU114" s="188">
        <f t="shared" si="661"/>
        <v>158.4</v>
      </c>
      <c r="BV114" s="188">
        <f t="shared" si="662"/>
        <v>158.4</v>
      </c>
      <c r="BW114" s="188">
        <f t="shared" si="663"/>
        <v>158.4</v>
      </c>
      <c r="BX114" s="188">
        <f t="shared" si="664"/>
        <v>158.4</v>
      </c>
      <c r="BY114" s="188">
        <f t="shared" si="665"/>
        <v>158.4</v>
      </c>
      <c r="BZ114" s="188">
        <f t="shared" si="666"/>
        <v>158.4</v>
      </c>
      <c r="CA114" s="188">
        <f t="shared" si="667"/>
        <v>158.4</v>
      </c>
      <c r="CB114" s="188">
        <f t="shared" si="668"/>
        <v>158.4</v>
      </c>
      <c r="CC114" s="188">
        <f t="shared" si="669"/>
        <v>158.4</v>
      </c>
      <c r="CD114" s="186"/>
      <c r="CE114" s="187"/>
      <c r="CF114" s="187"/>
      <c r="CG114" s="187"/>
      <c r="CH114" s="187"/>
      <c r="CI114" s="187"/>
      <c r="CJ114" s="187"/>
      <c r="CK114" s="188"/>
      <c r="CL114" s="192">
        <f t="shared" si="670"/>
        <v>29.9</v>
      </c>
      <c r="CM114" s="188">
        <f t="shared" si="671"/>
        <v>39</v>
      </c>
      <c r="CN114" s="188">
        <f t="shared" si="672"/>
        <v>48.4</v>
      </c>
      <c r="CO114" s="188">
        <f t="shared" si="673"/>
        <v>42.9</v>
      </c>
      <c r="CP114" s="188">
        <f t="shared" si="674"/>
        <v>62.1</v>
      </c>
      <c r="CQ114" s="188">
        <f t="shared" si="675"/>
        <v>63.5</v>
      </c>
      <c r="CR114" s="188">
        <f t="shared" si="676"/>
        <v>59.2</v>
      </c>
      <c r="CS114" s="188">
        <f t="shared" si="677"/>
        <v>92.6</v>
      </c>
      <c r="CT114" s="188">
        <f t="shared" si="678"/>
        <v>140.80000000000001</v>
      </c>
      <c r="CU114" s="188">
        <f t="shared" si="679"/>
        <v>160.1</v>
      </c>
      <c r="CV114" s="188">
        <f t="shared" si="680"/>
        <v>173.4</v>
      </c>
      <c r="CW114" s="188">
        <f t="shared" si="681"/>
        <v>170.2</v>
      </c>
      <c r="CX114" s="188">
        <f t="shared" si="682"/>
        <v>217.8</v>
      </c>
      <c r="CY114" s="188">
        <f t="shared" si="683"/>
        <v>173.4</v>
      </c>
      <c r="CZ114" s="188">
        <f t="shared" si="684"/>
        <v>158.4</v>
      </c>
      <c r="DA114" s="188">
        <f t="shared" si="685"/>
        <v>158.4</v>
      </c>
      <c r="DB114" s="188">
        <f t="shared" si="686"/>
        <v>158.4</v>
      </c>
      <c r="DC114" s="188">
        <f t="shared" si="687"/>
        <v>158.4</v>
      </c>
      <c r="DD114" s="188">
        <f t="shared" si="688"/>
        <v>158.4</v>
      </c>
      <c r="DE114" s="188">
        <f t="shared" si="689"/>
        <v>158.4</v>
      </c>
    </row>
    <row r="115" spans="1:137" ht="12.75" customHeight="1">
      <c r="A115" s="1"/>
      <c r="B115" s="13" t="s">
        <v>115</v>
      </c>
      <c r="C115" s="1"/>
      <c r="D115" s="181"/>
      <c r="E115" s="181"/>
      <c r="F115" s="182"/>
      <c r="G115" s="182"/>
      <c r="H115" s="182"/>
      <c r="I115" s="182"/>
      <c r="J115" s="182"/>
      <c r="K115" s="182"/>
      <c r="L115" s="182">
        <v>193.2</v>
      </c>
      <c r="M115" s="182">
        <v>297.8</v>
      </c>
      <c r="N115" s="182">
        <v>36</v>
      </c>
      <c r="O115" s="182">
        <v>36</v>
      </c>
      <c r="P115" s="182">
        <v>117.9</v>
      </c>
      <c r="Q115" s="182">
        <v>158</v>
      </c>
      <c r="R115" s="182">
        <v>158</v>
      </c>
      <c r="S115" s="182">
        <v>126.4</v>
      </c>
      <c r="T115" s="182">
        <v>204.3</v>
      </c>
      <c r="U115" s="182">
        <v>204.3</v>
      </c>
      <c r="V115" s="182">
        <v>166.1</v>
      </c>
      <c r="W115" s="182">
        <v>190</v>
      </c>
      <c r="X115" s="182">
        <v>190</v>
      </c>
      <c r="Y115" s="183">
        <f>167.3+26.7</f>
        <v>194</v>
      </c>
      <c r="Z115" s="183">
        <f>52.9+81.2</f>
        <v>134.1</v>
      </c>
      <c r="AA115" s="183">
        <f>+Z115</f>
        <v>134.1</v>
      </c>
      <c r="AB115" s="183">
        <f>181.6+10.7</f>
        <v>192.29999999999998</v>
      </c>
      <c r="AC115" s="183">
        <f>60.8+182.7</f>
        <v>243.5</v>
      </c>
      <c r="AD115" s="182">
        <f t="shared" si="649"/>
        <v>243.5</v>
      </c>
      <c r="AE115" s="182">
        <f>42.3+197.5</f>
        <v>239.8</v>
      </c>
      <c r="AF115" s="182">
        <v>207.1</v>
      </c>
      <c r="AG115" s="182">
        <f t="shared" si="649"/>
        <v>207.1</v>
      </c>
      <c r="AH115" s="182">
        <v>224</v>
      </c>
      <c r="AI115" s="182">
        <v>211.5</v>
      </c>
      <c r="AJ115" s="182">
        <f t="shared" si="649"/>
        <v>211.5</v>
      </c>
      <c r="AK115" s="182">
        <v>250.2</v>
      </c>
      <c r="AL115" s="182">
        <v>262.8</v>
      </c>
      <c r="AM115" s="182">
        <f t="shared" si="649"/>
        <v>262.8</v>
      </c>
      <c r="AN115" s="182">
        <v>274.2</v>
      </c>
      <c r="AO115" s="182">
        <v>270.5</v>
      </c>
      <c r="AP115" s="182">
        <f t="shared" si="650"/>
        <v>270.5</v>
      </c>
      <c r="AQ115" s="182">
        <v>280.5</v>
      </c>
      <c r="AR115" s="182">
        <v>285</v>
      </c>
      <c r="AS115" s="182">
        <f t="shared" si="649"/>
        <v>285</v>
      </c>
      <c r="AT115" s="182">
        <v>288.39999999999998</v>
      </c>
      <c r="AU115" s="182">
        <v>289.39999999999998</v>
      </c>
      <c r="AV115" s="182">
        <f t="shared" si="649"/>
        <v>289.39999999999998</v>
      </c>
      <c r="AW115" s="185">
        <v>296.8</v>
      </c>
      <c r="AX115" s="185">
        <v>294.2</v>
      </c>
      <c r="AY115" s="185">
        <f t="shared" si="649"/>
        <v>294.2</v>
      </c>
      <c r="AZ115" s="185">
        <v>300.2</v>
      </c>
      <c r="BA115" s="182">
        <v>299.2</v>
      </c>
      <c r="BB115" s="185">
        <f t="shared" si="649"/>
        <v>299.2</v>
      </c>
      <c r="BC115" s="182">
        <v>304.5</v>
      </c>
      <c r="BD115" s="182">
        <v>301.5</v>
      </c>
      <c r="BE115" s="185">
        <f t="shared" si="651"/>
        <v>301.5</v>
      </c>
      <c r="BF115" s="182">
        <v>306.10000000000002</v>
      </c>
      <c r="BG115" s="182">
        <v>303.89999999999998</v>
      </c>
      <c r="BH115" s="185">
        <f t="shared" si="690"/>
        <v>303.89999999999998</v>
      </c>
      <c r="BI115" s="182">
        <v>311.3</v>
      </c>
      <c r="BJ115" s="182">
        <v>325.3</v>
      </c>
      <c r="BK115" s="185">
        <f t="shared" si="652"/>
        <v>325.3</v>
      </c>
      <c r="BL115" s="182">
        <v>333</v>
      </c>
      <c r="BM115" s="185">
        <f t="shared" si="653"/>
        <v>333</v>
      </c>
      <c r="BN115" s="185">
        <f t="shared" si="654"/>
        <v>333</v>
      </c>
      <c r="BO115" s="185">
        <f t="shared" si="655"/>
        <v>333</v>
      </c>
      <c r="BP115" s="185">
        <f t="shared" si="656"/>
        <v>333</v>
      </c>
      <c r="BQ115" s="185">
        <f t="shared" si="657"/>
        <v>333</v>
      </c>
      <c r="BR115" s="185">
        <f t="shared" si="658"/>
        <v>333</v>
      </c>
      <c r="BS115" s="185">
        <f t="shared" si="659"/>
        <v>333</v>
      </c>
      <c r="BT115" s="185">
        <f t="shared" si="660"/>
        <v>333</v>
      </c>
      <c r="BU115" s="185">
        <f t="shared" si="661"/>
        <v>333</v>
      </c>
      <c r="BV115" s="185">
        <f t="shared" si="662"/>
        <v>333</v>
      </c>
      <c r="BW115" s="185">
        <f t="shared" si="663"/>
        <v>333</v>
      </c>
      <c r="BX115" s="185">
        <f t="shared" si="664"/>
        <v>333</v>
      </c>
      <c r="BY115" s="185">
        <f t="shared" si="665"/>
        <v>333</v>
      </c>
      <c r="BZ115" s="185">
        <f t="shared" si="666"/>
        <v>333</v>
      </c>
      <c r="CA115" s="185">
        <f t="shared" si="667"/>
        <v>333</v>
      </c>
      <c r="CB115" s="185">
        <f t="shared" si="668"/>
        <v>333</v>
      </c>
      <c r="CC115" s="185">
        <f t="shared" si="669"/>
        <v>333</v>
      </c>
      <c r="CD115" s="186"/>
      <c r="CE115" s="187"/>
      <c r="CF115" s="187"/>
      <c r="CG115" s="187"/>
      <c r="CH115" s="187"/>
      <c r="CI115" s="187"/>
      <c r="CJ115" s="187"/>
      <c r="CK115" s="188"/>
      <c r="CL115" s="189">
        <f t="shared" si="670"/>
        <v>190</v>
      </c>
      <c r="CM115" s="185">
        <f t="shared" si="671"/>
        <v>134.1</v>
      </c>
      <c r="CN115" s="185">
        <f t="shared" si="672"/>
        <v>243.5</v>
      </c>
      <c r="CO115" s="185">
        <f t="shared" si="673"/>
        <v>207.1</v>
      </c>
      <c r="CP115" s="185">
        <f t="shared" si="674"/>
        <v>211.5</v>
      </c>
      <c r="CQ115" s="185">
        <f t="shared" si="675"/>
        <v>262.8</v>
      </c>
      <c r="CR115" s="185">
        <f t="shared" si="676"/>
        <v>270.5</v>
      </c>
      <c r="CS115" s="185">
        <f t="shared" si="677"/>
        <v>285</v>
      </c>
      <c r="CT115" s="185">
        <f t="shared" si="678"/>
        <v>289.39999999999998</v>
      </c>
      <c r="CU115" s="185">
        <f t="shared" si="679"/>
        <v>294.2</v>
      </c>
      <c r="CV115" s="185">
        <f t="shared" si="680"/>
        <v>299.2</v>
      </c>
      <c r="CW115" s="185">
        <f t="shared" si="681"/>
        <v>301.5</v>
      </c>
      <c r="CX115" s="185">
        <f t="shared" si="682"/>
        <v>303.89999999999998</v>
      </c>
      <c r="CY115" s="185">
        <f t="shared" si="683"/>
        <v>325.3</v>
      </c>
      <c r="CZ115" s="185">
        <f t="shared" si="684"/>
        <v>333</v>
      </c>
      <c r="DA115" s="185">
        <f t="shared" si="685"/>
        <v>333</v>
      </c>
      <c r="DB115" s="185">
        <f t="shared" si="686"/>
        <v>333</v>
      </c>
      <c r="DC115" s="185">
        <f t="shared" si="687"/>
        <v>333</v>
      </c>
      <c r="DD115" s="185">
        <f t="shared" si="688"/>
        <v>333</v>
      </c>
      <c r="DE115" s="185">
        <f t="shared" si="689"/>
        <v>333</v>
      </c>
    </row>
    <row r="116" spans="1:137" ht="12.75" customHeight="1">
      <c r="A116" s="1"/>
      <c r="B116" s="13" t="s">
        <v>116</v>
      </c>
      <c r="C116" s="1"/>
      <c r="D116" s="190"/>
      <c r="E116" s="190"/>
      <c r="F116" s="184"/>
      <c r="G116" s="184"/>
      <c r="H116" s="184"/>
      <c r="I116" s="184"/>
      <c r="J116" s="184"/>
      <c r="K116" s="184"/>
      <c r="L116" s="184">
        <v>512.1</v>
      </c>
      <c r="M116" s="184">
        <v>668.9</v>
      </c>
      <c r="N116" s="184">
        <v>986.7</v>
      </c>
      <c r="O116" s="184">
        <v>986.7</v>
      </c>
      <c r="P116" s="184">
        <v>100.9</v>
      </c>
      <c r="Q116" s="184">
        <v>84.1</v>
      </c>
      <c r="R116" s="184">
        <v>84.1</v>
      </c>
      <c r="S116" s="184">
        <v>29.5</v>
      </c>
      <c r="T116" s="184">
        <v>0</v>
      </c>
      <c r="U116" s="184">
        <v>0</v>
      </c>
      <c r="V116" s="184">
        <v>14.9</v>
      </c>
      <c r="W116" s="184">
        <v>42.5</v>
      </c>
      <c r="X116" s="184">
        <v>42.5</v>
      </c>
      <c r="Y116" s="191">
        <v>0</v>
      </c>
      <c r="Z116" s="191">
        <v>0</v>
      </c>
      <c r="AA116" s="183">
        <f>+Z116</f>
        <v>0</v>
      </c>
      <c r="AB116" s="191">
        <v>0</v>
      </c>
      <c r="AC116" s="191">
        <f t="shared" ref="AC116:AS117" si="691">AB116</f>
        <v>0</v>
      </c>
      <c r="AD116" s="184">
        <f t="shared" si="691"/>
        <v>0</v>
      </c>
      <c r="AE116" s="184">
        <f t="shared" si="691"/>
        <v>0</v>
      </c>
      <c r="AF116" s="184">
        <f t="shared" si="691"/>
        <v>0</v>
      </c>
      <c r="AG116" s="184">
        <f t="shared" si="691"/>
        <v>0</v>
      </c>
      <c r="AH116" s="184">
        <v>0</v>
      </c>
      <c r="AI116" s="184">
        <v>20.3</v>
      </c>
      <c r="AJ116" s="184">
        <f t="shared" si="691"/>
        <v>20.3</v>
      </c>
      <c r="AK116" s="184">
        <v>34.799999999999997</v>
      </c>
      <c r="AL116" s="184">
        <v>28.8</v>
      </c>
      <c r="AM116" s="184">
        <f t="shared" si="691"/>
        <v>28.8</v>
      </c>
      <c r="AN116" s="184">
        <v>237.8</v>
      </c>
      <c r="AO116" s="184">
        <v>222.9</v>
      </c>
      <c r="AP116" s="184">
        <f t="shared" si="650"/>
        <v>222.9</v>
      </c>
      <c r="AQ116" s="184">
        <v>0</v>
      </c>
      <c r="AR116" s="184">
        <v>0</v>
      </c>
      <c r="AS116" s="184">
        <f t="shared" si="691"/>
        <v>0</v>
      </c>
      <c r="AT116" s="184">
        <v>0</v>
      </c>
      <c r="AU116" s="184">
        <v>260.10000000000002</v>
      </c>
      <c r="AV116" s="184">
        <f t="shared" si="649"/>
        <v>260.10000000000002</v>
      </c>
      <c r="AW116" s="188">
        <v>0</v>
      </c>
      <c r="AX116" s="188">
        <f t="shared" si="649"/>
        <v>0</v>
      </c>
      <c r="AY116" s="188">
        <f t="shared" si="649"/>
        <v>0</v>
      </c>
      <c r="AZ116" s="188">
        <f t="shared" si="649"/>
        <v>0</v>
      </c>
      <c r="BA116" s="184">
        <v>133.30000000000001</v>
      </c>
      <c r="BB116" s="188">
        <f t="shared" si="649"/>
        <v>133.30000000000001</v>
      </c>
      <c r="BC116" s="184">
        <v>139.9</v>
      </c>
      <c r="BD116" s="184">
        <v>0</v>
      </c>
      <c r="BE116" s="185">
        <f t="shared" si="651"/>
        <v>0</v>
      </c>
      <c r="BF116" s="184">
        <v>0.9</v>
      </c>
      <c r="BG116" s="184">
        <v>1.7</v>
      </c>
      <c r="BH116" s="185">
        <f t="shared" si="690"/>
        <v>1.7</v>
      </c>
      <c r="BI116" s="184">
        <v>509.4</v>
      </c>
      <c r="BJ116" s="184">
        <v>545.1</v>
      </c>
      <c r="BK116" s="185">
        <f t="shared" si="652"/>
        <v>545.1</v>
      </c>
      <c r="BL116" s="184">
        <v>1.8</v>
      </c>
      <c r="BM116" s="188">
        <f t="shared" si="653"/>
        <v>1.8</v>
      </c>
      <c r="BN116" s="188">
        <f t="shared" si="654"/>
        <v>1.8</v>
      </c>
      <c r="BO116" s="188">
        <f t="shared" si="655"/>
        <v>1.8</v>
      </c>
      <c r="BP116" s="188">
        <f t="shared" si="656"/>
        <v>1.8</v>
      </c>
      <c r="BQ116" s="188">
        <f t="shared" si="657"/>
        <v>1.8</v>
      </c>
      <c r="BR116" s="188">
        <f t="shared" si="658"/>
        <v>1.8</v>
      </c>
      <c r="BS116" s="188">
        <f t="shared" si="659"/>
        <v>1.8</v>
      </c>
      <c r="BT116" s="188">
        <f t="shared" si="660"/>
        <v>1.8</v>
      </c>
      <c r="BU116" s="188">
        <f t="shared" si="661"/>
        <v>1.8</v>
      </c>
      <c r="BV116" s="188">
        <f t="shared" si="662"/>
        <v>1.8</v>
      </c>
      <c r="BW116" s="188">
        <f t="shared" si="663"/>
        <v>1.8</v>
      </c>
      <c r="BX116" s="188">
        <f t="shared" si="664"/>
        <v>1.8</v>
      </c>
      <c r="BY116" s="188">
        <f t="shared" si="665"/>
        <v>1.8</v>
      </c>
      <c r="BZ116" s="188">
        <f t="shared" si="666"/>
        <v>1.8</v>
      </c>
      <c r="CA116" s="188">
        <f t="shared" si="667"/>
        <v>1.8</v>
      </c>
      <c r="CB116" s="188">
        <f t="shared" si="668"/>
        <v>1.8</v>
      </c>
      <c r="CC116" s="188">
        <f t="shared" si="669"/>
        <v>1.8</v>
      </c>
      <c r="CD116" s="186"/>
      <c r="CE116" s="187"/>
      <c r="CF116" s="187"/>
      <c r="CG116" s="187"/>
      <c r="CH116" s="187"/>
      <c r="CI116" s="187"/>
      <c r="CJ116" s="187"/>
      <c r="CK116" s="188"/>
      <c r="CL116" s="192">
        <f t="shared" si="670"/>
        <v>42.5</v>
      </c>
      <c r="CM116" s="188">
        <f t="shared" si="671"/>
        <v>0</v>
      </c>
      <c r="CN116" s="188">
        <f t="shared" si="672"/>
        <v>0</v>
      </c>
      <c r="CO116" s="188">
        <f t="shared" si="673"/>
        <v>0</v>
      </c>
      <c r="CP116" s="188">
        <f t="shared" si="674"/>
        <v>20.3</v>
      </c>
      <c r="CQ116" s="188">
        <f t="shared" si="675"/>
        <v>28.8</v>
      </c>
      <c r="CR116" s="188">
        <f t="shared" si="676"/>
        <v>222.9</v>
      </c>
      <c r="CS116" s="188">
        <f t="shared" si="677"/>
        <v>0</v>
      </c>
      <c r="CT116" s="188">
        <f t="shared" si="678"/>
        <v>260.10000000000002</v>
      </c>
      <c r="CU116" s="188">
        <f t="shared" si="679"/>
        <v>0</v>
      </c>
      <c r="CV116" s="188">
        <f t="shared" si="680"/>
        <v>133.30000000000001</v>
      </c>
      <c r="CW116" s="188">
        <f t="shared" si="681"/>
        <v>0</v>
      </c>
      <c r="CX116" s="188">
        <f t="shared" si="682"/>
        <v>1.7</v>
      </c>
      <c r="CY116" s="188">
        <f t="shared" si="683"/>
        <v>545.1</v>
      </c>
      <c r="CZ116" s="188">
        <f t="shared" si="684"/>
        <v>1.8</v>
      </c>
      <c r="DA116" s="188">
        <f t="shared" si="685"/>
        <v>1.8</v>
      </c>
      <c r="DB116" s="188">
        <f t="shared" si="686"/>
        <v>1.8</v>
      </c>
      <c r="DC116" s="188">
        <f t="shared" si="687"/>
        <v>1.8</v>
      </c>
      <c r="DD116" s="188">
        <f t="shared" si="688"/>
        <v>1.8</v>
      </c>
      <c r="DE116" s="188">
        <f t="shared" si="689"/>
        <v>1.8</v>
      </c>
    </row>
    <row r="117" spans="1:137" ht="12.75" customHeight="1">
      <c r="A117" s="1"/>
      <c r="B117" s="212" t="s">
        <v>117</v>
      </c>
      <c r="C117" s="1"/>
      <c r="D117" s="190"/>
      <c r="E117" s="190"/>
      <c r="F117" s="184"/>
      <c r="G117" s="184"/>
      <c r="H117" s="184"/>
      <c r="I117" s="184"/>
      <c r="J117" s="184"/>
      <c r="K117" s="184"/>
      <c r="L117" s="184"/>
      <c r="M117" s="184"/>
      <c r="N117" s="184"/>
      <c r="O117" s="184"/>
      <c r="P117" s="184"/>
      <c r="Q117" s="184"/>
      <c r="R117" s="184"/>
      <c r="S117" s="184"/>
      <c r="T117" s="184"/>
      <c r="U117" s="184"/>
      <c r="V117" s="184"/>
      <c r="W117" s="184"/>
      <c r="X117" s="184"/>
      <c r="Y117" s="191"/>
      <c r="Z117" s="191"/>
      <c r="AA117" s="191"/>
      <c r="AB117" s="191">
        <v>0</v>
      </c>
      <c r="AC117" s="191">
        <f t="shared" si="691"/>
        <v>0</v>
      </c>
      <c r="AD117" s="184">
        <f t="shared" si="691"/>
        <v>0</v>
      </c>
      <c r="AE117" s="184">
        <f t="shared" si="691"/>
        <v>0</v>
      </c>
      <c r="AF117" s="184">
        <v>50.5</v>
      </c>
      <c r="AG117" s="184">
        <f t="shared" si="691"/>
        <v>50.5</v>
      </c>
      <c r="AH117" s="184">
        <v>64</v>
      </c>
      <c r="AI117" s="184">
        <v>0.1</v>
      </c>
      <c r="AJ117" s="184">
        <f t="shared" si="691"/>
        <v>0.1</v>
      </c>
      <c r="AK117" s="184">
        <v>81.099999999999994</v>
      </c>
      <c r="AL117" s="184">
        <v>158.4</v>
      </c>
      <c r="AM117" s="184">
        <f t="shared" si="691"/>
        <v>158.4</v>
      </c>
      <c r="AN117" s="184">
        <v>89.2</v>
      </c>
      <c r="AO117" s="184">
        <v>54.5</v>
      </c>
      <c r="AP117" s="184">
        <f t="shared" si="650"/>
        <v>54.5</v>
      </c>
      <c r="AQ117" s="184">
        <f>5+6.9</f>
        <v>11.9</v>
      </c>
      <c r="AR117" s="184">
        <f>12.1+6</f>
        <v>18.100000000000001</v>
      </c>
      <c r="AS117" s="184">
        <f t="shared" si="691"/>
        <v>18.100000000000001</v>
      </c>
      <c r="AT117" s="184">
        <f>849.9-SUM(AT113:AT116)</f>
        <v>27.399999999999977</v>
      </c>
      <c r="AU117" s="184">
        <f>AU118-SUM(AU113:AU116)</f>
        <v>68</v>
      </c>
      <c r="AV117" s="184">
        <f t="shared" si="649"/>
        <v>68</v>
      </c>
      <c r="AW117" s="184">
        <f>AW118-SUM(AW113:AW116)</f>
        <v>29.400000000000091</v>
      </c>
      <c r="AX117" s="184">
        <f>AX118-SUM(AX113:AX116)</f>
        <v>13.799999999999955</v>
      </c>
      <c r="AY117" s="188">
        <f t="shared" si="649"/>
        <v>13.799999999999955</v>
      </c>
      <c r="AZ117" s="184">
        <f>AZ118-SUM(AZ113:AZ116)</f>
        <v>22.700000000000045</v>
      </c>
      <c r="BA117" s="184">
        <f>BA118-SUM(BA113:BA116)</f>
        <v>83.700000000000045</v>
      </c>
      <c r="BB117" s="188">
        <f t="shared" si="649"/>
        <v>83.700000000000045</v>
      </c>
      <c r="BC117" s="184">
        <f>BC118-SUM(BC113:BC116)</f>
        <v>100</v>
      </c>
      <c r="BD117" s="184">
        <f>BD118-SUM(BD113:BD116)</f>
        <v>156.20000000000005</v>
      </c>
      <c r="BE117" s="185">
        <f t="shared" si="651"/>
        <v>156.20000000000005</v>
      </c>
      <c r="BF117" s="184">
        <f>BF118-SUM(BF113:BF116)</f>
        <v>86.399999999999864</v>
      </c>
      <c r="BG117" s="184">
        <f>BG118-SUM(BG113:BG116)</f>
        <v>49.399999999999864</v>
      </c>
      <c r="BH117" s="185">
        <f t="shared" si="690"/>
        <v>49.399999999999864</v>
      </c>
      <c r="BI117" s="184">
        <f>BI118-SUM(BI113:BI116)</f>
        <v>133.89999999999986</v>
      </c>
      <c r="BJ117" s="184">
        <f>BJ118-SUM(BJ113:BJ116)</f>
        <v>188.59999999999991</v>
      </c>
      <c r="BK117" s="185">
        <f t="shared" si="652"/>
        <v>188.59999999999991</v>
      </c>
      <c r="BL117" s="184">
        <f>BL118-SUM(BL113:BL116)</f>
        <v>196.79999999999995</v>
      </c>
      <c r="BM117" s="188">
        <f t="shared" si="653"/>
        <v>196.79999999999995</v>
      </c>
      <c r="BN117" s="188">
        <f t="shared" si="654"/>
        <v>196.79999999999995</v>
      </c>
      <c r="BO117" s="188">
        <f t="shared" si="655"/>
        <v>196.79999999999995</v>
      </c>
      <c r="BP117" s="188">
        <f t="shared" si="656"/>
        <v>196.79999999999995</v>
      </c>
      <c r="BQ117" s="188">
        <f t="shared" si="657"/>
        <v>196.79999999999995</v>
      </c>
      <c r="BR117" s="188">
        <f t="shared" si="658"/>
        <v>196.79999999999995</v>
      </c>
      <c r="BS117" s="188">
        <f t="shared" si="659"/>
        <v>196.79999999999995</v>
      </c>
      <c r="BT117" s="188">
        <f t="shared" si="660"/>
        <v>196.79999999999995</v>
      </c>
      <c r="BU117" s="188">
        <f t="shared" si="661"/>
        <v>196.79999999999995</v>
      </c>
      <c r="BV117" s="188">
        <f t="shared" si="662"/>
        <v>196.79999999999995</v>
      </c>
      <c r="BW117" s="188">
        <f t="shared" si="663"/>
        <v>196.79999999999995</v>
      </c>
      <c r="BX117" s="188">
        <f t="shared" si="664"/>
        <v>196.79999999999995</v>
      </c>
      <c r="BY117" s="188">
        <f t="shared" si="665"/>
        <v>196.79999999999995</v>
      </c>
      <c r="BZ117" s="188">
        <f t="shared" si="666"/>
        <v>196.79999999999995</v>
      </c>
      <c r="CA117" s="188">
        <f t="shared" si="667"/>
        <v>196.79999999999995</v>
      </c>
      <c r="CB117" s="188">
        <f t="shared" si="668"/>
        <v>196.79999999999995</v>
      </c>
      <c r="CC117" s="188">
        <f t="shared" si="669"/>
        <v>196.79999999999995</v>
      </c>
      <c r="CD117" s="186"/>
      <c r="CE117" s="187"/>
      <c r="CF117" s="187"/>
      <c r="CG117" s="187"/>
      <c r="CH117" s="187"/>
      <c r="CI117" s="187"/>
      <c r="CJ117" s="187"/>
      <c r="CK117" s="188"/>
      <c r="CL117" s="192">
        <f t="shared" si="670"/>
        <v>0</v>
      </c>
      <c r="CM117" s="188">
        <f t="shared" si="671"/>
        <v>0</v>
      </c>
      <c r="CN117" s="188">
        <f t="shared" si="672"/>
        <v>0</v>
      </c>
      <c r="CO117" s="188">
        <f t="shared" si="673"/>
        <v>50.5</v>
      </c>
      <c r="CP117" s="188">
        <f t="shared" si="674"/>
        <v>0.1</v>
      </c>
      <c r="CQ117" s="188">
        <f t="shared" si="675"/>
        <v>158.4</v>
      </c>
      <c r="CR117" s="188">
        <f t="shared" si="676"/>
        <v>54.5</v>
      </c>
      <c r="CS117" s="188">
        <f t="shared" si="677"/>
        <v>18.100000000000001</v>
      </c>
      <c r="CT117" s="188">
        <f t="shared" si="678"/>
        <v>68</v>
      </c>
      <c r="CU117" s="188">
        <f t="shared" si="679"/>
        <v>13.799999999999955</v>
      </c>
      <c r="CV117" s="188">
        <f t="shared" si="680"/>
        <v>83.700000000000045</v>
      </c>
      <c r="CW117" s="188">
        <f t="shared" si="681"/>
        <v>156.20000000000005</v>
      </c>
      <c r="CX117" s="188">
        <f t="shared" si="682"/>
        <v>49.399999999999864</v>
      </c>
      <c r="CY117" s="188">
        <f t="shared" si="683"/>
        <v>188.59999999999991</v>
      </c>
      <c r="CZ117" s="188">
        <f t="shared" si="684"/>
        <v>196.79999999999995</v>
      </c>
      <c r="DA117" s="188">
        <f t="shared" si="685"/>
        <v>196.79999999999995</v>
      </c>
      <c r="DB117" s="188">
        <f t="shared" si="686"/>
        <v>196.79999999999995</v>
      </c>
      <c r="DC117" s="188">
        <f t="shared" si="687"/>
        <v>196.79999999999995</v>
      </c>
      <c r="DD117" s="188">
        <f t="shared" si="688"/>
        <v>196.79999999999995</v>
      </c>
      <c r="DE117" s="188">
        <f t="shared" si="689"/>
        <v>196.79999999999995</v>
      </c>
    </row>
    <row r="118" spans="1:137" ht="12.75" customHeight="1" thickBot="1">
      <c r="A118" s="79"/>
      <c r="B118" s="80" t="s">
        <v>118</v>
      </c>
      <c r="C118" s="79"/>
      <c r="D118" s="81"/>
      <c r="E118" s="81"/>
      <c r="F118" s="82"/>
      <c r="G118" s="82"/>
      <c r="H118" s="82"/>
      <c r="I118" s="82"/>
      <c r="J118" s="82"/>
      <c r="K118" s="82"/>
      <c r="L118" s="82">
        <f t="shared" ref="L118:AS118" si="692">SUM(L113:L117)</f>
        <v>1180.0999999999999</v>
      </c>
      <c r="M118" s="82">
        <f t="shared" si="692"/>
        <v>1506.4</v>
      </c>
      <c r="N118" s="82">
        <f t="shared" si="692"/>
        <v>1291.0999999999999</v>
      </c>
      <c r="O118" s="82">
        <f t="shared" si="692"/>
        <v>1291.0999999999999</v>
      </c>
      <c r="P118" s="82">
        <f t="shared" si="692"/>
        <v>384.9</v>
      </c>
      <c r="Q118" s="82">
        <f t="shared" si="692"/>
        <v>460.4</v>
      </c>
      <c r="R118" s="82">
        <f t="shared" si="692"/>
        <v>460.4</v>
      </c>
      <c r="S118" s="82">
        <f t="shared" si="692"/>
        <v>321.3</v>
      </c>
      <c r="T118" s="82">
        <f t="shared" si="692"/>
        <v>445</v>
      </c>
      <c r="U118" s="82">
        <f t="shared" si="692"/>
        <v>445</v>
      </c>
      <c r="V118" s="82">
        <f t="shared" si="692"/>
        <v>391.1</v>
      </c>
      <c r="W118" s="82">
        <f t="shared" si="692"/>
        <v>521.9</v>
      </c>
      <c r="X118" s="82">
        <f t="shared" si="692"/>
        <v>521.9</v>
      </c>
      <c r="Y118" s="82">
        <f t="shared" si="692"/>
        <v>392.2</v>
      </c>
      <c r="Z118" s="82">
        <f t="shared" si="692"/>
        <v>444.1</v>
      </c>
      <c r="AA118" s="82">
        <f>SUM(AA113:AA117)</f>
        <v>444.1</v>
      </c>
      <c r="AB118" s="82">
        <f t="shared" si="692"/>
        <v>523.5</v>
      </c>
      <c r="AC118" s="82">
        <f t="shared" si="692"/>
        <v>558.09999999999991</v>
      </c>
      <c r="AD118" s="82">
        <f t="shared" si="692"/>
        <v>558.09999999999991</v>
      </c>
      <c r="AE118" s="82">
        <f t="shared" si="692"/>
        <v>502.1</v>
      </c>
      <c r="AF118" s="82">
        <f t="shared" si="692"/>
        <v>671.9</v>
      </c>
      <c r="AG118" s="82">
        <f t="shared" si="692"/>
        <v>671.9</v>
      </c>
      <c r="AH118" s="82">
        <f t="shared" si="692"/>
        <v>685.40000000000009</v>
      </c>
      <c r="AI118" s="82">
        <f t="shared" si="692"/>
        <v>701.4</v>
      </c>
      <c r="AJ118" s="82">
        <f t="shared" si="692"/>
        <v>701.4</v>
      </c>
      <c r="AK118" s="82">
        <f t="shared" si="692"/>
        <v>800.6</v>
      </c>
      <c r="AL118" s="82">
        <f t="shared" si="692"/>
        <v>872.3</v>
      </c>
      <c r="AM118" s="82">
        <f t="shared" si="692"/>
        <v>872.3</v>
      </c>
      <c r="AN118" s="82">
        <f t="shared" si="692"/>
        <v>968.8</v>
      </c>
      <c r="AO118" s="82">
        <f t="shared" si="692"/>
        <v>1029.5999999999999</v>
      </c>
      <c r="AP118" s="82">
        <f t="shared" si="692"/>
        <v>1029.5999999999999</v>
      </c>
      <c r="AQ118" s="82">
        <f t="shared" si="692"/>
        <v>725.1</v>
      </c>
      <c r="AR118" s="82">
        <f t="shared" si="692"/>
        <v>849</v>
      </c>
      <c r="AS118" s="82">
        <f t="shared" si="692"/>
        <v>849</v>
      </c>
      <c r="AT118" s="82">
        <f t="shared" ref="AT118:BK118" si="693">SUM(AT113:AT117)</f>
        <v>849.9</v>
      </c>
      <c r="AU118" s="82">
        <v>1342.8</v>
      </c>
      <c r="AV118" s="82">
        <f t="shared" si="693"/>
        <v>1342.8</v>
      </c>
      <c r="AW118" s="82">
        <v>994</v>
      </c>
      <c r="AX118" s="82">
        <v>1034</v>
      </c>
      <c r="AY118" s="82">
        <f t="shared" si="693"/>
        <v>1034</v>
      </c>
      <c r="AZ118" s="82">
        <v>1083.2</v>
      </c>
      <c r="BA118" s="82">
        <v>1296.0999999999999</v>
      </c>
      <c r="BB118" s="82">
        <f t="shared" si="693"/>
        <v>1296.0999999999999</v>
      </c>
      <c r="BC118" s="82">
        <v>1335.7</v>
      </c>
      <c r="BD118" s="82">
        <v>1311.3</v>
      </c>
      <c r="BE118" s="82">
        <f t="shared" si="693"/>
        <v>1311.3</v>
      </c>
      <c r="BF118" s="82">
        <v>1321.5</v>
      </c>
      <c r="BG118" s="82">
        <v>1410</v>
      </c>
      <c r="BH118" s="82">
        <f t="shared" si="693"/>
        <v>1410</v>
      </c>
      <c r="BI118" s="82">
        <v>1857.3</v>
      </c>
      <c r="BJ118" s="82">
        <v>2452.1999999999998</v>
      </c>
      <c r="BK118" s="82">
        <f t="shared" si="693"/>
        <v>2452.1999999999998</v>
      </c>
      <c r="BL118" s="82">
        <v>1423.5</v>
      </c>
      <c r="BM118" s="82">
        <f t="shared" ref="BM118:BN118" si="694">SUM(BM113:BM117)</f>
        <v>1423.5</v>
      </c>
      <c r="BN118" s="82">
        <f t="shared" si="694"/>
        <v>1423.5</v>
      </c>
      <c r="BO118" s="82">
        <f t="shared" ref="BO118:BQ118" si="695">SUM(BO113:BO117)</f>
        <v>1423.5</v>
      </c>
      <c r="BP118" s="82">
        <f t="shared" si="695"/>
        <v>1423.5</v>
      </c>
      <c r="BQ118" s="82">
        <f t="shared" si="695"/>
        <v>1423.5</v>
      </c>
      <c r="BR118" s="82">
        <f t="shared" ref="BR118:BT118" si="696">SUM(BR113:BR117)</f>
        <v>1423.5</v>
      </c>
      <c r="BS118" s="82">
        <f t="shared" si="696"/>
        <v>1423.5</v>
      </c>
      <c r="BT118" s="82">
        <f t="shared" si="696"/>
        <v>1423.5</v>
      </c>
      <c r="BU118" s="82">
        <f t="shared" ref="BU118:BZ118" si="697">SUM(BU113:BU117)</f>
        <v>1423.5</v>
      </c>
      <c r="BV118" s="82">
        <f t="shared" si="697"/>
        <v>1423.5</v>
      </c>
      <c r="BW118" s="82">
        <f t="shared" si="697"/>
        <v>1423.5</v>
      </c>
      <c r="BX118" s="82">
        <f t="shared" si="697"/>
        <v>1423.5</v>
      </c>
      <c r="BY118" s="82">
        <f t="shared" si="697"/>
        <v>1423.5</v>
      </c>
      <c r="BZ118" s="82">
        <f t="shared" si="697"/>
        <v>1423.5</v>
      </c>
      <c r="CA118" s="82">
        <f t="shared" ref="CA118:CC118" si="698">SUM(CA113:CA117)</f>
        <v>1423.5</v>
      </c>
      <c r="CB118" s="82">
        <f t="shared" si="698"/>
        <v>1423.5</v>
      </c>
      <c r="CC118" s="82">
        <f t="shared" si="698"/>
        <v>1423.5</v>
      </c>
      <c r="CD118" s="134"/>
      <c r="CE118" s="187"/>
      <c r="CF118" s="187"/>
      <c r="CG118" s="187"/>
      <c r="CH118" s="187"/>
      <c r="CI118" s="187"/>
      <c r="CJ118" s="187"/>
      <c r="CK118" s="188"/>
      <c r="CL118" s="85">
        <f t="shared" si="670"/>
        <v>521.9</v>
      </c>
      <c r="CM118" s="82">
        <f t="shared" si="671"/>
        <v>444.1</v>
      </c>
      <c r="CN118" s="82">
        <f t="shared" si="672"/>
        <v>558.09999999999991</v>
      </c>
      <c r="CO118" s="82">
        <f t="shared" si="673"/>
        <v>671.9</v>
      </c>
      <c r="CP118" s="82">
        <f t="shared" si="674"/>
        <v>701.4</v>
      </c>
      <c r="CQ118" s="82">
        <f t="shared" si="675"/>
        <v>872.3</v>
      </c>
      <c r="CR118" s="82">
        <f t="shared" si="676"/>
        <v>1029.5999999999999</v>
      </c>
      <c r="CS118" s="82">
        <f t="shared" si="677"/>
        <v>849</v>
      </c>
      <c r="CT118" s="82">
        <f t="shared" si="678"/>
        <v>1342.8</v>
      </c>
      <c r="CU118" s="82">
        <f t="shared" si="679"/>
        <v>1034</v>
      </c>
      <c r="CV118" s="82">
        <f t="shared" si="680"/>
        <v>1296.0999999999999</v>
      </c>
      <c r="CW118" s="82">
        <f t="shared" si="681"/>
        <v>1311.3</v>
      </c>
      <c r="CX118" s="82">
        <f t="shared" si="682"/>
        <v>1410</v>
      </c>
      <c r="CY118" s="82">
        <f t="shared" si="683"/>
        <v>2452.1999999999998</v>
      </c>
      <c r="CZ118" s="82">
        <f t="shared" si="684"/>
        <v>1423.5</v>
      </c>
      <c r="DA118" s="82">
        <f t="shared" si="685"/>
        <v>1423.5</v>
      </c>
      <c r="DB118" s="82">
        <f t="shared" si="686"/>
        <v>1423.5</v>
      </c>
      <c r="DC118" s="82">
        <f t="shared" si="687"/>
        <v>1423.5</v>
      </c>
      <c r="DD118" s="82">
        <f t="shared" si="688"/>
        <v>1423.5</v>
      </c>
      <c r="DE118" s="82">
        <f t="shared" si="689"/>
        <v>1423.5</v>
      </c>
    </row>
    <row r="119" spans="1:137" ht="12.75" customHeight="1" thickTop="1">
      <c r="A119" s="1"/>
      <c r="B119" s="112"/>
      <c r="C119" s="1"/>
      <c r="D119" s="1"/>
      <c r="E119" s="1"/>
      <c r="F119" s="188"/>
      <c r="G119" s="188"/>
      <c r="H119" s="188"/>
      <c r="I119" s="188"/>
      <c r="J119" s="188"/>
      <c r="K119" s="188"/>
      <c r="L119" s="188"/>
      <c r="M119" s="188"/>
      <c r="N119" s="188"/>
      <c r="O119" s="188"/>
      <c r="P119" s="188"/>
      <c r="Q119" s="188"/>
      <c r="R119" s="188"/>
      <c r="S119" s="188"/>
      <c r="T119" s="188"/>
      <c r="U119" s="188"/>
      <c r="V119" s="188"/>
      <c r="W119" s="188"/>
      <c r="X119" s="188"/>
      <c r="Y119" s="187"/>
      <c r="Z119" s="187"/>
      <c r="AA119" s="187"/>
      <c r="AB119" s="187"/>
      <c r="AC119" s="187"/>
      <c r="AD119" s="188"/>
      <c r="AE119" s="188"/>
      <c r="AF119" s="188"/>
      <c r="AG119" s="188"/>
      <c r="AH119" s="188"/>
      <c r="AI119" s="188"/>
      <c r="AJ119" s="188"/>
      <c r="AK119" s="188"/>
      <c r="AL119" s="188"/>
      <c r="AM119" s="188"/>
      <c r="AN119" s="188"/>
      <c r="AO119" s="188"/>
      <c r="AP119" s="188"/>
      <c r="AQ119" s="188"/>
      <c r="AR119" s="188"/>
      <c r="AS119" s="188"/>
      <c r="AT119" s="188"/>
      <c r="AU119" s="188"/>
      <c r="AV119" s="188"/>
      <c r="AW119" s="188"/>
      <c r="AX119" s="188"/>
      <c r="AY119" s="188"/>
      <c r="AZ119" s="188"/>
      <c r="BA119" s="188"/>
      <c r="BB119" s="188"/>
      <c r="BC119" s="188"/>
      <c r="BD119" s="188"/>
      <c r="BE119" s="188"/>
      <c r="BF119" s="188"/>
      <c r="BG119" s="188"/>
      <c r="BH119" s="188"/>
      <c r="BI119" s="188"/>
      <c r="BJ119" s="188"/>
      <c r="BK119" s="188"/>
      <c r="BL119" s="188"/>
      <c r="BM119" s="188"/>
      <c r="BN119" s="188"/>
      <c r="BO119" s="188"/>
      <c r="BP119" s="188"/>
      <c r="BQ119" s="188"/>
      <c r="BR119" s="188"/>
      <c r="BS119" s="188"/>
      <c r="BT119" s="188"/>
      <c r="BU119" s="188"/>
      <c r="BV119" s="188"/>
      <c r="BW119" s="188"/>
      <c r="BX119" s="188"/>
      <c r="BY119" s="188"/>
      <c r="BZ119" s="188"/>
      <c r="CA119" s="188"/>
      <c r="CB119" s="188"/>
      <c r="CC119" s="188"/>
      <c r="CD119" s="186"/>
      <c r="CE119" s="187"/>
      <c r="CF119" s="187"/>
      <c r="CG119" s="187"/>
      <c r="CH119" s="187"/>
      <c r="CI119" s="187"/>
      <c r="CJ119" s="187"/>
      <c r="CK119" s="188"/>
      <c r="CL119" s="192"/>
      <c r="CM119" s="188"/>
      <c r="CN119" s="188"/>
      <c r="CO119" s="188"/>
      <c r="CP119" s="188"/>
      <c r="CQ119" s="188"/>
      <c r="CR119" s="188"/>
      <c r="CS119" s="188"/>
      <c r="CT119" s="188"/>
      <c r="CU119" s="188"/>
      <c r="CV119" s="188"/>
      <c r="CW119" s="188"/>
      <c r="CX119" s="188"/>
      <c r="CY119" s="188"/>
      <c r="CZ119" s="188"/>
      <c r="DA119" s="188"/>
      <c r="DB119" s="188"/>
      <c r="DC119" s="188"/>
      <c r="DD119" s="188"/>
      <c r="DE119" s="188"/>
    </row>
    <row r="120" spans="1:137" ht="12.75" customHeight="1">
      <c r="A120" s="1"/>
      <c r="B120" s="154" t="s">
        <v>119</v>
      </c>
      <c r="C120" s="1"/>
      <c r="D120" s="1"/>
      <c r="E120" s="1"/>
      <c r="F120" s="188"/>
      <c r="G120" s="188"/>
      <c r="H120" s="188"/>
      <c r="I120" s="188"/>
      <c r="J120" s="188"/>
      <c r="K120" s="188"/>
      <c r="L120" s="188"/>
      <c r="M120" s="188"/>
      <c r="N120" s="188"/>
      <c r="O120" s="188"/>
      <c r="P120" s="188"/>
      <c r="Q120" s="188"/>
      <c r="R120" s="188"/>
      <c r="S120" s="188"/>
      <c r="T120" s="188"/>
      <c r="U120" s="188"/>
      <c r="V120" s="188"/>
      <c r="W120" s="188"/>
      <c r="X120" s="188"/>
      <c r="Y120" s="187"/>
      <c r="Z120" s="187"/>
      <c r="AA120" s="187"/>
      <c r="AB120" s="187"/>
      <c r="AC120" s="187"/>
      <c r="AD120" s="188"/>
      <c r="AE120" s="188"/>
      <c r="AF120" s="188"/>
      <c r="AG120" s="188"/>
      <c r="AH120" s="188"/>
      <c r="AI120" s="188"/>
      <c r="AJ120" s="188"/>
      <c r="AK120" s="188"/>
      <c r="AL120" s="188"/>
      <c r="AM120" s="188"/>
      <c r="AN120" s="188"/>
      <c r="AO120" s="188"/>
      <c r="AP120" s="188"/>
      <c r="AQ120" s="188"/>
      <c r="AR120" s="188"/>
      <c r="AS120" s="188"/>
      <c r="AT120" s="188"/>
      <c r="AU120" s="188"/>
      <c r="AV120" s="188"/>
      <c r="AW120" s="188"/>
      <c r="AX120" s="188"/>
      <c r="AY120" s="188"/>
      <c r="AZ120" s="188"/>
      <c r="BA120" s="188"/>
      <c r="BB120" s="188"/>
      <c r="BC120" s="188"/>
      <c r="BD120" s="188"/>
      <c r="BE120" s="188"/>
      <c r="BF120" s="188"/>
      <c r="BG120" s="188"/>
      <c r="BH120" s="188"/>
      <c r="BI120" s="188"/>
      <c r="BJ120" s="188"/>
      <c r="BK120" s="188"/>
      <c r="BL120" s="188"/>
      <c r="BM120" s="188"/>
      <c r="BN120" s="188"/>
      <c r="BO120" s="188"/>
      <c r="BP120" s="188"/>
      <c r="BQ120" s="188"/>
      <c r="BR120" s="188"/>
      <c r="BS120" s="188"/>
      <c r="BT120" s="188"/>
      <c r="BU120" s="188"/>
      <c r="BV120" s="188"/>
      <c r="BW120" s="188"/>
      <c r="BX120" s="188"/>
      <c r="BY120" s="188"/>
      <c r="BZ120" s="188"/>
      <c r="CA120" s="188"/>
      <c r="CB120" s="188"/>
      <c r="CC120" s="188"/>
      <c r="CD120" s="186"/>
      <c r="CE120" s="187"/>
      <c r="CF120" s="187"/>
      <c r="CG120" s="187"/>
      <c r="CH120" s="187"/>
      <c r="CI120" s="187"/>
      <c r="CJ120" s="187"/>
      <c r="CK120" s="188"/>
      <c r="CL120" s="192"/>
      <c r="CM120" s="188"/>
      <c r="CN120" s="188"/>
      <c r="CO120" s="188"/>
      <c r="CP120" s="188"/>
      <c r="CQ120" s="188"/>
      <c r="CR120" s="188"/>
      <c r="CS120" s="188"/>
      <c r="CT120" s="188"/>
      <c r="CU120" s="188"/>
      <c r="CV120" s="188"/>
      <c r="CW120" s="188"/>
      <c r="CX120" s="188"/>
      <c r="CY120" s="188"/>
      <c r="CZ120" s="188"/>
      <c r="DA120" s="188"/>
      <c r="DB120" s="188"/>
      <c r="DC120" s="188"/>
      <c r="DD120" s="188"/>
      <c r="DE120" s="188"/>
    </row>
    <row r="121" spans="1:137" s="221" customFormat="1" ht="12.75" customHeight="1">
      <c r="A121" s="180"/>
      <c r="B121" s="112" t="s">
        <v>116</v>
      </c>
      <c r="C121" s="180"/>
      <c r="D121" s="213"/>
      <c r="E121" s="213"/>
      <c r="F121" s="214"/>
      <c r="G121" s="215"/>
      <c r="H121" s="215"/>
      <c r="I121" s="215"/>
      <c r="J121" s="215"/>
      <c r="K121" s="215"/>
      <c r="L121" s="215">
        <v>3717</v>
      </c>
      <c r="M121" s="215">
        <v>3404.1</v>
      </c>
      <c r="N121" s="215">
        <v>3253.1</v>
      </c>
      <c r="O121" s="215">
        <v>3253.1</v>
      </c>
      <c r="P121" s="215">
        <v>2398.1999999999998</v>
      </c>
      <c r="Q121" s="215">
        <v>2192.5</v>
      </c>
      <c r="R121" s="215">
        <v>2192.5</v>
      </c>
      <c r="S121" s="215">
        <v>1880</v>
      </c>
      <c r="T121" s="215">
        <v>1913.8</v>
      </c>
      <c r="U121" s="215">
        <v>1913.8</v>
      </c>
      <c r="V121" s="215">
        <v>2258.1999999999998</v>
      </c>
      <c r="W121" s="215">
        <v>2305</v>
      </c>
      <c r="X121" s="215">
        <v>2305</v>
      </c>
      <c r="Y121" s="216">
        <v>2153.1</v>
      </c>
      <c r="Z121" s="216">
        <v>2249.8000000000002</v>
      </c>
      <c r="AA121" s="216">
        <f>+Z121</f>
        <v>2249.8000000000002</v>
      </c>
      <c r="AB121" s="216">
        <v>2309.6</v>
      </c>
      <c r="AC121" s="191">
        <v>2160.5</v>
      </c>
      <c r="AD121" s="184">
        <f>AC121</f>
        <v>2160.5</v>
      </c>
      <c r="AE121" s="184">
        <v>2583.1999999999998</v>
      </c>
      <c r="AF121" s="184">
        <f>100.8+2707.9+5.6+52.7</f>
        <v>2867</v>
      </c>
      <c r="AG121" s="184">
        <f>AF121</f>
        <v>2867</v>
      </c>
      <c r="AH121" s="184">
        <v>2848.8</v>
      </c>
      <c r="AI121" s="184">
        <v>2844.9</v>
      </c>
      <c r="AJ121" s="184">
        <f>AI121</f>
        <v>2844.9</v>
      </c>
      <c r="AK121" s="184">
        <v>2868.1</v>
      </c>
      <c r="AL121" s="184">
        <v>2849.5</v>
      </c>
      <c r="AM121" s="184">
        <f>AL121</f>
        <v>2849.5</v>
      </c>
      <c r="AN121" s="184">
        <v>2892.8</v>
      </c>
      <c r="AO121" s="184">
        <v>2858.6</v>
      </c>
      <c r="AP121" s="184">
        <f t="shared" ref="AP121:AP122" si="699">AO121</f>
        <v>2858.6</v>
      </c>
      <c r="AQ121" s="184">
        <v>2958.5</v>
      </c>
      <c r="AR121" s="184">
        <f>+Debt!Y26-Group!AR116</f>
        <v>2975</v>
      </c>
      <c r="AS121" s="184">
        <f>AR121</f>
        <v>2975</v>
      </c>
      <c r="AT121" s="184">
        <v>2839.2</v>
      </c>
      <c r="AU121" s="184">
        <v>2678.4</v>
      </c>
      <c r="AV121" s="184">
        <f t="shared" ref="AV121" si="700">AU121</f>
        <v>2678.4</v>
      </c>
      <c r="AW121" s="217">
        <v>2043.8</v>
      </c>
      <c r="AX121" s="217">
        <v>2060.3000000000002</v>
      </c>
      <c r="AY121" s="217">
        <f t="shared" ref="AY121" si="701">AX121</f>
        <v>2060.3000000000002</v>
      </c>
      <c r="AZ121" s="217">
        <v>2087.6999999999998</v>
      </c>
      <c r="BA121" s="184">
        <v>2698.9</v>
      </c>
      <c r="BB121" s="217">
        <f t="shared" ref="BB121:BB122" si="702">BA121</f>
        <v>2698.9</v>
      </c>
      <c r="BC121" s="184">
        <v>3034</v>
      </c>
      <c r="BD121" s="184">
        <v>3292.9</v>
      </c>
      <c r="BE121" s="185">
        <f>BD121</f>
        <v>3292.9</v>
      </c>
      <c r="BF121" s="184">
        <v>3211.5</v>
      </c>
      <c r="BG121" s="184">
        <v>3685</v>
      </c>
      <c r="BH121" s="217">
        <f t="shared" ref="BH121:BH122" si="703">BG121</f>
        <v>3685</v>
      </c>
      <c r="BI121" s="184">
        <v>5353.4</v>
      </c>
      <c r="BJ121" s="184">
        <v>4690.3999999999996</v>
      </c>
      <c r="BK121" s="185">
        <f t="shared" ref="BK121:BK122" si="704">BJ121</f>
        <v>4690.3999999999996</v>
      </c>
      <c r="BL121" s="184">
        <v>4124.5</v>
      </c>
      <c r="BM121" s="217">
        <f>+Debt!AT26-Group!BM116</f>
        <v>4295.4230634454243</v>
      </c>
      <c r="BN121" s="217">
        <f t="shared" ref="BN121:BN122" si="705">BM121</f>
        <v>4295.4230634454243</v>
      </c>
      <c r="BO121" s="217">
        <f>+Debt!AV26-Group!BO116</f>
        <v>4434.8934091762058</v>
      </c>
      <c r="BP121" s="217">
        <f>+Debt!AW26-Group!BP116</f>
        <v>4621.7107626636016</v>
      </c>
      <c r="BQ121" s="217">
        <f t="shared" ref="BQ121:BQ122" si="706">BP121</f>
        <v>4621.7107626636016</v>
      </c>
      <c r="BR121" s="217">
        <f>+Debt!AY26-Group!BR116</f>
        <v>4815.7699423171116</v>
      </c>
      <c r="BS121" s="217">
        <f>+Debt!AZ26-Group!BS116</f>
        <v>5017.3550484861926</v>
      </c>
      <c r="BT121" s="217">
        <f t="shared" ref="BT121:BT122" si="707">BS121</f>
        <v>5017.3550484861926</v>
      </c>
      <c r="BU121" s="217">
        <f>+Debt!BB26-Group!BU116</f>
        <v>5226.7613269146741</v>
      </c>
      <c r="BV121" s="217">
        <f>+Debt!BC26-Group!BV116</f>
        <v>5444.2956059799762</v>
      </c>
      <c r="BW121" s="217">
        <f t="shared" ref="BW121:BW122" si="708">BV121</f>
        <v>5444.2956059799762</v>
      </c>
      <c r="BX121" s="217">
        <f>+Debt!BE26-Group!BX116</f>
        <v>5670.2767510854301</v>
      </c>
      <c r="BY121" s="217">
        <f>+Debt!BF26-Group!BY116</f>
        <v>5905.036136878648</v>
      </c>
      <c r="BZ121" s="217">
        <f t="shared" ref="BZ121:BZ122" si="709">BY121</f>
        <v>5905.036136878648</v>
      </c>
      <c r="CA121" s="217">
        <f>+Debt!BH26-Group!CA116</f>
        <v>6148.9181379952306</v>
      </c>
      <c r="CB121" s="217">
        <f>+Debt!BI26-Group!CB116</f>
        <v>6402.2806390545984</v>
      </c>
      <c r="CC121" s="217">
        <f t="shared" ref="CC121:CC122" si="710">CB121</f>
        <v>6402.2806390545984</v>
      </c>
      <c r="CD121" s="218"/>
      <c r="CE121" s="219"/>
      <c r="CF121" s="219"/>
      <c r="CG121" s="219"/>
      <c r="CH121" s="219"/>
      <c r="CI121" s="219"/>
      <c r="CJ121" s="219"/>
      <c r="CK121" s="217"/>
      <c r="CL121" s="220">
        <f>X121</f>
        <v>2305</v>
      </c>
      <c r="CM121" s="217">
        <f>AA121</f>
        <v>2249.8000000000002</v>
      </c>
      <c r="CN121" s="217">
        <f>AD121</f>
        <v>2160.5</v>
      </c>
      <c r="CO121" s="217">
        <f>AG121</f>
        <v>2867</v>
      </c>
      <c r="CP121" s="217">
        <f>AJ121</f>
        <v>2844.9</v>
      </c>
      <c r="CQ121" s="217">
        <f>AM121</f>
        <v>2849.5</v>
      </c>
      <c r="CR121" s="217">
        <f>AP121</f>
        <v>2858.6</v>
      </c>
      <c r="CS121" s="217">
        <f>AS121</f>
        <v>2975</v>
      </c>
      <c r="CT121" s="217">
        <f>AV121</f>
        <v>2678.4</v>
      </c>
      <c r="CU121" s="217">
        <f>AY121</f>
        <v>2060.3000000000002</v>
      </c>
      <c r="CV121" s="217">
        <f>BB121</f>
        <v>2698.9</v>
      </c>
      <c r="CW121" s="217">
        <f>BE121</f>
        <v>3292.9</v>
      </c>
      <c r="CX121" s="217">
        <f>BH121</f>
        <v>3685</v>
      </c>
      <c r="CY121" s="217">
        <f>BK121</f>
        <v>4690.3999999999996</v>
      </c>
      <c r="CZ121" s="217">
        <f>BN121</f>
        <v>4295.4230634454243</v>
      </c>
      <c r="DA121" s="217">
        <f>BQ121</f>
        <v>4621.7107626636016</v>
      </c>
      <c r="DB121" s="217">
        <f>BT121</f>
        <v>5017.3550484861926</v>
      </c>
      <c r="DC121" s="217">
        <f>BW121</f>
        <v>5444.2956059799762</v>
      </c>
      <c r="DD121" s="217">
        <f>BZ121</f>
        <v>5905.036136878648</v>
      </c>
      <c r="DE121" s="217">
        <f>CC121</f>
        <v>6402.2806390545984</v>
      </c>
      <c r="DF121" s="180"/>
      <c r="DG121" s="180"/>
      <c r="DH121" s="180"/>
      <c r="DI121" s="180"/>
      <c r="DJ121" s="180"/>
      <c r="DK121" s="180"/>
      <c r="EB121"/>
      <c r="EC121"/>
      <c r="ED121"/>
      <c r="EE121"/>
      <c r="EF121"/>
      <c r="EG121"/>
    </row>
    <row r="122" spans="1:137" s="221" customFormat="1" ht="12.75" customHeight="1">
      <c r="A122" s="180"/>
      <c r="B122" s="112" t="s">
        <v>117</v>
      </c>
      <c r="C122" s="180"/>
      <c r="D122" s="222"/>
      <c r="E122" s="222"/>
      <c r="F122" s="223"/>
      <c r="G122" s="223"/>
      <c r="H122" s="223"/>
      <c r="I122" s="223"/>
      <c r="J122" s="223"/>
      <c r="K122" s="223"/>
      <c r="L122" s="223">
        <v>67.400000000000091</v>
      </c>
      <c r="M122" s="223">
        <v>231.59999999999991</v>
      </c>
      <c r="N122" s="223">
        <v>261.20000000000027</v>
      </c>
      <c r="O122" s="223">
        <v>261.20000000000027</v>
      </c>
      <c r="P122" s="223">
        <v>214.89999999999964</v>
      </c>
      <c r="Q122" s="223">
        <v>223.59999999999991</v>
      </c>
      <c r="R122" s="223">
        <v>223.59999999999991</v>
      </c>
      <c r="S122" s="223">
        <v>197.80000000000018</v>
      </c>
      <c r="T122" s="223">
        <v>192.20000000000005</v>
      </c>
      <c r="U122" s="223">
        <v>192.20000000000005</v>
      </c>
      <c r="V122" s="223">
        <v>208.20000000000027</v>
      </c>
      <c r="W122" s="223">
        <v>218.40000000000009</v>
      </c>
      <c r="X122" s="223">
        <v>218.40000000000009</v>
      </c>
      <c r="Y122" s="224">
        <f>166.7+6.4+34.6+10.2</f>
        <v>217.89999999999998</v>
      </c>
      <c r="Z122" s="224">
        <f>314.4+6.5+28.7+11.5</f>
        <v>361.09999999999997</v>
      </c>
      <c r="AA122" s="224">
        <f>+Z122</f>
        <v>361.09999999999997</v>
      </c>
      <c r="AB122" s="224">
        <f>479.7+6.7+30+11.5</f>
        <v>527.9</v>
      </c>
      <c r="AC122" s="191">
        <f>412.3+4+29.3+9.3</f>
        <v>454.90000000000003</v>
      </c>
      <c r="AD122" s="184">
        <f>AC122</f>
        <v>454.90000000000003</v>
      </c>
      <c r="AE122" s="184">
        <f>485.9+6.5+30.6+10</f>
        <v>533</v>
      </c>
      <c r="AF122" s="184">
        <v>347.3</v>
      </c>
      <c r="AG122" s="184">
        <f>AF122</f>
        <v>347.3</v>
      </c>
      <c r="AH122" s="184">
        <f>100.1+17.2+50.2+343.8</f>
        <v>511.3</v>
      </c>
      <c r="AI122" s="184">
        <f>85.1+44.7+43.4+274.3</f>
        <v>447.5</v>
      </c>
      <c r="AJ122" s="184">
        <f>AI122</f>
        <v>447.5</v>
      </c>
      <c r="AK122" s="184">
        <f>200.6+51.4+44.3+170.9</f>
        <v>467.20000000000005</v>
      </c>
      <c r="AL122" s="184">
        <f>198.5+45.9+46.5+76.3</f>
        <v>367.2</v>
      </c>
      <c r="AM122" s="184">
        <f>AL122</f>
        <v>367.2</v>
      </c>
      <c r="AN122" s="184">
        <f>183.6+60.3+40.3+54.2</f>
        <v>338.4</v>
      </c>
      <c r="AO122" s="184">
        <f>191.1+77.7+34.3+94.4</f>
        <v>397.5</v>
      </c>
      <c r="AP122" s="184">
        <f t="shared" si="699"/>
        <v>397.5</v>
      </c>
      <c r="AQ122" s="184">
        <f>193.6+4.1+96.6+37+213</f>
        <v>544.29999999999995</v>
      </c>
      <c r="AR122" s="184">
        <f>3541.3-AR121</f>
        <v>566.30000000000018</v>
      </c>
      <c r="AS122" s="184">
        <f>AR122</f>
        <v>566.30000000000018</v>
      </c>
      <c r="AT122" s="184">
        <f>3449.5-AT121</f>
        <v>610.30000000000018</v>
      </c>
      <c r="AU122" s="184">
        <f>AU123-AU121</f>
        <v>596.40000000000009</v>
      </c>
      <c r="AV122" s="184">
        <f t="shared" ref="AV122:AY122" si="711">AU122</f>
        <v>596.40000000000009</v>
      </c>
      <c r="AW122" s="184">
        <f>AW123-AW121</f>
        <v>452.10000000000014</v>
      </c>
      <c r="AX122" s="184">
        <f>AX123-AX121</f>
        <v>611.19999999999982</v>
      </c>
      <c r="AY122" s="217">
        <f t="shared" si="711"/>
        <v>611.19999999999982</v>
      </c>
      <c r="AZ122" s="184">
        <f>AZ123-AZ121</f>
        <v>791.40000000000009</v>
      </c>
      <c r="BA122" s="184">
        <f>BA123-BA121</f>
        <v>1012.5999999999999</v>
      </c>
      <c r="BB122" s="217">
        <f t="shared" si="702"/>
        <v>1012.5999999999999</v>
      </c>
      <c r="BC122" s="184">
        <f>BC123-BC121</f>
        <v>1334.1999999999998</v>
      </c>
      <c r="BD122" s="184">
        <f>BD123-BD121</f>
        <v>1398.2000000000003</v>
      </c>
      <c r="BE122" s="185">
        <f>BD122</f>
        <v>1398.2000000000003</v>
      </c>
      <c r="BF122" s="184">
        <f>BF123-BF121</f>
        <v>979.60000000000036</v>
      </c>
      <c r="BG122" s="184">
        <f>BG123-BG121</f>
        <v>1195.1999999999998</v>
      </c>
      <c r="BH122" s="217">
        <f t="shared" si="703"/>
        <v>1195.1999999999998</v>
      </c>
      <c r="BI122" s="184">
        <f>BI123-BI121</f>
        <v>1268.2000000000007</v>
      </c>
      <c r="BJ122" s="184">
        <f>BJ123-BJ121</f>
        <v>1112.6000000000004</v>
      </c>
      <c r="BK122" s="185">
        <f t="shared" si="704"/>
        <v>1112.6000000000004</v>
      </c>
      <c r="BL122" s="184">
        <f>BL123-BL121</f>
        <v>1025.5</v>
      </c>
      <c r="BM122" s="217">
        <f t="shared" ref="BM122" si="712">BL122</f>
        <v>1025.5</v>
      </c>
      <c r="BN122" s="217">
        <f t="shared" si="705"/>
        <v>1025.5</v>
      </c>
      <c r="BO122" s="217">
        <f t="shared" ref="BO122" si="713">BN122</f>
        <v>1025.5</v>
      </c>
      <c r="BP122" s="217">
        <f t="shared" ref="BP122" si="714">BO122</f>
        <v>1025.5</v>
      </c>
      <c r="BQ122" s="217">
        <f t="shared" si="706"/>
        <v>1025.5</v>
      </c>
      <c r="BR122" s="217">
        <f t="shared" ref="BR122" si="715">BQ122</f>
        <v>1025.5</v>
      </c>
      <c r="BS122" s="217">
        <f t="shared" ref="BS122" si="716">BR122</f>
        <v>1025.5</v>
      </c>
      <c r="BT122" s="217">
        <f t="shared" si="707"/>
        <v>1025.5</v>
      </c>
      <c r="BU122" s="217">
        <f t="shared" ref="BU122" si="717">BT122</f>
        <v>1025.5</v>
      </c>
      <c r="BV122" s="217">
        <f t="shared" ref="BV122" si="718">BU122</f>
        <v>1025.5</v>
      </c>
      <c r="BW122" s="217">
        <f t="shared" si="708"/>
        <v>1025.5</v>
      </c>
      <c r="BX122" s="217">
        <f t="shared" ref="BX122" si="719">BW122</f>
        <v>1025.5</v>
      </c>
      <c r="BY122" s="217">
        <f t="shared" ref="BY122" si="720">BX122</f>
        <v>1025.5</v>
      </c>
      <c r="BZ122" s="217">
        <f t="shared" si="709"/>
        <v>1025.5</v>
      </c>
      <c r="CA122" s="217">
        <f t="shared" ref="CA122" si="721">BZ122</f>
        <v>1025.5</v>
      </c>
      <c r="CB122" s="217">
        <f t="shared" ref="CB122" si="722">CA122</f>
        <v>1025.5</v>
      </c>
      <c r="CC122" s="217">
        <f t="shared" si="710"/>
        <v>1025.5</v>
      </c>
      <c r="CD122" s="218"/>
      <c r="CE122" s="219"/>
      <c r="CF122" s="219"/>
      <c r="CG122" s="219"/>
      <c r="CH122" s="219"/>
      <c r="CI122" s="219"/>
      <c r="CJ122" s="219"/>
      <c r="CK122" s="217"/>
      <c r="CL122" s="220">
        <f>X122</f>
        <v>218.40000000000009</v>
      </c>
      <c r="CM122" s="217">
        <f>AA122</f>
        <v>361.09999999999997</v>
      </c>
      <c r="CN122" s="217">
        <f>AD122</f>
        <v>454.90000000000003</v>
      </c>
      <c r="CO122" s="217">
        <f>AG122</f>
        <v>347.3</v>
      </c>
      <c r="CP122" s="217">
        <f>AJ122</f>
        <v>447.5</v>
      </c>
      <c r="CQ122" s="217">
        <f>AM122</f>
        <v>367.2</v>
      </c>
      <c r="CR122" s="217">
        <f>AP122</f>
        <v>397.5</v>
      </c>
      <c r="CS122" s="217">
        <f>AS122</f>
        <v>566.30000000000018</v>
      </c>
      <c r="CT122" s="217">
        <f>AV122</f>
        <v>596.40000000000009</v>
      </c>
      <c r="CU122" s="217">
        <f>AY122</f>
        <v>611.19999999999982</v>
      </c>
      <c r="CV122" s="217">
        <f>BB122</f>
        <v>1012.5999999999999</v>
      </c>
      <c r="CW122" s="217">
        <f>BE122</f>
        <v>1398.2000000000003</v>
      </c>
      <c r="CX122" s="217">
        <f>BH122</f>
        <v>1195.1999999999998</v>
      </c>
      <c r="CY122" s="217">
        <f>BK122</f>
        <v>1112.6000000000004</v>
      </c>
      <c r="CZ122" s="217">
        <f>BN122</f>
        <v>1025.5</v>
      </c>
      <c r="DA122" s="217">
        <f>BQ122</f>
        <v>1025.5</v>
      </c>
      <c r="DB122" s="217">
        <f>BT122</f>
        <v>1025.5</v>
      </c>
      <c r="DC122" s="217">
        <f>BW122</f>
        <v>1025.5</v>
      </c>
      <c r="DD122" s="217">
        <f>BZ122</f>
        <v>1025.5</v>
      </c>
      <c r="DE122" s="217">
        <f>CC122</f>
        <v>1025.5</v>
      </c>
      <c r="DF122" s="180"/>
      <c r="DG122" s="180"/>
      <c r="DH122" s="180"/>
      <c r="DI122" s="180"/>
      <c r="DJ122" s="180"/>
      <c r="DK122" s="180"/>
      <c r="EB122"/>
      <c r="EC122"/>
      <c r="ED122"/>
      <c r="EE122"/>
      <c r="EF122"/>
      <c r="EG122"/>
    </row>
    <row r="123" spans="1:137" s="221" customFormat="1" ht="12.75" customHeight="1" thickBot="1">
      <c r="A123" s="79"/>
      <c r="B123" s="80" t="s">
        <v>120</v>
      </c>
      <c r="C123" s="79"/>
      <c r="D123" s="81"/>
      <c r="E123" s="81"/>
      <c r="F123" s="82"/>
      <c r="G123" s="82"/>
      <c r="H123" s="82"/>
      <c r="I123" s="82"/>
      <c r="J123" s="82"/>
      <c r="K123" s="82"/>
      <c r="L123" s="82">
        <f t="shared" ref="L123:AS123" si="723">SUM(L121:L122)</f>
        <v>3784.4</v>
      </c>
      <c r="M123" s="82">
        <f t="shared" si="723"/>
        <v>3635.7</v>
      </c>
      <c r="N123" s="82">
        <f t="shared" si="723"/>
        <v>3514.3</v>
      </c>
      <c r="O123" s="82">
        <f t="shared" si="723"/>
        <v>3514.3</v>
      </c>
      <c r="P123" s="82">
        <f t="shared" si="723"/>
        <v>2613.0999999999995</v>
      </c>
      <c r="Q123" s="82">
        <f t="shared" si="723"/>
        <v>2416.1</v>
      </c>
      <c r="R123" s="82">
        <f t="shared" si="723"/>
        <v>2416.1</v>
      </c>
      <c r="S123" s="82">
        <f t="shared" si="723"/>
        <v>2077.8000000000002</v>
      </c>
      <c r="T123" s="82">
        <f t="shared" si="723"/>
        <v>2106</v>
      </c>
      <c r="U123" s="82">
        <f t="shared" si="723"/>
        <v>2106</v>
      </c>
      <c r="V123" s="82">
        <f t="shared" si="723"/>
        <v>2466.4</v>
      </c>
      <c r="W123" s="82">
        <f t="shared" si="723"/>
        <v>2523.4</v>
      </c>
      <c r="X123" s="82">
        <f t="shared" si="723"/>
        <v>2523.4</v>
      </c>
      <c r="Y123" s="82">
        <f t="shared" si="723"/>
        <v>2371</v>
      </c>
      <c r="Z123" s="82">
        <f t="shared" si="723"/>
        <v>2610.9</v>
      </c>
      <c r="AA123" s="82">
        <f>SUM(AA121:AA122)</f>
        <v>2610.9</v>
      </c>
      <c r="AB123" s="82">
        <f t="shared" si="723"/>
        <v>2837.5</v>
      </c>
      <c r="AC123" s="82">
        <f t="shared" si="723"/>
        <v>2615.4</v>
      </c>
      <c r="AD123" s="82">
        <f t="shared" si="723"/>
        <v>2615.4</v>
      </c>
      <c r="AE123" s="82">
        <f t="shared" si="723"/>
        <v>3116.2</v>
      </c>
      <c r="AF123" s="82">
        <f t="shared" si="723"/>
        <v>3214.3</v>
      </c>
      <c r="AG123" s="82">
        <f t="shared" si="723"/>
        <v>3214.3</v>
      </c>
      <c r="AH123" s="82">
        <f t="shared" si="723"/>
        <v>3360.1000000000004</v>
      </c>
      <c r="AI123" s="82">
        <f t="shared" si="723"/>
        <v>3292.4</v>
      </c>
      <c r="AJ123" s="82">
        <f t="shared" si="723"/>
        <v>3292.4</v>
      </c>
      <c r="AK123" s="82">
        <f t="shared" si="723"/>
        <v>3335.3</v>
      </c>
      <c r="AL123" s="82">
        <f t="shared" si="723"/>
        <v>3216.7</v>
      </c>
      <c r="AM123" s="82">
        <f t="shared" si="723"/>
        <v>3216.7</v>
      </c>
      <c r="AN123" s="82">
        <f t="shared" si="723"/>
        <v>3231.2000000000003</v>
      </c>
      <c r="AO123" s="82">
        <f t="shared" si="723"/>
        <v>3256.1</v>
      </c>
      <c r="AP123" s="82">
        <f t="shared" si="723"/>
        <v>3256.1</v>
      </c>
      <c r="AQ123" s="82">
        <f t="shared" si="723"/>
        <v>3502.8</v>
      </c>
      <c r="AR123" s="82">
        <f t="shared" si="723"/>
        <v>3541.3</v>
      </c>
      <c r="AS123" s="82">
        <f t="shared" si="723"/>
        <v>3541.3</v>
      </c>
      <c r="AT123" s="82">
        <f t="shared" ref="AT123:BK123" si="724">SUM(AT121:AT122)</f>
        <v>3449.5</v>
      </c>
      <c r="AU123" s="82">
        <v>3274.8</v>
      </c>
      <c r="AV123" s="82">
        <f t="shared" si="724"/>
        <v>3274.8</v>
      </c>
      <c r="AW123" s="82">
        <v>2495.9</v>
      </c>
      <c r="AX123" s="82">
        <v>2671.5</v>
      </c>
      <c r="AY123" s="82">
        <f t="shared" si="724"/>
        <v>2671.5</v>
      </c>
      <c r="AZ123" s="82">
        <v>2879.1</v>
      </c>
      <c r="BA123" s="82">
        <v>3711.5</v>
      </c>
      <c r="BB123" s="82">
        <f t="shared" si="724"/>
        <v>3711.5</v>
      </c>
      <c r="BC123" s="82">
        <v>4368.2</v>
      </c>
      <c r="BD123" s="82">
        <v>4691.1000000000004</v>
      </c>
      <c r="BE123" s="82">
        <f t="shared" si="724"/>
        <v>4691.1000000000004</v>
      </c>
      <c r="BF123" s="82">
        <v>4191.1000000000004</v>
      </c>
      <c r="BG123" s="82">
        <v>4880.2</v>
      </c>
      <c r="BH123" s="82">
        <f t="shared" si="724"/>
        <v>4880.2</v>
      </c>
      <c r="BI123" s="82">
        <v>6621.6</v>
      </c>
      <c r="BJ123" s="82">
        <v>5803</v>
      </c>
      <c r="BK123" s="82">
        <f t="shared" si="724"/>
        <v>5803</v>
      </c>
      <c r="BL123" s="82">
        <v>5150</v>
      </c>
      <c r="BM123" s="82">
        <f t="shared" ref="BM123:BN123" si="725">SUM(BM121:BM122)</f>
        <v>5320.9230634454243</v>
      </c>
      <c r="BN123" s="82">
        <f t="shared" si="725"/>
        <v>5320.9230634454243</v>
      </c>
      <c r="BO123" s="82">
        <f t="shared" ref="BO123:BQ123" si="726">SUM(BO121:BO122)</f>
        <v>5460.3934091762058</v>
      </c>
      <c r="BP123" s="82">
        <f t="shared" si="726"/>
        <v>5647.2107626636016</v>
      </c>
      <c r="BQ123" s="82">
        <f t="shared" si="726"/>
        <v>5647.2107626636016</v>
      </c>
      <c r="BR123" s="82">
        <f t="shared" ref="BR123:BT123" si="727">SUM(BR121:BR122)</f>
        <v>5841.2699423171116</v>
      </c>
      <c r="BS123" s="82">
        <f t="shared" si="727"/>
        <v>6042.8550484861926</v>
      </c>
      <c r="BT123" s="82">
        <f t="shared" si="727"/>
        <v>6042.8550484861926</v>
      </c>
      <c r="BU123" s="82">
        <f t="shared" ref="BU123:BZ123" si="728">SUM(BU121:BU122)</f>
        <v>6252.2613269146741</v>
      </c>
      <c r="BV123" s="82">
        <f t="shared" si="728"/>
        <v>6469.7956059799762</v>
      </c>
      <c r="BW123" s="82">
        <f t="shared" si="728"/>
        <v>6469.7956059799762</v>
      </c>
      <c r="BX123" s="82">
        <f t="shared" si="728"/>
        <v>6695.7767510854301</v>
      </c>
      <c r="BY123" s="82">
        <f t="shared" si="728"/>
        <v>6930.536136878648</v>
      </c>
      <c r="BZ123" s="82">
        <f t="shared" si="728"/>
        <v>6930.536136878648</v>
      </c>
      <c r="CA123" s="82">
        <f t="shared" ref="CA123:CC123" si="729">SUM(CA121:CA122)</f>
        <v>7174.4181379952306</v>
      </c>
      <c r="CB123" s="82">
        <f t="shared" si="729"/>
        <v>7427.7806390545984</v>
      </c>
      <c r="CC123" s="82">
        <f t="shared" si="729"/>
        <v>7427.7806390545984</v>
      </c>
      <c r="CD123" s="134"/>
      <c r="CE123" s="219"/>
      <c r="CF123" s="219"/>
      <c r="CG123" s="219"/>
      <c r="CH123" s="219"/>
      <c r="CI123" s="219"/>
      <c r="CJ123" s="219"/>
      <c r="CK123" s="217"/>
      <c r="CL123" s="85">
        <f>X123</f>
        <v>2523.4</v>
      </c>
      <c r="CM123" s="82">
        <f>AA123</f>
        <v>2610.9</v>
      </c>
      <c r="CN123" s="82">
        <f>AD123</f>
        <v>2615.4</v>
      </c>
      <c r="CO123" s="82">
        <f>AG123</f>
        <v>3214.3</v>
      </c>
      <c r="CP123" s="82">
        <f>AJ123</f>
        <v>3292.4</v>
      </c>
      <c r="CQ123" s="82">
        <f>AM123</f>
        <v>3216.7</v>
      </c>
      <c r="CR123" s="82">
        <f>AP123</f>
        <v>3256.1</v>
      </c>
      <c r="CS123" s="82">
        <f>AS123</f>
        <v>3541.3</v>
      </c>
      <c r="CT123" s="82">
        <f>AV123</f>
        <v>3274.8</v>
      </c>
      <c r="CU123" s="82">
        <f>AY123</f>
        <v>2671.5</v>
      </c>
      <c r="CV123" s="82">
        <f>BB123</f>
        <v>3711.5</v>
      </c>
      <c r="CW123" s="82">
        <f>BE123</f>
        <v>4691.1000000000004</v>
      </c>
      <c r="CX123" s="82">
        <f>BH123</f>
        <v>4880.2</v>
      </c>
      <c r="CY123" s="82">
        <f>BK123</f>
        <v>5803</v>
      </c>
      <c r="CZ123" s="82">
        <f>BN123</f>
        <v>5320.9230634454243</v>
      </c>
      <c r="DA123" s="82">
        <f>BQ123</f>
        <v>5647.2107626636016</v>
      </c>
      <c r="DB123" s="82">
        <f>BT123</f>
        <v>6042.8550484861926</v>
      </c>
      <c r="DC123" s="82">
        <f>BW123</f>
        <v>6469.7956059799762</v>
      </c>
      <c r="DD123" s="82">
        <f>BZ123</f>
        <v>6930.536136878648</v>
      </c>
      <c r="DE123" s="82">
        <f>CC123</f>
        <v>7427.7806390545984</v>
      </c>
      <c r="DF123" s="180"/>
      <c r="DG123" s="180"/>
      <c r="DH123" s="180"/>
      <c r="DI123" s="180"/>
      <c r="DJ123" s="180"/>
      <c r="DK123" s="180"/>
      <c r="EB123"/>
      <c r="EC123"/>
      <c r="ED123"/>
      <c r="EE123"/>
      <c r="EF123"/>
      <c r="EG123"/>
    </row>
    <row r="124" spans="1:137" ht="12.75" customHeight="1" thickTop="1">
      <c r="A124" s="1"/>
      <c r="B124" s="112"/>
      <c r="C124" s="1"/>
      <c r="D124" s="1"/>
      <c r="E124" s="1"/>
      <c r="F124" s="188"/>
      <c r="G124" s="188"/>
      <c r="H124" s="188"/>
      <c r="I124" s="188"/>
      <c r="J124" s="188"/>
      <c r="K124" s="188"/>
      <c r="L124" s="188"/>
      <c r="M124" s="188"/>
      <c r="N124" s="188"/>
      <c r="O124" s="188"/>
      <c r="P124" s="188"/>
      <c r="Q124" s="188"/>
      <c r="R124" s="188"/>
      <c r="S124" s="188"/>
      <c r="T124" s="188"/>
      <c r="U124" s="188"/>
      <c r="V124" s="188"/>
      <c r="W124" s="188"/>
      <c r="X124" s="188"/>
      <c r="Y124" s="188"/>
      <c r="Z124" s="188"/>
      <c r="AA124" s="188"/>
      <c r="AB124" s="188"/>
      <c r="AC124" s="188"/>
      <c r="AD124" s="188"/>
      <c r="AE124" s="188"/>
      <c r="AF124" s="188"/>
      <c r="AG124" s="188"/>
      <c r="AH124" s="188"/>
      <c r="AI124" s="188"/>
      <c r="AJ124" s="188"/>
      <c r="AK124" s="188"/>
      <c r="AL124" s="188"/>
      <c r="AM124" s="188"/>
      <c r="AN124" s="188"/>
      <c r="AO124" s="188"/>
      <c r="AP124" s="188"/>
      <c r="AQ124" s="188"/>
      <c r="AR124" s="188"/>
      <c r="AS124" s="188"/>
      <c r="AT124" s="188"/>
      <c r="AU124" s="188"/>
      <c r="AV124" s="188"/>
      <c r="AW124" s="188"/>
      <c r="AX124" s="188"/>
      <c r="AY124" s="188"/>
      <c r="AZ124" s="188"/>
      <c r="BA124" s="188"/>
      <c r="BB124" s="188"/>
      <c r="BC124" s="188"/>
      <c r="BD124" s="188"/>
      <c r="BE124" s="188"/>
      <c r="BF124" s="188"/>
      <c r="BG124" s="188"/>
      <c r="BH124" s="188"/>
      <c r="BI124" s="188"/>
      <c r="BJ124" s="188"/>
      <c r="BK124" s="188"/>
      <c r="BL124" s="188"/>
      <c r="BM124" s="188"/>
      <c r="BN124" s="188"/>
      <c r="BO124" s="188"/>
      <c r="BP124" s="188"/>
      <c r="BQ124" s="188"/>
      <c r="BR124" s="188"/>
      <c r="BS124" s="188"/>
      <c r="BT124" s="188"/>
      <c r="BU124" s="188"/>
      <c r="BV124" s="188"/>
      <c r="BW124" s="188"/>
      <c r="BX124" s="188"/>
      <c r="BY124" s="188"/>
      <c r="BZ124" s="188"/>
      <c r="CA124" s="188"/>
      <c r="CB124" s="188"/>
      <c r="CC124" s="188"/>
      <c r="CD124" s="186"/>
      <c r="CE124" s="187"/>
      <c r="CF124" s="187"/>
      <c r="CG124" s="187"/>
      <c r="CH124" s="187"/>
      <c r="CI124" s="187"/>
      <c r="CJ124" s="187"/>
      <c r="CK124" s="188"/>
      <c r="CL124" s="192"/>
      <c r="CM124" s="188"/>
      <c r="CN124" s="188"/>
      <c r="CO124" s="188"/>
      <c r="CP124" s="188"/>
      <c r="CQ124" s="188"/>
      <c r="CR124" s="188"/>
      <c r="CS124" s="188"/>
      <c r="CT124" s="188"/>
      <c r="CU124" s="188"/>
      <c r="CV124" s="188"/>
      <c r="CW124" s="188"/>
      <c r="CX124" s="188"/>
      <c r="CY124" s="188"/>
      <c r="CZ124" s="188"/>
      <c r="DA124" s="188"/>
      <c r="DB124" s="188"/>
      <c r="DC124" s="188"/>
      <c r="DD124" s="188"/>
      <c r="DE124" s="188"/>
    </row>
    <row r="125" spans="1:137" s="86" customFormat="1" ht="12.75" customHeight="1" thickBot="1">
      <c r="A125" s="79"/>
      <c r="B125" s="80" t="s">
        <v>121</v>
      </c>
      <c r="C125" s="79"/>
      <c r="D125" s="81"/>
      <c r="E125" s="81"/>
      <c r="F125" s="82"/>
      <c r="G125" s="82"/>
      <c r="H125" s="82"/>
      <c r="I125" s="82"/>
      <c r="J125" s="82"/>
      <c r="K125" s="82"/>
      <c r="L125" s="82">
        <f t="shared" ref="L125:BK125" si="730">L123+L118</f>
        <v>4964.5</v>
      </c>
      <c r="M125" s="82">
        <f t="shared" si="730"/>
        <v>5142.1000000000004</v>
      </c>
      <c r="N125" s="82">
        <f t="shared" si="730"/>
        <v>4805.3999999999996</v>
      </c>
      <c r="O125" s="82">
        <f t="shared" si="730"/>
        <v>4805.3999999999996</v>
      </c>
      <c r="P125" s="82">
        <f t="shared" si="730"/>
        <v>2997.9999999999995</v>
      </c>
      <c r="Q125" s="82">
        <f t="shared" si="730"/>
        <v>2876.5</v>
      </c>
      <c r="R125" s="82">
        <f t="shared" si="730"/>
        <v>2876.5</v>
      </c>
      <c r="S125" s="82">
        <f t="shared" si="730"/>
        <v>2399.1000000000004</v>
      </c>
      <c r="T125" s="82">
        <f t="shared" si="730"/>
        <v>2551</v>
      </c>
      <c r="U125" s="82">
        <f t="shared" si="730"/>
        <v>2551</v>
      </c>
      <c r="V125" s="82">
        <f t="shared" si="730"/>
        <v>2857.5</v>
      </c>
      <c r="W125" s="82">
        <f t="shared" si="730"/>
        <v>3045.3</v>
      </c>
      <c r="X125" s="82">
        <f t="shared" si="730"/>
        <v>3045.3</v>
      </c>
      <c r="Y125" s="82">
        <f t="shared" si="730"/>
        <v>2763.2</v>
      </c>
      <c r="Z125" s="82">
        <f t="shared" si="730"/>
        <v>3055</v>
      </c>
      <c r="AA125" s="82">
        <f t="shared" si="730"/>
        <v>3055</v>
      </c>
      <c r="AB125" s="82">
        <f t="shared" si="730"/>
        <v>3361</v>
      </c>
      <c r="AC125" s="82">
        <f t="shared" si="730"/>
        <v>3173.5</v>
      </c>
      <c r="AD125" s="82">
        <f t="shared" si="730"/>
        <v>3173.5</v>
      </c>
      <c r="AE125" s="82">
        <f t="shared" si="730"/>
        <v>3618.2999999999997</v>
      </c>
      <c r="AF125" s="82">
        <f t="shared" si="730"/>
        <v>3886.2000000000003</v>
      </c>
      <c r="AG125" s="82">
        <f t="shared" si="730"/>
        <v>3886.2000000000003</v>
      </c>
      <c r="AH125" s="82">
        <f t="shared" si="730"/>
        <v>4045.5000000000005</v>
      </c>
      <c r="AI125" s="82">
        <f t="shared" si="730"/>
        <v>3993.8</v>
      </c>
      <c r="AJ125" s="82">
        <f t="shared" si="730"/>
        <v>3993.8</v>
      </c>
      <c r="AK125" s="82">
        <f t="shared" si="730"/>
        <v>4135.9000000000005</v>
      </c>
      <c r="AL125" s="82">
        <f t="shared" si="730"/>
        <v>4089</v>
      </c>
      <c r="AM125" s="82">
        <f t="shared" si="730"/>
        <v>4089</v>
      </c>
      <c r="AN125" s="82">
        <f t="shared" si="730"/>
        <v>4200</v>
      </c>
      <c r="AO125" s="82">
        <f t="shared" si="730"/>
        <v>4285.7</v>
      </c>
      <c r="AP125" s="82">
        <f t="shared" si="730"/>
        <v>4285.7</v>
      </c>
      <c r="AQ125" s="82">
        <f t="shared" si="730"/>
        <v>4227.9000000000005</v>
      </c>
      <c r="AR125" s="82">
        <f t="shared" si="730"/>
        <v>4390.3</v>
      </c>
      <c r="AS125" s="82">
        <f t="shared" si="730"/>
        <v>4390.3</v>
      </c>
      <c r="AT125" s="82">
        <f t="shared" si="730"/>
        <v>4299.3999999999996</v>
      </c>
      <c r="AU125" s="82">
        <f t="shared" si="730"/>
        <v>4617.6000000000004</v>
      </c>
      <c r="AV125" s="82">
        <f t="shared" si="730"/>
        <v>4617.6000000000004</v>
      </c>
      <c r="AW125" s="82">
        <f t="shared" si="730"/>
        <v>3489.9</v>
      </c>
      <c r="AX125" s="82">
        <f t="shared" si="730"/>
        <v>3705.5</v>
      </c>
      <c r="AY125" s="82">
        <f t="shared" si="730"/>
        <v>3705.5</v>
      </c>
      <c r="AZ125" s="82">
        <f t="shared" si="730"/>
        <v>3962.3</v>
      </c>
      <c r="BA125" s="82">
        <f t="shared" si="730"/>
        <v>5007.6000000000004</v>
      </c>
      <c r="BB125" s="82">
        <f t="shared" si="730"/>
        <v>5007.6000000000004</v>
      </c>
      <c r="BC125" s="82">
        <f t="shared" si="730"/>
        <v>5703.9</v>
      </c>
      <c r="BD125" s="82">
        <f t="shared" si="730"/>
        <v>6002.4000000000005</v>
      </c>
      <c r="BE125" s="82">
        <f t="shared" si="730"/>
        <v>6002.4000000000005</v>
      </c>
      <c r="BF125" s="82">
        <f t="shared" si="730"/>
        <v>5512.6</v>
      </c>
      <c r="BG125" s="82">
        <f t="shared" si="730"/>
        <v>6290.2</v>
      </c>
      <c r="BH125" s="82">
        <f t="shared" si="730"/>
        <v>6290.2</v>
      </c>
      <c r="BI125" s="82">
        <f t="shared" si="730"/>
        <v>8478.9</v>
      </c>
      <c r="BJ125" s="82">
        <f t="shared" si="730"/>
        <v>8255.2000000000007</v>
      </c>
      <c r="BK125" s="82">
        <f t="shared" si="730"/>
        <v>8255.2000000000007</v>
      </c>
      <c r="BL125" s="82">
        <f t="shared" ref="BL125:BN125" si="731">BL123+BL118</f>
        <v>6573.5</v>
      </c>
      <c r="BM125" s="82">
        <f t="shared" si="731"/>
        <v>6744.4230634454243</v>
      </c>
      <c r="BN125" s="82">
        <f t="shared" si="731"/>
        <v>6744.4230634454243</v>
      </c>
      <c r="BO125" s="82">
        <f t="shared" ref="BO125:BQ125" si="732">BO123+BO118</f>
        <v>6883.8934091762058</v>
      </c>
      <c r="BP125" s="82">
        <f t="shared" si="732"/>
        <v>7070.7107626636016</v>
      </c>
      <c r="BQ125" s="82">
        <f t="shared" si="732"/>
        <v>7070.7107626636016</v>
      </c>
      <c r="BR125" s="82">
        <f t="shared" ref="BR125:BT125" si="733">BR123+BR118</f>
        <v>7264.7699423171116</v>
      </c>
      <c r="BS125" s="82">
        <f t="shared" si="733"/>
        <v>7466.3550484861926</v>
      </c>
      <c r="BT125" s="82">
        <f t="shared" si="733"/>
        <v>7466.3550484861926</v>
      </c>
      <c r="BU125" s="82">
        <f t="shared" ref="BU125:BZ125" si="734">BU123+BU118</f>
        <v>7675.7613269146741</v>
      </c>
      <c r="BV125" s="82">
        <f t="shared" si="734"/>
        <v>7893.2956059799762</v>
      </c>
      <c r="BW125" s="82">
        <f t="shared" si="734"/>
        <v>7893.2956059799762</v>
      </c>
      <c r="BX125" s="82">
        <f t="shared" si="734"/>
        <v>8119.2767510854301</v>
      </c>
      <c r="BY125" s="82">
        <f t="shared" si="734"/>
        <v>8354.0361368786471</v>
      </c>
      <c r="BZ125" s="82">
        <f t="shared" si="734"/>
        <v>8354.0361368786471</v>
      </c>
      <c r="CA125" s="82">
        <f t="shared" ref="CA125:CC125" si="735">CA123+CA118</f>
        <v>8597.9181379952315</v>
      </c>
      <c r="CB125" s="82">
        <f t="shared" si="735"/>
        <v>8851.2806390545993</v>
      </c>
      <c r="CC125" s="82">
        <f t="shared" si="735"/>
        <v>8851.2806390545993</v>
      </c>
      <c r="CD125" s="134"/>
      <c r="CE125" s="198"/>
      <c r="CF125" s="198"/>
      <c r="CG125" s="198"/>
      <c r="CH125" s="198"/>
      <c r="CI125" s="198"/>
      <c r="CJ125" s="198"/>
      <c r="CK125" s="199"/>
      <c r="CL125" s="85">
        <f>X125</f>
        <v>3045.3</v>
      </c>
      <c r="CM125" s="82">
        <f>AA125</f>
        <v>3055</v>
      </c>
      <c r="CN125" s="82">
        <f>AD125</f>
        <v>3173.5</v>
      </c>
      <c r="CO125" s="82">
        <f>AG125</f>
        <v>3886.2000000000003</v>
      </c>
      <c r="CP125" s="82">
        <f>AJ125</f>
        <v>3993.8</v>
      </c>
      <c r="CQ125" s="82">
        <f>AM125</f>
        <v>4089</v>
      </c>
      <c r="CR125" s="82">
        <f>AP125</f>
        <v>4285.7</v>
      </c>
      <c r="CS125" s="82">
        <f>AS125</f>
        <v>4390.3</v>
      </c>
      <c r="CT125" s="82">
        <f>AV125</f>
        <v>4617.6000000000004</v>
      </c>
      <c r="CU125" s="82">
        <f>AY125</f>
        <v>3705.5</v>
      </c>
      <c r="CV125" s="82">
        <f>BB125</f>
        <v>5007.6000000000004</v>
      </c>
      <c r="CW125" s="82">
        <f>BE125</f>
        <v>6002.4000000000005</v>
      </c>
      <c r="CX125" s="82">
        <f>BH125</f>
        <v>6290.2</v>
      </c>
      <c r="CY125" s="82">
        <f>BK125</f>
        <v>8255.2000000000007</v>
      </c>
      <c r="CZ125" s="82">
        <f>BN125</f>
        <v>6744.4230634454243</v>
      </c>
      <c r="DA125" s="82">
        <f>BQ125</f>
        <v>7070.7107626636016</v>
      </c>
      <c r="DB125" s="82">
        <f>BT125</f>
        <v>7466.3550484861926</v>
      </c>
      <c r="DC125" s="82">
        <f>BW125</f>
        <v>7893.2956059799762</v>
      </c>
      <c r="DD125" s="82">
        <f>BZ125</f>
        <v>8354.0361368786471</v>
      </c>
      <c r="DE125" s="82">
        <f>CC125</f>
        <v>8851.2806390545993</v>
      </c>
      <c r="DF125" s="48"/>
      <c r="DG125" s="48"/>
      <c r="DH125" s="48"/>
      <c r="DI125" s="48"/>
      <c r="DJ125" s="48"/>
      <c r="DK125" s="48"/>
      <c r="EB125"/>
      <c r="EC125"/>
      <c r="ED125"/>
      <c r="EE125"/>
      <c r="EF125"/>
      <c r="EG125"/>
    </row>
    <row r="126" spans="1:137" ht="12.75" customHeight="1" thickTop="1">
      <c r="A126" s="1"/>
      <c r="B126" s="13"/>
      <c r="C126" s="1"/>
      <c r="D126" s="225"/>
      <c r="E126" s="225"/>
      <c r="F126" s="226"/>
      <c r="G126" s="226"/>
      <c r="H126" s="226"/>
      <c r="I126" s="226"/>
      <c r="J126" s="226"/>
      <c r="K126" s="226"/>
      <c r="L126" s="226"/>
      <c r="M126" s="226"/>
      <c r="N126" s="226"/>
      <c r="O126" s="226"/>
      <c r="P126" s="226"/>
      <c r="Q126" s="226"/>
      <c r="R126" s="226"/>
      <c r="S126" s="226"/>
      <c r="T126" s="226"/>
      <c r="U126" s="226"/>
      <c r="V126" s="226"/>
      <c r="W126" s="226"/>
      <c r="X126" s="226"/>
      <c r="Y126" s="226"/>
      <c r="Z126" s="226"/>
      <c r="AA126" s="226"/>
      <c r="AB126" s="226"/>
      <c r="AC126" s="188"/>
      <c r="AD126" s="188"/>
      <c r="AE126" s="188"/>
      <c r="AF126" s="188"/>
      <c r="AG126" s="188"/>
      <c r="AH126" s="188"/>
      <c r="AI126" s="188"/>
      <c r="AJ126" s="188"/>
      <c r="AK126" s="188"/>
      <c r="AL126" s="188"/>
      <c r="AM126" s="188"/>
      <c r="AN126" s="188"/>
      <c r="AO126" s="188"/>
      <c r="AP126" s="188"/>
      <c r="AQ126" s="188"/>
      <c r="AR126" s="188"/>
      <c r="AS126" s="188"/>
      <c r="AT126" s="188"/>
      <c r="AU126" s="188"/>
      <c r="AV126" s="188"/>
      <c r="AW126" s="188"/>
      <c r="AX126" s="188"/>
      <c r="AY126" s="188"/>
      <c r="AZ126" s="188"/>
      <c r="BA126" s="188"/>
      <c r="BB126" s="188"/>
      <c r="BC126" s="188"/>
      <c r="BD126" s="188"/>
      <c r="BE126" s="188"/>
      <c r="BF126" s="188"/>
      <c r="BG126" s="188"/>
      <c r="BH126" s="188"/>
      <c r="BI126" s="188"/>
      <c r="BJ126" s="188"/>
      <c r="BK126" s="188"/>
      <c r="BL126" s="188"/>
      <c r="BM126" s="188"/>
      <c r="BN126" s="188"/>
      <c r="BO126" s="188"/>
      <c r="BP126" s="188"/>
      <c r="BQ126" s="188"/>
      <c r="BR126" s="188"/>
      <c r="BS126" s="188"/>
      <c r="BT126" s="188"/>
      <c r="BU126" s="188"/>
      <c r="BV126" s="188"/>
      <c r="BW126" s="188"/>
      <c r="BX126" s="188"/>
      <c r="BY126" s="188"/>
      <c r="BZ126" s="188"/>
      <c r="CA126" s="188"/>
      <c r="CB126" s="188"/>
      <c r="CC126" s="188"/>
      <c r="CD126" s="186"/>
      <c r="CE126" s="187"/>
      <c r="CF126" s="187"/>
      <c r="CG126" s="187"/>
      <c r="CH126" s="187"/>
      <c r="CI126" s="187"/>
      <c r="CJ126" s="187"/>
      <c r="CK126" s="188"/>
      <c r="CL126" s="192"/>
      <c r="CM126" s="188"/>
      <c r="CN126" s="188"/>
      <c r="CO126" s="188"/>
      <c r="CP126" s="188"/>
      <c r="CQ126" s="188"/>
      <c r="CR126" s="188"/>
      <c r="CS126" s="188"/>
      <c r="CT126" s="188"/>
      <c r="CU126" s="188"/>
      <c r="CV126" s="188"/>
      <c r="CW126" s="188"/>
      <c r="CX126" s="188"/>
      <c r="CY126" s="188"/>
      <c r="CZ126" s="188"/>
      <c r="DA126" s="188"/>
      <c r="DB126" s="188"/>
      <c r="DC126" s="188"/>
      <c r="DD126" s="188"/>
      <c r="DE126" s="188"/>
    </row>
    <row r="127" spans="1:137" s="228" customFormat="1" ht="12.75" customHeight="1" thickBot="1">
      <c r="A127" s="79"/>
      <c r="B127" s="80" t="s">
        <v>35</v>
      </c>
      <c r="C127" s="79"/>
      <c r="D127" s="81"/>
      <c r="E127" s="81"/>
      <c r="F127" s="82"/>
      <c r="G127" s="82"/>
      <c r="H127" s="82"/>
      <c r="I127" s="82">
        <f t="shared" ref="I127:BK127" si="736">I110-I125</f>
        <v>81.8</v>
      </c>
      <c r="J127" s="82">
        <f t="shared" si="736"/>
        <v>160.19999999999999</v>
      </c>
      <c r="K127" s="82">
        <f t="shared" si="736"/>
        <v>639.20000000000005</v>
      </c>
      <c r="L127" s="82">
        <f t="shared" si="736"/>
        <v>4669.1000000000004</v>
      </c>
      <c r="M127" s="82">
        <f t="shared" si="736"/>
        <v>4508.8000000000011</v>
      </c>
      <c r="N127" s="82">
        <f t="shared" si="736"/>
        <v>3777.6000000000004</v>
      </c>
      <c r="O127" s="82">
        <f t="shared" si="736"/>
        <v>3777.6000000000004</v>
      </c>
      <c r="P127" s="82">
        <f t="shared" si="736"/>
        <v>4910.3000000000011</v>
      </c>
      <c r="Q127" s="82">
        <f t="shared" si="736"/>
        <v>4721.7</v>
      </c>
      <c r="R127" s="82">
        <f t="shared" si="736"/>
        <v>4721.7</v>
      </c>
      <c r="S127" s="82">
        <f t="shared" si="736"/>
        <v>4700.9000000000005</v>
      </c>
      <c r="T127" s="82">
        <f t="shared" si="736"/>
        <v>5013.8999999999987</v>
      </c>
      <c r="U127" s="82">
        <f t="shared" si="736"/>
        <v>5013.8999999999987</v>
      </c>
      <c r="V127" s="82">
        <f t="shared" si="736"/>
        <v>5095.9000000000005</v>
      </c>
      <c r="W127" s="82">
        <f t="shared" si="736"/>
        <v>5174.5999999999995</v>
      </c>
      <c r="X127" s="82">
        <f t="shared" si="736"/>
        <v>5174.5999999999995</v>
      </c>
      <c r="Y127" s="82">
        <f t="shared" si="736"/>
        <v>5649.5000000000009</v>
      </c>
      <c r="Z127" s="82">
        <f t="shared" si="736"/>
        <v>5835.7000000000007</v>
      </c>
      <c r="AA127" s="82">
        <f t="shared" si="736"/>
        <v>5835.7000000000007</v>
      </c>
      <c r="AB127" s="82">
        <f t="shared" si="736"/>
        <v>5997.7999999999993</v>
      </c>
      <c r="AC127" s="82">
        <f t="shared" si="736"/>
        <v>6230.4000000000015</v>
      </c>
      <c r="AD127" s="82">
        <f t="shared" si="736"/>
        <v>6230.4000000000015</v>
      </c>
      <c r="AE127" s="82">
        <f t="shared" si="736"/>
        <v>6783.9</v>
      </c>
      <c r="AF127" s="82">
        <f t="shared" si="736"/>
        <v>7376.0999999999985</v>
      </c>
      <c r="AG127" s="82">
        <f t="shared" si="736"/>
        <v>7376.0999999999985</v>
      </c>
      <c r="AH127" s="82">
        <f t="shared" si="736"/>
        <v>8216.7000000000007</v>
      </c>
      <c r="AI127" s="82">
        <f t="shared" si="736"/>
        <v>8393.2999999999993</v>
      </c>
      <c r="AJ127" s="82">
        <f t="shared" si="736"/>
        <v>8393.2999999999993</v>
      </c>
      <c r="AK127" s="82">
        <f t="shared" si="736"/>
        <v>8680.8999999999978</v>
      </c>
      <c r="AL127" s="82">
        <f t="shared" si="736"/>
        <v>8622.1999999999989</v>
      </c>
      <c r="AM127" s="82">
        <f t="shared" si="736"/>
        <v>8622.1999999999989</v>
      </c>
      <c r="AN127" s="82">
        <f t="shared" si="736"/>
        <v>8672.2999999999993</v>
      </c>
      <c r="AO127" s="82">
        <f t="shared" si="736"/>
        <v>9173.7000000000007</v>
      </c>
      <c r="AP127" s="82">
        <f t="shared" si="736"/>
        <v>9173.7000000000007</v>
      </c>
      <c r="AQ127" s="82">
        <f t="shared" si="736"/>
        <v>10007.099999999999</v>
      </c>
      <c r="AR127" s="82">
        <f t="shared" si="736"/>
        <v>10522.5</v>
      </c>
      <c r="AS127" s="82">
        <f t="shared" si="736"/>
        <v>10522.5</v>
      </c>
      <c r="AT127" s="82">
        <f t="shared" si="736"/>
        <v>11076.4</v>
      </c>
      <c r="AU127" s="82">
        <f t="shared" si="736"/>
        <v>11520.6</v>
      </c>
      <c r="AV127" s="82">
        <f t="shared" si="736"/>
        <v>11520.6</v>
      </c>
      <c r="AW127" s="82">
        <f t="shared" si="736"/>
        <v>11968.3</v>
      </c>
      <c r="AX127" s="82">
        <f t="shared" si="736"/>
        <v>13161.5</v>
      </c>
      <c r="AY127" s="82">
        <f t="shared" si="736"/>
        <v>13161.5</v>
      </c>
      <c r="AZ127" s="82">
        <f t="shared" si="736"/>
        <v>15192.2</v>
      </c>
      <c r="BA127" s="82">
        <f t="shared" si="736"/>
        <v>16424.800000000003</v>
      </c>
      <c r="BB127" s="82">
        <f t="shared" si="736"/>
        <v>16424.800000000003</v>
      </c>
      <c r="BC127" s="82">
        <f t="shared" si="736"/>
        <v>17501.400000000001</v>
      </c>
      <c r="BD127" s="82">
        <f t="shared" si="736"/>
        <v>18024.8</v>
      </c>
      <c r="BE127" s="82">
        <f t="shared" si="736"/>
        <v>18024.8</v>
      </c>
      <c r="BF127" s="82">
        <f t="shared" si="736"/>
        <v>17553.599999999999</v>
      </c>
      <c r="BG127" s="82">
        <f t="shared" si="736"/>
        <v>17537.900000000001</v>
      </c>
      <c r="BH127" s="82">
        <f t="shared" si="736"/>
        <v>17537.900000000001</v>
      </c>
      <c r="BI127" s="82">
        <f t="shared" si="736"/>
        <v>18912.800000000003</v>
      </c>
      <c r="BJ127" s="82">
        <f t="shared" si="736"/>
        <v>23310.100000000002</v>
      </c>
      <c r="BK127" s="82">
        <f t="shared" si="736"/>
        <v>23310.100000000002</v>
      </c>
      <c r="BL127" s="82">
        <f t="shared" ref="BL127:BN127" si="737">BL110-BL125</f>
        <v>23750.899999999998</v>
      </c>
      <c r="BM127" s="82">
        <f t="shared" ca="1" si="737"/>
        <v>25120.010009999609</v>
      </c>
      <c r="BN127" s="82">
        <f t="shared" ca="1" si="737"/>
        <v>25120.010009999609</v>
      </c>
      <c r="BO127" s="82">
        <f t="shared" ref="BO127:BQ127" ca="1" si="738">BO110-BO125</f>
        <v>26530.964941255457</v>
      </c>
      <c r="BP127" s="82">
        <f t="shared" ca="1" si="738"/>
        <v>27941.147237897549</v>
      </c>
      <c r="BQ127" s="82">
        <f t="shared" ca="1" si="738"/>
        <v>27941.147237897549</v>
      </c>
      <c r="BR127" s="82">
        <f t="shared" ref="BR127:BT127" ca="1" si="739">BR110-BR125</f>
        <v>29534.799603579126</v>
      </c>
      <c r="BS127" s="82">
        <f t="shared" ca="1" si="739"/>
        <v>31144.979017494414</v>
      </c>
      <c r="BT127" s="82">
        <f t="shared" ca="1" si="739"/>
        <v>31144.979017494414</v>
      </c>
      <c r="BU127" s="82">
        <f t="shared" ref="BU127:BZ127" ca="1" si="740">BU110-BU125</f>
        <v>32888.978502510952</v>
      </c>
      <c r="BV127" s="82">
        <f t="shared" ca="1" si="740"/>
        <v>34655.636300913262</v>
      </c>
      <c r="BW127" s="82">
        <f t="shared" ca="1" si="740"/>
        <v>34655.636300913262</v>
      </c>
      <c r="BX127" s="82">
        <f t="shared" ca="1" si="740"/>
        <v>36517.3100432106</v>
      </c>
      <c r="BY127" s="82">
        <f t="shared" ca="1" si="740"/>
        <v>38392.706832461728</v>
      </c>
      <c r="BZ127" s="82">
        <f t="shared" ca="1" si="740"/>
        <v>38392.706832461728</v>
      </c>
      <c r="CA127" s="82">
        <f t="shared" ref="CA127:CC127" ca="1" si="741">CA110-CA125</f>
        <v>40389.450620078453</v>
      </c>
      <c r="CB127" s="82">
        <f t="shared" ca="1" si="741"/>
        <v>42404.661351710442</v>
      </c>
      <c r="CC127" s="82">
        <f t="shared" ca="1" si="741"/>
        <v>42404.661351710442</v>
      </c>
      <c r="CD127" s="134"/>
      <c r="CE127" s="227"/>
      <c r="CF127" s="227"/>
      <c r="CG127" s="227"/>
      <c r="CH127" s="227"/>
      <c r="CI127" s="227"/>
      <c r="CJ127" s="227"/>
      <c r="CK127" s="199"/>
      <c r="CL127" s="85">
        <f>X127</f>
        <v>5174.5999999999995</v>
      </c>
      <c r="CM127" s="82">
        <f>AA127</f>
        <v>5835.7000000000007</v>
      </c>
      <c r="CN127" s="82">
        <f>AD127</f>
        <v>6230.4000000000015</v>
      </c>
      <c r="CO127" s="82">
        <f>AG127</f>
        <v>7376.0999999999985</v>
      </c>
      <c r="CP127" s="82">
        <f>AJ127</f>
        <v>8393.2999999999993</v>
      </c>
      <c r="CQ127" s="82">
        <f>AM127</f>
        <v>8622.1999999999989</v>
      </c>
      <c r="CR127" s="82">
        <f>AP127</f>
        <v>9173.7000000000007</v>
      </c>
      <c r="CS127" s="82">
        <f>AS127</f>
        <v>10522.5</v>
      </c>
      <c r="CT127" s="82">
        <f>AV127</f>
        <v>11520.6</v>
      </c>
      <c r="CU127" s="82">
        <f>AY127</f>
        <v>13161.5</v>
      </c>
      <c r="CV127" s="82">
        <f>BB127</f>
        <v>16424.800000000003</v>
      </c>
      <c r="CW127" s="82">
        <f>BE127</f>
        <v>18024.8</v>
      </c>
      <c r="CX127" s="82">
        <f>BH127</f>
        <v>17537.900000000001</v>
      </c>
      <c r="CY127" s="82">
        <f>BK127</f>
        <v>23310.100000000002</v>
      </c>
      <c r="CZ127" s="82">
        <f ca="1">BN127</f>
        <v>25120.010009999609</v>
      </c>
      <c r="DA127" s="82">
        <f ca="1">BQ127</f>
        <v>27941.147237897549</v>
      </c>
      <c r="DB127" s="82">
        <f ca="1">BT127</f>
        <v>31144.979017494414</v>
      </c>
      <c r="DC127" s="82">
        <f ca="1">BW127</f>
        <v>34655.636300913262</v>
      </c>
      <c r="DD127" s="82">
        <f ca="1">BZ127</f>
        <v>38392.706832461728</v>
      </c>
      <c r="DE127" s="82">
        <f ca="1">CC127</f>
        <v>42404.661351710442</v>
      </c>
      <c r="DF127" s="48"/>
      <c r="DG127" s="48"/>
      <c r="DH127" s="48"/>
      <c r="DI127" s="48"/>
      <c r="DJ127" s="48"/>
      <c r="DK127" s="48"/>
      <c r="EB127"/>
      <c r="EC127"/>
      <c r="ED127"/>
      <c r="EE127"/>
      <c r="EF127"/>
      <c r="EG127"/>
    </row>
    <row r="128" spans="1:137" ht="12.75" customHeight="1" thickTop="1">
      <c r="A128" s="1"/>
      <c r="B128" s="13"/>
      <c r="C128" s="1"/>
      <c r="D128" s="1"/>
      <c r="E128" s="1"/>
      <c r="F128" s="188"/>
      <c r="G128" s="188"/>
      <c r="H128" s="188"/>
      <c r="I128" s="188"/>
      <c r="J128" s="188"/>
      <c r="K128" s="188"/>
      <c r="L128" s="188"/>
      <c r="M128" s="188"/>
      <c r="N128" s="188"/>
      <c r="O128" s="188"/>
      <c r="P128" s="188"/>
      <c r="Q128" s="188"/>
      <c r="R128" s="188"/>
      <c r="S128" s="188"/>
      <c r="T128" s="188"/>
      <c r="U128" s="188"/>
      <c r="V128" s="188"/>
      <c r="W128" s="188"/>
      <c r="X128" s="188"/>
      <c r="Y128" s="188"/>
      <c r="Z128" s="188"/>
      <c r="AA128" s="188"/>
      <c r="AB128" s="188"/>
      <c r="AC128" s="188"/>
      <c r="AD128" s="188"/>
      <c r="AE128" s="188"/>
      <c r="AF128" s="188"/>
      <c r="AG128" s="188"/>
      <c r="AH128" s="188"/>
      <c r="AI128" s="188"/>
      <c r="AJ128" s="188"/>
      <c r="AK128" s="188"/>
      <c r="AL128" s="188"/>
      <c r="AM128" s="188"/>
      <c r="AN128" s="188"/>
      <c r="AO128" s="188"/>
      <c r="AP128" s="188"/>
      <c r="AQ128" s="188"/>
      <c r="AR128" s="188"/>
      <c r="AS128" s="188"/>
      <c r="AT128" s="188"/>
      <c r="AU128" s="188"/>
      <c r="AV128" s="188"/>
      <c r="AW128" s="188"/>
      <c r="AX128" s="188"/>
      <c r="AY128" s="188"/>
      <c r="AZ128" s="188"/>
      <c r="BA128" s="188"/>
      <c r="BB128" s="188"/>
      <c r="BC128" s="188"/>
      <c r="BD128" s="188"/>
      <c r="BE128" s="188"/>
      <c r="BF128" s="188"/>
      <c r="BG128" s="188"/>
      <c r="BH128" s="188"/>
      <c r="BI128" s="188"/>
      <c r="BJ128" s="188"/>
      <c r="BK128" s="188"/>
      <c r="BL128" s="188"/>
      <c r="BM128" s="188"/>
      <c r="BN128" s="188"/>
      <c r="BO128" s="188"/>
      <c r="BP128" s="188"/>
      <c r="BQ128" s="188"/>
      <c r="BR128" s="188"/>
      <c r="BS128" s="188"/>
      <c r="BT128" s="188"/>
      <c r="BU128" s="188"/>
      <c r="BV128" s="188"/>
      <c r="BW128" s="188"/>
      <c r="BX128" s="188"/>
      <c r="BY128" s="188"/>
      <c r="BZ128" s="188"/>
      <c r="CA128" s="188"/>
      <c r="CB128" s="188"/>
      <c r="CC128" s="188"/>
      <c r="CD128" s="186"/>
      <c r="CE128" s="187"/>
      <c r="CF128" s="187"/>
      <c r="CG128" s="187"/>
      <c r="CH128" s="187"/>
      <c r="CI128" s="187"/>
      <c r="CJ128" s="187"/>
      <c r="CK128" s="188"/>
      <c r="CL128" s="192"/>
      <c r="CM128" s="188"/>
      <c r="CN128" s="188"/>
      <c r="CO128" s="188"/>
      <c r="CP128" s="188"/>
      <c r="CQ128" s="188"/>
      <c r="CR128" s="188"/>
      <c r="CS128" s="188"/>
      <c r="CT128" s="188"/>
      <c r="CU128" s="188"/>
      <c r="CV128" s="188"/>
      <c r="CW128" s="188"/>
      <c r="CX128" s="188"/>
      <c r="CY128" s="188"/>
      <c r="CZ128" s="188"/>
      <c r="DA128" s="188"/>
      <c r="DB128" s="188"/>
      <c r="DC128" s="188"/>
      <c r="DD128" s="188"/>
      <c r="DE128" s="188"/>
    </row>
    <row r="129" spans="1:137" ht="12.75" customHeight="1">
      <c r="A129" s="1"/>
      <c r="B129" s="154" t="s">
        <v>122</v>
      </c>
      <c r="C129" s="1"/>
      <c r="D129" s="229"/>
      <c r="E129" s="229"/>
      <c r="F129" s="188"/>
      <c r="G129" s="188"/>
      <c r="H129" s="188"/>
      <c r="I129" s="188"/>
      <c r="J129" s="188"/>
      <c r="K129" s="188"/>
      <c r="L129" s="188"/>
      <c r="M129" s="188"/>
      <c r="N129" s="188"/>
      <c r="O129" s="188"/>
      <c r="P129" s="188"/>
      <c r="Q129" s="188"/>
      <c r="R129" s="188"/>
      <c r="S129" s="188"/>
      <c r="T129" s="188"/>
      <c r="U129" s="188"/>
      <c r="V129" s="188"/>
      <c r="W129" s="188"/>
      <c r="X129" s="188"/>
      <c r="Y129" s="188"/>
      <c r="Z129" s="188"/>
      <c r="AA129" s="188"/>
      <c r="AB129" s="188"/>
      <c r="AC129" s="188"/>
      <c r="AD129" s="188"/>
      <c r="AE129" s="188"/>
      <c r="AF129" s="188"/>
      <c r="AG129" s="188"/>
      <c r="AH129" s="188"/>
      <c r="AI129" s="188"/>
      <c r="AJ129" s="188"/>
      <c r="AK129" s="188"/>
      <c r="AL129" s="188"/>
      <c r="AM129" s="188"/>
      <c r="AN129" s="188"/>
      <c r="AO129" s="188"/>
      <c r="AP129" s="188"/>
      <c r="AQ129" s="188"/>
      <c r="AR129" s="188"/>
      <c r="AS129" s="188"/>
      <c r="AT129" s="188"/>
      <c r="AU129" s="188"/>
      <c r="AV129" s="188"/>
      <c r="AW129" s="188"/>
      <c r="AX129" s="188"/>
      <c r="AY129" s="188"/>
      <c r="AZ129" s="188"/>
      <c r="BA129" s="188"/>
      <c r="BB129" s="188"/>
      <c r="BC129" s="188"/>
      <c r="BD129" s="188"/>
      <c r="BE129" s="188"/>
      <c r="BF129" s="188"/>
      <c r="BG129" s="188"/>
      <c r="BH129" s="188"/>
      <c r="BI129" s="188"/>
      <c r="BJ129" s="188"/>
      <c r="BK129" s="188"/>
      <c r="BL129" s="188"/>
      <c r="BM129" s="188"/>
      <c r="BN129" s="188"/>
      <c r="BO129" s="188"/>
      <c r="BP129" s="188"/>
      <c r="BQ129" s="188"/>
      <c r="BR129" s="188"/>
      <c r="BS129" s="188"/>
      <c r="BT129" s="188"/>
      <c r="BU129" s="188"/>
      <c r="BV129" s="188"/>
      <c r="BW129" s="188"/>
      <c r="BX129" s="188"/>
      <c r="BY129" s="188"/>
      <c r="BZ129" s="188"/>
      <c r="CA129" s="188"/>
      <c r="CB129" s="188"/>
      <c r="CC129" s="188"/>
      <c r="CD129" s="186"/>
      <c r="CE129" s="187"/>
      <c r="CF129" s="187"/>
      <c r="CG129" s="187"/>
      <c r="CH129" s="187"/>
      <c r="CI129" s="187"/>
      <c r="CJ129" s="187"/>
      <c r="CK129" s="188"/>
      <c r="CL129" s="192"/>
      <c r="CM129" s="188"/>
      <c r="CN129" s="188"/>
      <c r="CO129" s="188"/>
      <c r="CP129" s="188"/>
      <c r="CQ129" s="188"/>
      <c r="CR129" s="188"/>
      <c r="CS129" s="188"/>
      <c r="CT129" s="188"/>
      <c r="CU129" s="188"/>
      <c r="CV129" s="188"/>
      <c r="CW129" s="188"/>
      <c r="CX129" s="188"/>
      <c r="CY129" s="188"/>
      <c r="CZ129" s="188"/>
      <c r="DA129" s="188"/>
      <c r="DB129" s="188"/>
      <c r="DC129" s="188"/>
      <c r="DD129" s="188"/>
      <c r="DE129" s="188"/>
    </row>
    <row r="130" spans="1:137" s="221" customFormat="1" ht="12.75" customHeight="1">
      <c r="A130" s="180"/>
      <c r="B130" s="112" t="s">
        <v>123</v>
      </c>
      <c r="C130" s="180"/>
      <c r="D130" s="230"/>
      <c r="E130" s="230"/>
      <c r="F130" s="231"/>
      <c r="G130" s="232"/>
      <c r="H130" s="232"/>
      <c r="I130" s="232"/>
      <c r="J130" s="232"/>
      <c r="K130" s="232"/>
      <c r="L130" s="232">
        <v>4317.2</v>
      </c>
      <c r="M130" s="232">
        <v>5245.3</v>
      </c>
      <c r="N130" s="232">
        <v>5244.8</v>
      </c>
      <c r="O130" s="232">
        <v>5244.8</v>
      </c>
      <c r="P130" s="232">
        <v>6542.9000000000005</v>
      </c>
      <c r="Q130" s="232">
        <v>6588.4000000000005</v>
      </c>
      <c r="R130" s="232">
        <v>6588.4000000000005</v>
      </c>
      <c r="S130" s="232">
        <v>6813.4000000000005</v>
      </c>
      <c r="T130" s="232">
        <v>7055.1</v>
      </c>
      <c r="U130" s="232">
        <v>7055.1</v>
      </c>
      <c r="V130" s="232">
        <v>7205.3</v>
      </c>
      <c r="W130" s="232">
        <v>7363.4000000000005</v>
      </c>
      <c r="X130" s="232">
        <v>7363.4000000000005</v>
      </c>
      <c r="Y130" s="232">
        <v>7806.2</v>
      </c>
      <c r="Z130" s="232">
        <v>7804.8</v>
      </c>
      <c r="AA130" s="232">
        <v>7804.8</v>
      </c>
      <c r="AB130" s="232">
        <v>7804.8</v>
      </c>
      <c r="AC130" s="184">
        <v>7846.9</v>
      </c>
      <c r="AD130" s="184">
        <f>AC130</f>
        <v>7846.9</v>
      </c>
      <c r="AE130" s="184">
        <f>465.7+6809.4+617.2</f>
        <v>7892.2999999999993</v>
      </c>
      <c r="AF130" s="184">
        <f>471.1+6842.3+622.8</f>
        <v>7936.2000000000007</v>
      </c>
      <c r="AG130" s="184">
        <f>AF130</f>
        <v>7936.2000000000007</v>
      </c>
      <c r="AH130" s="184">
        <f>475.9+6877.4+628.3</f>
        <v>7981.5999999999995</v>
      </c>
      <c r="AI130" s="184">
        <f>483.2+6914.1+634.4</f>
        <v>8031.7</v>
      </c>
      <c r="AJ130" s="184">
        <f>AI130</f>
        <v>8031.7</v>
      </c>
      <c r="AK130" s="184">
        <f>483.2+6914.1+634.4</f>
        <v>8031.7</v>
      </c>
      <c r="AL130" s="184">
        <f>483.2+6914.1+634.4</f>
        <v>8031.7</v>
      </c>
      <c r="AM130" s="184">
        <f>AL130</f>
        <v>8031.7</v>
      </c>
      <c r="AN130" s="184">
        <f>483.2+6914.1+634.4</f>
        <v>8031.7</v>
      </c>
      <c r="AO130" s="184">
        <v>8031.7</v>
      </c>
      <c r="AP130" s="184">
        <f>AO130</f>
        <v>8031.7</v>
      </c>
      <c r="AQ130" s="184">
        <v>8031.7</v>
      </c>
      <c r="AR130" s="184">
        <v>8031.7</v>
      </c>
      <c r="AS130" s="184">
        <f>AR130</f>
        <v>8031.7</v>
      </c>
      <c r="AT130" s="184">
        <v>8031.7</v>
      </c>
      <c r="AU130" s="217">
        <v>8031.7</v>
      </c>
      <c r="AV130" s="217">
        <f t="shared" ref="AV130" si="742">AU130</f>
        <v>8031.7</v>
      </c>
      <c r="AW130" s="217">
        <v>8096.4</v>
      </c>
      <c r="AX130" s="217">
        <v>8096.4</v>
      </c>
      <c r="AY130" s="217">
        <f>AX130</f>
        <v>8096.4</v>
      </c>
      <c r="AZ130" s="217">
        <v>8206.1</v>
      </c>
      <c r="BA130" s="184">
        <v>8206.1</v>
      </c>
      <c r="BB130" s="217">
        <f t="shared" ref="BB130:BB131" si="743">BA130</f>
        <v>8206.1</v>
      </c>
      <c r="BC130" s="184">
        <v>8205.9</v>
      </c>
      <c r="BD130" s="184">
        <v>8273.2999999999993</v>
      </c>
      <c r="BE130" s="217">
        <f t="shared" ref="BE130:BE131" si="744">BD130</f>
        <v>8273.2999999999993</v>
      </c>
      <c r="BF130" s="184">
        <v>8343.6</v>
      </c>
      <c r="BG130" s="184">
        <v>8343.6</v>
      </c>
      <c r="BH130" s="217">
        <f>BG130</f>
        <v>8343.6</v>
      </c>
      <c r="BI130" s="184">
        <v>8447.2000000000007</v>
      </c>
      <c r="BJ130" s="184">
        <v>12388.2</v>
      </c>
      <c r="BK130" s="185">
        <f t="shared" ref="BK130:BK133" si="745">BJ130</f>
        <v>12388.2</v>
      </c>
      <c r="BL130" s="184">
        <v>12511.6</v>
      </c>
      <c r="BM130" s="217">
        <f t="shared" ref="BM130" si="746">BL130+BM167</f>
        <v>12511.6</v>
      </c>
      <c r="BN130" s="217">
        <f>BM130</f>
        <v>12511.6</v>
      </c>
      <c r="BO130" s="217">
        <f t="shared" ref="BO130" si="747">BN130+BO167</f>
        <v>12511.6</v>
      </c>
      <c r="BP130" s="217">
        <f t="shared" ref="BP130" si="748">BO130+BP167</f>
        <v>12511.6</v>
      </c>
      <c r="BQ130" s="217">
        <f t="shared" ref="BQ130:BQ131" si="749">BP130</f>
        <v>12511.6</v>
      </c>
      <c r="BR130" s="217">
        <f t="shared" ref="BR130" si="750">BQ130+BR167</f>
        <v>12511.6</v>
      </c>
      <c r="BS130" s="217">
        <f t="shared" ref="BS130" si="751">BR130+BS167</f>
        <v>12511.6</v>
      </c>
      <c r="BT130" s="217">
        <f t="shared" ref="BT130:BT131" si="752">BS130</f>
        <v>12511.6</v>
      </c>
      <c r="BU130" s="217">
        <f t="shared" ref="BU130" si="753">BT130+BU167</f>
        <v>12511.6</v>
      </c>
      <c r="BV130" s="217">
        <f t="shared" ref="BV130" si="754">BU130+BV167</f>
        <v>12511.6</v>
      </c>
      <c r="BW130" s="217">
        <f t="shared" ref="BW130:BW131" si="755">BV130</f>
        <v>12511.6</v>
      </c>
      <c r="BX130" s="217">
        <f t="shared" ref="BX130" si="756">BW130+BX167</f>
        <v>12511.6</v>
      </c>
      <c r="BY130" s="217">
        <f t="shared" ref="BY130" si="757">BX130+BY167</f>
        <v>12511.6</v>
      </c>
      <c r="BZ130" s="217">
        <f t="shared" ref="BZ130:BZ131" si="758">BY130</f>
        <v>12511.6</v>
      </c>
      <c r="CA130" s="217">
        <f t="shared" ref="CA130" si="759">BZ130+CA167</f>
        <v>12511.6</v>
      </c>
      <c r="CB130" s="217">
        <f t="shared" ref="CB130" si="760">CA130+CB167</f>
        <v>12511.6</v>
      </c>
      <c r="CC130" s="217">
        <f t="shared" ref="CC130:CC131" si="761">CB130</f>
        <v>12511.6</v>
      </c>
      <c r="CD130" s="218"/>
      <c r="CE130" s="219"/>
      <c r="CF130" s="219"/>
      <c r="CG130" s="219"/>
      <c r="CH130" s="219"/>
      <c r="CI130" s="219"/>
      <c r="CJ130" s="219"/>
      <c r="CK130" s="217"/>
      <c r="CL130" s="220">
        <f>X130</f>
        <v>7363.4000000000005</v>
      </c>
      <c r="CM130" s="217">
        <f>AA130</f>
        <v>7804.8</v>
      </c>
      <c r="CN130" s="217">
        <f>AD130</f>
        <v>7846.9</v>
      </c>
      <c r="CO130" s="217">
        <f>AG130</f>
        <v>7936.2000000000007</v>
      </c>
      <c r="CP130" s="217">
        <f>AJ130</f>
        <v>8031.7</v>
      </c>
      <c r="CQ130" s="217">
        <f>AM130</f>
        <v>8031.7</v>
      </c>
      <c r="CR130" s="217">
        <f>AP130</f>
        <v>8031.7</v>
      </c>
      <c r="CS130" s="217">
        <f>AS130</f>
        <v>8031.7</v>
      </c>
      <c r="CT130" s="217">
        <f>AV130</f>
        <v>8031.7</v>
      </c>
      <c r="CU130" s="217">
        <f>AY130</f>
        <v>8096.4</v>
      </c>
      <c r="CV130" s="217">
        <f>BB130</f>
        <v>8206.1</v>
      </c>
      <c r="CW130" s="217">
        <f>BE130</f>
        <v>8273.2999999999993</v>
      </c>
      <c r="CX130" s="217">
        <f>BH130</f>
        <v>8343.6</v>
      </c>
      <c r="CY130" s="217">
        <f>BK130</f>
        <v>12388.2</v>
      </c>
      <c r="CZ130" s="217">
        <f>BN130</f>
        <v>12511.6</v>
      </c>
      <c r="DA130" s="217">
        <f>BQ130</f>
        <v>12511.6</v>
      </c>
      <c r="DB130" s="217">
        <f>BT130</f>
        <v>12511.6</v>
      </c>
      <c r="DC130" s="217">
        <f>BW130</f>
        <v>12511.6</v>
      </c>
      <c r="DD130" s="217">
        <f>BZ130</f>
        <v>12511.6</v>
      </c>
      <c r="DE130" s="217">
        <f>CC130</f>
        <v>12511.6</v>
      </c>
      <c r="DF130" s="180"/>
      <c r="DG130" s="180"/>
      <c r="DH130" s="180"/>
      <c r="DI130" s="180"/>
      <c r="DJ130" s="180"/>
      <c r="DK130" s="180"/>
      <c r="EB130"/>
      <c r="EC130"/>
      <c r="ED130"/>
      <c r="EE130"/>
      <c r="EF130"/>
      <c r="EG130"/>
    </row>
    <row r="131" spans="1:137" s="221" customFormat="1" ht="12.75" customHeight="1">
      <c r="A131" s="180"/>
      <c r="B131" s="112" t="s">
        <v>124</v>
      </c>
      <c r="C131" s="180"/>
      <c r="D131" s="233"/>
      <c r="E131" s="230"/>
      <c r="F131" s="231"/>
      <c r="G131" s="234"/>
      <c r="H131" s="231"/>
      <c r="I131" s="234"/>
      <c r="J131" s="231"/>
      <c r="K131" s="234"/>
      <c r="L131" s="234">
        <v>65.099999999999994</v>
      </c>
      <c r="M131" s="234">
        <v>-997.19999999999993</v>
      </c>
      <c r="N131" s="234">
        <v>-1672.2</v>
      </c>
      <c r="O131" s="234">
        <v>-1672.2</v>
      </c>
      <c r="P131" s="234">
        <v>-2250.5</v>
      </c>
      <c r="Q131" s="234">
        <v>-2321.3000000000002</v>
      </c>
      <c r="R131" s="234">
        <v>-2321.3000000000002</v>
      </c>
      <c r="S131" s="234">
        <v>-2441.4</v>
      </c>
      <c r="T131" s="234">
        <v>-2375</v>
      </c>
      <c r="U131" s="234">
        <v>-2375</v>
      </c>
      <c r="V131" s="234">
        <v>-2358.4</v>
      </c>
      <c r="W131" s="234">
        <v>-2373</v>
      </c>
      <c r="X131" s="234">
        <v>-2373</v>
      </c>
      <c r="Y131" s="234">
        <v>-2005.8</v>
      </c>
      <c r="Z131" s="234">
        <v>-1654.5</v>
      </c>
      <c r="AA131" s="234">
        <v>-1654.5</v>
      </c>
      <c r="AB131" s="234">
        <v>-1294.8000000000002</v>
      </c>
      <c r="AC131" s="184">
        <f>AB131</f>
        <v>-1294.8000000000002</v>
      </c>
      <c r="AD131" s="184">
        <f>AC131</f>
        <v>-1294.8000000000002</v>
      </c>
      <c r="AE131" s="184">
        <f>-435.8-449.5+121.6</f>
        <v>-763.69999999999993</v>
      </c>
      <c r="AF131" s="184">
        <f>-508.8+272.9+103.5</f>
        <v>-132.40000000000003</v>
      </c>
      <c r="AG131" s="184">
        <f>AF131</f>
        <v>-132.40000000000003</v>
      </c>
      <c r="AH131" s="184">
        <f>+-205+121+131.1</f>
        <v>47.099999999999994</v>
      </c>
      <c r="AI131" s="184">
        <f>-24.1-47.3+104.2</f>
        <v>32.799999999999997</v>
      </c>
      <c r="AJ131" s="184">
        <f>AI131</f>
        <v>32.799999999999997</v>
      </c>
      <c r="AK131" s="184">
        <f>1.9-84.7+70.8</f>
        <v>-12</v>
      </c>
      <c r="AL131" s="184">
        <f>-47.1-99.2+89.6</f>
        <v>-56.700000000000017</v>
      </c>
      <c r="AM131" s="184">
        <f>AL131</f>
        <v>-56.700000000000017</v>
      </c>
      <c r="AN131" s="184">
        <f>-64.6-96.6+143.7</f>
        <v>-17.5</v>
      </c>
      <c r="AO131" s="184">
        <v>185</v>
      </c>
      <c r="AP131" s="184">
        <f t="shared" ref="AP131:AP133" si="762">AO131</f>
        <v>185</v>
      </c>
      <c r="AQ131" s="184">
        <v>308.7</v>
      </c>
      <c r="AR131" s="184">
        <f>AR127-AR130-AR132</f>
        <v>397.5</v>
      </c>
      <c r="AS131" s="184">
        <f>AR131</f>
        <v>397.5</v>
      </c>
      <c r="AT131" s="184">
        <v>359.8</v>
      </c>
      <c r="AU131" s="217">
        <v>384.7</v>
      </c>
      <c r="AV131" s="217">
        <f t="shared" ref="AV131" si="763">AU131</f>
        <v>384.7</v>
      </c>
      <c r="AW131" s="217">
        <v>-65.099999999999994</v>
      </c>
      <c r="AX131" s="217">
        <v>134.80000000000001</v>
      </c>
      <c r="AY131" s="217">
        <f>AX131</f>
        <v>134.80000000000001</v>
      </c>
      <c r="AZ131" s="217">
        <v>251.2</v>
      </c>
      <c r="BA131" s="184">
        <v>352.7</v>
      </c>
      <c r="BB131" s="217">
        <f t="shared" si="743"/>
        <v>352.7</v>
      </c>
      <c r="BC131" s="184">
        <v>499</v>
      </c>
      <c r="BD131" s="184">
        <v>774.6</v>
      </c>
      <c r="BE131" s="217">
        <f t="shared" si="744"/>
        <v>774.6</v>
      </c>
      <c r="BF131" s="184">
        <v>589.5</v>
      </c>
      <c r="BG131" s="184">
        <v>737.5</v>
      </c>
      <c r="BH131" s="217">
        <f t="shared" ref="BH131:BH133" si="764">BG131</f>
        <v>737.5</v>
      </c>
      <c r="BI131" s="184">
        <v>1350.8</v>
      </c>
      <c r="BJ131" s="184">
        <v>1245.2</v>
      </c>
      <c r="BK131" s="185">
        <f t="shared" si="745"/>
        <v>1245.2</v>
      </c>
      <c r="BL131" s="184">
        <v>875.7</v>
      </c>
      <c r="BM131" s="217">
        <f t="shared" ref="BM131:BN133" si="765">BL131</f>
        <v>875.7</v>
      </c>
      <c r="BN131" s="217">
        <f t="shared" si="765"/>
        <v>875.7</v>
      </c>
      <c r="BO131" s="217">
        <f ca="1">BO127-BO130-BO132</f>
        <v>437.12099999999373</v>
      </c>
      <c r="BP131" s="217">
        <f t="shared" ref="BP131" ca="1" si="766">BO131</f>
        <v>437.12099999999373</v>
      </c>
      <c r="BQ131" s="217">
        <f t="shared" ca="1" si="749"/>
        <v>437.12099999999373</v>
      </c>
      <c r="BR131" s="217">
        <f t="shared" ref="BR131" ca="1" si="767">BQ131</f>
        <v>437.12099999999373</v>
      </c>
      <c r="BS131" s="217">
        <f t="shared" ref="BS131" ca="1" si="768">BR131</f>
        <v>437.12099999999373</v>
      </c>
      <c r="BT131" s="217">
        <f t="shared" ca="1" si="752"/>
        <v>437.12099999999373</v>
      </c>
      <c r="BU131" s="217">
        <f t="shared" ref="BU131" ca="1" si="769">BT131</f>
        <v>437.12099999999373</v>
      </c>
      <c r="BV131" s="217">
        <f t="shared" ref="BV131" ca="1" si="770">BU131</f>
        <v>437.12099999999373</v>
      </c>
      <c r="BW131" s="217">
        <f t="shared" ca="1" si="755"/>
        <v>437.12099999999373</v>
      </c>
      <c r="BX131" s="217">
        <f t="shared" ref="BX131" ca="1" si="771">BW131</f>
        <v>437.12099999999373</v>
      </c>
      <c r="BY131" s="217">
        <f t="shared" ref="BY131" ca="1" si="772">BX131</f>
        <v>437.12099999999373</v>
      </c>
      <c r="BZ131" s="217">
        <f t="shared" ca="1" si="758"/>
        <v>437.12099999999373</v>
      </c>
      <c r="CA131" s="217">
        <f t="shared" ref="CA131" ca="1" si="773">BZ131</f>
        <v>437.12099999999373</v>
      </c>
      <c r="CB131" s="217">
        <f t="shared" ref="CB131" ca="1" si="774">CA131</f>
        <v>437.12099999999373</v>
      </c>
      <c r="CC131" s="217">
        <f t="shared" ca="1" si="761"/>
        <v>437.12099999999373</v>
      </c>
      <c r="CD131" s="218"/>
      <c r="CE131" s="219"/>
      <c r="CF131" s="219"/>
      <c r="CG131" s="219"/>
      <c r="CH131" s="219"/>
      <c r="CI131" s="219"/>
      <c r="CJ131" s="219"/>
      <c r="CK131" s="217"/>
      <c r="CL131" s="220">
        <f>X131</f>
        <v>-2373</v>
      </c>
      <c r="CM131" s="217">
        <f>AA131</f>
        <v>-1654.5</v>
      </c>
      <c r="CN131" s="217">
        <f>AD131</f>
        <v>-1294.8000000000002</v>
      </c>
      <c r="CO131" s="217">
        <f>AG131</f>
        <v>-132.40000000000003</v>
      </c>
      <c r="CP131" s="217">
        <f>AJ131</f>
        <v>32.799999999999997</v>
      </c>
      <c r="CQ131" s="217">
        <f>AM131</f>
        <v>-56.700000000000017</v>
      </c>
      <c r="CR131" s="217">
        <f>AP131</f>
        <v>185</v>
      </c>
      <c r="CS131" s="217">
        <f>AS131</f>
        <v>397.5</v>
      </c>
      <c r="CT131" s="217">
        <f>AV131</f>
        <v>384.7</v>
      </c>
      <c r="CU131" s="217">
        <f>AY131</f>
        <v>134.80000000000001</v>
      </c>
      <c r="CV131" s="217">
        <f>BB131</f>
        <v>352.7</v>
      </c>
      <c r="CW131" s="217">
        <f>BE131</f>
        <v>774.6</v>
      </c>
      <c r="CX131" s="217">
        <f>BH131</f>
        <v>737.5</v>
      </c>
      <c r="CY131" s="217">
        <f>BK131</f>
        <v>1245.2</v>
      </c>
      <c r="CZ131" s="217">
        <f>BN131</f>
        <v>875.7</v>
      </c>
      <c r="DA131" s="217">
        <f ca="1">BQ131</f>
        <v>437.12099999999373</v>
      </c>
      <c r="DB131" s="217">
        <f ca="1">BT131</f>
        <v>437.12099999999373</v>
      </c>
      <c r="DC131" s="217">
        <f ca="1">BW131</f>
        <v>437.12099999999373</v>
      </c>
      <c r="DD131" s="217">
        <f ca="1">BZ131</f>
        <v>437.12099999999373</v>
      </c>
      <c r="DE131" s="217">
        <f ca="1">CC131</f>
        <v>437.12099999999373</v>
      </c>
      <c r="DF131" s="180"/>
      <c r="DG131" s="180"/>
      <c r="DH131" s="180"/>
      <c r="DI131" s="180"/>
      <c r="DJ131" s="180"/>
      <c r="DK131" s="180"/>
      <c r="EB131"/>
      <c r="EC131"/>
      <c r="ED131"/>
      <c r="EE131"/>
      <c r="EF131"/>
      <c r="EG131"/>
    </row>
    <row r="132" spans="1:137" s="221" customFormat="1" ht="12.75" customHeight="1">
      <c r="A132" s="180"/>
      <c r="B132" s="112" t="s">
        <v>125</v>
      </c>
      <c r="C132" s="180"/>
      <c r="D132" s="235"/>
      <c r="E132" s="235"/>
      <c r="F132" s="231"/>
      <c r="G132" s="232"/>
      <c r="H132" s="232"/>
      <c r="I132" s="232"/>
      <c r="J132" s="232"/>
      <c r="K132" s="232"/>
      <c r="L132" s="232">
        <v>-33.799999999999997</v>
      </c>
      <c r="M132" s="232">
        <v>-68.900000000000006</v>
      </c>
      <c r="N132" s="232">
        <v>-113.80000000000001</v>
      </c>
      <c r="O132" s="232">
        <v>-113.80000000000001</v>
      </c>
      <c r="P132" s="232">
        <v>-180.3</v>
      </c>
      <c r="Q132" s="232">
        <v>-343.5</v>
      </c>
      <c r="R132" s="232">
        <v>-343.5</v>
      </c>
      <c r="S132" s="232">
        <v>-244.2</v>
      </c>
      <c r="T132" s="232">
        <v>-239.3</v>
      </c>
      <c r="U132" s="232">
        <v>-239.3</v>
      </c>
      <c r="V132" s="232">
        <v>-174.09999999999997</v>
      </c>
      <c r="W132" s="232">
        <v>-134.6</v>
      </c>
      <c r="X132" s="232">
        <v>-134.6</v>
      </c>
      <c r="Y132" s="232">
        <v>-476.7</v>
      </c>
      <c r="Z132" s="232">
        <v>-646.1</v>
      </c>
      <c r="AA132" s="232">
        <v>-646.1</v>
      </c>
      <c r="AB132" s="232">
        <v>-838</v>
      </c>
      <c r="AC132" s="184">
        <v>-647.5</v>
      </c>
      <c r="AD132" s="184">
        <f>+AC132</f>
        <v>-647.5</v>
      </c>
      <c r="AE132" s="184">
        <f>379.5-1187.2+137.2</f>
        <v>-670.5</v>
      </c>
      <c r="AF132" s="184">
        <f>398.7+-1338.5+186.3</f>
        <v>-753.5</v>
      </c>
      <c r="AG132" s="184">
        <f>AF132</f>
        <v>-753.5</v>
      </c>
      <c r="AH132" s="184">
        <f>199.9+-624.1+286.4</f>
        <v>-137.80000000000007</v>
      </c>
      <c r="AI132" s="184">
        <f>-11.7-344+358.7</f>
        <v>3</v>
      </c>
      <c r="AJ132" s="184">
        <f>+AI132</f>
        <v>3</v>
      </c>
      <c r="AK132" s="184">
        <f>-47-67.6+450</f>
        <v>335.4</v>
      </c>
      <c r="AL132" s="184">
        <f>-70-153.6+545</f>
        <v>321.39999999999998</v>
      </c>
      <c r="AM132" s="184">
        <f t="shared" ref="AM132" si="775">AM143</f>
        <v>321.39999999999998</v>
      </c>
      <c r="AN132" s="184">
        <f>-122.9+44+737</f>
        <v>658.1</v>
      </c>
      <c r="AO132" s="184">
        <v>957</v>
      </c>
      <c r="AP132" s="184">
        <f t="shared" si="762"/>
        <v>957</v>
      </c>
      <c r="AQ132" s="184">
        <v>1666.7</v>
      </c>
      <c r="AR132" s="184">
        <v>2093.3000000000002</v>
      </c>
      <c r="AS132" s="184">
        <f>AR132</f>
        <v>2093.3000000000002</v>
      </c>
      <c r="AT132" s="184">
        <v>2684.9</v>
      </c>
      <c r="AU132" s="217">
        <v>3104.2</v>
      </c>
      <c r="AV132" s="217">
        <f>AU132</f>
        <v>3104.2</v>
      </c>
      <c r="AW132" s="217">
        <v>3937</v>
      </c>
      <c r="AX132" s="217">
        <v>4930.3</v>
      </c>
      <c r="AY132" s="217">
        <f>AX132</f>
        <v>4930.3</v>
      </c>
      <c r="AZ132" s="217">
        <v>6734.9</v>
      </c>
      <c r="BA132" s="184">
        <v>7866</v>
      </c>
      <c r="BB132" s="217">
        <f t="shared" ref="BB132" si="776">BB143</f>
        <v>7866</v>
      </c>
      <c r="BC132" s="184">
        <v>8796.5</v>
      </c>
      <c r="BD132" s="184">
        <v>8976.9</v>
      </c>
      <c r="BE132" s="217">
        <f>BD132</f>
        <v>8976.9</v>
      </c>
      <c r="BF132" s="184">
        <v>8620.5</v>
      </c>
      <c r="BG132" s="184">
        <v>8456.7999999999993</v>
      </c>
      <c r="BH132" s="217">
        <f t="shared" si="764"/>
        <v>8456.7999999999993</v>
      </c>
      <c r="BI132" s="184">
        <v>9114.7999999999993</v>
      </c>
      <c r="BJ132" s="184">
        <v>9676.7000000000007</v>
      </c>
      <c r="BK132" s="185">
        <f t="shared" si="745"/>
        <v>9676.7000000000007</v>
      </c>
      <c r="BL132" s="184">
        <v>10363.6</v>
      </c>
      <c r="BM132" s="217">
        <f t="shared" ref="BM132" ca="1" si="777">BM143</f>
        <v>11732.710009999613</v>
      </c>
      <c r="BN132" s="217">
        <f t="shared" ca="1" si="765"/>
        <v>11732.710009999613</v>
      </c>
      <c r="BO132" s="217">
        <f t="shared" ref="BO132:BQ132" ca="1" si="778">BO143</f>
        <v>13582.243941255463</v>
      </c>
      <c r="BP132" s="217">
        <f t="shared" ca="1" si="778"/>
        <v>14992.426237897558</v>
      </c>
      <c r="BQ132" s="217">
        <f t="shared" ca="1" si="778"/>
        <v>14992.426237897558</v>
      </c>
      <c r="BR132" s="217">
        <f t="shared" ref="BR132:BT132" ca="1" si="779">BR143</f>
        <v>16589.265656286869</v>
      </c>
      <c r="BS132" s="217">
        <f t="shared" ca="1" si="779"/>
        <v>18202.731283260167</v>
      </c>
      <c r="BT132" s="217">
        <f t="shared" ca="1" si="779"/>
        <v>18202.731283260171</v>
      </c>
      <c r="BU132" s="217">
        <f t="shared" ref="BU132:BZ132" ca="1" si="780">BU143</f>
        <v>19949.471577053209</v>
      </c>
      <c r="BV132" s="217">
        <f t="shared" ca="1" si="780"/>
        <v>21718.94840571034</v>
      </c>
      <c r="BW132" s="217">
        <f t="shared" ca="1" si="780"/>
        <v>21718.94840571034</v>
      </c>
      <c r="BX132" s="217">
        <f t="shared" ca="1" si="780"/>
        <v>23582.873913363041</v>
      </c>
      <c r="BY132" s="217">
        <f t="shared" ca="1" si="780"/>
        <v>25460.577868112559</v>
      </c>
      <c r="BZ132" s="217">
        <f t="shared" ca="1" si="780"/>
        <v>25460.577868112563</v>
      </c>
      <c r="CA132" s="217">
        <f t="shared" ref="CA132:CC132" ca="1" si="781">CA143</f>
        <v>27465.167333698129</v>
      </c>
      <c r="CB132" s="217">
        <f t="shared" ca="1" si="781"/>
        <v>29488.303877268463</v>
      </c>
      <c r="CC132" s="217">
        <f t="shared" ca="1" si="781"/>
        <v>29488.303877268467</v>
      </c>
      <c r="CD132" s="218"/>
      <c r="CE132" s="219"/>
      <c r="CF132" s="219"/>
      <c r="CG132" s="219"/>
      <c r="CH132" s="219"/>
      <c r="CI132" s="219"/>
      <c r="CJ132" s="219"/>
      <c r="CK132" s="217"/>
      <c r="CL132" s="220">
        <f>X132</f>
        <v>-134.6</v>
      </c>
      <c r="CM132" s="217">
        <f>AA132</f>
        <v>-646.1</v>
      </c>
      <c r="CN132" s="217">
        <f>AD132</f>
        <v>-647.5</v>
      </c>
      <c r="CO132" s="217">
        <f>AG132</f>
        <v>-753.5</v>
      </c>
      <c r="CP132" s="217">
        <f>AJ132</f>
        <v>3</v>
      </c>
      <c r="CQ132" s="217">
        <f>AM132</f>
        <v>321.39999999999998</v>
      </c>
      <c r="CR132" s="217">
        <f>AP132</f>
        <v>957</v>
      </c>
      <c r="CS132" s="217">
        <f>AS132</f>
        <v>2093.3000000000002</v>
      </c>
      <c r="CT132" s="217">
        <f>AV132</f>
        <v>3104.2</v>
      </c>
      <c r="CU132" s="217">
        <f>AY132</f>
        <v>4930.3</v>
      </c>
      <c r="CV132" s="217">
        <f>BB132</f>
        <v>7866</v>
      </c>
      <c r="CW132" s="217">
        <f>BE132</f>
        <v>8976.9</v>
      </c>
      <c r="CX132" s="217">
        <f>BH132</f>
        <v>8456.7999999999993</v>
      </c>
      <c r="CY132" s="217">
        <f>BK132</f>
        <v>9676.7000000000007</v>
      </c>
      <c r="CZ132" s="217">
        <f ca="1">BN132</f>
        <v>11732.710009999613</v>
      </c>
      <c r="DA132" s="217">
        <f ca="1">BQ132</f>
        <v>14992.426237897558</v>
      </c>
      <c r="DB132" s="217">
        <f ca="1">BT132</f>
        <v>18202.731283260171</v>
      </c>
      <c r="DC132" s="217">
        <f ca="1">BW132</f>
        <v>21718.94840571034</v>
      </c>
      <c r="DD132" s="217">
        <f ca="1">BZ132</f>
        <v>25460.577868112563</v>
      </c>
      <c r="DE132" s="217">
        <f ca="1">CC132</f>
        <v>29488.303877268467</v>
      </c>
      <c r="DF132" s="180"/>
      <c r="DG132" s="180"/>
      <c r="DH132" s="180"/>
      <c r="DI132" s="180"/>
      <c r="DJ132" s="180"/>
      <c r="DK132" s="180"/>
      <c r="EB132"/>
      <c r="EC132"/>
      <c r="ED132"/>
      <c r="EE132"/>
      <c r="EF132"/>
      <c r="EG132"/>
    </row>
    <row r="133" spans="1:137" s="221" customFormat="1" ht="12.75" customHeight="1">
      <c r="A133" s="180"/>
      <c r="B133" s="112" t="s">
        <v>5</v>
      </c>
      <c r="C133" s="180"/>
      <c r="D133" s="230"/>
      <c r="E133" s="230"/>
      <c r="F133" s="236"/>
      <c r="G133" s="232"/>
      <c r="H133" s="236"/>
      <c r="I133" s="232"/>
      <c r="J133" s="232"/>
      <c r="K133" s="232"/>
      <c r="L133" s="232">
        <v>320.60000000000002</v>
      </c>
      <c r="M133" s="232">
        <v>329.6</v>
      </c>
      <c r="N133" s="232">
        <v>318.8</v>
      </c>
      <c r="O133" s="232">
        <v>318.8</v>
      </c>
      <c r="P133" s="232">
        <v>798.2</v>
      </c>
      <c r="Q133" s="232">
        <v>798.1</v>
      </c>
      <c r="R133" s="232">
        <v>798.1</v>
      </c>
      <c r="S133" s="232">
        <v>573.1</v>
      </c>
      <c r="T133" s="232">
        <v>573.1</v>
      </c>
      <c r="U133" s="232">
        <v>573.1</v>
      </c>
      <c r="V133" s="232">
        <v>423.1</v>
      </c>
      <c r="W133" s="232">
        <v>318.8</v>
      </c>
      <c r="X133" s="232">
        <v>318.8</v>
      </c>
      <c r="Y133" s="232">
        <v>325.8</v>
      </c>
      <c r="Z133" s="232">
        <v>331.5</v>
      </c>
      <c r="AA133" s="232">
        <v>331.5</v>
      </c>
      <c r="AB133" s="232">
        <v>325.8</v>
      </c>
      <c r="AC133" s="184">
        <v>325.8</v>
      </c>
      <c r="AD133" s="184">
        <f>AC133</f>
        <v>325.8</v>
      </c>
      <c r="AE133" s="184">
        <v>325.8</v>
      </c>
      <c r="AF133" s="184">
        <v>325.8</v>
      </c>
      <c r="AG133" s="184">
        <f>AF133</f>
        <v>325.8</v>
      </c>
      <c r="AH133" s="184">
        <v>325.8</v>
      </c>
      <c r="AI133" s="184">
        <v>325.8</v>
      </c>
      <c r="AJ133" s="184">
        <f>AI133</f>
        <v>325.8</v>
      </c>
      <c r="AK133" s="184">
        <v>325.8</v>
      </c>
      <c r="AL133" s="184">
        <v>325.8</v>
      </c>
      <c r="AM133" s="184">
        <f>AL133</f>
        <v>325.8</v>
      </c>
      <c r="AN133" s="184">
        <v>0</v>
      </c>
      <c r="AO133" s="184">
        <f>AN133-AO39</f>
        <v>0</v>
      </c>
      <c r="AP133" s="184">
        <f t="shared" si="762"/>
        <v>0</v>
      </c>
      <c r="AQ133" s="184">
        <f>AP133-AQ39</f>
        <v>0</v>
      </c>
      <c r="AR133" s="184">
        <f>AQ133-AR39</f>
        <v>0</v>
      </c>
      <c r="AS133" s="184">
        <f>AR133</f>
        <v>0</v>
      </c>
      <c r="AT133" s="184">
        <f t="shared" ref="AT133:AU133" si="782">AS133-AT39</f>
        <v>0</v>
      </c>
      <c r="AU133" s="217">
        <f t="shared" si="782"/>
        <v>0</v>
      </c>
      <c r="AV133" s="217">
        <f t="shared" ref="AV133" si="783">AU133</f>
        <v>0</v>
      </c>
      <c r="AW133" s="217">
        <v>0</v>
      </c>
      <c r="AX133" s="217">
        <f t="shared" ref="AX133" si="784">AW133-AX39</f>
        <v>0</v>
      </c>
      <c r="AY133" s="217">
        <f t="shared" ref="AY133" si="785">AX133</f>
        <v>0</v>
      </c>
      <c r="AZ133" s="217">
        <f t="shared" ref="AZ133:BA133" si="786">AY133-AZ39</f>
        <v>0</v>
      </c>
      <c r="BA133" s="184">
        <f t="shared" si="786"/>
        <v>0</v>
      </c>
      <c r="BB133" s="217">
        <f t="shared" ref="BB133" si="787">BA133</f>
        <v>0</v>
      </c>
      <c r="BC133" s="184">
        <f t="shared" ref="BC133:BD133" si="788">BB133-BC39</f>
        <v>0</v>
      </c>
      <c r="BD133" s="217">
        <f t="shared" si="788"/>
        <v>0</v>
      </c>
      <c r="BE133" s="217">
        <f t="shared" ref="BE133" si="789">BD133</f>
        <v>0</v>
      </c>
      <c r="BF133" s="217">
        <f t="shared" ref="BF133:BG133" si="790">BE133-BF39</f>
        <v>0</v>
      </c>
      <c r="BG133" s="217">
        <f t="shared" si="790"/>
        <v>0</v>
      </c>
      <c r="BH133" s="217">
        <f t="shared" si="764"/>
        <v>0</v>
      </c>
      <c r="BI133" s="217">
        <v>0</v>
      </c>
      <c r="BJ133" s="217">
        <f t="shared" ref="BJ133" si="791">BI133-BJ39</f>
        <v>0</v>
      </c>
      <c r="BK133" s="185">
        <f t="shared" si="745"/>
        <v>0</v>
      </c>
      <c r="BL133" s="217">
        <v>0</v>
      </c>
      <c r="BM133" s="217">
        <f t="shared" ref="BM133" ca="1" si="792">BL133-BM39</f>
        <v>0</v>
      </c>
      <c r="BN133" s="217">
        <f t="shared" ca="1" si="765"/>
        <v>0</v>
      </c>
      <c r="BO133" s="217">
        <f ca="1">BO127-BO130-BO131-BO132</f>
        <v>0</v>
      </c>
      <c r="BP133" s="217">
        <f t="shared" ref="BP133" ca="1" si="793">BO133-BP39</f>
        <v>0</v>
      </c>
      <c r="BQ133" s="217">
        <f t="shared" ref="BQ133" ca="1" si="794">BP133</f>
        <v>0</v>
      </c>
      <c r="BR133" s="217">
        <f ca="1">BR127-BR130-BR131-BR132</f>
        <v>-3.1870527077371662</v>
      </c>
      <c r="BS133" s="217">
        <f ca="1">BS127-BS130-BS131-BS132</f>
        <v>-6.473265765744145</v>
      </c>
      <c r="BT133" s="217">
        <f t="shared" ref="BT133" ca="1" si="795">BS133</f>
        <v>-6.473265765744145</v>
      </c>
      <c r="BU133" s="217">
        <f ca="1">BU127-BU130-BU131-BU132</f>
        <v>-9.2140745422475447</v>
      </c>
      <c r="BV133" s="217">
        <f ca="1">BV127-BV130-BV131-BV132</f>
        <v>-12.033104797068518</v>
      </c>
      <c r="BW133" s="217">
        <f t="shared" ref="BW133" ca="1" si="796">BV133</f>
        <v>-12.033104797068518</v>
      </c>
      <c r="BX133" s="217">
        <f ca="1">BX127-BX130-BX131-BX132</f>
        <v>-14.284870152430813</v>
      </c>
      <c r="BY133" s="217">
        <f ca="1">BY127-BY130-BY131-BY132</f>
        <v>-16.592035650821344</v>
      </c>
      <c r="BZ133" s="217">
        <f t="shared" ref="BZ133" ca="1" si="797">BY133</f>
        <v>-16.592035650821344</v>
      </c>
      <c r="CA133" s="217">
        <f ca="1">CA127-CA130-CA131-CA132</f>
        <v>-24.437713619667193</v>
      </c>
      <c r="CB133" s="217">
        <f ca="1">CB127-CB130-CB131-CB132</f>
        <v>-32.363525558012043</v>
      </c>
      <c r="CC133" s="217">
        <f t="shared" ref="CC133" ca="1" si="798">CB133</f>
        <v>-32.363525558012043</v>
      </c>
      <c r="CD133" s="218"/>
      <c r="CE133" s="219"/>
      <c r="CF133" s="219"/>
      <c r="CG133" s="219"/>
      <c r="CH133" s="219"/>
      <c r="CI133" s="219"/>
      <c r="CJ133" s="219"/>
      <c r="CK133" s="217"/>
      <c r="CL133" s="220">
        <f>X133</f>
        <v>318.8</v>
      </c>
      <c r="CM133" s="217">
        <f>AA133</f>
        <v>331.5</v>
      </c>
      <c r="CN133" s="217">
        <f>AD133</f>
        <v>325.8</v>
      </c>
      <c r="CO133" s="217">
        <f>AG133</f>
        <v>325.8</v>
      </c>
      <c r="CP133" s="217">
        <f>AJ133</f>
        <v>325.8</v>
      </c>
      <c r="CQ133" s="217">
        <f>AM133</f>
        <v>325.8</v>
      </c>
      <c r="CR133" s="217">
        <f>AP133</f>
        <v>0</v>
      </c>
      <c r="CS133" s="217">
        <f>AS133</f>
        <v>0</v>
      </c>
      <c r="CT133" s="217">
        <f>AV133</f>
        <v>0</v>
      </c>
      <c r="CU133" s="217">
        <f>AY133</f>
        <v>0</v>
      </c>
      <c r="CV133" s="217">
        <f>BB133</f>
        <v>0</v>
      </c>
      <c r="CW133" s="217">
        <f>BE133</f>
        <v>0</v>
      </c>
      <c r="CX133" s="217">
        <f>BH133</f>
        <v>0</v>
      </c>
      <c r="CY133" s="217">
        <f>BK133</f>
        <v>0</v>
      </c>
      <c r="CZ133" s="217">
        <f ca="1">BN133</f>
        <v>0</v>
      </c>
      <c r="DA133" s="217">
        <f ca="1">BQ133</f>
        <v>0</v>
      </c>
      <c r="DB133" s="217">
        <f ca="1">BT133</f>
        <v>-6.473265765744145</v>
      </c>
      <c r="DC133" s="217">
        <f ca="1">BW133</f>
        <v>-12.033104797068518</v>
      </c>
      <c r="DD133" s="217">
        <f ca="1">BZ133</f>
        <v>-16.592035650821344</v>
      </c>
      <c r="DE133" s="217">
        <f ca="1">CC133</f>
        <v>-32.363525558012043</v>
      </c>
      <c r="DF133" s="180"/>
      <c r="DG133" s="180"/>
      <c r="DH133" s="180"/>
      <c r="DI133" s="180"/>
      <c r="DJ133" s="180"/>
      <c r="DK133" s="180"/>
      <c r="EB133"/>
      <c r="EC133"/>
      <c r="ED133"/>
      <c r="EE133"/>
      <c r="EF133"/>
      <c r="EG133"/>
    </row>
    <row r="134" spans="1:137" s="228" customFormat="1" ht="12.75" customHeight="1" thickBot="1">
      <c r="A134" s="79"/>
      <c r="B134" s="80" t="s">
        <v>126</v>
      </c>
      <c r="C134" s="79"/>
      <c r="D134" s="81"/>
      <c r="E134" s="81"/>
      <c r="F134" s="82"/>
      <c r="G134" s="82"/>
      <c r="H134" s="82"/>
      <c r="I134" s="82"/>
      <c r="J134" s="82"/>
      <c r="K134" s="82"/>
      <c r="L134" s="82">
        <f t="shared" ref="L134:AS134" si="799">SUM(L130:L133)</f>
        <v>4669.1000000000004</v>
      </c>
      <c r="M134" s="82">
        <f t="shared" si="799"/>
        <v>4508.8000000000011</v>
      </c>
      <c r="N134" s="82">
        <f t="shared" si="799"/>
        <v>3777.6000000000004</v>
      </c>
      <c r="O134" s="82">
        <f t="shared" si="799"/>
        <v>3777.6000000000004</v>
      </c>
      <c r="P134" s="82">
        <f t="shared" si="799"/>
        <v>4910.3</v>
      </c>
      <c r="Q134" s="82">
        <f t="shared" si="799"/>
        <v>4721.7000000000007</v>
      </c>
      <c r="R134" s="82">
        <f t="shared" si="799"/>
        <v>4721.7000000000007</v>
      </c>
      <c r="S134" s="82">
        <f t="shared" si="799"/>
        <v>4700.9000000000005</v>
      </c>
      <c r="T134" s="82">
        <f t="shared" si="799"/>
        <v>5013.9000000000005</v>
      </c>
      <c r="U134" s="82">
        <f t="shared" si="799"/>
        <v>5013.9000000000005</v>
      </c>
      <c r="V134" s="82">
        <f t="shared" si="799"/>
        <v>5095.8999999999996</v>
      </c>
      <c r="W134" s="82">
        <f t="shared" si="799"/>
        <v>5174.6000000000004</v>
      </c>
      <c r="X134" s="82">
        <f t="shared" si="799"/>
        <v>5174.6000000000004</v>
      </c>
      <c r="Y134" s="82">
        <f t="shared" si="799"/>
        <v>5649.5</v>
      </c>
      <c r="Z134" s="82">
        <f t="shared" si="799"/>
        <v>5835.7</v>
      </c>
      <c r="AA134" s="82">
        <f t="shared" si="799"/>
        <v>5835.7</v>
      </c>
      <c r="AB134" s="82">
        <f t="shared" si="799"/>
        <v>5997.8</v>
      </c>
      <c r="AC134" s="82">
        <f>SUM(AC130:AC133)</f>
        <v>6230.4</v>
      </c>
      <c r="AD134" s="82">
        <f t="shared" si="799"/>
        <v>6230.4</v>
      </c>
      <c r="AE134" s="82">
        <f>SUM(AE130:AE133)</f>
        <v>6783.9</v>
      </c>
      <c r="AF134" s="82">
        <f t="shared" si="799"/>
        <v>7376.1000000000013</v>
      </c>
      <c r="AG134" s="82">
        <f t="shared" si="799"/>
        <v>7376.1000000000013</v>
      </c>
      <c r="AH134" s="82">
        <f t="shared" si="799"/>
        <v>8216.6999999999989</v>
      </c>
      <c r="AI134" s="82">
        <f t="shared" si="799"/>
        <v>8393.2999999999993</v>
      </c>
      <c r="AJ134" s="82">
        <f t="shared" si="799"/>
        <v>8393.2999999999993</v>
      </c>
      <c r="AK134" s="82">
        <f t="shared" si="799"/>
        <v>8680.9</v>
      </c>
      <c r="AL134" s="82">
        <f t="shared" si="799"/>
        <v>8622.1999999999989</v>
      </c>
      <c r="AM134" s="82">
        <f t="shared" si="799"/>
        <v>8622.1999999999989</v>
      </c>
      <c r="AN134" s="82">
        <f t="shared" si="799"/>
        <v>8672.2999999999993</v>
      </c>
      <c r="AO134" s="82">
        <f t="shared" si="799"/>
        <v>9173.7000000000007</v>
      </c>
      <c r="AP134" s="82">
        <f t="shared" si="799"/>
        <v>9173.7000000000007</v>
      </c>
      <c r="AQ134" s="82">
        <f>SUM(AQ130:AQ133)</f>
        <v>10007.1</v>
      </c>
      <c r="AR134" s="82">
        <f t="shared" si="799"/>
        <v>10522.5</v>
      </c>
      <c r="AS134" s="82">
        <f t="shared" si="799"/>
        <v>10522.5</v>
      </c>
      <c r="AT134" s="82">
        <f t="shared" ref="AT134:BK134" si="800">SUM(AT130:AT133)</f>
        <v>11076.4</v>
      </c>
      <c r="AU134" s="82">
        <f t="shared" si="800"/>
        <v>11520.599999999999</v>
      </c>
      <c r="AV134" s="82">
        <f t="shared" si="800"/>
        <v>11520.599999999999</v>
      </c>
      <c r="AW134" s="82">
        <f t="shared" si="800"/>
        <v>11968.3</v>
      </c>
      <c r="AX134" s="82">
        <f t="shared" si="800"/>
        <v>13161.5</v>
      </c>
      <c r="AY134" s="82">
        <f t="shared" si="800"/>
        <v>13161.5</v>
      </c>
      <c r="AZ134" s="82">
        <f t="shared" si="800"/>
        <v>15192.2</v>
      </c>
      <c r="BA134" s="82">
        <f t="shared" si="800"/>
        <v>16424.800000000003</v>
      </c>
      <c r="BB134" s="82">
        <f t="shared" si="800"/>
        <v>16424.800000000003</v>
      </c>
      <c r="BC134" s="82">
        <f t="shared" si="800"/>
        <v>17501.400000000001</v>
      </c>
      <c r="BD134" s="82">
        <f t="shared" si="800"/>
        <v>18024.8</v>
      </c>
      <c r="BE134" s="82">
        <f t="shared" si="800"/>
        <v>18024.8</v>
      </c>
      <c r="BF134" s="82">
        <f t="shared" si="800"/>
        <v>17553.599999999999</v>
      </c>
      <c r="BG134" s="82">
        <f t="shared" si="800"/>
        <v>17537.900000000001</v>
      </c>
      <c r="BH134" s="82">
        <f t="shared" si="800"/>
        <v>17537.900000000001</v>
      </c>
      <c r="BI134" s="82">
        <f t="shared" si="800"/>
        <v>18912.8</v>
      </c>
      <c r="BJ134" s="82">
        <f t="shared" si="800"/>
        <v>23310.100000000002</v>
      </c>
      <c r="BK134" s="82">
        <f t="shared" si="800"/>
        <v>23310.100000000002</v>
      </c>
      <c r="BL134" s="82">
        <f t="shared" ref="BL134:BN134" si="801">SUM(BL130:BL133)</f>
        <v>23750.9</v>
      </c>
      <c r="BM134" s="82">
        <f t="shared" ca="1" si="801"/>
        <v>25120.010009999613</v>
      </c>
      <c r="BN134" s="82">
        <f t="shared" ca="1" si="801"/>
        <v>25120.010009999613</v>
      </c>
      <c r="BO134" s="82">
        <f t="shared" ref="BO134:BQ134" ca="1" si="802">SUM(BO130:BO133)</f>
        <v>26530.964941255457</v>
      </c>
      <c r="BP134" s="82">
        <f t="shared" ca="1" si="802"/>
        <v>27941.147237897552</v>
      </c>
      <c r="BQ134" s="82">
        <f t="shared" ca="1" si="802"/>
        <v>27941.147237897552</v>
      </c>
      <c r="BR134" s="82">
        <f t="shared" ref="BR134:BT134" ca="1" si="803">SUM(BR130:BR133)</f>
        <v>29534.799603579126</v>
      </c>
      <c r="BS134" s="82">
        <f t="shared" ca="1" si="803"/>
        <v>31144.979017494417</v>
      </c>
      <c r="BT134" s="82">
        <f t="shared" ca="1" si="803"/>
        <v>31144.979017494421</v>
      </c>
      <c r="BU134" s="82">
        <f t="shared" ref="BU134:BZ134" ca="1" si="804">SUM(BU130:BU133)</f>
        <v>32888.97850251096</v>
      </c>
      <c r="BV134" s="82">
        <f t="shared" ca="1" si="804"/>
        <v>34655.636300913262</v>
      </c>
      <c r="BW134" s="82">
        <f t="shared" ca="1" si="804"/>
        <v>34655.636300913262</v>
      </c>
      <c r="BX134" s="82">
        <f t="shared" ca="1" si="804"/>
        <v>36517.3100432106</v>
      </c>
      <c r="BY134" s="82">
        <f t="shared" ca="1" si="804"/>
        <v>38392.706832461736</v>
      </c>
      <c r="BZ134" s="82">
        <f t="shared" ca="1" si="804"/>
        <v>38392.706832461736</v>
      </c>
      <c r="CA134" s="82">
        <f t="shared" ref="CA134:CC134" ca="1" si="805">SUM(CA130:CA133)</f>
        <v>40389.450620078453</v>
      </c>
      <c r="CB134" s="82">
        <f t="shared" ca="1" si="805"/>
        <v>42404.661351710442</v>
      </c>
      <c r="CC134" s="82">
        <f t="shared" ca="1" si="805"/>
        <v>42404.661351710442</v>
      </c>
      <c r="CD134" s="134"/>
      <c r="CE134" s="227"/>
      <c r="CF134" s="227"/>
      <c r="CG134" s="227"/>
      <c r="CH134" s="227"/>
      <c r="CI134" s="227"/>
      <c r="CJ134" s="227"/>
      <c r="CK134" s="199"/>
      <c r="CL134" s="85">
        <f>X134</f>
        <v>5174.6000000000004</v>
      </c>
      <c r="CM134" s="82">
        <f>AA134</f>
        <v>5835.7</v>
      </c>
      <c r="CN134" s="82">
        <f>AD134</f>
        <v>6230.4</v>
      </c>
      <c r="CO134" s="82">
        <f>AG134</f>
        <v>7376.1000000000013</v>
      </c>
      <c r="CP134" s="82">
        <f>AJ134</f>
        <v>8393.2999999999993</v>
      </c>
      <c r="CQ134" s="82">
        <f>AM134</f>
        <v>8622.1999999999989</v>
      </c>
      <c r="CR134" s="82">
        <f>AP134</f>
        <v>9173.7000000000007</v>
      </c>
      <c r="CS134" s="82">
        <f>AS134</f>
        <v>10522.5</v>
      </c>
      <c r="CT134" s="82">
        <f>AV134</f>
        <v>11520.599999999999</v>
      </c>
      <c r="CU134" s="82">
        <f>AY134</f>
        <v>13161.5</v>
      </c>
      <c r="CV134" s="82">
        <f>BB134</f>
        <v>16424.800000000003</v>
      </c>
      <c r="CW134" s="82">
        <f>BE134</f>
        <v>18024.8</v>
      </c>
      <c r="CX134" s="82">
        <f>BH134</f>
        <v>17537.900000000001</v>
      </c>
      <c r="CY134" s="82">
        <f>BK134</f>
        <v>23310.100000000002</v>
      </c>
      <c r="CZ134" s="82">
        <f ca="1">BN134</f>
        <v>25120.010009999613</v>
      </c>
      <c r="DA134" s="82">
        <f ca="1">BQ134</f>
        <v>27941.147237897552</v>
      </c>
      <c r="DB134" s="82">
        <f ca="1">BT134</f>
        <v>31144.979017494421</v>
      </c>
      <c r="DC134" s="82">
        <f ca="1">BW134</f>
        <v>34655.636300913262</v>
      </c>
      <c r="DD134" s="82">
        <f ca="1">BZ134</f>
        <v>38392.706832461736</v>
      </c>
      <c r="DE134" s="82">
        <f ca="1">CC134</f>
        <v>42404.661351710442</v>
      </c>
      <c r="DF134" s="48"/>
      <c r="DG134" s="48"/>
      <c r="DH134" s="48"/>
      <c r="DI134" s="48"/>
      <c r="DJ134" s="48"/>
      <c r="DK134" s="48"/>
      <c r="EB134"/>
      <c r="EC134"/>
      <c r="ED134"/>
      <c r="EE134"/>
      <c r="EF134"/>
      <c r="EG134"/>
    </row>
    <row r="135" spans="1:137" ht="12.75" customHeight="1" thickTop="1">
      <c r="A135" s="1"/>
      <c r="B135" s="237" t="s">
        <v>127</v>
      </c>
      <c r="C135" s="1"/>
      <c r="D135" s="238"/>
      <c r="E135" s="238"/>
      <c r="F135" s="239"/>
      <c r="G135" s="239"/>
      <c r="H135" s="239"/>
      <c r="I135" s="239"/>
      <c r="J135" s="239"/>
      <c r="K135" s="239"/>
      <c r="L135" s="239">
        <f t="shared" ref="L135:BK135" si="806">ROUND(L110-L125-L134,1)</f>
        <v>0</v>
      </c>
      <c r="M135" s="239">
        <f t="shared" si="806"/>
        <v>0</v>
      </c>
      <c r="N135" s="239">
        <f t="shared" si="806"/>
        <v>0</v>
      </c>
      <c r="O135" s="239">
        <f t="shared" si="806"/>
        <v>0</v>
      </c>
      <c r="P135" s="239">
        <f t="shared" si="806"/>
        <v>0</v>
      </c>
      <c r="Q135" s="239">
        <f t="shared" si="806"/>
        <v>0</v>
      </c>
      <c r="R135" s="239">
        <f t="shared" si="806"/>
        <v>0</v>
      </c>
      <c r="S135" s="239">
        <f t="shared" si="806"/>
        <v>0</v>
      </c>
      <c r="T135" s="239">
        <f t="shared" si="806"/>
        <v>0</v>
      </c>
      <c r="U135" s="239">
        <f t="shared" si="806"/>
        <v>0</v>
      </c>
      <c r="V135" s="239">
        <f t="shared" si="806"/>
        <v>0</v>
      </c>
      <c r="W135" s="239">
        <f t="shared" si="806"/>
        <v>0</v>
      </c>
      <c r="X135" s="239">
        <f t="shared" si="806"/>
        <v>0</v>
      </c>
      <c r="Y135" s="239">
        <f t="shared" si="806"/>
        <v>0</v>
      </c>
      <c r="Z135" s="239">
        <f t="shared" si="806"/>
        <v>0</v>
      </c>
      <c r="AA135" s="239">
        <f t="shared" si="806"/>
        <v>0</v>
      </c>
      <c r="AB135" s="239">
        <f t="shared" si="806"/>
        <v>0</v>
      </c>
      <c r="AC135" s="239">
        <f>ROUND(AC110-AC125-AC134,1)</f>
        <v>0</v>
      </c>
      <c r="AD135" s="239">
        <f t="shared" si="806"/>
        <v>0</v>
      </c>
      <c r="AE135" s="239">
        <f>ROUND(AE110-AE125-AE134,1)</f>
        <v>0</v>
      </c>
      <c r="AF135" s="239">
        <f t="shared" si="806"/>
        <v>0</v>
      </c>
      <c r="AG135" s="239">
        <f t="shared" si="806"/>
        <v>0</v>
      </c>
      <c r="AH135" s="239">
        <f>ROUND(AH110-AH125-AH134,1)</f>
        <v>0</v>
      </c>
      <c r="AI135" s="239">
        <f t="shared" si="806"/>
        <v>0</v>
      </c>
      <c r="AJ135" s="239">
        <f>ROUND(AJ110-AJ125-AJ134,1)</f>
        <v>0</v>
      </c>
      <c r="AK135" s="239">
        <f t="shared" si="806"/>
        <v>0</v>
      </c>
      <c r="AL135" s="239">
        <f t="shared" si="806"/>
        <v>0</v>
      </c>
      <c r="AM135" s="239">
        <f t="shared" si="806"/>
        <v>0</v>
      </c>
      <c r="AN135" s="239">
        <f t="shared" si="806"/>
        <v>0</v>
      </c>
      <c r="AO135" s="239">
        <f t="shared" si="806"/>
        <v>0</v>
      </c>
      <c r="AP135" s="239">
        <f t="shared" si="806"/>
        <v>0</v>
      </c>
      <c r="AQ135" s="239">
        <f t="shared" si="806"/>
        <v>0</v>
      </c>
      <c r="AR135" s="239">
        <f t="shared" si="806"/>
        <v>0</v>
      </c>
      <c r="AS135" s="239">
        <f t="shared" si="806"/>
        <v>0</v>
      </c>
      <c r="AT135" s="239">
        <f t="shared" si="806"/>
        <v>0</v>
      </c>
      <c r="AU135" s="239">
        <f t="shared" si="806"/>
        <v>0</v>
      </c>
      <c r="AV135" s="239">
        <f t="shared" si="806"/>
        <v>0</v>
      </c>
      <c r="AW135" s="239">
        <f t="shared" si="806"/>
        <v>0</v>
      </c>
      <c r="AX135" s="239">
        <f t="shared" si="806"/>
        <v>0</v>
      </c>
      <c r="AY135" s="239">
        <f t="shared" si="806"/>
        <v>0</v>
      </c>
      <c r="AZ135" s="239">
        <f t="shared" si="806"/>
        <v>0</v>
      </c>
      <c r="BA135" s="239">
        <f t="shared" si="806"/>
        <v>0</v>
      </c>
      <c r="BB135" s="239">
        <f t="shared" si="806"/>
        <v>0</v>
      </c>
      <c r="BC135" s="239">
        <f t="shared" si="806"/>
        <v>0</v>
      </c>
      <c r="BD135" s="239">
        <f t="shared" si="806"/>
        <v>0</v>
      </c>
      <c r="BE135" s="239">
        <f t="shared" si="806"/>
        <v>0</v>
      </c>
      <c r="BF135" s="239">
        <f t="shared" si="806"/>
        <v>0</v>
      </c>
      <c r="BG135" s="239">
        <f t="shared" si="806"/>
        <v>0</v>
      </c>
      <c r="BH135" s="239">
        <f t="shared" si="806"/>
        <v>0</v>
      </c>
      <c r="BI135" s="239">
        <f t="shared" si="806"/>
        <v>0</v>
      </c>
      <c r="BJ135" s="239">
        <f t="shared" si="806"/>
        <v>0</v>
      </c>
      <c r="BK135" s="239">
        <f t="shared" si="806"/>
        <v>0</v>
      </c>
      <c r="BL135" s="239">
        <f t="shared" ref="BL135:BN135" si="807">ROUND(BL110-BL125-BL134,1)</f>
        <v>0</v>
      </c>
      <c r="BM135" s="239">
        <f t="shared" ca="1" si="807"/>
        <v>0</v>
      </c>
      <c r="BN135" s="239">
        <f t="shared" ca="1" si="807"/>
        <v>0</v>
      </c>
      <c r="BO135" s="239">
        <f t="shared" ref="BO135:BQ135" ca="1" si="808">ROUND(BO110-BO125-BO134,1)</f>
        <v>0</v>
      </c>
      <c r="BP135" s="239">
        <f t="shared" ca="1" si="808"/>
        <v>0</v>
      </c>
      <c r="BQ135" s="239">
        <f t="shared" ca="1" si="808"/>
        <v>0</v>
      </c>
      <c r="BR135" s="239">
        <f t="shared" ref="BR135:BT135" ca="1" si="809">ROUND(BR110-BR125-BR134,1)</f>
        <v>0</v>
      </c>
      <c r="BS135" s="239">
        <f t="shared" ca="1" si="809"/>
        <v>0</v>
      </c>
      <c r="BT135" s="239">
        <f t="shared" ca="1" si="809"/>
        <v>0</v>
      </c>
      <c r="BU135" s="239">
        <f t="shared" ref="BU135:BZ135" ca="1" si="810">ROUND(BU110-BU125-BU134,1)</f>
        <v>0</v>
      </c>
      <c r="BV135" s="239">
        <f t="shared" ca="1" si="810"/>
        <v>0</v>
      </c>
      <c r="BW135" s="239">
        <f t="shared" ca="1" si="810"/>
        <v>0</v>
      </c>
      <c r="BX135" s="239">
        <f t="shared" ca="1" si="810"/>
        <v>0</v>
      </c>
      <c r="BY135" s="239">
        <f t="shared" ca="1" si="810"/>
        <v>0</v>
      </c>
      <c r="BZ135" s="239">
        <f t="shared" ca="1" si="810"/>
        <v>0</v>
      </c>
      <c r="CA135" s="239">
        <f t="shared" ref="CA135:CC135" ca="1" si="811">ROUND(CA110-CA125-CA134,1)</f>
        <v>0</v>
      </c>
      <c r="CB135" s="239">
        <f t="shared" ca="1" si="811"/>
        <v>0</v>
      </c>
      <c r="CC135" s="239">
        <f t="shared" ca="1" si="811"/>
        <v>0</v>
      </c>
      <c r="CD135" s="186"/>
      <c r="CE135" s="187"/>
      <c r="CF135" s="187"/>
      <c r="CG135" s="187"/>
      <c r="CH135" s="187"/>
      <c r="CI135" s="187"/>
      <c r="CJ135" s="187"/>
      <c r="CK135" s="188"/>
      <c r="CL135" s="192"/>
      <c r="CM135" s="188"/>
      <c r="CN135" s="188"/>
      <c r="CO135" s="188"/>
      <c r="CP135" s="188"/>
      <c r="CQ135" s="188"/>
      <c r="CR135" s="188"/>
      <c r="CS135" s="188"/>
      <c r="CT135" s="188"/>
      <c r="CU135" s="188"/>
      <c r="CV135" s="188"/>
      <c r="CW135" s="188"/>
      <c r="CX135" s="188"/>
      <c r="CY135" s="188"/>
      <c r="CZ135" s="188"/>
      <c r="DA135" s="188"/>
      <c r="DB135" s="188"/>
      <c r="DC135" s="188"/>
      <c r="DD135" s="188"/>
      <c r="DE135" s="188"/>
    </row>
    <row r="136" spans="1:137" ht="12.75" customHeight="1">
      <c r="A136" s="1"/>
      <c r="B136" s="13"/>
      <c r="C136" s="1"/>
      <c r="D136" s="1"/>
      <c r="E136" s="1"/>
      <c r="F136" s="188"/>
      <c r="G136" s="188"/>
      <c r="H136" s="188"/>
      <c r="I136" s="188"/>
      <c r="J136" s="188"/>
      <c r="K136" s="188"/>
      <c r="L136" s="188"/>
      <c r="M136" s="188"/>
      <c r="N136" s="188"/>
      <c r="O136" s="188"/>
      <c r="P136" s="188"/>
      <c r="Q136" s="188"/>
      <c r="R136" s="188"/>
      <c r="S136" s="188"/>
      <c r="T136" s="188"/>
      <c r="U136" s="188"/>
      <c r="V136" s="188"/>
      <c r="W136" s="188"/>
      <c r="X136" s="188"/>
      <c r="Y136" s="188"/>
      <c r="Z136" s="188"/>
      <c r="AA136" s="188"/>
      <c r="AB136" s="188"/>
      <c r="AC136" s="188"/>
      <c r="AD136" s="188"/>
      <c r="AE136" s="240"/>
      <c r="AF136" s="240"/>
      <c r="AG136" s="240"/>
      <c r="AH136" s="240"/>
      <c r="AI136" s="240"/>
      <c r="AJ136" s="240"/>
      <c r="AK136" s="240"/>
      <c r="AL136" s="240"/>
      <c r="AM136" s="240"/>
      <c r="AN136" s="240"/>
      <c r="AO136" s="240"/>
      <c r="AP136" s="240"/>
      <c r="AQ136" s="240"/>
      <c r="AR136" s="240"/>
      <c r="AS136" s="240"/>
      <c r="AT136" s="240"/>
      <c r="AU136" s="240"/>
      <c r="AV136" s="240"/>
      <c r="AW136" s="240"/>
      <c r="AX136" s="240"/>
      <c r="AY136" s="240"/>
      <c r="AZ136" s="240"/>
      <c r="BA136" s="240"/>
      <c r="BB136" s="240"/>
      <c r="BC136" s="240"/>
      <c r="BD136" s="240"/>
      <c r="BE136" s="240"/>
      <c r="BF136" s="240"/>
      <c r="BG136" s="240"/>
      <c r="BH136" s="240"/>
      <c r="BI136" s="240"/>
      <c r="BJ136" s="240"/>
      <c r="BK136" s="240"/>
      <c r="BL136" s="240"/>
      <c r="BM136" s="240"/>
      <c r="BN136" s="240"/>
      <c r="BO136" s="240"/>
      <c r="BP136" s="240"/>
      <c r="BQ136" s="240"/>
      <c r="BR136" s="240"/>
      <c r="BS136" s="240"/>
      <c r="BT136" s="240"/>
      <c r="BU136" s="240"/>
      <c r="BV136" s="240"/>
      <c r="BW136" s="240"/>
      <c r="BX136" s="240"/>
      <c r="BY136" s="240"/>
      <c r="BZ136" s="240"/>
      <c r="CA136" s="240"/>
      <c r="CB136" s="240"/>
      <c r="CC136" s="240"/>
      <c r="CD136" s="186"/>
      <c r="CE136" s="187"/>
      <c r="CF136" s="187"/>
      <c r="CG136" s="187"/>
      <c r="CH136" s="187"/>
      <c r="CI136" s="187"/>
      <c r="CJ136" s="187"/>
      <c r="CK136" s="188"/>
      <c r="CL136" s="192"/>
      <c r="CM136" s="188"/>
      <c r="CN136" s="188"/>
      <c r="CO136" s="188"/>
      <c r="CP136" s="188"/>
      <c r="CQ136" s="188"/>
      <c r="CR136" s="188"/>
      <c r="CS136" s="188"/>
      <c r="CT136" s="188"/>
      <c r="CU136" s="188"/>
      <c r="CV136" s="188"/>
      <c r="CW136" s="188"/>
      <c r="CX136" s="188"/>
      <c r="CY136" s="188"/>
      <c r="CZ136" s="188"/>
      <c r="DA136" s="188"/>
      <c r="DB136" s="188"/>
      <c r="DC136" s="188"/>
      <c r="DD136" s="188"/>
      <c r="DE136" s="188"/>
    </row>
    <row r="137" spans="1:137" s="47" customFormat="1" ht="12.75" customHeight="1">
      <c r="A137" s="42"/>
      <c r="B137" s="241" t="s">
        <v>128</v>
      </c>
      <c r="C137" s="42"/>
      <c r="D137" s="42"/>
      <c r="E137" s="42"/>
      <c r="F137" s="242"/>
      <c r="G137" s="242"/>
      <c r="H137" s="242"/>
      <c r="I137" s="242"/>
      <c r="J137" s="242"/>
      <c r="K137" s="242"/>
      <c r="L137" s="242"/>
      <c r="M137" s="242"/>
      <c r="N137" s="242"/>
      <c r="O137" s="242"/>
      <c r="P137" s="242"/>
      <c r="Q137" s="242"/>
      <c r="R137" s="242"/>
      <c r="S137" s="242"/>
      <c r="T137" s="242"/>
      <c r="U137" s="242"/>
      <c r="V137" s="242"/>
      <c r="W137" s="242"/>
      <c r="X137" s="242"/>
      <c r="Y137" s="242"/>
      <c r="Z137" s="242"/>
      <c r="AA137" s="242"/>
      <c r="AB137" s="242"/>
      <c r="AC137" s="242"/>
      <c r="AD137" s="242"/>
      <c r="AE137" s="242"/>
      <c r="AF137" s="242"/>
      <c r="AG137" s="242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42"/>
      <c r="BU137" s="242"/>
      <c r="BV137" s="242"/>
      <c r="BW137" s="242"/>
      <c r="BX137" s="242"/>
      <c r="BY137" s="242"/>
      <c r="BZ137" s="242"/>
      <c r="CA137" s="242"/>
      <c r="CB137" s="242"/>
      <c r="CC137" s="242"/>
      <c r="CD137" s="243"/>
      <c r="CE137" s="242"/>
      <c r="CF137" s="242"/>
      <c r="CG137" s="242"/>
      <c r="CH137" s="242"/>
      <c r="CI137" s="242"/>
      <c r="CJ137" s="242"/>
      <c r="CK137" s="244"/>
      <c r="CL137" s="245"/>
      <c r="CM137" s="242"/>
      <c r="CN137" s="242"/>
      <c r="CO137" s="242"/>
      <c r="CP137" s="242"/>
      <c r="CQ137" s="242"/>
      <c r="CR137" s="242"/>
      <c r="CS137" s="242"/>
      <c r="CT137" s="242"/>
      <c r="CU137" s="242"/>
      <c r="CV137" s="242"/>
      <c r="CW137" s="242"/>
      <c r="CX137" s="242"/>
      <c r="CY137" s="242"/>
      <c r="CZ137" s="242"/>
      <c r="DA137" s="242"/>
      <c r="DB137" s="242"/>
      <c r="DC137" s="242"/>
      <c r="DD137" s="242"/>
      <c r="DE137" s="242"/>
      <c r="DF137" s="45"/>
      <c r="DG137" s="45"/>
      <c r="DH137" s="45"/>
      <c r="DI137" s="45"/>
      <c r="DJ137" s="45"/>
      <c r="DK137" s="45"/>
      <c r="EB137"/>
      <c r="EC137"/>
      <c r="ED137"/>
      <c r="EE137"/>
      <c r="EF137"/>
      <c r="EG137"/>
    </row>
    <row r="138" spans="1:137" ht="12.75" customHeight="1">
      <c r="A138" s="1"/>
      <c r="B138" s="13"/>
      <c r="C138" s="1"/>
      <c r="D138" s="1"/>
      <c r="E138" s="1"/>
      <c r="F138" s="188"/>
      <c r="G138" s="188"/>
      <c r="H138" s="188"/>
      <c r="I138" s="188"/>
      <c r="J138" s="188"/>
      <c r="K138" s="188"/>
      <c r="L138" s="188"/>
      <c r="M138" s="188"/>
      <c r="N138" s="188"/>
      <c r="O138" s="188"/>
      <c r="P138" s="188"/>
      <c r="Q138" s="188"/>
      <c r="R138" s="188"/>
      <c r="S138" s="188"/>
      <c r="T138" s="188"/>
      <c r="U138" s="188"/>
      <c r="V138" s="188"/>
      <c r="W138" s="188"/>
      <c r="X138" s="188"/>
      <c r="Y138" s="188"/>
      <c r="Z138" s="188"/>
      <c r="AA138" s="188"/>
      <c r="AB138" s="188"/>
      <c r="AC138" s="188"/>
      <c r="AD138" s="188"/>
      <c r="AE138" s="188"/>
      <c r="AF138" s="188"/>
      <c r="AG138" s="188"/>
      <c r="AH138" s="188"/>
      <c r="AI138" s="188"/>
      <c r="AJ138" s="188"/>
      <c r="AK138" s="188"/>
      <c r="AL138" s="188"/>
      <c r="AM138" s="188"/>
      <c r="AN138" s="188"/>
      <c r="AO138" s="188"/>
      <c r="AP138" s="188"/>
      <c r="AQ138" s="188"/>
      <c r="AR138" s="188"/>
      <c r="AS138" s="188"/>
      <c r="AT138" s="188"/>
      <c r="AU138" s="188"/>
      <c r="AV138" s="188"/>
      <c r="AW138" s="188"/>
      <c r="AX138" s="188"/>
      <c r="AY138" s="188"/>
      <c r="AZ138" s="188"/>
      <c r="BA138" s="188"/>
      <c r="BB138" s="188"/>
      <c r="BC138" s="188"/>
      <c r="BD138" s="188"/>
      <c r="BE138" s="188"/>
      <c r="BF138" s="188"/>
      <c r="BG138" s="188"/>
      <c r="BH138" s="188"/>
      <c r="BI138" s="188"/>
      <c r="BJ138" s="188"/>
      <c r="BK138" s="188"/>
      <c r="BL138" s="188"/>
      <c r="BM138" s="188"/>
      <c r="BN138" s="188"/>
      <c r="BO138" s="188"/>
      <c r="BP138" s="188"/>
      <c r="BQ138" s="188"/>
      <c r="BR138" s="188"/>
      <c r="BS138" s="188"/>
      <c r="BT138" s="188"/>
      <c r="BU138" s="188"/>
      <c r="BV138" s="188"/>
      <c r="BW138" s="188"/>
      <c r="BX138" s="188"/>
      <c r="BY138" s="188"/>
      <c r="BZ138" s="188"/>
      <c r="CA138" s="188"/>
      <c r="CB138" s="188"/>
      <c r="CC138" s="188"/>
      <c r="CD138" s="186"/>
      <c r="CE138" s="187"/>
      <c r="CF138" s="187"/>
      <c r="CG138" s="187"/>
      <c r="CH138" s="187"/>
      <c r="CI138" s="187"/>
      <c r="CJ138" s="187"/>
      <c r="CK138" s="188"/>
      <c r="CL138" s="192"/>
      <c r="CM138" s="188"/>
      <c r="CN138" s="188"/>
      <c r="CO138" s="188"/>
      <c r="CP138" s="188"/>
      <c r="CQ138" s="188"/>
      <c r="CR138" s="188"/>
      <c r="CS138" s="188"/>
      <c r="CT138" s="188"/>
      <c r="CU138" s="188"/>
      <c r="CV138" s="188"/>
      <c r="CW138" s="188"/>
      <c r="CX138" s="188"/>
      <c r="CY138" s="188"/>
      <c r="CZ138" s="188"/>
      <c r="DA138" s="188"/>
      <c r="DB138" s="188"/>
      <c r="DC138" s="188"/>
      <c r="DD138" s="188"/>
      <c r="DE138" s="188"/>
    </row>
    <row r="139" spans="1:137" ht="12.75" customHeight="1">
      <c r="A139" s="1"/>
      <c r="B139" s="13" t="s">
        <v>129</v>
      </c>
      <c r="C139" s="1"/>
      <c r="D139" s="188"/>
      <c r="E139" s="188"/>
      <c r="F139" s="188"/>
      <c r="G139" s="188"/>
      <c r="H139" s="188"/>
      <c r="I139" s="188">
        <f t="shared" ref="I139:AB139" si="812">I132</f>
        <v>0</v>
      </c>
      <c r="J139" s="188">
        <f t="shared" si="812"/>
        <v>0</v>
      </c>
      <c r="K139" s="188">
        <f t="shared" si="812"/>
        <v>0</v>
      </c>
      <c r="L139" s="188">
        <f t="shared" si="812"/>
        <v>-33.799999999999997</v>
      </c>
      <c r="M139" s="188">
        <f t="shared" si="812"/>
        <v>-68.900000000000006</v>
      </c>
      <c r="N139" s="188">
        <f t="shared" si="812"/>
        <v>-113.80000000000001</v>
      </c>
      <c r="O139" s="188">
        <f t="shared" si="812"/>
        <v>-113.80000000000001</v>
      </c>
      <c r="P139" s="188">
        <f t="shared" si="812"/>
        <v>-180.3</v>
      </c>
      <c r="Q139" s="188">
        <f t="shared" si="812"/>
        <v>-343.5</v>
      </c>
      <c r="R139" s="188">
        <f t="shared" si="812"/>
        <v>-343.5</v>
      </c>
      <c r="S139" s="188">
        <f t="shared" si="812"/>
        <v>-244.2</v>
      </c>
      <c r="T139" s="188">
        <f t="shared" si="812"/>
        <v>-239.3</v>
      </c>
      <c r="U139" s="188">
        <f t="shared" si="812"/>
        <v>-239.3</v>
      </c>
      <c r="V139" s="188">
        <f t="shared" si="812"/>
        <v>-174.09999999999997</v>
      </c>
      <c r="W139" s="188">
        <f t="shared" si="812"/>
        <v>-134.6</v>
      </c>
      <c r="X139" s="188">
        <f t="shared" si="812"/>
        <v>-134.6</v>
      </c>
      <c r="Y139" s="188">
        <f t="shared" si="812"/>
        <v>-476.7</v>
      </c>
      <c r="Z139" s="188">
        <f t="shared" si="812"/>
        <v>-646.1</v>
      </c>
      <c r="AA139" s="188">
        <f t="shared" si="812"/>
        <v>-646.1</v>
      </c>
      <c r="AB139" s="188">
        <f t="shared" si="812"/>
        <v>-838</v>
      </c>
      <c r="AC139" s="188">
        <f>AC132</f>
        <v>-647.5</v>
      </c>
      <c r="AD139" s="188">
        <f>AC139</f>
        <v>-647.5</v>
      </c>
      <c r="AE139" s="188">
        <f>AC143</f>
        <v>-647.5</v>
      </c>
      <c r="AF139" s="188">
        <f>AE143</f>
        <v>-670.46700496699998</v>
      </c>
      <c r="AG139" s="188">
        <f>AE139</f>
        <v>-647.5</v>
      </c>
      <c r="AH139" s="188">
        <f>AG143</f>
        <v>-753.5</v>
      </c>
      <c r="AI139" s="188">
        <f>AH143</f>
        <v>-137.80000000000007</v>
      </c>
      <c r="AJ139" s="188"/>
      <c r="AK139" s="188">
        <f>AI143</f>
        <v>3</v>
      </c>
      <c r="AL139" s="188">
        <f>AK143</f>
        <v>335.4</v>
      </c>
      <c r="AM139" s="188">
        <f>AK139</f>
        <v>3</v>
      </c>
      <c r="AN139" s="188">
        <f>AM143</f>
        <v>321.39999999999998</v>
      </c>
      <c r="AO139" s="188">
        <f>AN143</f>
        <v>658.1</v>
      </c>
      <c r="AP139" s="188">
        <f>AN139</f>
        <v>321.39999999999998</v>
      </c>
      <c r="AQ139" s="188">
        <f>AP143</f>
        <v>957</v>
      </c>
      <c r="AR139" s="188">
        <f>AQ143</f>
        <v>1666.7</v>
      </c>
      <c r="AS139" s="188">
        <f>AQ139</f>
        <v>957</v>
      </c>
      <c r="AT139" s="188">
        <f t="shared" ref="AT139:AU139" si="813">AS143</f>
        <v>2093.3000000000006</v>
      </c>
      <c r="AU139" s="188">
        <f t="shared" si="813"/>
        <v>2684.9</v>
      </c>
      <c r="AV139" s="188">
        <f t="shared" ref="AV139" si="814">AT139</f>
        <v>2093.3000000000006</v>
      </c>
      <c r="AW139" s="188">
        <f t="shared" ref="AW139:AX139" si="815">AV143</f>
        <v>3104.2</v>
      </c>
      <c r="AX139" s="188">
        <f t="shared" si="815"/>
        <v>3937</v>
      </c>
      <c r="AY139" s="188">
        <f t="shared" ref="AY139" si="816">AW139</f>
        <v>3104.2</v>
      </c>
      <c r="AZ139" s="188">
        <f t="shared" ref="AZ139:BA139" si="817">AY143</f>
        <v>4930.3</v>
      </c>
      <c r="BA139" s="188">
        <f t="shared" si="817"/>
        <v>6734.9</v>
      </c>
      <c r="BB139" s="188">
        <f t="shared" ref="BB139" si="818">AZ139</f>
        <v>4930.3</v>
      </c>
      <c r="BC139" s="188">
        <f t="shared" ref="BC139:BD139" si="819">BB143</f>
        <v>7866</v>
      </c>
      <c r="BD139" s="188">
        <f t="shared" si="819"/>
        <v>8796.5</v>
      </c>
      <c r="BE139" s="188">
        <f t="shared" ref="BE139" si="820">BC139</f>
        <v>7866</v>
      </c>
      <c r="BF139" s="188">
        <f t="shared" ref="BF139:BG139" si="821">BE143</f>
        <v>8976.9</v>
      </c>
      <c r="BG139" s="188">
        <f t="shared" si="821"/>
        <v>8620.5</v>
      </c>
      <c r="BH139" s="188">
        <f t="shared" ref="BH139" si="822">BF139</f>
        <v>8976.9</v>
      </c>
      <c r="BI139" s="188">
        <f t="shared" ref="BI139:BJ139" si="823">BH143</f>
        <v>8456.7999999999975</v>
      </c>
      <c r="BJ139" s="188">
        <f t="shared" si="823"/>
        <v>9114.7999999999993</v>
      </c>
      <c r="BK139" s="188">
        <f t="shared" ref="BK139" si="824">BI139</f>
        <v>8456.7999999999975</v>
      </c>
      <c r="BL139" s="188">
        <f t="shared" ref="BL139" si="825">BK143</f>
        <v>9676.7000000000007</v>
      </c>
      <c r="BM139" s="188">
        <f t="shared" ref="BM139" si="826">BL143</f>
        <v>10363.6</v>
      </c>
      <c r="BN139" s="188">
        <f t="shared" ref="BN139" si="827">BL139</f>
        <v>9676.7000000000007</v>
      </c>
      <c r="BO139" s="188">
        <f t="shared" ref="BO139" ca="1" si="828">BN143</f>
        <v>12171.189009999613</v>
      </c>
      <c r="BP139" s="188">
        <f t="shared" ref="BP139" ca="1" si="829">BO143</f>
        <v>13582.243941255463</v>
      </c>
      <c r="BQ139" s="188">
        <f t="shared" ref="BQ139" ca="1" si="830">BO139</f>
        <v>12171.189009999613</v>
      </c>
      <c r="BR139" s="188">
        <f t="shared" ref="BR139" ca="1" si="831">BQ143</f>
        <v>14992.426237897558</v>
      </c>
      <c r="BS139" s="188">
        <f t="shared" ref="BS139" ca="1" si="832">BR143</f>
        <v>16589.265656286869</v>
      </c>
      <c r="BT139" s="188">
        <f t="shared" ref="BT139" ca="1" si="833">BR139</f>
        <v>14992.426237897558</v>
      </c>
      <c r="BU139" s="188">
        <f t="shared" ref="BU139" ca="1" si="834">BT143</f>
        <v>18202.731283260171</v>
      </c>
      <c r="BV139" s="188">
        <f t="shared" ref="BV139" ca="1" si="835">BU143</f>
        <v>19949.471577053209</v>
      </c>
      <c r="BW139" s="188">
        <f t="shared" ref="BW139" ca="1" si="836">BU139</f>
        <v>18202.731283260171</v>
      </c>
      <c r="BX139" s="188">
        <f t="shared" ref="BX139" ca="1" si="837">BW143</f>
        <v>21718.94840571034</v>
      </c>
      <c r="BY139" s="188">
        <f t="shared" ref="BY139" ca="1" si="838">BX143</f>
        <v>23582.873913363041</v>
      </c>
      <c r="BZ139" s="188">
        <f t="shared" ref="BZ139" ca="1" si="839">BX139</f>
        <v>21718.94840571034</v>
      </c>
      <c r="CA139" s="188">
        <f t="shared" ref="CA139" ca="1" si="840">BZ143</f>
        <v>25460.577868112563</v>
      </c>
      <c r="CB139" s="188">
        <f t="shared" ref="CB139" ca="1" si="841">CA143</f>
        <v>27465.167333698129</v>
      </c>
      <c r="CC139" s="188">
        <f t="shared" ref="CC139" ca="1" si="842">CA139</f>
        <v>25460.577868112563</v>
      </c>
      <c r="CD139" s="186"/>
      <c r="CE139" s="187"/>
      <c r="CF139" s="187"/>
      <c r="CG139" s="187"/>
      <c r="CH139" s="187"/>
      <c r="CI139" s="187"/>
      <c r="CJ139" s="187"/>
      <c r="CK139" s="188"/>
      <c r="CL139" s="192">
        <f>X139</f>
        <v>-134.6</v>
      </c>
      <c r="CM139" s="188">
        <f>AA139</f>
        <v>-646.1</v>
      </c>
      <c r="CN139" s="188">
        <f>AD139</f>
        <v>-647.5</v>
      </c>
      <c r="CO139" s="188">
        <f>AG139</f>
        <v>-647.5</v>
      </c>
      <c r="CP139" s="188">
        <f>AJ139</f>
        <v>0</v>
      </c>
      <c r="CQ139" s="188">
        <f>AM139</f>
        <v>3</v>
      </c>
      <c r="CR139" s="188">
        <f>AP139</f>
        <v>321.39999999999998</v>
      </c>
      <c r="CS139" s="188">
        <f>AS139</f>
        <v>957</v>
      </c>
      <c r="CT139" s="188">
        <f>AV139</f>
        <v>2093.3000000000006</v>
      </c>
      <c r="CU139" s="188">
        <f>AY139</f>
        <v>3104.2</v>
      </c>
      <c r="CV139" s="188">
        <f>BB139</f>
        <v>4930.3</v>
      </c>
      <c r="CW139" s="188">
        <f>BE139</f>
        <v>7866</v>
      </c>
      <c r="CX139" s="188">
        <f>BH139</f>
        <v>8976.9</v>
      </c>
      <c r="CY139" s="188">
        <f>BK139</f>
        <v>8456.7999999999975</v>
      </c>
      <c r="CZ139" s="188">
        <f>BN139</f>
        <v>9676.7000000000007</v>
      </c>
      <c r="DA139" s="188">
        <f ca="1">BQ139</f>
        <v>12171.189009999613</v>
      </c>
      <c r="DB139" s="188">
        <f ca="1">BT139</f>
        <v>14992.426237897558</v>
      </c>
      <c r="DC139" s="188">
        <f ca="1">BW139</f>
        <v>18202.731283260171</v>
      </c>
      <c r="DD139" s="188">
        <f ca="1">BZ139</f>
        <v>21718.94840571034</v>
      </c>
      <c r="DE139" s="188">
        <f ca="1">CC139</f>
        <v>25460.577868112563</v>
      </c>
    </row>
    <row r="140" spans="1:137" ht="12.75" customHeight="1">
      <c r="A140" s="1"/>
      <c r="B140" s="13" t="s">
        <v>130</v>
      </c>
      <c r="C140" s="1"/>
      <c r="D140" s="188"/>
      <c r="E140" s="188"/>
      <c r="F140" s="188"/>
      <c r="G140" s="188"/>
      <c r="H140" s="188"/>
      <c r="I140" s="188">
        <f t="shared" ref="I140:AD140" si="843">I58</f>
        <v>0</v>
      </c>
      <c r="J140" s="188">
        <f t="shared" si="843"/>
        <v>0</v>
      </c>
      <c r="K140" s="188">
        <f t="shared" si="843"/>
        <v>0</v>
      </c>
      <c r="L140" s="188">
        <f t="shared" si="843"/>
        <v>609.39999999999986</v>
      </c>
      <c r="M140" s="188">
        <f t="shared" si="843"/>
        <v>401.80000000000007</v>
      </c>
      <c r="N140" s="188">
        <f t="shared" si="843"/>
        <v>403.69999999999993</v>
      </c>
      <c r="O140" s="188">
        <f t="shared" si="843"/>
        <v>787.19795918367345</v>
      </c>
      <c r="P140" s="188">
        <f t="shared" si="843"/>
        <v>138.49999999999997</v>
      </c>
      <c r="Q140" s="188">
        <f t="shared" si="843"/>
        <v>122.8172000000001</v>
      </c>
      <c r="R140" s="188">
        <f t="shared" si="843"/>
        <v>310.0172</v>
      </c>
      <c r="S140" s="188">
        <f t="shared" si="843"/>
        <v>170.5</v>
      </c>
      <c r="T140" s="188">
        <f t="shared" si="843"/>
        <v>213.39999999999986</v>
      </c>
      <c r="U140" s="188">
        <f t="shared" si="843"/>
        <v>383.89999999999986</v>
      </c>
      <c r="V140" s="188">
        <f t="shared" si="843"/>
        <v>229.39999999999998</v>
      </c>
      <c r="W140" s="188">
        <f t="shared" si="843"/>
        <v>234.00000000000006</v>
      </c>
      <c r="X140" s="188">
        <f t="shared" si="843"/>
        <v>463.40000000000015</v>
      </c>
      <c r="Y140" s="188">
        <f t="shared" si="843"/>
        <v>265.7</v>
      </c>
      <c r="Z140" s="188">
        <f t="shared" si="843"/>
        <v>278.40000000000009</v>
      </c>
      <c r="AA140" s="188">
        <f t="shared" si="843"/>
        <v>544.09999999999991</v>
      </c>
      <c r="AB140" s="188">
        <f t="shared" si="843"/>
        <v>295.99999999999994</v>
      </c>
      <c r="AC140" s="188">
        <f>AC58</f>
        <v>305.09999999999991</v>
      </c>
      <c r="AD140" s="188">
        <f t="shared" si="843"/>
        <v>601.09999999999991</v>
      </c>
      <c r="AE140" s="188">
        <f>AE51</f>
        <v>512.70000000000005</v>
      </c>
      <c r="AF140" s="188">
        <f t="shared" ref="AF140:BK140" si="844">AF51</f>
        <v>695.30000000000007</v>
      </c>
      <c r="AG140" s="188">
        <f>AG51</f>
        <v>1208</v>
      </c>
      <c r="AH140" s="188">
        <f t="shared" si="844"/>
        <v>919.3</v>
      </c>
      <c r="AI140" s="188">
        <f>AI51</f>
        <v>355.29999999999995</v>
      </c>
      <c r="AJ140" s="188"/>
      <c r="AK140" s="188">
        <f>AK51</f>
        <v>556.79999999999995</v>
      </c>
      <c r="AL140" s="188">
        <f t="shared" si="844"/>
        <v>221.30000000000007</v>
      </c>
      <c r="AM140" s="188">
        <f t="shared" si="844"/>
        <v>778.1</v>
      </c>
      <c r="AN140" s="188">
        <f t="shared" si="844"/>
        <v>542.70000000000005</v>
      </c>
      <c r="AO140" s="188">
        <f t="shared" si="844"/>
        <v>555.5</v>
      </c>
      <c r="AP140" s="188">
        <f t="shared" si="844"/>
        <v>1098.2</v>
      </c>
      <c r="AQ140" s="188">
        <f t="shared" si="844"/>
        <v>929.5</v>
      </c>
      <c r="AR140" s="188">
        <f t="shared" si="844"/>
        <v>698.49999999999977</v>
      </c>
      <c r="AS140" s="188">
        <f t="shared" si="844"/>
        <v>1627.9999999999998</v>
      </c>
      <c r="AT140" s="188">
        <f t="shared" si="844"/>
        <v>810.40000000000009</v>
      </c>
      <c r="AU140" s="188">
        <f t="shared" si="844"/>
        <v>693.7</v>
      </c>
      <c r="AV140" s="188">
        <f t="shared" si="844"/>
        <v>1504.1000000000001</v>
      </c>
      <c r="AW140" s="188">
        <f t="shared" si="844"/>
        <v>1041.5</v>
      </c>
      <c r="AX140" s="188">
        <f t="shared" si="844"/>
        <v>717.22</v>
      </c>
      <c r="AY140" s="188">
        <f t="shared" si="844"/>
        <v>1758.72</v>
      </c>
      <c r="AZ140" s="188">
        <f t="shared" si="844"/>
        <v>1072.0524942965778</v>
      </c>
      <c r="BA140" s="188">
        <f t="shared" si="844"/>
        <v>902.23766539923952</v>
      </c>
      <c r="BB140" s="188">
        <f t="shared" si="844"/>
        <v>1974.2901596958172</v>
      </c>
      <c r="BC140" s="188">
        <f t="shared" si="844"/>
        <v>1034.5329999999999</v>
      </c>
      <c r="BD140" s="188">
        <f t="shared" si="844"/>
        <v>1064.7330000000002</v>
      </c>
      <c r="BE140" s="188">
        <f t="shared" si="844"/>
        <v>2099.2660000000001</v>
      </c>
      <c r="BF140" s="188">
        <f t="shared" si="844"/>
        <v>1306.6999999999998</v>
      </c>
      <c r="BG140" s="188">
        <f t="shared" si="844"/>
        <v>1101.3</v>
      </c>
      <c r="BH140" s="188">
        <f t="shared" si="844"/>
        <v>2408</v>
      </c>
      <c r="BI140" s="188">
        <f t="shared" si="844"/>
        <v>1401.1629999999998</v>
      </c>
      <c r="BJ140" s="188">
        <f t="shared" si="844"/>
        <v>1862.9598253968252</v>
      </c>
      <c r="BK140" s="188">
        <f t="shared" si="844"/>
        <v>3264.1228253968247</v>
      </c>
      <c r="BL140" s="188">
        <f t="shared" ref="BL140:BN140" si="845">BL51</f>
        <v>1432.0990000000002</v>
      </c>
      <c r="BM140" s="188">
        <f t="shared" ca="1" si="845"/>
        <v>1675.8300099996118</v>
      </c>
      <c r="BN140" s="188">
        <f t="shared" ca="1" si="845"/>
        <v>3107.9290099996119</v>
      </c>
      <c r="BO140" s="188">
        <f t="shared" ref="BO140:BQ140" ca="1" si="846">BO51</f>
        <v>1717.6749312558516</v>
      </c>
      <c r="BP140" s="188">
        <f t="shared" ca="1" si="846"/>
        <v>1716.9022966420937</v>
      </c>
      <c r="BQ140" s="188">
        <f t="shared" ca="1" si="846"/>
        <v>3434.5772278979452</v>
      </c>
      <c r="BR140" s="188">
        <f t="shared" ref="BR140:BT140" ca="1" si="847">BR51</f>
        <v>1912.0954183893127</v>
      </c>
      <c r="BS140" s="188">
        <f t="shared" ca="1" si="847"/>
        <v>1928.4216269732988</v>
      </c>
      <c r="BT140" s="188">
        <f t="shared" ca="1" si="847"/>
        <v>3840.5170453626115</v>
      </c>
      <c r="BU140" s="188">
        <f t="shared" ref="BU140:BZ140" ca="1" si="848">BU51</f>
        <v>2078.0990937930396</v>
      </c>
      <c r="BV140" s="188">
        <f t="shared" ca="1" si="848"/>
        <v>2100.5356286571305</v>
      </c>
      <c r="BW140" s="188">
        <f t="shared" ca="1" si="848"/>
        <v>4178.6347224501696</v>
      </c>
      <c r="BX140" s="188">
        <f t="shared" ca="1" si="848"/>
        <v>2212.1922476526997</v>
      </c>
      <c r="BY140" s="188">
        <f t="shared" ca="1" si="848"/>
        <v>2225.67069474952</v>
      </c>
      <c r="BZ140" s="188">
        <f t="shared" ca="1" si="848"/>
        <v>4437.8629424022201</v>
      </c>
      <c r="CA140" s="188">
        <f t="shared" ref="CA140:CC140" ca="1" si="849">CA51</f>
        <v>2370.6095425855683</v>
      </c>
      <c r="CB140" s="188">
        <f t="shared" ca="1" si="849"/>
        <v>2388.8566205703355</v>
      </c>
      <c r="CC140" s="188">
        <f t="shared" ca="1" si="849"/>
        <v>4759.4661631559038</v>
      </c>
      <c r="CD140" s="186"/>
      <c r="CE140" s="187"/>
      <c r="CF140" s="187"/>
      <c r="CG140" s="187"/>
      <c r="CH140" s="187"/>
      <c r="CI140" s="187"/>
      <c r="CJ140" s="187"/>
      <c r="CK140" s="188"/>
      <c r="CL140" s="192">
        <f>X140</f>
        <v>463.40000000000015</v>
      </c>
      <c r="CM140" s="188">
        <f>AA140</f>
        <v>544.09999999999991</v>
      </c>
      <c r="CN140" s="188">
        <f>AD140</f>
        <v>601.09999999999991</v>
      </c>
      <c r="CO140" s="188">
        <f>AG140</f>
        <v>1208</v>
      </c>
      <c r="CP140" s="188">
        <f>AJ140</f>
        <v>0</v>
      </c>
      <c r="CQ140" s="188">
        <f>AM140</f>
        <v>778.1</v>
      </c>
      <c r="CR140" s="188">
        <f>AP140</f>
        <v>1098.2</v>
      </c>
      <c r="CS140" s="188">
        <f>AS140</f>
        <v>1627.9999999999998</v>
      </c>
      <c r="CT140" s="188">
        <f>AV140</f>
        <v>1504.1000000000001</v>
      </c>
      <c r="CU140" s="188">
        <f>AY140</f>
        <v>1758.72</v>
      </c>
      <c r="CV140" s="188">
        <f>BB140</f>
        <v>1974.2901596958172</v>
      </c>
      <c r="CW140" s="188">
        <f>BE140</f>
        <v>2099.2660000000001</v>
      </c>
      <c r="CX140" s="188">
        <f>BH140</f>
        <v>2408</v>
      </c>
      <c r="CY140" s="188">
        <f>BK140</f>
        <v>3264.1228253968247</v>
      </c>
      <c r="CZ140" s="188">
        <f ca="1">BN140</f>
        <v>3107.9290099996119</v>
      </c>
      <c r="DA140" s="188">
        <f ca="1">BQ140</f>
        <v>3434.5772278979452</v>
      </c>
      <c r="DB140" s="188">
        <f ca="1">BT140</f>
        <v>3840.5170453626115</v>
      </c>
      <c r="DC140" s="188">
        <f ca="1">BW140</f>
        <v>4178.6347224501696</v>
      </c>
      <c r="DD140" s="188">
        <f ca="1">BZ140</f>
        <v>4437.8629424022201</v>
      </c>
      <c r="DE140" s="188">
        <f ca="1">CC140</f>
        <v>4759.4661631559038</v>
      </c>
    </row>
    <row r="141" spans="1:137" ht="12.75" customHeight="1">
      <c r="A141" s="1"/>
      <c r="B141" s="13" t="s">
        <v>131</v>
      </c>
      <c r="C141" s="1"/>
      <c r="D141" s="188"/>
      <c r="E141" s="188"/>
      <c r="F141" s="188"/>
      <c r="G141" s="188"/>
      <c r="H141" s="188"/>
      <c r="I141" s="188"/>
      <c r="J141" s="188"/>
      <c r="K141" s="188"/>
      <c r="L141" s="188"/>
      <c r="M141" s="188"/>
      <c r="N141" s="188"/>
      <c r="O141" s="188"/>
      <c r="P141" s="188"/>
      <c r="Q141" s="188"/>
      <c r="R141" s="188"/>
      <c r="S141" s="188"/>
      <c r="T141" s="188"/>
      <c r="U141" s="188"/>
      <c r="V141" s="188"/>
      <c r="W141" s="188"/>
      <c r="X141" s="188"/>
      <c r="Y141" s="188"/>
      <c r="Z141" s="188"/>
      <c r="AA141" s="188"/>
      <c r="AB141" s="188"/>
      <c r="AC141" s="188"/>
      <c r="AD141" s="188"/>
      <c r="AE141" s="188">
        <v>-341.5</v>
      </c>
      <c r="AF141" s="188"/>
      <c r="AG141" s="188">
        <f>SUM(AE141:AF141)</f>
        <v>-341.5</v>
      </c>
      <c r="AH141" s="188"/>
      <c r="AI141" s="188"/>
      <c r="AJ141" s="188"/>
      <c r="AK141" s="188">
        <v>0</v>
      </c>
      <c r="AL141" s="188">
        <v>0</v>
      </c>
      <c r="AM141" s="188">
        <v>0</v>
      </c>
      <c r="AN141" s="188">
        <v>75</v>
      </c>
      <c r="AO141" s="188"/>
      <c r="AP141" s="188">
        <f>SUM(AN141:AO141)</f>
        <v>75</v>
      </c>
      <c r="AQ141" s="188">
        <f>AQ143-AQ142-AQ140-AQ139</f>
        <v>52.300000000000182</v>
      </c>
      <c r="AR141" s="188">
        <f>AR132-AR139-AR140-AR142</f>
        <v>0.18230000000033897</v>
      </c>
      <c r="AS141" s="188">
        <f>SUM(AQ141:AR141)</f>
        <v>52.482300000000521</v>
      </c>
      <c r="AT141" s="188">
        <f>AT143-AT142-AT140-AT139</f>
        <v>55.499999999999545</v>
      </c>
      <c r="AU141" s="188"/>
      <c r="AV141" s="188">
        <f>SUM(AT141:AU141)</f>
        <v>55.499999999999545</v>
      </c>
      <c r="AW141" s="188"/>
      <c r="AX141" s="188"/>
      <c r="AY141" s="188"/>
      <c r="AZ141" s="188"/>
      <c r="BA141" s="188">
        <f>BA143-BA142-BA140-BA139</f>
        <v>509.0923346007603</v>
      </c>
      <c r="BB141" s="188">
        <f>SUM(AZ141:BA141)</f>
        <v>509.0923346007603</v>
      </c>
      <c r="BC141" s="188">
        <f>BC143-BC142-BC140-BC139</f>
        <v>178.04200000000128</v>
      </c>
      <c r="BD141" s="188">
        <f>BD143-BD142-BD140-BD139</f>
        <v>-600.75799999999981</v>
      </c>
      <c r="BE141" s="188"/>
      <c r="BF141" s="188">
        <f>BF143-BF142-BF140-BF139</f>
        <v>-1378.2200000000003</v>
      </c>
      <c r="BG141" s="188">
        <f>BG143-BG142-BG140-BG139</f>
        <v>-980.12000000000171</v>
      </c>
      <c r="BH141" s="188">
        <f>SUM(BF141:BG141)</f>
        <v>-2358.340000000002</v>
      </c>
      <c r="BI141" s="188">
        <f>BI143-BI142-BI140-BI139</f>
        <v>-456.42299999999796</v>
      </c>
      <c r="BJ141" s="188">
        <f>BJ143-BJ142-BJ140-BJ139</f>
        <v>-996.37982539682343</v>
      </c>
      <c r="BK141" s="188">
        <f>SUM(BI141:BJ141)</f>
        <v>-1452.8028253968214</v>
      </c>
      <c r="BL141" s="188"/>
      <c r="BM141" s="188"/>
      <c r="BN141" s="188"/>
      <c r="BO141" s="188"/>
      <c r="BP141" s="188"/>
      <c r="BQ141" s="188"/>
      <c r="BR141" s="188"/>
      <c r="BS141" s="188"/>
      <c r="BT141" s="188"/>
      <c r="BU141" s="188"/>
      <c r="BV141" s="188"/>
      <c r="BW141" s="188"/>
      <c r="BX141" s="188"/>
      <c r="BY141" s="188"/>
      <c r="BZ141" s="188"/>
      <c r="CA141" s="188"/>
      <c r="CB141" s="188"/>
      <c r="CC141" s="188"/>
      <c r="CD141" s="186"/>
      <c r="CE141" s="187"/>
      <c r="CF141" s="187"/>
      <c r="CG141" s="187"/>
      <c r="CH141" s="187"/>
      <c r="CI141" s="187"/>
      <c r="CJ141" s="187"/>
      <c r="CK141" s="188"/>
      <c r="CL141" s="192">
        <f>X141</f>
        <v>0</v>
      </c>
      <c r="CM141" s="188">
        <f>AA141</f>
        <v>0</v>
      </c>
      <c r="CN141" s="188">
        <f>AD141</f>
        <v>0</v>
      </c>
      <c r="CO141" s="188">
        <f>AG141</f>
        <v>-341.5</v>
      </c>
      <c r="CP141" s="188">
        <f>AJ141</f>
        <v>0</v>
      </c>
      <c r="CQ141" s="188">
        <f>AM141</f>
        <v>0</v>
      </c>
      <c r="CR141" s="188">
        <f>AP141</f>
        <v>75</v>
      </c>
      <c r="CS141" s="188">
        <f>AS141</f>
        <v>52.482300000000521</v>
      </c>
      <c r="CT141" s="188">
        <f>AV141</f>
        <v>55.499999999999545</v>
      </c>
      <c r="CU141" s="188">
        <f>AY141</f>
        <v>0</v>
      </c>
      <c r="CV141" s="188">
        <f>BB141</f>
        <v>509.0923346007603</v>
      </c>
      <c r="CW141" s="188">
        <f>BE141</f>
        <v>0</v>
      </c>
      <c r="CX141" s="188">
        <f>BH141</f>
        <v>-2358.340000000002</v>
      </c>
      <c r="CY141" s="188">
        <f>BK141</f>
        <v>-1452.8028253968214</v>
      </c>
      <c r="CZ141" s="188">
        <f>BN141</f>
        <v>0</v>
      </c>
      <c r="DA141" s="188">
        <f>BQ141</f>
        <v>0</v>
      </c>
      <c r="DB141" s="188">
        <f>BT141</f>
        <v>0</v>
      </c>
      <c r="DC141" s="188">
        <f>BW141</f>
        <v>0</v>
      </c>
      <c r="DD141" s="188">
        <f>BZ141</f>
        <v>0</v>
      </c>
      <c r="DE141" s="188">
        <f>CC141</f>
        <v>0</v>
      </c>
    </row>
    <row r="142" spans="1:137" ht="12.75" customHeight="1">
      <c r="A142" s="1"/>
      <c r="B142" s="13" t="s">
        <v>132</v>
      </c>
      <c r="C142" s="1"/>
      <c r="D142" s="188"/>
      <c r="E142" s="188"/>
      <c r="F142" s="188"/>
      <c r="G142" s="188"/>
      <c r="H142" s="188"/>
      <c r="I142" s="188">
        <f t="shared" ref="I142:BJ142" si="850">-I84</f>
        <v>0</v>
      </c>
      <c r="J142" s="188">
        <f t="shared" si="850"/>
        <v>0</v>
      </c>
      <c r="K142" s="188">
        <f t="shared" si="850"/>
        <v>0</v>
      </c>
      <c r="L142" s="188">
        <f t="shared" si="850"/>
        <v>-567.5526944766001</v>
      </c>
      <c r="M142" s="188">
        <f t="shared" si="850"/>
        <v>-470.16157595548498</v>
      </c>
      <c r="N142" s="188">
        <f t="shared" si="850"/>
        <v>0</v>
      </c>
      <c r="O142" s="188">
        <f t="shared" si="850"/>
        <v>-509.34684858132783</v>
      </c>
      <c r="P142" s="188">
        <f t="shared" si="850"/>
        <v>-110.20911767123292</v>
      </c>
      <c r="Q142" s="188">
        <f t="shared" si="850"/>
        <v>-109.01593757400281</v>
      </c>
      <c r="R142" s="188">
        <f t="shared" si="850"/>
        <v>-272.43224347612801</v>
      </c>
      <c r="S142" s="188">
        <f t="shared" si="850"/>
        <v>-102.30000000000005</v>
      </c>
      <c r="T142" s="188">
        <f t="shared" si="850"/>
        <v>-128.03999999999994</v>
      </c>
      <c r="U142" s="188">
        <f t="shared" si="850"/>
        <v>-230.33999999999983</v>
      </c>
      <c r="V142" s="188">
        <f t="shared" si="850"/>
        <v>-132.93599999999998</v>
      </c>
      <c r="W142" s="188">
        <f t="shared" si="850"/>
        <v>-144.50140000000002</v>
      </c>
      <c r="X142" s="188">
        <f t="shared" si="850"/>
        <v>-277.43740000000003</v>
      </c>
      <c r="Y142" s="188">
        <f t="shared" si="850"/>
        <v>-160.88135000000003</v>
      </c>
      <c r="Z142" s="188">
        <f t="shared" si="850"/>
        <v>-175.40339772554964</v>
      </c>
      <c r="AA142" s="188">
        <f t="shared" si="850"/>
        <v>-336.10495602455137</v>
      </c>
      <c r="AB142" s="188">
        <f t="shared" si="850"/>
        <v>-178.33999999999995</v>
      </c>
      <c r="AC142" s="188">
        <f t="shared" si="850"/>
        <v>-178.80000000000004</v>
      </c>
      <c r="AD142" s="188">
        <f t="shared" si="850"/>
        <v>-357.14</v>
      </c>
      <c r="AE142" s="188">
        <f>-AE84</f>
        <v>-194.167004967</v>
      </c>
      <c r="AF142" s="188">
        <f t="shared" si="850"/>
        <v>-194.53439999999998</v>
      </c>
      <c r="AG142" s="188">
        <f t="shared" si="850"/>
        <v>-388.70140496699997</v>
      </c>
      <c r="AH142" s="188">
        <f t="shared" si="850"/>
        <v>-210.9</v>
      </c>
      <c r="AI142" s="188">
        <f>-AI84</f>
        <v>-215.63475</v>
      </c>
      <c r="AJ142" s="188"/>
      <c r="AK142" s="188">
        <f>-AK84</f>
        <v>-228.0675</v>
      </c>
      <c r="AL142" s="188">
        <f t="shared" si="850"/>
        <v>-237.33359999999999</v>
      </c>
      <c r="AM142" s="188">
        <f t="shared" si="850"/>
        <v>-465.40109999999999</v>
      </c>
      <c r="AN142" s="188">
        <f t="shared" si="850"/>
        <v>-248.77765000000002</v>
      </c>
      <c r="AO142" s="188">
        <f t="shared" si="850"/>
        <v>-258.15680000000003</v>
      </c>
      <c r="AP142" s="188">
        <f t="shared" si="850"/>
        <v>-506.93445000000008</v>
      </c>
      <c r="AQ142" s="188">
        <f t="shared" si="850"/>
        <v>-272.10000000000002</v>
      </c>
      <c r="AR142" s="188">
        <f t="shared" si="850"/>
        <v>-272.08229999999998</v>
      </c>
      <c r="AS142" s="188">
        <f t="shared" si="850"/>
        <v>-544.18229999999994</v>
      </c>
      <c r="AT142" s="188">
        <f t="shared" si="850"/>
        <v>-274.3</v>
      </c>
      <c r="AU142" s="188">
        <f t="shared" si="850"/>
        <v>-276.93373217115686</v>
      </c>
      <c r="AV142" s="188">
        <f t="shared" si="850"/>
        <v>-551.23373217115682</v>
      </c>
      <c r="AW142" s="188">
        <f t="shared" si="850"/>
        <v>-279.18373217115686</v>
      </c>
      <c r="AX142" s="188">
        <f t="shared" si="850"/>
        <v>-277.08</v>
      </c>
      <c r="AY142" s="188">
        <f t="shared" si="850"/>
        <v>-556.26373217115679</v>
      </c>
      <c r="AZ142" s="188">
        <f t="shared" si="850"/>
        <v>-280.23</v>
      </c>
      <c r="BA142" s="188">
        <f t="shared" si="850"/>
        <v>-280.23</v>
      </c>
      <c r="BB142" s="188">
        <f t="shared" si="850"/>
        <v>-560.46</v>
      </c>
      <c r="BC142" s="188">
        <f t="shared" si="850"/>
        <v>-282.07499999999999</v>
      </c>
      <c r="BD142" s="188">
        <f t="shared" ref="BD142:BF142" si="851">-BD84</f>
        <v>-283.57499999999999</v>
      </c>
      <c r="BE142" s="188">
        <f t="shared" si="850"/>
        <v>-565.14</v>
      </c>
      <c r="BF142" s="188">
        <f t="shared" si="851"/>
        <v>-284.88</v>
      </c>
      <c r="BG142" s="188">
        <f t="shared" ref="BG142:BI142" si="852">-BG84</f>
        <v>-284.88</v>
      </c>
      <c r="BH142" s="188">
        <f>SUM(BF142:BG142)</f>
        <v>-569.76</v>
      </c>
      <c r="BI142" s="188">
        <f t="shared" si="852"/>
        <v>-286.74</v>
      </c>
      <c r="BJ142" s="188">
        <f t="shared" si="850"/>
        <v>-304.68</v>
      </c>
      <c r="BK142" s="188">
        <f>SUM(BI142:BJ142)</f>
        <v>-591.42000000000007</v>
      </c>
      <c r="BL142" s="188">
        <f t="shared" ref="BL142:BM142" si="853">-BL84</f>
        <v>-306.72000000000003</v>
      </c>
      <c r="BM142" s="188">
        <f t="shared" si="853"/>
        <v>-306.72000000000003</v>
      </c>
      <c r="BN142" s="188">
        <f>SUM(BL142:BM142)</f>
        <v>-613.44000000000005</v>
      </c>
      <c r="BO142" s="188">
        <f>-BO84+0.1</f>
        <v>-306.62</v>
      </c>
      <c r="BP142" s="188">
        <f t="shared" ref="BP142" si="854">-BP84</f>
        <v>-306.72000000000003</v>
      </c>
      <c r="BQ142" s="188">
        <f>SUM(BO142:BP142)</f>
        <v>-613.34</v>
      </c>
      <c r="BR142" s="188">
        <f>-BR84+6.8</f>
        <v>-315.25599999999997</v>
      </c>
      <c r="BS142" s="188">
        <f>-BS84+7.1</f>
        <v>-314.95599999999996</v>
      </c>
      <c r="BT142" s="188">
        <f>SUM(BR142:BS142)</f>
        <v>-630.21199999999999</v>
      </c>
      <c r="BU142" s="188">
        <f>-BU84+6.8</f>
        <v>-331.35880000000003</v>
      </c>
      <c r="BV142" s="188">
        <f>-BV84+7.1</f>
        <v>-331.05880000000002</v>
      </c>
      <c r="BW142" s="188">
        <f>SUM(BU142:BV142)</f>
        <v>-662.41759999999999</v>
      </c>
      <c r="BX142" s="188">
        <f>-BX84+6.8</f>
        <v>-348.26674000000003</v>
      </c>
      <c r="BY142" s="188">
        <f>-BY84+7.1</f>
        <v>-347.96674000000002</v>
      </c>
      <c r="BZ142" s="188">
        <f>SUM(BX142:BY142)</f>
        <v>-696.2334800000001</v>
      </c>
      <c r="CA142" s="188">
        <f>-CA84+6.8</f>
        <v>-366.02007700000001</v>
      </c>
      <c r="CB142" s="188">
        <f>-CB84+7.1</f>
        <v>-365.720077</v>
      </c>
      <c r="CC142" s="188">
        <f>SUM(CA142:CB142)</f>
        <v>-731.74015400000008</v>
      </c>
      <c r="CD142" s="186"/>
      <c r="CE142" s="187"/>
      <c r="CF142" s="187"/>
      <c r="CG142" s="187"/>
      <c r="CH142" s="187"/>
      <c r="CI142" s="187"/>
      <c r="CJ142" s="187"/>
      <c r="CK142" s="188"/>
      <c r="CL142" s="192">
        <f>X142</f>
        <v>-277.43740000000003</v>
      </c>
      <c r="CM142" s="188">
        <f>AA142</f>
        <v>-336.10495602455137</v>
      </c>
      <c r="CN142" s="188">
        <f>AD142</f>
        <v>-357.14</v>
      </c>
      <c r="CO142" s="188">
        <f>AG142</f>
        <v>-388.70140496699997</v>
      </c>
      <c r="CP142" s="188">
        <f>AJ142</f>
        <v>0</v>
      </c>
      <c r="CQ142" s="188">
        <f>AM142</f>
        <v>-465.40109999999999</v>
      </c>
      <c r="CR142" s="188">
        <f>AP142</f>
        <v>-506.93445000000008</v>
      </c>
      <c r="CS142" s="188">
        <f>AS142</f>
        <v>-544.18229999999994</v>
      </c>
      <c r="CT142" s="188">
        <f>AV142</f>
        <v>-551.23373217115682</v>
      </c>
      <c r="CU142" s="188">
        <f>AY142</f>
        <v>-556.26373217115679</v>
      </c>
      <c r="CV142" s="188">
        <f>BB142</f>
        <v>-560.46</v>
      </c>
      <c r="CW142" s="188">
        <f>BE142</f>
        <v>-565.14</v>
      </c>
      <c r="CX142" s="188">
        <f>BH142</f>
        <v>-569.76</v>
      </c>
      <c r="CY142" s="188">
        <f>BK142</f>
        <v>-591.42000000000007</v>
      </c>
      <c r="CZ142" s="188">
        <f>BN142</f>
        <v>-613.44000000000005</v>
      </c>
      <c r="DA142" s="188">
        <f>BQ142</f>
        <v>-613.34</v>
      </c>
      <c r="DB142" s="188">
        <f>BT142</f>
        <v>-630.21199999999999</v>
      </c>
      <c r="DC142" s="188">
        <f>BW142</f>
        <v>-662.41759999999999</v>
      </c>
      <c r="DD142" s="188">
        <f>BZ142</f>
        <v>-696.2334800000001</v>
      </c>
      <c r="DE142" s="188">
        <f>CC142</f>
        <v>-731.74015400000008</v>
      </c>
    </row>
    <row r="143" spans="1:137" s="86" customFormat="1" ht="12.75" customHeight="1" thickBot="1">
      <c r="A143" s="79"/>
      <c r="B143" s="80" t="s">
        <v>133</v>
      </c>
      <c r="C143" s="79"/>
      <c r="D143" s="82"/>
      <c r="E143" s="82"/>
      <c r="F143" s="82"/>
      <c r="G143" s="82"/>
      <c r="H143" s="82"/>
      <c r="I143" s="82">
        <f t="shared" ref="I143:AA143" si="855">I132</f>
        <v>0</v>
      </c>
      <c r="J143" s="82">
        <f t="shared" si="855"/>
        <v>0</v>
      </c>
      <c r="K143" s="82">
        <f t="shared" si="855"/>
        <v>0</v>
      </c>
      <c r="L143" s="82">
        <f t="shared" si="855"/>
        <v>-33.799999999999997</v>
      </c>
      <c r="M143" s="82">
        <f t="shared" si="855"/>
        <v>-68.900000000000006</v>
      </c>
      <c r="N143" s="82">
        <f t="shared" si="855"/>
        <v>-113.80000000000001</v>
      </c>
      <c r="O143" s="82">
        <f t="shared" si="855"/>
        <v>-113.80000000000001</v>
      </c>
      <c r="P143" s="82">
        <f t="shared" si="855"/>
        <v>-180.3</v>
      </c>
      <c r="Q143" s="82">
        <f t="shared" si="855"/>
        <v>-343.5</v>
      </c>
      <c r="R143" s="82">
        <f t="shared" si="855"/>
        <v>-343.5</v>
      </c>
      <c r="S143" s="82">
        <f t="shared" si="855"/>
        <v>-244.2</v>
      </c>
      <c r="T143" s="82">
        <f t="shared" si="855"/>
        <v>-239.3</v>
      </c>
      <c r="U143" s="82">
        <f t="shared" si="855"/>
        <v>-239.3</v>
      </c>
      <c r="V143" s="82">
        <f t="shared" si="855"/>
        <v>-174.09999999999997</v>
      </c>
      <c r="W143" s="82">
        <f t="shared" si="855"/>
        <v>-134.6</v>
      </c>
      <c r="X143" s="82">
        <f t="shared" si="855"/>
        <v>-134.6</v>
      </c>
      <c r="Y143" s="82">
        <f t="shared" si="855"/>
        <v>-476.7</v>
      </c>
      <c r="Z143" s="82">
        <f t="shared" si="855"/>
        <v>-646.1</v>
      </c>
      <c r="AA143" s="82">
        <f t="shared" si="855"/>
        <v>-646.1</v>
      </c>
      <c r="AB143" s="82">
        <f>AB139</f>
        <v>-838</v>
      </c>
      <c r="AC143" s="82">
        <f>AC132</f>
        <v>-647.5</v>
      </c>
      <c r="AD143" s="82">
        <f>AD132</f>
        <v>-647.5</v>
      </c>
      <c r="AE143" s="82">
        <f>SUM(AE139:AE142)</f>
        <v>-670.46700496699998</v>
      </c>
      <c r="AF143" s="171">
        <f>AF132</f>
        <v>-753.5</v>
      </c>
      <c r="AG143" s="171">
        <f>AF143</f>
        <v>-753.5</v>
      </c>
      <c r="AH143" s="171">
        <f>+AH132</f>
        <v>-137.80000000000007</v>
      </c>
      <c r="AI143" s="171">
        <f>AI132</f>
        <v>3</v>
      </c>
      <c r="AJ143" s="82"/>
      <c r="AK143" s="171">
        <v>335.4</v>
      </c>
      <c r="AL143" s="82">
        <f>AL132</f>
        <v>321.39999999999998</v>
      </c>
      <c r="AM143" s="82">
        <f>AL143</f>
        <v>321.39999999999998</v>
      </c>
      <c r="AN143" s="82">
        <f>AN132</f>
        <v>658.1</v>
      </c>
      <c r="AO143" s="82">
        <f>AO132</f>
        <v>957</v>
      </c>
      <c r="AP143" s="82">
        <f>AP132</f>
        <v>957</v>
      </c>
      <c r="AQ143" s="82">
        <f>AQ132</f>
        <v>1666.7</v>
      </c>
      <c r="AR143" s="82">
        <f t="shared" ref="AR143:BH143" si="856">SUM(AR139:AR142)</f>
        <v>2093.3000000000002</v>
      </c>
      <c r="AS143" s="82">
        <f t="shared" si="856"/>
        <v>2093.3000000000006</v>
      </c>
      <c r="AT143" s="82">
        <f>AT132</f>
        <v>2684.9</v>
      </c>
      <c r="AU143" s="82">
        <f>AU132</f>
        <v>3104.2</v>
      </c>
      <c r="AV143" s="82">
        <f>AU143</f>
        <v>3104.2</v>
      </c>
      <c r="AW143" s="82">
        <f>AW132</f>
        <v>3937</v>
      </c>
      <c r="AX143" s="82">
        <f>AX132</f>
        <v>4930.3</v>
      </c>
      <c r="AY143" s="82">
        <f>AX143</f>
        <v>4930.3</v>
      </c>
      <c r="AZ143" s="82">
        <f>AZ132</f>
        <v>6734.9</v>
      </c>
      <c r="BA143" s="82">
        <f>BA132</f>
        <v>7866</v>
      </c>
      <c r="BB143" s="82">
        <f>BA143</f>
        <v>7866</v>
      </c>
      <c r="BC143" s="82">
        <f>BC132</f>
        <v>8796.5</v>
      </c>
      <c r="BD143" s="82">
        <f>BD132</f>
        <v>8976.9</v>
      </c>
      <c r="BE143" s="82">
        <f>BD143</f>
        <v>8976.9</v>
      </c>
      <c r="BF143" s="82">
        <f>BF132</f>
        <v>8620.5</v>
      </c>
      <c r="BG143" s="82">
        <f>BG132</f>
        <v>8456.7999999999993</v>
      </c>
      <c r="BH143" s="82">
        <f t="shared" si="856"/>
        <v>8456.7999999999975</v>
      </c>
      <c r="BI143" s="82">
        <f>BI132</f>
        <v>9114.7999999999993</v>
      </c>
      <c r="BJ143" s="82">
        <f>BJ132</f>
        <v>9676.7000000000007</v>
      </c>
      <c r="BK143" s="82">
        <f>BJ143</f>
        <v>9676.7000000000007</v>
      </c>
      <c r="BL143" s="82">
        <f>BL132</f>
        <v>10363.6</v>
      </c>
      <c r="BM143" s="82">
        <f t="shared" ref="BM143:BN143" ca="1" si="857">SUM(BM139:BM142)</f>
        <v>11732.710009999613</v>
      </c>
      <c r="BN143" s="82">
        <f t="shared" ca="1" si="857"/>
        <v>12171.189009999613</v>
      </c>
      <c r="BO143" s="82">
        <f t="shared" ref="BO143:BQ143" ca="1" si="858">SUM(BO139:BO142)</f>
        <v>13582.243941255463</v>
      </c>
      <c r="BP143" s="82">
        <f t="shared" ca="1" si="858"/>
        <v>14992.426237897558</v>
      </c>
      <c r="BQ143" s="82">
        <f t="shared" ca="1" si="858"/>
        <v>14992.426237897558</v>
      </c>
      <c r="BR143" s="82">
        <f t="shared" ref="BR143:BT143" ca="1" si="859">SUM(BR139:BR142)</f>
        <v>16589.265656286869</v>
      </c>
      <c r="BS143" s="82">
        <f t="shared" ca="1" si="859"/>
        <v>18202.731283260167</v>
      </c>
      <c r="BT143" s="82">
        <f t="shared" ca="1" si="859"/>
        <v>18202.731283260171</v>
      </c>
      <c r="BU143" s="82">
        <f t="shared" ref="BU143:BZ143" ca="1" si="860">SUM(BU139:BU142)</f>
        <v>19949.471577053209</v>
      </c>
      <c r="BV143" s="82">
        <f t="shared" ca="1" si="860"/>
        <v>21718.94840571034</v>
      </c>
      <c r="BW143" s="82">
        <f t="shared" ca="1" si="860"/>
        <v>21718.94840571034</v>
      </c>
      <c r="BX143" s="82">
        <f t="shared" ca="1" si="860"/>
        <v>23582.873913363041</v>
      </c>
      <c r="BY143" s="82">
        <f t="shared" ca="1" si="860"/>
        <v>25460.577868112559</v>
      </c>
      <c r="BZ143" s="82">
        <f t="shared" ca="1" si="860"/>
        <v>25460.577868112563</v>
      </c>
      <c r="CA143" s="82">
        <f t="shared" ref="CA143:CC143" ca="1" si="861">SUM(CA139:CA142)</f>
        <v>27465.167333698129</v>
      </c>
      <c r="CB143" s="82">
        <f t="shared" ca="1" si="861"/>
        <v>29488.303877268463</v>
      </c>
      <c r="CC143" s="82">
        <f t="shared" ca="1" si="861"/>
        <v>29488.303877268467</v>
      </c>
      <c r="CD143" s="134"/>
      <c r="CE143" s="198"/>
      <c r="CF143" s="198"/>
      <c r="CG143" s="198"/>
      <c r="CH143" s="198"/>
      <c r="CI143" s="198"/>
      <c r="CJ143" s="198"/>
      <c r="CK143" s="199"/>
      <c r="CL143" s="246">
        <f>X143</f>
        <v>-134.6</v>
      </c>
      <c r="CM143" s="247">
        <f>AA143</f>
        <v>-646.1</v>
      </c>
      <c r="CN143" s="247">
        <f>AD143</f>
        <v>-647.5</v>
      </c>
      <c r="CO143" s="247">
        <f>AG143</f>
        <v>-753.5</v>
      </c>
      <c r="CP143" s="247">
        <f>AJ143</f>
        <v>0</v>
      </c>
      <c r="CQ143" s="247">
        <f>AM143</f>
        <v>321.39999999999998</v>
      </c>
      <c r="CR143" s="247">
        <f>AP143</f>
        <v>957</v>
      </c>
      <c r="CS143" s="247">
        <f>AS143</f>
        <v>2093.3000000000006</v>
      </c>
      <c r="CT143" s="247">
        <f>AV143</f>
        <v>3104.2</v>
      </c>
      <c r="CU143" s="247">
        <f>AY143</f>
        <v>4930.3</v>
      </c>
      <c r="CV143" s="247">
        <f>BB143</f>
        <v>7866</v>
      </c>
      <c r="CW143" s="247">
        <f>BE143</f>
        <v>8976.9</v>
      </c>
      <c r="CX143" s="247">
        <f>BH143</f>
        <v>8456.7999999999975</v>
      </c>
      <c r="CY143" s="247">
        <f>BK143</f>
        <v>9676.7000000000007</v>
      </c>
      <c r="CZ143" s="247">
        <f ca="1">BN143</f>
        <v>12171.189009999613</v>
      </c>
      <c r="DA143" s="247">
        <f ca="1">BQ143</f>
        <v>14992.426237897558</v>
      </c>
      <c r="DB143" s="247">
        <f ca="1">BT143</f>
        <v>18202.731283260171</v>
      </c>
      <c r="DC143" s="247">
        <f ca="1">BW143</f>
        <v>21718.94840571034</v>
      </c>
      <c r="DD143" s="247">
        <f ca="1">BZ143</f>
        <v>25460.577868112563</v>
      </c>
      <c r="DE143" s="247">
        <f ca="1">CC143</f>
        <v>29488.303877268467</v>
      </c>
      <c r="DF143" s="48"/>
      <c r="DG143" s="48"/>
      <c r="DH143" s="48"/>
      <c r="DI143" s="48"/>
      <c r="DJ143" s="48"/>
      <c r="DK143" s="48"/>
      <c r="EB143"/>
      <c r="EC143"/>
      <c r="ED143"/>
      <c r="EE143"/>
      <c r="EF143"/>
      <c r="EG143"/>
    </row>
    <row r="144" spans="1:137" ht="12.75" customHeight="1" thickTop="1">
      <c r="A144" s="1"/>
      <c r="B144" s="13"/>
      <c r="C144" s="1"/>
      <c r="D144" s="1"/>
      <c r="E144" s="1"/>
      <c r="F144" s="188"/>
      <c r="G144" s="188"/>
      <c r="H144" s="188"/>
      <c r="I144" s="188"/>
      <c r="J144" s="188"/>
      <c r="K144" s="188"/>
      <c r="L144" s="188"/>
      <c r="M144" s="188"/>
      <c r="N144" s="188"/>
      <c r="O144" s="188"/>
      <c r="P144" s="188"/>
      <c r="Q144" s="188"/>
      <c r="R144" s="188"/>
      <c r="S144" s="188"/>
      <c r="T144" s="188"/>
      <c r="U144" s="188"/>
      <c r="V144" s="188"/>
      <c r="W144" s="188"/>
      <c r="X144" s="188"/>
      <c r="Y144" s="188"/>
      <c r="Z144" s="188"/>
      <c r="AA144" s="188"/>
      <c r="AB144" s="188"/>
      <c r="AC144" s="188"/>
      <c r="AD144" s="188"/>
      <c r="AE144" s="188"/>
      <c r="AF144" s="188"/>
      <c r="AG144" s="188"/>
      <c r="AH144" s="188"/>
      <c r="AI144" s="188"/>
      <c r="AJ144" s="188"/>
      <c r="AK144" s="188"/>
      <c r="AL144" s="188"/>
      <c r="AM144" s="188"/>
      <c r="AN144" s="188"/>
      <c r="AO144" s="188"/>
      <c r="AP144" s="188"/>
      <c r="AQ144" s="188"/>
      <c r="AR144" s="188"/>
      <c r="AS144" s="188"/>
      <c r="AT144" s="188"/>
      <c r="AU144" s="188"/>
      <c r="AV144" s="188"/>
      <c r="AW144" s="188"/>
      <c r="AX144" s="188"/>
      <c r="AY144" s="188"/>
      <c r="AZ144" s="188"/>
      <c r="BA144" s="188"/>
      <c r="BB144" s="188"/>
      <c r="BC144" s="188"/>
      <c r="BD144" s="188"/>
      <c r="BE144" s="188"/>
      <c r="BF144" s="188"/>
      <c r="BG144" s="188"/>
      <c r="BH144" s="188"/>
      <c r="BI144" s="188"/>
      <c r="BJ144" s="188"/>
      <c r="BK144" s="188"/>
      <c r="BL144" s="188"/>
      <c r="BM144" s="188"/>
      <c r="BN144" s="188"/>
      <c r="BO144" s="188"/>
      <c r="BP144" s="188"/>
      <c r="BQ144" s="188"/>
      <c r="BR144" s="188"/>
      <c r="BS144" s="188"/>
      <c r="BT144" s="188"/>
      <c r="BU144" s="188"/>
      <c r="BV144" s="188"/>
      <c r="BW144" s="188"/>
      <c r="BX144" s="188"/>
      <c r="BY144" s="188"/>
      <c r="BZ144" s="188"/>
      <c r="CA144" s="188"/>
      <c r="CB144" s="188"/>
      <c r="CC144" s="188"/>
      <c r="CD144" s="186"/>
      <c r="CE144" s="187"/>
      <c r="CF144" s="187"/>
      <c r="CG144" s="187"/>
      <c r="CH144" s="187"/>
      <c r="CI144" s="187"/>
      <c r="CJ144" s="187"/>
      <c r="CK144" s="188"/>
      <c r="CL144" s="192"/>
      <c r="CM144" s="188"/>
      <c r="CN144" s="188"/>
      <c r="CO144" s="188"/>
      <c r="CP144" s="188"/>
      <c r="CQ144" s="188"/>
      <c r="CR144" s="188"/>
      <c r="CS144" s="188"/>
      <c r="CT144" s="188"/>
      <c r="CU144" s="188"/>
      <c r="CV144" s="188"/>
      <c r="CW144" s="188"/>
      <c r="CX144" s="188"/>
      <c r="CY144" s="188"/>
      <c r="CZ144" s="188"/>
      <c r="DA144" s="188"/>
      <c r="DB144" s="188"/>
      <c r="DC144" s="188"/>
      <c r="DD144" s="188"/>
      <c r="DE144" s="188"/>
    </row>
    <row r="145" spans="1:137" s="47" customFormat="1" ht="12.75" customHeight="1">
      <c r="A145" s="42"/>
      <c r="B145" s="241" t="s">
        <v>134</v>
      </c>
      <c r="C145" s="42"/>
      <c r="D145" s="42"/>
      <c r="E145" s="42"/>
      <c r="F145" s="242"/>
      <c r="G145" s="242"/>
      <c r="H145" s="242"/>
      <c r="I145" s="242"/>
      <c r="J145" s="242"/>
      <c r="K145" s="242"/>
      <c r="L145" s="242"/>
      <c r="M145" s="242"/>
      <c r="N145" s="242"/>
      <c r="O145" s="242"/>
      <c r="P145" s="242"/>
      <c r="Q145" s="242"/>
      <c r="R145" s="242"/>
      <c r="S145" s="242"/>
      <c r="T145" s="242"/>
      <c r="U145" s="242"/>
      <c r="V145" s="242"/>
      <c r="W145" s="242"/>
      <c r="X145" s="242"/>
      <c r="Y145" s="242"/>
      <c r="Z145" s="242"/>
      <c r="AA145" s="242"/>
      <c r="AB145" s="242"/>
      <c r="AC145" s="242"/>
      <c r="AD145" s="242"/>
      <c r="AE145" s="242"/>
      <c r="AF145" s="242"/>
      <c r="AG145" s="242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42"/>
      <c r="BU145" s="242"/>
      <c r="BV145" s="242"/>
      <c r="BW145" s="242"/>
      <c r="BX145" s="242"/>
      <c r="BY145" s="242"/>
      <c r="BZ145" s="242"/>
      <c r="CA145" s="242"/>
      <c r="CB145" s="242"/>
      <c r="CC145" s="242"/>
      <c r="CD145" s="243"/>
      <c r="CE145" s="242"/>
      <c r="CF145" s="242"/>
      <c r="CG145" s="242"/>
      <c r="CH145" s="242"/>
      <c r="CI145" s="242"/>
      <c r="CJ145" s="242"/>
      <c r="CK145" s="244"/>
      <c r="CL145" s="245"/>
      <c r="CM145" s="242"/>
      <c r="CN145" s="242"/>
      <c r="CO145" s="242"/>
      <c r="CP145" s="242"/>
      <c r="CQ145" s="242"/>
      <c r="CR145" s="242"/>
      <c r="CS145" s="242"/>
      <c r="CT145" s="242"/>
      <c r="CU145" s="242"/>
      <c r="CV145" s="242"/>
      <c r="CW145" s="242"/>
      <c r="CX145" s="242"/>
      <c r="CY145" s="242"/>
      <c r="CZ145" s="242"/>
      <c r="DA145" s="242"/>
      <c r="DB145" s="242"/>
      <c r="DC145" s="242"/>
      <c r="DD145" s="242"/>
      <c r="DE145" s="242"/>
      <c r="DF145" s="45"/>
      <c r="DG145" s="45"/>
      <c r="DH145" s="45"/>
      <c r="DI145" s="45"/>
      <c r="DJ145" s="45"/>
      <c r="DK145" s="45"/>
      <c r="EB145"/>
      <c r="EC145"/>
      <c r="ED145"/>
      <c r="EE145"/>
      <c r="EF145"/>
      <c r="EG145"/>
    </row>
    <row r="146" spans="1:137" ht="12.75" customHeight="1">
      <c r="A146" s="1"/>
      <c r="B146" s="13"/>
      <c r="C146" s="1"/>
      <c r="D146" s="1"/>
      <c r="E146" s="1"/>
      <c r="F146" s="188"/>
      <c r="G146" s="188"/>
      <c r="H146" s="188"/>
      <c r="I146" s="188"/>
      <c r="J146" s="188"/>
      <c r="K146" s="188"/>
      <c r="L146" s="188"/>
      <c r="M146" s="188"/>
      <c r="N146" s="188"/>
      <c r="O146" s="188"/>
      <c r="P146" s="188"/>
      <c r="Q146" s="188"/>
      <c r="R146" s="188"/>
      <c r="S146" s="188"/>
      <c r="T146" s="188"/>
      <c r="U146" s="188"/>
      <c r="V146" s="188"/>
      <c r="W146" s="188"/>
      <c r="X146" s="188"/>
      <c r="Y146" s="188"/>
      <c r="Z146" s="188"/>
      <c r="AA146" s="188"/>
      <c r="AB146" s="188"/>
      <c r="AC146" s="188"/>
      <c r="AD146" s="188"/>
      <c r="AE146" s="188"/>
      <c r="AF146" s="188"/>
      <c r="AG146" s="188"/>
      <c r="AH146" s="188"/>
      <c r="AI146" s="188"/>
      <c r="AJ146" s="188"/>
      <c r="AK146" s="188"/>
      <c r="AL146" s="188"/>
      <c r="AM146" s="188"/>
      <c r="AN146" s="188"/>
      <c r="AO146" s="188"/>
      <c r="AP146" s="188"/>
      <c r="AQ146" s="188"/>
      <c r="AR146" s="188"/>
      <c r="AS146" s="188"/>
      <c r="AT146" s="188"/>
      <c r="AU146" s="188"/>
      <c r="AV146" s="188"/>
      <c r="AW146" s="188"/>
      <c r="AX146" s="188"/>
      <c r="AY146" s="188"/>
      <c r="AZ146" s="188"/>
      <c r="BA146" s="188"/>
      <c r="BB146" s="188"/>
      <c r="BC146" s="188"/>
      <c r="BD146" s="188"/>
      <c r="BE146" s="188"/>
      <c r="BF146" s="188"/>
      <c r="BG146" s="188"/>
      <c r="BH146" s="188"/>
      <c r="BI146" s="188"/>
      <c r="BJ146" s="188"/>
      <c r="BK146" s="188"/>
      <c r="BL146" s="188"/>
      <c r="BM146" s="188"/>
      <c r="BN146" s="188"/>
      <c r="BO146" s="188"/>
      <c r="BP146" s="188"/>
      <c r="BQ146" s="188"/>
      <c r="BR146" s="188"/>
      <c r="BS146" s="188"/>
      <c r="BT146" s="188"/>
      <c r="BU146" s="188"/>
      <c r="BV146" s="188"/>
      <c r="BW146" s="188"/>
      <c r="BX146" s="188"/>
      <c r="BY146" s="188"/>
      <c r="BZ146" s="188"/>
      <c r="CA146" s="188"/>
      <c r="CB146" s="188"/>
      <c r="CC146" s="188"/>
      <c r="CD146" s="186"/>
      <c r="CE146" s="187"/>
      <c r="CF146" s="187"/>
      <c r="CG146" s="187"/>
      <c r="CH146" s="187"/>
      <c r="CI146" s="187"/>
      <c r="CJ146" s="187"/>
      <c r="CK146" s="188"/>
      <c r="CL146" s="192"/>
      <c r="CM146" s="188"/>
      <c r="CN146" s="188"/>
      <c r="CO146" s="188"/>
      <c r="CP146" s="188"/>
      <c r="CQ146" s="188"/>
      <c r="CR146" s="188"/>
      <c r="CS146" s="188"/>
      <c r="CT146" s="188"/>
      <c r="CU146" s="188"/>
      <c r="CV146" s="188"/>
      <c r="CW146" s="188"/>
      <c r="CX146" s="188"/>
      <c r="CY146" s="188"/>
      <c r="CZ146" s="188"/>
      <c r="DA146" s="188"/>
      <c r="DB146" s="188"/>
      <c r="DC146" s="188"/>
      <c r="DD146" s="188"/>
      <c r="DE146" s="188"/>
    </row>
    <row r="147" spans="1:137" ht="12.75" customHeight="1">
      <c r="A147" s="1"/>
      <c r="B147" s="154" t="s">
        <v>135</v>
      </c>
      <c r="C147" s="1"/>
      <c r="D147" s="1"/>
      <c r="E147" s="1"/>
      <c r="F147" s="188"/>
      <c r="G147" s="188"/>
      <c r="H147" s="188"/>
      <c r="I147" s="188"/>
      <c r="J147" s="188"/>
      <c r="K147" s="188"/>
      <c r="L147" s="188"/>
      <c r="M147" s="188"/>
      <c r="N147" s="188"/>
      <c r="O147" s="188"/>
      <c r="P147" s="188"/>
      <c r="Q147" s="188"/>
      <c r="R147" s="188"/>
      <c r="S147" s="188"/>
      <c r="T147" s="188"/>
      <c r="U147" s="188"/>
      <c r="V147" s="188"/>
      <c r="W147" s="188"/>
      <c r="X147" s="188"/>
      <c r="Y147" s="188"/>
      <c r="Z147" s="188"/>
      <c r="AA147" s="188"/>
      <c r="AB147" s="188"/>
      <c r="AC147" s="188"/>
      <c r="AD147" s="188"/>
      <c r="AE147" s="188"/>
      <c r="AF147" s="188"/>
      <c r="AG147" s="188"/>
      <c r="AH147" s="188"/>
      <c r="AI147" s="188"/>
      <c r="AJ147" s="188"/>
      <c r="AK147" s="188"/>
      <c r="AL147" s="188"/>
      <c r="AM147" s="188"/>
      <c r="AN147" s="188"/>
      <c r="AO147" s="188"/>
      <c r="AP147" s="188"/>
      <c r="AQ147" s="188"/>
      <c r="AR147" s="188"/>
      <c r="AS147" s="188"/>
      <c r="AT147" s="188"/>
      <c r="AU147" s="188"/>
      <c r="AV147" s="188"/>
      <c r="AW147" s="188"/>
      <c r="AX147" s="188"/>
      <c r="AY147" s="188"/>
      <c r="AZ147" s="188"/>
      <c r="BA147" s="188"/>
      <c r="BB147" s="188"/>
      <c r="BC147" s="188"/>
      <c r="BD147" s="188"/>
      <c r="BE147" s="188"/>
      <c r="BF147" s="188"/>
      <c r="BG147" s="188"/>
      <c r="BH147" s="188"/>
      <c r="BI147" s="188"/>
      <c r="BJ147" s="188"/>
      <c r="BK147" s="188"/>
      <c r="BL147" s="188"/>
      <c r="BM147" s="188"/>
      <c r="BN147" s="188"/>
      <c r="BO147" s="188"/>
      <c r="BP147" s="188"/>
      <c r="BQ147" s="188"/>
      <c r="BR147" s="188"/>
      <c r="BS147" s="188"/>
      <c r="BT147" s="188"/>
      <c r="BU147" s="188"/>
      <c r="BV147" s="188"/>
      <c r="BW147" s="188"/>
      <c r="BX147" s="188"/>
      <c r="BY147" s="188"/>
      <c r="BZ147" s="188"/>
      <c r="CA147" s="188"/>
      <c r="CB147" s="188"/>
      <c r="CC147" s="188"/>
      <c r="CD147" s="186"/>
      <c r="CE147" s="187"/>
      <c r="CF147" s="187"/>
      <c r="CG147" s="187"/>
      <c r="CH147" s="187"/>
      <c r="CI147" s="187"/>
      <c r="CJ147" s="187"/>
      <c r="CK147" s="188"/>
      <c r="CL147" s="192"/>
      <c r="CM147" s="188"/>
      <c r="CN147" s="188"/>
      <c r="CO147" s="188"/>
      <c r="CP147" s="188"/>
      <c r="CQ147" s="188"/>
      <c r="CR147" s="188"/>
      <c r="CS147" s="188"/>
      <c r="CT147" s="188"/>
      <c r="CU147" s="188"/>
      <c r="CV147" s="188"/>
      <c r="CW147" s="188"/>
      <c r="CX147" s="188"/>
      <c r="CY147" s="188"/>
      <c r="CZ147" s="188"/>
      <c r="DA147" s="188"/>
      <c r="DB147" s="188"/>
      <c r="DC147" s="188"/>
      <c r="DD147" s="188"/>
      <c r="DE147" s="188"/>
    </row>
    <row r="148" spans="1:137" ht="12.75" customHeight="1">
      <c r="A148" s="1"/>
      <c r="B148" s="13" t="s">
        <v>3</v>
      </c>
      <c r="C148" s="1"/>
      <c r="D148" s="188"/>
      <c r="E148" s="188"/>
      <c r="F148" s="188"/>
      <c r="G148" s="188"/>
      <c r="H148" s="188"/>
      <c r="I148" s="188"/>
      <c r="J148" s="188">
        <f t="shared" ref="J148:AA148" si="862">J51-J32+J34</f>
        <v>0</v>
      </c>
      <c r="K148" s="188">
        <f t="shared" si="862"/>
        <v>0</v>
      </c>
      <c r="L148" s="188">
        <f t="shared" si="862"/>
        <v>714.69999999999982</v>
      </c>
      <c r="M148" s="188">
        <f t="shared" si="862"/>
        <v>240.00000000000006</v>
      </c>
      <c r="N148" s="188">
        <f t="shared" si="862"/>
        <v>42.299999999999947</v>
      </c>
      <c r="O148" s="188">
        <f t="shared" si="862"/>
        <v>263.99795918367346</v>
      </c>
      <c r="P148" s="188">
        <f t="shared" si="862"/>
        <v>-42.800000000000026</v>
      </c>
      <c r="Q148" s="188">
        <f t="shared" si="862"/>
        <v>-46.582799999999921</v>
      </c>
      <c r="R148" s="188">
        <f t="shared" si="862"/>
        <v>-40.682800000000022</v>
      </c>
      <c r="S148" s="188">
        <f t="shared" si="862"/>
        <v>229.8</v>
      </c>
      <c r="T148" s="188">
        <f t="shared" si="862"/>
        <v>184.99999999999986</v>
      </c>
      <c r="U148" s="188">
        <f t="shared" si="862"/>
        <v>414.79999999999984</v>
      </c>
      <c r="V148" s="188">
        <f t="shared" si="862"/>
        <v>249.2</v>
      </c>
      <c r="W148" s="188">
        <f t="shared" si="862"/>
        <v>258.3</v>
      </c>
      <c r="X148" s="188">
        <f t="shared" si="862"/>
        <v>507.50000000000023</v>
      </c>
      <c r="Y148" s="188">
        <f t="shared" si="862"/>
        <v>163.80000000000001</v>
      </c>
      <c r="Z148" s="188">
        <f t="shared" si="862"/>
        <v>14.600000000000092</v>
      </c>
      <c r="AA148" s="188">
        <f t="shared" si="862"/>
        <v>178.39999999999995</v>
      </c>
      <c r="AB148" s="188">
        <f t="shared" ref="AB148:BJ148" si="863">AB58-AB32-AB34-AB25-AB21</f>
        <v>310.99999999999994</v>
      </c>
      <c r="AC148" s="188">
        <f t="shared" si="863"/>
        <v>335.69999999999987</v>
      </c>
      <c r="AD148" s="188">
        <f t="shared" si="863"/>
        <v>646.69999999999982</v>
      </c>
      <c r="AE148" s="188">
        <f t="shared" si="863"/>
        <v>346</v>
      </c>
      <c r="AF148" s="188">
        <f t="shared" si="863"/>
        <v>356.5</v>
      </c>
      <c r="AG148" s="188">
        <f t="shared" si="863"/>
        <v>702.49999999999989</v>
      </c>
      <c r="AH148" s="188">
        <f t="shared" si="863"/>
        <v>447.79999999999984</v>
      </c>
      <c r="AI148" s="188">
        <f t="shared" si="863"/>
        <v>418.50000000000006</v>
      </c>
      <c r="AJ148" s="188">
        <f t="shared" si="863"/>
        <v>866.3</v>
      </c>
      <c r="AK148" s="188">
        <f t="shared" si="863"/>
        <v>468.4</v>
      </c>
      <c r="AL148" s="188">
        <f t="shared" si="863"/>
        <v>419.4</v>
      </c>
      <c r="AM148" s="188">
        <f t="shared" si="863"/>
        <v>887.8</v>
      </c>
      <c r="AN148" s="188">
        <f t="shared" si="863"/>
        <v>471.5</v>
      </c>
      <c r="AO148" s="188">
        <f t="shared" si="863"/>
        <v>472.60000000000008</v>
      </c>
      <c r="AP148" s="188">
        <f t="shared" si="863"/>
        <v>944.10000000000014</v>
      </c>
      <c r="AQ148" s="188">
        <f t="shared" si="863"/>
        <v>515.5</v>
      </c>
      <c r="AR148" s="188">
        <f t="shared" si="863"/>
        <v>574.4</v>
      </c>
      <c r="AS148" s="188">
        <f t="shared" si="863"/>
        <v>1089.8999999999999</v>
      </c>
      <c r="AT148" s="188">
        <f t="shared" si="863"/>
        <v>592.70000000000005</v>
      </c>
      <c r="AU148" s="188">
        <f t="shared" si="863"/>
        <v>627.1</v>
      </c>
      <c r="AV148" s="188">
        <f t="shared" si="863"/>
        <v>1219.8000000000002</v>
      </c>
      <c r="AW148" s="188">
        <f>AW58-AW32-AW34-AW25-AW21</f>
        <v>673.59999999999991</v>
      </c>
      <c r="AX148" s="188">
        <f t="shared" si="863"/>
        <v>620.9</v>
      </c>
      <c r="AY148" s="188">
        <f>SUM(AW148:AX148)</f>
        <v>1294.5</v>
      </c>
      <c r="AZ148" s="188">
        <f t="shared" si="863"/>
        <v>858.9</v>
      </c>
      <c r="BA148" s="188">
        <f t="shared" si="863"/>
        <v>835.5</v>
      </c>
      <c r="BB148" s="217">
        <f t="shared" ref="BB148:BB155" si="864">SUM(AZ148:BA148)</f>
        <v>1694.4</v>
      </c>
      <c r="BC148" s="188">
        <f t="shared" si="863"/>
        <v>947.59999999999991</v>
      </c>
      <c r="BD148" s="188">
        <f t="shared" si="863"/>
        <v>993.10000000000014</v>
      </c>
      <c r="BE148" s="188">
        <f>SUM(BC148:BD148)</f>
        <v>1940.7</v>
      </c>
      <c r="BF148" s="188">
        <f t="shared" si="863"/>
        <v>1232.3</v>
      </c>
      <c r="BG148" s="188">
        <f t="shared" si="863"/>
        <v>1005.3</v>
      </c>
      <c r="BH148" s="188">
        <f t="shared" si="863"/>
        <v>2237.6</v>
      </c>
      <c r="BI148" s="188">
        <f t="shared" si="863"/>
        <v>1271</v>
      </c>
      <c r="BJ148" s="188">
        <f t="shared" si="863"/>
        <v>1181.7999999999997</v>
      </c>
      <c r="BK148" s="217">
        <f t="shared" ref="BK148:BK155" si="865">SUM(BI148:BJ148)</f>
        <v>2452.7999999999997</v>
      </c>
      <c r="BL148" s="188">
        <f t="shared" ref="BL148:BM148" si="866">BL58-BL32-BL34-BL25-BL21</f>
        <v>1170.7</v>
      </c>
      <c r="BM148" s="188">
        <f t="shared" ca="1" si="866"/>
        <v>1545.7630966705049</v>
      </c>
      <c r="BN148" s="188">
        <f t="shared" ref="BN148:BN155" ca="1" si="867">SUM(BL148:BM148)</f>
        <v>2716.4630966705049</v>
      </c>
      <c r="BO148" s="188">
        <f t="shared" ref="BO148:BQ148" ca="1" si="868">BO58-BO32-BO34-BO25-BO21</f>
        <v>1556.588011883531</v>
      </c>
      <c r="BP148" s="188">
        <f t="shared" ca="1" si="868"/>
        <v>1567.172110185717</v>
      </c>
      <c r="BQ148" s="188">
        <f t="shared" ca="1" si="868"/>
        <v>3123.7601220692477</v>
      </c>
      <c r="BR148" s="188">
        <f t="shared" ref="BR148:BT148" ca="1" si="869">BR58-BR32-BR34-BR25-BR21</f>
        <v>1773.3219519591862</v>
      </c>
      <c r="BS148" s="188">
        <f t="shared" ca="1" si="869"/>
        <v>1791.6618019439727</v>
      </c>
      <c r="BT148" s="188">
        <f t="shared" ca="1" si="869"/>
        <v>3564.9837539031591</v>
      </c>
      <c r="BU148" s="188">
        <f t="shared" ref="BU148:BZ148" ca="1" si="870">BU58-BU32-BU34-BU25-BU21</f>
        <v>1943.1691279674874</v>
      </c>
      <c r="BV148" s="188">
        <f t="shared" ca="1" si="870"/>
        <v>1964.5401832582331</v>
      </c>
      <c r="BW148" s="188">
        <f t="shared" ca="1" si="870"/>
        <v>3907.7093112257198</v>
      </c>
      <c r="BX148" s="188">
        <f t="shared" ca="1" si="870"/>
        <v>2103.35967138879</v>
      </c>
      <c r="BY148" s="188">
        <f t="shared" ca="1" si="870"/>
        <v>2111.6171044252151</v>
      </c>
      <c r="BZ148" s="188">
        <f t="shared" ca="1" si="870"/>
        <v>4214.976775814006</v>
      </c>
      <c r="CA148" s="188">
        <f t="shared" ref="CA148:CC148" ca="1" si="871">CA58-CA32-CA34-CA25-CA21</f>
        <v>2255.9012805981765</v>
      </c>
      <c r="CB148" s="188">
        <f t="shared" ca="1" si="871"/>
        <v>2267.373553557346</v>
      </c>
      <c r="CC148" s="188">
        <f t="shared" ca="1" si="871"/>
        <v>4523.2748341555234</v>
      </c>
      <c r="CD148" s="186"/>
      <c r="CE148" s="187"/>
      <c r="CF148" s="187"/>
      <c r="CG148" s="187"/>
      <c r="CH148" s="187"/>
      <c r="CI148" s="187"/>
      <c r="CJ148" s="187"/>
      <c r="CK148" s="188"/>
      <c r="CL148" s="192">
        <f>X148</f>
        <v>507.50000000000023</v>
      </c>
      <c r="CM148" s="188">
        <f>AA148</f>
        <v>178.39999999999995</v>
      </c>
      <c r="CN148" s="188">
        <f>AD148</f>
        <v>646.69999999999982</v>
      </c>
      <c r="CO148" s="188">
        <f>AG148</f>
        <v>702.49999999999989</v>
      </c>
      <c r="CP148" s="188">
        <f>AJ148</f>
        <v>866.3</v>
      </c>
      <c r="CQ148" s="188">
        <f>AM148</f>
        <v>887.8</v>
      </c>
      <c r="CR148" s="188">
        <f>AP148</f>
        <v>944.10000000000014</v>
      </c>
      <c r="CS148" s="188">
        <f>AS148</f>
        <v>1089.8999999999999</v>
      </c>
      <c r="CT148" s="188">
        <f>AV148</f>
        <v>1219.8000000000002</v>
      </c>
      <c r="CU148" s="188">
        <f>AY148</f>
        <v>1294.5</v>
      </c>
      <c r="CV148" s="188">
        <f>BB148</f>
        <v>1694.4</v>
      </c>
      <c r="CW148" s="188">
        <f>BE148</f>
        <v>1940.7</v>
      </c>
      <c r="CX148" s="188">
        <f>BH148</f>
        <v>2237.6</v>
      </c>
      <c r="CY148" s="188">
        <f>BK148</f>
        <v>2452.7999999999997</v>
      </c>
      <c r="CZ148" s="188">
        <f ca="1">BN148</f>
        <v>2716.4630966705049</v>
      </c>
      <c r="DA148" s="188">
        <f ca="1">BQ148</f>
        <v>3123.7601220692477</v>
      </c>
      <c r="DB148" s="188">
        <f ca="1">BT148</f>
        <v>3564.9837539031591</v>
      </c>
      <c r="DC148" s="188">
        <f ca="1">BW148</f>
        <v>3907.7093112257198</v>
      </c>
      <c r="DD148" s="188">
        <f ca="1">BZ148</f>
        <v>4214.976775814006</v>
      </c>
      <c r="DE148" s="188">
        <f ca="1">CC148</f>
        <v>4523.2748341555234</v>
      </c>
    </row>
    <row r="149" spans="1:137" ht="12.75" customHeight="1">
      <c r="A149" s="1"/>
      <c r="B149" s="13" t="s">
        <v>136</v>
      </c>
      <c r="C149" s="1"/>
      <c r="D149" s="188"/>
      <c r="E149" s="188"/>
      <c r="F149" s="188"/>
      <c r="G149" s="188"/>
      <c r="H149" s="188"/>
      <c r="I149" s="188"/>
      <c r="J149" s="188">
        <f t="shared" ref="J149:AB149" si="872">I30</f>
        <v>0</v>
      </c>
      <c r="K149" s="188">
        <f t="shared" si="872"/>
        <v>0</v>
      </c>
      <c r="L149" s="188">
        <f t="shared" si="872"/>
        <v>0</v>
      </c>
      <c r="M149" s="188">
        <f t="shared" si="872"/>
        <v>67.400000000000006</v>
      </c>
      <c r="N149" s="188">
        <f t="shared" si="872"/>
        <v>11</v>
      </c>
      <c r="O149" s="188">
        <f t="shared" si="872"/>
        <v>7.8999999999999986</v>
      </c>
      <c r="P149" s="188">
        <f t="shared" si="872"/>
        <v>18.899999999999999</v>
      </c>
      <c r="Q149" s="188">
        <f t="shared" si="872"/>
        <v>16.599999999999998</v>
      </c>
      <c r="R149" s="188">
        <f t="shared" si="872"/>
        <v>25.3</v>
      </c>
      <c r="S149" s="188">
        <f t="shared" si="872"/>
        <v>41.9</v>
      </c>
      <c r="T149" s="188">
        <f t="shared" si="872"/>
        <v>14.700000000000003</v>
      </c>
      <c r="U149" s="188">
        <f t="shared" si="872"/>
        <v>8.6000000000000014</v>
      </c>
      <c r="V149" s="188">
        <f t="shared" si="872"/>
        <v>23.300000000000004</v>
      </c>
      <c r="W149" s="188">
        <f t="shared" si="872"/>
        <v>5.2999999999999972</v>
      </c>
      <c r="X149" s="188">
        <f t="shared" si="872"/>
        <v>-9.999999999999698E-2</v>
      </c>
      <c r="Y149" s="188">
        <f t="shared" si="872"/>
        <v>5.2</v>
      </c>
      <c r="Z149" s="188">
        <f t="shared" si="872"/>
        <v>5.8000000000000007</v>
      </c>
      <c r="AA149" s="188">
        <f t="shared" si="872"/>
        <v>-1.4000000000000004</v>
      </c>
      <c r="AB149" s="188">
        <f t="shared" si="872"/>
        <v>4.4000000000000004</v>
      </c>
      <c r="AC149" s="188">
        <f>Debt!J76</f>
        <v>1.1999999999999993</v>
      </c>
      <c r="AD149" s="188">
        <f>Debt!K76</f>
        <v>5.0999999999999996</v>
      </c>
      <c r="AE149" s="188">
        <f>Debt!L76</f>
        <v>2.7</v>
      </c>
      <c r="AF149" s="188">
        <f>Debt!M76</f>
        <v>0.79999999999999982</v>
      </c>
      <c r="AG149" s="188">
        <f>Debt!N76</f>
        <v>3.5</v>
      </c>
      <c r="AH149" s="188">
        <f>AH30</f>
        <v>4.8</v>
      </c>
      <c r="AI149" s="188">
        <f t="shared" ref="AI149:BJ149" si="873">AI30</f>
        <v>3.5000000000000009</v>
      </c>
      <c r="AJ149" s="188">
        <f t="shared" si="873"/>
        <v>8.3000000000000007</v>
      </c>
      <c r="AK149" s="188">
        <f t="shared" si="873"/>
        <v>10.199999999999999</v>
      </c>
      <c r="AL149" s="188">
        <f t="shared" si="873"/>
        <v>12.2</v>
      </c>
      <c r="AM149" s="188">
        <f t="shared" si="873"/>
        <v>22.4</v>
      </c>
      <c r="AN149" s="188">
        <f t="shared" si="873"/>
        <v>15.1</v>
      </c>
      <c r="AO149" s="188">
        <f t="shared" si="873"/>
        <v>19.399999999999999</v>
      </c>
      <c r="AP149" s="188">
        <f t="shared" si="873"/>
        <v>34.5</v>
      </c>
      <c r="AQ149" s="188">
        <f t="shared" si="873"/>
        <v>21</v>
      </c>
      <c r="AR149" s="188">
        <f t="shared" si="873"/>
        <v>18.100000000000001</v>
      </c>
      <c r="AS149" s="188">
        <f t="shared" si="873"/>
        <v>39.1</v>
      </c>
      <c r="AT149" s="188">
        <f t="shared" si="873"/>
        <v>7.7</v>
      </c>
      <c r="AU149" s="188">
        <f t="shared" si="873"/>
        <v>4.2</v>
      </c>
      <c r="AV149" s="188">
        <f t="shared" si="873"/>
        <v>11.9</v>
      </c>
      <c r="AW149" s="188">
        <f t="shared" si="873"/>
        <v>1.7</v>
      </c>
      <c r="AX149" s="188">
        <f t="shared" si="873"/>
        <v>0.59999999999999987</v>
      </c>
      <c r="AY149" s="188">
        <f t="shared" ref="AY149:AY155" si="874">SUM(AW149:AX149)</f>
        <v>2.2999999999999998</v>
      </c>
      <c r="AZ149" s="188">
        <f t="shared" si="873"/>
        <v>0.5</v>
      </c>
      <c r="BA149" s="188">
        <f t="shared" si="873"/>
        <v>1.3</v>
      </c>
      <c r="BB149" s="217">
        <f t="shared" si="864"/>
        <v>1.8</v>
      </c>
      <c r="BC149" s="188">
        <f t="shared" si="873"/>
        <v>6.1</v>
      </c>
      <c r="BD149" s="188">
        <f t="shared" si="873"/>
        <v>13.9</v>
      </c>
      <c r="BE149" s="188">
        <f t="shared" ref="BE149:BE155" si="875">SUM(BC149:BD149)</f>
        <v>20</v>
      </c>
      <c r="BF149" s="188">
        <f t="shared" si="873"/>
        <v>18.3</v>
      </c>
      <c r="BG149" s="188">
        <f t="shared" si="873"/>
        <v>20.999999999999996</v>
      </c>
      <c r="BH149" s="188">
        <f t="shared" si="873"/>
        <v>39.299999999999997</v>
      </c>
      <c r="BI149" s="188">
        <f t="shared" si="873"/>
        <v>27.3</v>
      </c>
      <c r="BJ149" s="188">
        <f t="shared" si="873"/>
        <v>54.7</v>
      </c>
      <c r="BK149" s="217">
        <f t="shared" si="865"/>
        <v>82</v>
      </c>
      <c r="BL149" s="188">
        <f t="shared" ref="BL149:BM149" si="876">BL30</f>
        <v>74.099999999999994</v>
      </c>
      <c r="BM149" s="188">
        <f t="shared" ca="1" si="876"/>
        <v>40.96744428922576</v>
      </c>
      <c r="BN149" s="188">
        <f t="shared" ca="1" si="867"/>
        <v>115.06744428922576</v>
      </c>
      <c r="BO149" s="188">
        <f t="shared" ref="BO149:BQ149" ca="1" si="877">BO30</f>
        <v>33.149434813646373</v>
      </c>
      <c r="BP149" s="188">
        <f t="shared" ca="1" si="877"/>
        <v>27.099111892394884</v>
      </c>
      <c r="BQ149" s="188">
        <f t="shared" ca="1" si="877"/>
        <v>60.248546706041253</v>
      </c>
      <c r="BR149" s="188">
        <f t="shared" ref="BR149:BT149" ca="1" si="878">BR30</f>
        <v>26.076155894544041</v>
      </c>
      <c r="BS149" s="188">
        <f t="shared" ca="1" si="878"/>
        <v>28.571063222174285</v>
      </c>
      <c r="BT149" s="188">
        <f t="shared" ca="1" si="878"/>
        <v>54.647219116718325</v>
      </c>
      <c r="BU149" s="188">
        <f t="shared" ref="BU149:BZ149" ca="1" si="879">BU30</f>
        <v>33.115079477928667</v>
      </c>
      <c r="BV149" s="188">
        <f t="shared" ca="1" si="879"/>
        <v>38.769892671217569</v>
      </c>
      <c r="BW149" s="188">
        <f t="shared" ca="1" si="879"/>
        <v>71.884972149146236</v>
      </c>
      <c r="BX149" s="188">
        <f t="shared" ca="1" si="879"/>
        <v>45.24095000080623</v>
      </c>
      <c r="BY149" s="188">
        <f t="shared" ca="1" si="879"/>
        <v>52.461322548462086</v>
      </c>
      <c r="BZ149" s="188">
        <f t="shared" ca="1" si="879"/>
        <v>97.702272549268315</v>
      </c>
      <c r="CA149" s="188">
        <f t="shared" ref="CA149:CC149" ca="1" si="880">CA30</f>
        <v>60.545460284505687</v>
      </c>
      <c r="CB149" s="188">
        <f t="shared" ca="1" si="880"/>
        <v>69.526543810048963</v>
      </c>
      <c r="CC149" s="188">
        <f t="shared" ca="1" si="880"/>
        <v>130.07200409455464</v>
      </c>
      <c r="CD149" s="186"/>
      <c r="CE149" s="188">
        <f ca="1">SUM(AW149:CD149)</f>
        <v>1350.0449178099091</v>
      </c>
      <c r="CF149" s="187"/>
      <c r="CG149" s="187"/>
      <c r="CH149" s="187"/>
      <c r="CI149" s="187"/>
      <c r="CJ149" s="187"/>
      <c r="CK149" s="188"/>
      <c r="CL149" s="192">
        <f>X149</f>
        <v>-9.999999999999698E-2</v>
      </c>
      <c r="CM149" s="188">
        <f>AA149</f>
        <v>-1.4000000000000004</v>
      </c>
      <c r="CN149" s="188">
        <f>AD149</f>
        <v>5.0999999999999996</v>
      </c>
      <c r="CO149" s="188">
        <f>AG149</f>
        <v>3.5</v>
      </c>
      <c r="CP149" s="188">
        <f>AJ149</f>
        <v>8.3000000000000007</v>
      </c>
      <c r="CQ149" s="188">
        <f>AM149</f>
        <v>22.4</v>
      </c>
      <c r="CR149" s="188">
        <f>AP149</f>
        <v>34.5</v>
      </c>
      <c r="CS149" s="188">
        <f>AS149</f>
        <v>39.1</v>
      </c>
      <c r="CT149" s="188">
        <f>AV149</f>
        <v>11.9</v>
      </c>
      <c r="CU149" s="188">
        <f>AY149</f>
        <v>2.2999999999999998</v>
      </c>
      <c r="CV149" s="188">
        <f>BB149</f>
        <v>1.8</v>
      </c>
      <c r="CW149" s="188">
        <f>BE149</f>
        <v>20</v>
      </c>
      <c r="CX149" s="188">
        <f>BH149</f>
        <v>39.299999999999997</v>
      </c>
      <c r="CY149" s="188">
        <f>BK149</f>
        <v>82</v>
      </c>
      <c r="CZ149" s="188">
        <f ca="1">BN149</f>
        <v>115.06744428922576</v>
      </c>
      <c r="DA149" s="188">
        <f ca="1">BQ149</f>
        <v>60.248546706041253</v>
      </c>
      <c r="DB149" s="188">
        <f ca="1">BT149</f>
        <v>54.647219116718325</v>
      </c>
      <c r="DC149" s="188">
        <f ca="1">BW149</f>
        <v>71.884972149146236</v>
      </c>
      <c r="DD149" s="188">
        <f ca="1">BZ149</f>
        <v>97.702272549268315</v>
      </c>
      <c r="DE149" s="188">
        <f ca="1">CC149</f>
        <v>130.07200409455464</v>
      </c>
    </row>
    <row r="150" spans="1:137" ht="12.75" customHeight="1">
      <c r="A150" s="1"/>
      <c r="B150" s="13" t="s">
        <v>137</v>
      </c>
      <c r="C150" s="1"/>
      <c r="D150" s="188"/>
      <c r="E150" s="188"/>
      <c r="F150" s="188"/>
      <c r="G150" s="188"/>
      <c r="H150" s="188"/>
      <c r="I150" s="188"/>
      <c r="J150" s="188">
        <f t="shared" ref="J150:AA150" si="881">-J31</f>
        <v>0</v>
      </c>
      <c r="K150" s="188">
        <f t="shared" si="881"/>
        <v>0</v>
      </c>
      <c r="L150" s="188">
        <f t="shared" si="881"/>
        <v>177.9</v>
      </c>
      <c r="M150" s="188">
        <f t="shared" si="881"/>
        <v>61</v>
      </c>
      <c r="N150" s="188">
        <f t="shared" si="881"/>
        <v>49.199999999999989</v>
      </c>
      <c r="O150" s="188">
        <f t="shared" si="881"/>
        <v>110.19999999999999</v>
      </c>
      <c r="P150" s="188">
        <f t="shared" si="881"/>
        <v>36</v>
      </c>
      <c r="Q150" s="188">
        <f t="shared" si="881"/>
        <v>25.499999999999986</v>
      </c>
      <c r="R150" s="188">
        <f t="shared" si="881"/>
        <v>61.499999999999986</v>
      </c>
      <c r="S150" s="188">
        <f t="shared" si="881"/>
        <v>17.100000000000001</v>
      </c>
      <c r="T150" s="188">
        <f t="shared" si="881"/>
        <v>23.1</v>
      </c>
      <c r="U150" s="188">
        <f t="shared" si="881"/>
        <v>40.200000000000003</v>
      </c>
      <c r="V150" s="188">
        <f t="shared" si="881"/>
        <v>4.2000000000000028</v>
      </c>
      <c r="W150" s="188">
        <f t="shared" si="881"/>
        <v>11.399999999999999</v>
      </c>
      <c r="X150" s="188">
        <f t="shared" si="881"/>
        <v>15.600000000000001</v>
      </c>
      <c r="Y150" s="188">
        <f t="shared" si="881"/>
        <v>25.7</v>
      </c>
      <c r="Z150" s="188">
        <f t="shared" si="881"/>
        <v>8.7000000000000011</v>
      </c>
      <c r="AA150" s="188">
        <f t="shared" si="881"/>
        <v>34.4</v>
      </c>
      <c r="AB150" s="188">
        <f>AB31</f>
        <v>-10.5</v>
      </c>
      <c r="AC150" s="188">
        <f>-Debt!J70</f>
        <v>-21</v>
      </c>
      <c r="AD150" s="188">
        <f>-Debt!K70</f>
        <v>-31.5</v>
      </c>
      <c r="AE150" s="188">
        <f>-Debt!L70</f>
        <v>-9.1999999999999993</v>
      </c>
      <c r="AF150" s="188">
        <f>-Debt!M70</f>
        <v>-15.700000000000003</v>
      </c>
      <c r="AG150" s="188">
        <f>-Debt!N70</f>
        <v>-24.900000000000002</v>
      </c>
      <c r="AH150" s="188">
        <f>-Debt!O70</f>
        <v>-52.599999999999994</v>
      </c>
      <c r="AI150" s="188">
        <f>-Debt!P70</f>
        <v>-44.600000000000009</v>
      </c>
      <c r="AJ150" s="188">
        <f>-Debt!Q70</f>
        <v>-97.2</v>
      </c>
      <c r="AK150" s="188">
        <f>-Debt!R70</f>
        <v>-49.099999999999994</v>
      </c>
      <c r="AL150" s="188">
        <f>-Debt!S70</f>
        <v>-27.299999999999994</v>
      </c>
      <c r="AM150" s="188">
        <f>-Debt!T70</f>
        <v>-76.399999999999991</v>
      </c>
      <c r="AN150" s="188">
        <f>-Debt!U70</f>
        <v>-36.5</v>
      </c>
      <c r="AO150" s="188">
        <f>-Debt!V70</f>
        <v>-42.400000000000006</v>
      </c>
      <c r="AP150" s="188">
        <f>-Debt!W70</f>
        <v>-78.900000000000006</v>
      </c>
      <c r="AQ150" s="188">
        <f>-Debt!X70</f>
        <v>-41.3</v>
      </c>
      <c r="AR150" s="188">
        <f>-Debt!Y70</f>
        <v>-43.7</v>
      </c>
      <c r="AS150" s="188">
        <f>-Debt!Z70</f>
        <v>-85</v>
      </c>
      <c r="AT150" s="188">
        <f>-Debt!AA70</f>
        <v>-37.6</v>
      </c>
      <c r="AU150" s="188">
        <f>-Debt!AB70</f>
        <v>-45.099999999999994</v>
      </c>
      <c r="AV150" s="188">
        <f>-Debt!AC70</f>
        <v>-82.699999999999989</v>
      </c>
      <c r="AW150" s="188">
        <f>-Debt!AD70</f>
        <v>-30.100000000000005</v>
      </c>
      <c r="AX150" s="188">
        <f>-Debt!AE70</f>
        <v>11.400000000000006</v>
      </c>
      <c r="AY150" s="188">
        <f t="shared" si="874"/>
        <v>-18.7</v>
      </c>
      <c r="AZ150" s="188">
        <f>-Debt!AG70</f>
        <v>-21.2</v>
      </c>
      <c r="BA150" s="188">
        <f>-Debt!AH70</f>
        <v>-19.899999999999999</v>
      </c>
      <c r="BB150" s="217">
        <f t="shared" si="864"/>
        <v>-41.099999999999994</v>
      </c>
      <c r="BC150" s="188">
        <f>-Debt!AJ70</f>
        <v>-7.1000000000000014</v>
      </c>
      <c r="BD150" s="188">
        <f>-Debt!AK70</f>
        <v>-26.400000000000002</v>
      </c>
      <c r="BE150" s="188">
        <f t="shared" si="875"/>
        <v>-33.5</v>
      </c>
      <c r="BF150" s="188">
        <f>-Debt!AM70</f>
        <v>-35.799999999999997</v>
      </c>
      <c r="BG150" s="188">
        <f>-Debt!AN70</f>
        <v>-21.999999999999996</v>
      </c>
      <c r="BH150" s="188">
        <f>-Debt!AO70</f>
        <v>-57.8</v>
      </c>
      <c r="BI150" s="188">
        <f>-Debt!AP70</f>
        <v>-24.500000000000007</v>
      </c>
      <c r="BJ150" s="188">
        <f>-Debt!AQ70</f>
        <v>-23.6</v>
      </c>
      <c r="BK150" s="217">
        <f t="shared" si="865"/>
        <v>-48.100000000000009</v>
      </c>
      <c r="BL150" s="188">
        <f>-Debt!AS70</f>
        <v>-8.1999999999999886</v>
      </c>
      <c r="BM150" s="188">
        <f>-Debt!AT70</f>
        <v>9.9818493436445763</v>
      </c>
      <c r="BN150" s="188">
        <f t="shared" si="867"/>
        <v>1.7818493436445877</v>
      </c>
      <c r="BO150" s="188">
        <f>-Debt!AV70</f>
        <v>7.7561806274923839</v>
      </c>
      <c r="BP150" s="188">
        <f>-Debt!AW70</f>
        <v>3.8851521143599541</v>
      </c>
      <c r="BQ150" s="188">
        <f>-Debt!AX70</f>
        <v>11.641332741852338</v>
      </c>
      <c r="BR150" s="188">
        <f>-Debt!AY70</f>
        <v>0.63934399856217539</v>
      </c>
      <c r="BS150" s="188">
        <f>-Debt!AZ70</f>
        <v>-2.5376679102506472</v>
      </c>
      <c r="BT150" s="188">
        <f>-Debt!BA70</f>
        <v>-1.8983239116884718</v>
      </c>
      <c r="BU150" s="188">
        <f>-Debt!BB70</f>
        <v>-6.9228654116267663</v>
      </c>
      <c r="BV150" s="188">
        <f>-Debt!BC70</f>
        <v>-10.183796881834176</v>
      </c>
      <c r="BW150" s="188">
        <f>-Debt!BD70</f>
        <v>-17.106662293460943</v>
      </c>
      <c r="BX150" s="188">
        <f>-Debt!BE70</f>
        <v>-41.450865847488195</v>
      </c>
      <c r="BY150" s="188">
        <f>-Debt!BF70</f>
        <v>-43.251580102672214</v>
      </c>
      <c r="BZ150" s="188">
        <f>-Debt!BG70</f>
        <v>-84.70244595016041</v>
      </c>
      <c r="CA150" s="188">
        <f>-Debt!BH70</f>
        <v>-50.257571326942617</v>
      </c>
      <c r="CB150" s="188">
        <f>-Debt!BI70</f>
        <v>-52.156538840579692</v>
      </c>
      <c r="CC150" s="188">
        <f>-Debt!BJ70</f>
        <v>-102.41411016752231</v>
      </c>
      <c r="CD150" s="186"/>
      <c r="CE150" s="188">
        <f>SUM(AW150:CD150)</f>
        <v>-783.79672047467056</v>
      </c>
      <c r="CF150" s="187"/>
      <c r="CG150" s="187"/>
      <c r="CH150" s="187"/>
      <c r="CI150" s="187"/>
      <c r="CJ150" s="187"/>
      <c r="CK150" s="188"/>
      <c r="CL150" s="192">
        <f>X150</f>
        <v>15.600000000000001</v>
      </c>
      <c r="CM150" s="188">
        <f>AA150</f>
        <v>34.4</v>
      </c>
      <c r="CN150" s="188">
        <f>AD150</f>
        <v>-31.5</v>
      </c>
      <c r="CO150" s="188">
        <f>AG150</f>
        <v>-24.900000000000002</v>
      </c>
      <c r="CP150" s="188">
        <f>AJ150</f>
        <v>-97.2</v>
      </c>
      <c r="CQ150" s="188">
        <f>AM150</f>
        <v>-76.399999999999991</v>
      </c>
      <c r="CR150" s="188">
        <f>AP150</f>
        <v>-78.900000000000006</v>
      </c>
      <c r="CS150" s="188">
        <f>AS150</f>
        <v>-85</v>
      </c>
      <c r="CT150" s="188">
        <f>AV150</f>
        <v>-82.699999999999989</v>
      </c>
      <c r="CU150" s="188">
        <f>AY150</f>
        <v>-18.7</v>
      </c>
      <c r="CV150" s="188">
        <f>BB150</f>
        <v>-41.099999999999994</v>
      </c>
      <c r="CW150" s="188">
        <f>BE150</f>
        <v>-33.5</v>
      </c>
      <c r="CX150" s="188">
        <f>BH150</f>
        <v>-57.8</v>
      </c>
      <c r="CY150" s="188">
        <f>BK150</f>
        <v>-48.100000000000009</v>
      </c>
      <c r="CZ150" s="188">
        <f>BN150</f>
        <v>1.7818493436445877</v>
      </c>
      <c r="DA150" s="188">
        <f>BQ150</f>
        <v>11.641332741852338</v>
      </c>
      <c r="DB150" s="188">
        <f>BT150</f>
        <v>-1.8983239116884718</v>
      </c>
      <c r="DC150" s="188">
        <f>BW150</f>
        <v>-17.106662293460943</v>
      </c>
      <c r="DD150" s="188">
        <f>BZ150</f>
        <v>-84.70244595016041</v>
      </c>
      <c r="DE150" s="188">
        <f>CC150</f>
        <v>-102.41411016752231</v>
      </c>
    </row>
    <row r="151" spans="1:137" ht="12.75" customHeight="1">
      <c r="A151" s="1"/>
      <c r="B151" s="13" t="s">
        <v>138</v>
      </c>
      <c r="C151" s="1"/>
      <c r="D151" s="188"/>
      <c r="E151" s="188"/>
      <c r="F151" s="188"/>
      <c r="G151" s="188"/>
      <c r="H151" s="188"/>
      <c r="I151" s="188"/>
      <c r="J151" s="188">
        <f t="shared" ref="J151:BJ151" si="882">J34</f>
        <v>0</v>
      </c>
      <c r="K151" s="188">
        <f t="shared" si="882"/>
        <v>0</v>
      </c>
      <c r="L151" s="188">
        <f t="shared" si="882"/>
        <v>-5.2</v>
      </c>
      <c r="M151" s="188">
        <f t="shared" si="882"/>
        <v>14.6</v>
      </c>
      <c r="N151" s="188">
        <f t="shared" si="882"/>
        <v>8.7000000000000011</v>
      </c>
      <c r="O151" s="188">
        <f t="shared" si="882"/>
        <v>23.3</v>
      </c>
      <c r="P151" s="188">
        <f t="shared" si="882"/>
        <v>-4.8</v>
      </c>
      <c r="Q151" s="188">
        <f t="shared" si="882"/>
        <v>3.8</v>
      </c>
      <c r="R151" s="188">
        <f t="shared" si="882"/>
        <v>-1</v>
      </c>
      <c r="S151" s="188">
        <f t="shared" si="882"/>
        <v>-5.9</v>
      </c>
      <c r="T151" s="188">
        <f t="shared" si="882"/>
        <v>-2.9000000000000004</v>
      </c>
      <c r="U151" s="188">
        <f t="shared" si="882"/>
        <v>-8.8000000000000007</v>
      </c>
      <c r="V151" s="188">
        <f t="shared" si="882"/>
        <v>-4.5999999999999996</v>
      </c>
      <c r="W151" s="188">
        <f t="shared" si="882"/>
        <v>-6.3000000000000007</v>
      </c>
      <c r="X151" s="188">
        <f t="shared" si="882"/>
        <v>-10.9</v>
      </c>
      <c r="Y151" s="188">
        <f t="shared" si="882"/>
        <v>-10.7</v>
      </c>
      <c r="Z151" s="188">
        <f t="shared" si="882"/>
        <v>-1.9000000000000004</v>
      </c>
      <c r="AA151" s="188">
        <f t="shared" si="882"/>
        <v>-12.6</v>
      </c>
      <c r="AB151" s="188">
        <f t="shared" si="882"/>
        <v>-5</v>
      </c>
      <c r="AC151" s="188">
        <f t="shared" si="882"/>
        <v>-8</v>
      </c>
      <c r="AD151" s="188">
        <f t="shared" si="882"/>
        <v>-13</v>
      </c>
      <c r="AE151" s="188">
        <f t="shared" si="882"/>
        <v>-9.1999999999999993</v>
      </c>
      <c r="AF151" s="188">
        <f t="shared" si="882"/>
        <v>-11.8</v>
      </c>
      <c r="AG151" s="188">
        <f t="shared" si="882"/>
        <v>-21</v>
      </c>
      <c r="AH151" s="188">
        <f t="shared" si="882"/>
        <v>-37.9</v>
      </c>
      <c r="AI151" s="188">
        <f t="shared" si="882"/>
        <v>-17.300000000000004</v>
      </c>
      <c r="AJ151" s="188">
        <f t="shared" si="882"/>
        <v>-55.2</v>
      </c>
      <c r="AK151" s="188">
        <f t="shared" si="882"/>
        <v>-37.799999999999997</v>
      </c>
      <c r="AL151" s="188">
        <f t="shared" si="882"/>
        <v>-11.5</v>
      </c>
      <c r="AM151" s="188">
        <f t="shared" si="882"/>
        <v>-49.3</v>
      </c>
      <c r="AN151" s="188">
        <f t="shared" si="882"/>
        <v>-25.5</v>
      </c>
      <c r="AO151" s="188">
        <f t="shared" si="882"/>
        <v>-22.1</v>
      </c>
      <c r="AP151" s="188">
        <f t="shared" si="882"/>
        <v>-47.6</v>
      </c>
      <c r="AQ151" s="188">
        <f t="shared" si="882"/>
        <v>-27.1</v>
      </c>
      <c r="AR151" s="188">
        <f t="shared" si="882"/>
        <v>-68</v>
      </c>
      <c r="AS151" s="188">
        <f t="shared" si="882"/>
        <v>-95.1</v>
      </c>
      <c r="AT151" s="188">
        <f t="shared" si="882"/>
        <v>-32.4</v>
      </c>
      <c r="AU151" s="188">
        <f t="shared" si="882"/>
        <v>-56.4</v>
      </c>
      <c r="AV151" s="188">
        <f t="shared" si="882"/>
        <v>-88.8</v>
      </c>
      <c r="AW151" s="188">
        <f t="shared" si="882"/>
        <v>-30.3</v>
      </c>
      <c r="AX151" s="188">
        <f t="shared" si="882"/>
        <v>-28.400000000000002</v>
      </c>
      <c r="AY151" s="188">
        <f t="shared" si="874"/>
        <v>-58.7</v>
      </c>
      <c r="AZ151" s="188">
        <f t="shared" si="882"/>
        <v>-52</v>
      </c>
      <c r="BA151" s="188">
        <f t="shared" si="882"/>
        <v>-75.099999999999994</v>
      </c>
      <c r="BB151" s="217">
        <f t="shared" si="864"/>
        <v>-127.1</v>
      </c>
      <c r="BC151" s="188">
        <f t="shared" si="882"/>
        <v>-70.099999999999994</v>
      </c>
      <c r="BD151" s="188">
        <f t="shared" si="882"/>
        <v>-73.900000000000006</v>
      </c>
      <c r="BE151" s="188">
        <f t="shared" si="875"/>
        <v>-144</v>
      </c>
      <c r="BF151" s="188">
        <f t="shared" si="882"/>
        <v>-87.4</v>
      </c>
      <c r="BG151" s="188">
        <f t="shared" si="882"/>
        <v>-82.299999999999983</v>
      </c>
      <c r="BH151" s="188">
        <f t="shared" si="882"/>
        <v>-169.7</v>
      </c>
      <c r="BI151" s="188">
        <f t="shared" si="882"/>
        <v>-51.4</v>
      </c>
      <c r="BJ151" s="188">
        <f t="shared" si="882"/>
        <v>-124.1</v>
      </c>
      <c r="BK151" s="217">
        <f t="shared" si="865"/>
        <v>-175.5</v>
      </c>
      <c r="BL151" s="188">
        <f t="shared" ref="BL151:BM151" si="883">BL34</f>
        <v>-33.1</v>
      </c>
      <c r="BM151" s="188">
        <f t="shared" ca="1" si="883"/>
        <v>-149.48138030376344</v>
      </c>
      <c r="BN151" s="188">
        <f t="shared" ca="1" si="867"/>
        <v>-182.58138030376344</v>
      </c>
      <c r="BO151" s="188">
        <f t="shared" ref="BO151:BQ151" ca="1" si="884">BO34</f>
        <v>-106.09776775096746</v>
      </c>
      <c r="BP151" s="188">
        <f t="shared" ca="1" si="884"/>
        <v>-107.53314923252736</v>
      </c>
      <c r="BQ151" s="188">
        <f t="shared" ca="1" si="884"/>
        <v>-213.63091698349484</v>
      </c>
      <c r="BR151" s="188">
        <f t="shared" ref="BR151:BT151" ca="1" si="885">BR34</f>
        <v>-122.26245164462561</v>
      </c>
      <c r="BS151" s="188">
        <f t="shared" ca="1" si="885"/>
        <v>-123.59398846424345</v>
      </c>
      <c r="BT151" s="188">
        <f t="shared" ca="1" si="885"/>
        <v>-245.85644010886907</v>
      </c>
      <c r="BU151" s="188">
        <f t="shared" ref="BU151:BZ151" ca="1" si="886">BU34</f>
        <v>-134.18838397308301</v>
      </c>
      <c r="BV151" s="188">
        <f t="shared" ca="1" si="886"/>
        <v>-135.5167861228195</v>
      </c>
      <c r="BW151" s="188">
        <f t="shared" ca="1" si="886"/>
        <v>-269.70517009590253</v>
      </c>
      <c r="BX151" s="188">
        <f t="shared" ca="1" si="886"/>
        <v>-146.96987110648311</v>
      </c>
      <c r="BY151" s="188">
        <f t="shared" ca="1" si="886"/>
        <v>-147.16851533855981</v>
      </c>
      <c r="BZ151" s="188">
        <f t="shared" ca="1" si="886"/>
        <v>-294.1383864450429</v>
      </c>
      <c r="CA151" s="188">
        <f t="shared" ref="CA151:CC151" ca="1" si="887">CA34</f>
        <v>-157.19293741484299</v>
      </c>
      <c r="CB151" s="188">
        <f t="shared" ca="1" si="887"/>
        <v>-157.50024840115137</v>
      </c>
      <c r="CC151" s="188">
        <f t="shared" ca="1" si="887"/>
        <v>-314.69318581599435</v>
      </c>
      <c r="CD151" s="186"/>
      <c r="CE151" s="187">
        <f t="shared" ref="CE151:CJ151" si="888">-CE34</f>
        <v>0</v>
      </c>
      <c r="CF151" s="187">
        <f t="shared" si="888"/>
        <v>0</v>
      </c>
      <c r="CG151" s="187">
        <f t="shared" si="888"/>
        <v>0</v>
      </c>
      <c r="CH151" s="187">
        <f t="shared" si="888"/>
        <v>0</v>
      </c>
      <c r="CI151" s="187">
        <f t="shared" si="888"/>
        <v>0</v>
      </c>
      <c r="CJ151" s="187">
        <f t="shared" si="888"/>
        <v>0</v>
      </c>
      <c r="CK151" s="188"/>
      <c r="CL151" s="188">
        <f t="shared" ref="CL151:CT151" si="889">CL34</f>
        <v>-10.9</v>
      </c>
      <c r="CM151" s="188">
        <f t="shared" si="889"/>
        <v>-12.6</v>
      </c>
      <c r="CN151" s="188">
        <f>CN34</f>
        <v>-13</v>
      </c>
      <c r="CO151" s="188">
        <f t="shared" si="889"/>
        <v>-21</v>
      </c>
      <c r="CP151" s="188">
        <f t="shared" si="889"/>
        <v>-55.2</v>
      </c>
      <c r="CQ151" s="188">
        <f t="shared" si="889"/>
        <v>-49.3</v>
      </c>
      <c r="CR151" s="188">
        <f t="shared" si="889"/>
        <v>-47.6</v>
      </c>
      <c r="CS151" s="188">
        <f t="shared" si="889"/>
        <v>-95.1</v>
      </c>
      <c r="CT151" s="188">
        <f t="shared" si="889"/>
        <v>-88.8</v>
      </c>
      <c r="CU151" s="188">
        <f t="shared" ref="CU151:CZ151" si="890">CU34</f>
        <v>-58.7</v>
      </c>
      <c r="CV151" s="188">
        <f t="shared" si="890"/>
        <v>-127.1</v>
      </c>
      <c r="CW151" s="188">
        <f t="shared" si="890"/>
        <v>-144</v>
      </c>
      <c r="CX151" s="188">
        <f t="shared" si="890"/>
        <v>-169.7</v>
      </c>
      <c r="CY151" s="188">
        <f t="shared" si="890"/>
        <v>-175.5</v>
      </c>
      <c r="CZ151" s="188">
        <f t="shared" ca="1" si="890"/>
        <v>-182.58138030376344</v>
      </c>
      <c r="DA151" s="188">
        <f t="shared" ref="DA151:DB151" ca="1" si="891">DA34</f>
        <v>-213.63091698349484</v>
      </c>
      <c r="DB151" s="188">
        <f t="shared" ca="1" si="891"/>
        <v>-245.85644010886907</v>
      </c>
      <c r="DC151" s="188">
        <f t="shared" ref="DC151:DD151" ca="1" si="892">DC34</f>
        <v>-269.70517009590253</v>
      </c>
      <c r="DD151" s="188">
        <f t="shared" ca="1" si="892"/>
        <v>-294.1383864450429</v>
      </c>
      <c r="DE151" s="188">
        <f t="shared" ref="DE151" ca="1" si="893">DE34</f>
        <v>-314.69318581599435</v>
      </c>
    </row>
    <row r="152" spans="1:137" ht="12.75" customHeight="1">
      <c r="A152" s="1"/>
      <c r="B152" s="13" t="s">
        <v>139</v>
      </c>
      <c r="C152" s="1"/>
      <c r="D152" s="188"/>
      <c r="E152" s="188"/>
      <c r="F152" s="188"/>
      <c r="G152" s="188"/>
      <c r="H152" s="188"/>
      <c r="I152" s="188"/>
      <c r="J152" s="188">
        <f t="shared" ref="J152:AB152" si="894">J66</f>
        <v>0</v>
      </c>
      <c r="K152" s="188">
        <f t="shared" si="894"/>
        <v>0</v>
      </c>
      <c r="L152" s="188">
        <f t="shared" si="894"/>
        <v>-14.3025</v>
      </c>
      <c r="M152" s="188">
        <f t="shared" si="894"/>
        <v>-7.1512500000000001</v>
      </c>
      <c r="N152" s="188">
        <f t="shared" si="894"/>
        <v>-6.3679999999999994</v>
      </c>
      <c r="O152" s="188">
        <f t="shared" si="894"/>
        <v>-13.51925</v>
      </c>
      <c r="P152" s="188">
        <f t="shared" si="894"/>
        <v>-6.0045000000000002</v>
      </c>
      <c r="Q152" s="188">
        <f t="shared" si="894"/>
        <v>-5.7389999999999999</v>
      </c>
      <c r="R152" s="188">
        <f t="shared" si="894"/>
        <v>-11.743500000000001</v>
      </c>
      <c r="S152" s="188">
        <f t="shared" si="894"/>
        <v>-5.6245000000000003</v>
      </c>
      <c r="T152" s="188">
        <f t="shared" si="894"/>
        <v>-6.0212500000000002</v>
      </c>
      <c r="U152" s="188">
        <f t="shared" si="894"/>
        <v>-11.64575</v>
      </c>
      <c r="V152" s="188">
        <f t="shared" si="894"/>
        <v>-6.05375</v>
      </c>
      <c r="W152" s="188">
        <f t="shared" si="894"/>
        <v>-5.6475</v>
      </c>
      <c r="X152" s="188">
        <f t="shared" si="894"/>
        <v>-11.70125</v>
      </c>
      <c r="Y152" s="188">
        <f t="shared" si="894"/>
        <v>-5.3422499999999999</v>
      </c>
      <c r="Z152" s="188">
        <f t="shared" si="894"/>
        <v>-5.226</v>
      </c>
      <c r="AA152" s="188">
        <f t="shared" si="894"/>
        <v>-10.568249999999999</v>
      </c>
      <c r="AB152" s="188">
        <f t="shared" si="894"/>
        <v>-5.4237500000000001</v>
      </c>
      <c r="AC152" s="188">
        <f>-Debt!J12</f>
        <v>-5.47675</v>
      </c>
      <c r="AD152" s="188">
        <f>SUM(AB152:AC152)</f>
        <v>-10.900500000000001</v>
      </c>
      <c r="AE152" s="188">
        <f>-Debt!L12</f>
        <v>-5.8722500000000002</v>
      </c>
      <c r="AF152" s="188">
        <f>-Debt!M12</f>
        <v>-6.774</v>
      </c>
      <c r="AG152" s="188">
        <f>SUM(AE152:AF152)</f>
        <v>-12.64625</v>
      </c>
      <c r="AH152" s="188">
        <f>-Debt!O12</f>
        <v>-7.5767500000000005</v>
      </c>
      <c r="AI152" s="188">
        <f>-Debt!P12</f>
        <v>-6.3812500000000005</v>
      </c>
      <c r="AJ152" s="188">
        <f>SUM(AH152:AI152)</f>
        <v>-13.958000000000002</v>
      </c>
      <c r="AK152" s="188">
        <f>-Debt!R12</f>
        <v>-6.4657500000000008</v>
      </c>
      <c r="AL152" s="188">
        <f>-Debt!S12</f>
        <v>-4.5845000000000002</v>
      </c>
      <c r="AM152" s="188">
        <f>SUM(AK152:AL152)</f>
        <v>-11.050250000000002</v>
      </c>
      <c r="AN152" s="188">
        <f>-Debt!U12</f>
        <v>-4.0326250000000003</v>
      </c>
      <c r="AO152" s="188">
        <f>-Debt!V12</f>
        <v>-4.0607499999999996</v>
      </c>
      <c r="AP152" s="188">
        <f>SUM(AN152:AO152)</f>
        <v>-8.093375</v>
      </c>
      <c r="AQ152" s="188">
        <f>-Debt!X12</f>
        <v>-4.5294999999999996</v>
      </c>
      <c r="AR152" s="188">
        <f>-Debt!Y12</f>
        <v>-4.391</v>
      </c>
      <c r="AS152" s="188">
        <f>SUM(AQ152:AR152)</f>
        <v>-8.9205000000000005</v>
      </c>
      <c r="AT152" s="188">
        <f>-Debt!AA12</f>
        <v>-3.8984999999999999</v>
      </c>
      <c r="AU152" s="188">
        <f>-Debt!AB12</f>
        <v>-4.7530000000000001</v>
      </c>
      <c r="AV152" s="188">
        <f t="shared" ref="AV152" si="895">SUM(AT152:AU152)</f>
        <v>-8.6515000000000004</v>
      </c>
      <c r="AW152" s="188">
        <f>-Debt!AD12</f>
        <v>-4.7530000000000001</v>
      </c>
      <c r="AX152" s="188">
        <f>-Debt!AE12</f>
        <v>-4.5635000000000003</v>
      </c>
      <c r="AY152" s="188">
        <f t="shared" si="874"/>
        <v>-9.3165000000000013</v>
      </c>
      <c r="AZ152" s="188">
        <f>-Debt!AG12</f>
        <v>-4.6280000000000001</v>
      </c>
      <c r="BA152" s="188">
        <f>-Debt!AH12</f>
        <v>-4.4137500000000003</v>
      </c>
      <c r="BB152" s="217">
        <f t="shared" si="864"/>
        <v>-9.0417500000000004</v>
      </c>
      <c r="BC152" s="188">
        <f>-Debt!AJ12</f>
        <v>-3.55925</v>
      </c>
      <c r="BD152" s="188">
        <f>-Debt!AK12</f>
        <v>-3.9852499999999997</v>
      </c>
      <c r="BE152" s="188">
        <f t="shared" si="875"/>
        <v>-7.5444999999999993</v>
      </c>
      <c r="BF152" s="188">
        <f>-Debt!AM12</f>
        <v>-4.1120000000000001</v>
      </c>
      <c r="BG152" s="188">
        <f>-Debt!AN12</f>
        <v>-4.1120000000000001</v>
      </c>
      <c r="BH152" s="188">
        <f t="shared" ref="BH152" si="896">SUM(BF152:BG152)</f>
        <v>-8.2240000000000002</v>
      </c>
      <c r="BI152" s="188">
        <f>-Debt!AP12</f>
        <v>-4.4457500000000003</v>
      </c>
      <c r="BJ152" s="188">
        <f>-Debt!AQ12</f>
        <v>-16.419499999999999</v>
      </c>
      <c r="BK152" s="217">
        <f t="shared" si="865"/>
        <v>-20.86525</v>
      </c>
      <c r="BL152" s="188">
        <f>-Debt!AS12</f>
        <v>-16.979749999999999</v>
      </c>
      <c r="BM152" s="188">
        <f>-Debt!AT12</f>
        <v>-14.005000000000001</v>
      </c>
      <c r="BN152" s="188">
        <f t="shared" si="867"/>
        <v>-30.984749999999998</v>
      </c>
      <c r="BO152" s="188">
        <f>-Debt!AV12</f>
        <v>-14.206010261923776</v>
      </c>
      <c r="BP152" s="188">
        <f>-Debt!AW12</f>
        <v>-14.379577935078984</v>
      </c>
      <c r="BQ152" s="188">
        <f t="shared" ref="BQ152" si="897">SUM(BO152:BP152)</f>
        <v>-28.58558819700276</v>
      </c>
      <c r="BR152" s="188">
        <f>-Debt!AY12</f>
        <v>0</v>
      </c>
      <c r="BS152" s="188">
        <f>-Debt!AZ12</f>
        <v>0</v>
      </c>
      <c r="BT152" s="188">
        <f t="shared" ref="BT152" si="898">SUM(BR152:BS152)</f>
        <v>0</v>
      </c>
      <c r="BU152" s="188">
        <f>-Debt!BB12</f>
        <v>0</v>
      </c>
      <c r="BV152" s="188">
        <f>-Debt!BC12</f>
        <v>0</v>
      </c>
      <c r="BW152" s="188">
        <f t="shared" ref="BW152" si="899">SUM(BU152:BV152)</f>
        <v>0</v>
      </c>
      <c r="BX152" s="188">
        <f>-Debt!BE12</f>
        <v>0</v>
      </c>
      <c r="BY152" s="188">
        <f>-Debt!BF12</f>
        <v>0</v>
      </c>
      <c r="BZ152" s="188">
        <f t="shared" ref="BZ152" si="900">SUM(BX152:BY152)</f>
        <v>0</v>
      </c>
      <c r="CA152" s="188">
        <f>-Debt!BH12</f>
        <v>-10.568249999999999</v>
      </c>
      <c r="CB152" s="188">
        <f>-Debt!BI12</f>
        <v>-10.900500000000001</v>
      </c>
      <c r="CC152" s="188">
        <f t="shared" ref="CC152" si="901">SUM(CA152:CB152)</f>
        <v>-21.46875</v>
      </c>
      <c r="CD152" s="186"/>
      <c r="CE152" s="187"/>
      <c r="CF152" s="187"/>
      <c r="CG152" s="187"/>
      <c r="CH152" s="187"/>
      <c r="CI152" s="187"/>
      <c r="CJ152" s="187"/>
      <c r="CK152" s="188"/>
      <c r="CL152" s="192">
        <f>X152</f>
        <v>-11.70125</v>
      </c>
      <c r="CM152" s="188">
        <f>AA152</f>
        <v>-10.568249999999999</v>
      </c>
      <c r="CN152" s="188">
        <f>AD152</f>
        <v>-10.900500000000001</v>
      </c>
      <c r="CO152" s="188">
        <f>AG152</f>
        <v>-12.64625</v>
      </c>
      <c r="CP152" s="188">
        <f>AJ152</f>
        <v>-13.958000000000002</v>
      </c>
      <c r="CQ152" s="188">
        <f>AM152</f>
        <v>-11.050250000000002</v>
      </c>
      <c r="CR152" s="188">
        <f>AP152</f>
        <v>-8.093375</v>
      </c>
      <c r="CS152" s="188">
        <f>AS152</f>
        <v>-8.9205000000000005</v>
      </c>
      <c r="CT152" s="188">
        <f>AV152</f>
        <v>-8.6515000000000004</v>
      </c>
      <c r="CU152" s="188">
        <f>AY152</f>
        <v>-9.3165000000000013</v>
      </c>
      <c r="CV152" s="188">
        <f>BB152</f>
        <v>-9.0417500000000004</v>
      </c>
      <c r="CW152" s="188">
        <f>BE152</f>
        <v>-7.5444999999999993</v>
      </c>
      <c r="CX152" s="188">
        <f>BH152</f>
        <v>-8.2240000000000002</v>
      </c>
      <c r="CY152" s="188">
        <f>BK152</f>
        <v>-20.86525</v>
      </c>
      <c r="CZ152" s="188">
        <f>BN152</f>
        <v>-30.984749999999998</v>
      </c>
      <c r="DA152" s="188">
        <f>BQ152</f>
        <v>-28.58558819700276</v>
      </c>
      <c r="DB152" s="188">
        <f>BT152</f>
        <v>0</v>
      </c>
      <c r="DC152" s="188">
        <f>BW152</f>
        <v>0</v>
      </c>
      <c r="DD152" s="188">
        <f>BZ152</f>
        <v>0</v>
      </c>
      <c r="DE152" s="188">
        <f>CC152</f>
        <v>-21.46875</v>
      </c>
    </row>
    <row r="153" spans="1:137" ht="12.75" customHeight="1">
      <c r="A153" s="1"/>
      <c r="B153" s="13" t="s">
        <v>140</v>
      </c>
      <c r="C153" s="1"/>
      <c r="D153" s="188"/>
      <c r="E153" s="188"/>
      <c r="F153" s="188"/>
      <c r="G153" s="188"/>
      <c r="H153" s="188"/>
      <c r="I153" s="188"/>
      <c r="J153" s="188">
        <f t="shared" ref="J153:BJ153" si="902">J61</f>
        <v>0</v>
      </c>
      <c r="K153" s="188">
        <f t="shared" si="902"/>
        <v>0</v>
      </c>
      <c r="L153" s="188">
        <f t="shared" si="902"/>
        <v>0</v>
      </c>
      <c r="M153" s="188">
        <f t="shared" si="902"/>
        <v>2.1119999999999997</v>
      </c>
      <c r="N153" s="188">
        <f t="shared" si="902"/>
        <v>2.4359999999999999</v>
      </c>
      <c r="O153" s="188">
        <f t="shared" si="902"/>
        <v>4.548</v>
      </c>
      <c r="P153" s="188">
        <f t="shared" si="902"/>
        <v>1.986</v>
      </c>
      <c r="Q153" s="188">
        <f t="shared" si="902"/>
        <v>1.9644000000000006</v>
      </c>
      <c r="R153" s="188">
        <f t="shared" si="902"/>
        <v>3.9504000000000006</v>
      </c>
      <c r="S153" s="188">
        <f t="shared" si="902"/>
        <v>1.9776</v>
      </c>
      <c r="T153" s="188">
        <f t="shared" si="902"/>
        <v>1.9763999999999999</v>
      </c>
      <c r="U153" s="188">
        <f t="shared" si="902"/>
        <v>3.9539999999999997</v>
      </c>
      <c r="V153" s="188">
        <f t="shared" si="902"/>
        <v>2.0531999999999999</v>
      </c>
      <c r="W153" s="188">
        <f t="shared" si="902"/>
        <v>2.1768000000000005</v>
      </c>
      <c r="X153" s="188">
        <f t="shared" si="902"/>
        <v>4.2300000000000004</v>
      </c>
      <c r="Y153" s="188">
        <f t="shared" si="902"/>
        <v>2.2848000000000002</v>
      </c>
      <c r="Z153" s="188">
        <f t="shared" si="902"/>
        <v>2.3123999999999998</v>
      </c>
      <c r="AA153" s="188">
        <f t="shared" si="902"/>
        <v>4.5972</v>
      </c>
      <c r="AB153" s="188">
        <f t="shared" si="902"/>
        <v>2.2391999999999999</v>
      </c>
      <c r="AC153" s="188">
        <f t="shared" si="902"/>
        <v>2.3951999999999996</v>
      </c>
      <c r="AD153" s="188">
        <f t="shared" si="902"/>
        <v>4.6343999999999994</v>
      </c>
      <c r="AE153" s="188">
        <f>AE61</f>
        <v>2.3448000000000002</v>
      </c>
      <c r="AF153" s="188">
        <f t="shared" si="902"/>
        <v>2.3904000000000001</v>
      </c>
      <c r="AG153" s="188">
        <f t="shared" si="902"/>
        <v>4.7352000000000007</v>
      </c>
      <c r="AH153" s="188">
        <f t="shared" si="902"/>
        <v>2.4707999999999997</v>
      </c>
      <c r="AI153" s="188">
        <f t="shared" si="902"/>
        <v>2.4084000000000003</v>
      </c>
      <c r="AJ153" s="188">
        <f t="shared" si="902"/>
        <v>4.8792</v>
      </c>
      <c r="AK153" s="188">
        <f t="shared" si="902"/>
        <v>2.3532000000000006</v>
      </c>
      <c r="AL153" s="188">
        <f t="shared" si="902"/>
        <v>2.4071999999999996</v>
      </c>
      <c r="AM153" s="188">
        <f t="shared" si="902"/>
        <v>4.7604000000000006</v>
      </c>
      <c r="AN153" s="188">
        <f t="shared" si="902"/>
        <v>2.3172000000000001</v>
      </c>
      <c r="AO153" s="188">
        <f t="shared" si="902"/>
        <v>2.3004000000000002</v>
      </c>
      <c r="AP153" s="188">
        <f t="shared" si="902"/>
        <v>4.6176000000000004</v>
      </c>
      <c r="AQ153" s="188">
        <f t="shared" si="902"/>
        <v>2.1815999999999995</v>
      </c>
      <c r="AR153" s="188">
        <f t="shared" si="902"/>
        <v>2.2836000000000003</v>
      </c>
      <c r="AS153" s="188">
        <f t="shared" si="902"/>
        <v>4.4651999999999994</v>
      </c>
      <c r="AT153" s="188">
        <f t="shared" si="902"/>
        <v>2.5596000000000001</v>
      </c>
      <c r="AU153" s="188">
        <f t="shared" si="902"/>
        <v>2.5427999999999997</v>
      </c>
      <c r="AV153" s="188">
        <f t="shared" si="902"/>
        <v>5.1023999999999994</v>
      </c>
      <c r="AW153" s="188">
        <f t="shared" si="902"/>
        <v>2.3532000000000006</v>
      </c>
      <c r="AX153" s="188">
        <f t="shared" si="902"/>
        <v>2.5847999999999995</v>
      </c>
      <c r="AY153" s="188">
        <f t="shared" si="874"/>
        <v>4.9380000000000006</v>
      </c>
      <c r="AZ153" s="188">
        <f t="shared" si="902"/>
        <v>2.8079999999999998</v>
      </c>
      <c r="BA153" s="188">
        <f t="shared" si="902"/>
        <v>3.1272000000000002</v>
      </c>
      <c r="BB153" s="217">
        <f t="shared" si="864"/>
        <v>5.9352</v>
      </c>
      <c r="BC153" s="188">
        <f t="shared" si="902"/>
        <v>3.1212000000000004</v>
      </c>
      <c r="BD153" s="188">
        <f t="shared" si="902"/>
        <v>3.2555999999999994</v>
      </c>
      <c r="BE153" s="188">
        <f t="shared" si="875"/>
        <v>6.3767999999999994</v>
      </c>
      <c r="BF153" s="188">
        <f t="shared" si="902"/>
        <v>3.3384</v>
      </c>
      <c r="BG153" s="188">
        <f t="shared" si="902"/>
        <v>3.466800000000001</v>
      </c>
      <c r="BH153" s="188">
        <f t="shared" si="902"/>
        <v>6.805200000000001</v>
      </c>
      <c r="BI153" s="188">
        <f t="shared" si="902"/>
        <v>3.7427999999999999</v>
      </c>
      <c r="BJ153" s="188">
        <f t="shared" si="902"/>
        <v>4.3896000000000006</v>
      </c>
      <c r="BK153" s="217">
        <f t="shared" si="865"/>
        <v>8.1324000000000005</v>
      </c>
      <c r="BL153" s="188">
        <f t="shared" ref="BL153:BM153" si="903">BL61</f>
        <v>4.3920000000000003</v>
      </c>
      <c r="BM153" s="188">
        <f t="shared" si="903"/>
        <v>4.5596856914702411</v>
      </c>
      <c r="BN153" s="188">
        <f t="shared" si="867"/>
        <v>8.9516856914702423</v>
      </c>
      <c r="BO153" s="188">
        <f t="shared" ref="BO153:BQ153" si="904">BO61</f>
        <v>4.8089461426023723</v>
      </c>
      <c r="BP153" s="188">
        <f t="shared" si="904"/>
        <v>5.0813963468714851</v>
      </c>
      <c r="BQ153" s="188">
        <f t="shared" si="904"/>
        <v>9.8903424894738574</v>
      </c>
      <c r="BR153" s="188">
        <f t="shared" ref="BR153:BT153" si="905">BR61</f>
        <v>5.4194209383982299</v>
      </c>
      <c r="BS153" s="188">
        <f t="shared" si="905"/>
        <v>5.7206804129815438</v>
      </c>
      <c r="BT153" s="188">
        <f t="shared" si="905"/>
        <v>11.140101351379773</v>
      </c>
      <c r="BU153" s="188">
        <f t="shared" ref="BU153:BZ153" si="906">BU61</f>
        <v>6.0887868352444716</v>
      </c>
      <c r="BV153" s="188">
        <f t="shared" si="906"/>
        <v>6.4214546177732856</v>
      </c>
      <c r="BW153" s="188">
        <f t="shared" si="906"/>
        <v>12.510241453017757</v>
      </c>
      <c r="BX153" s="188">
        <f t="shared" si="906"/>
        <v>6.8223519669599062</v>
      </c>
      <c r="BY153" s="188">
        <f t="shared" si="906"/>
        <v>7.1892517524173503</v>
      </c>
      <c r="BZ153" s="188">
        <f t="shared" si="906"/>
        <v>14.011603719377256</v>
      </c>
      <c r="CA153" s="188">
        <f t="shared" ref="CA153:CC153" si="907">CA61</f>
        <v>7.6258830467210927</v>
      </c>
      <c r="CB153" s="188">
        <f t="shared" si="907"/>
        <v>8.0300820924902947</v>
      </c>
      <c r="CC153" s="188">
        <f t="shared" si="907"/>
        <v>15.655965139211387</v>
      </c>
      <c r="CD153" s="186"/>
      <c r="CE153" s="187"/>
      <c r="CF153" s="187"/>
      <c r="CG153" s="187"/>
      <c r="CH153" s="187"/>
      <c r="CI153" s="187"/>
      <c r="CJ153" s="187"/>
      <c r="CK153" s="188"/>
      <c r="CL153" s="192">
        <f>X153</f>
        <v>4.2300000000000004</v>
      </c>
      <c r="CM153" s="188">
        <f>AA153</f>
        <v>4.5972</v>
      </c>
      <c r="CN153" s="188">
        <f>AD153</f>
        <v>4.6343999999999994</v>
      </c>
      <c r="CO153" s="188">
        <f>AG153</f>
        <v>4.7352000000000007</v>
      </c>
      <c r="CP153" s="188">
        <f>AJ153</f>
        <v>4.8792</v>
      </c>
      <c r="CQ153" s="188">
        <f>AM153</f>
        <v>4.7604000000000006</v>
      </c>
      <c r="CR153" s="188">
        <f>AP153</f>
        <v>4.6176000000000004</v>
      </c>
      <c r="CS153" s="188">
        <f>AS153</f>
        <v>4.4651999999999994</v>
      </c>
      <c r="CT153" s="188">
        <f>AV153</f>
        <v>5.1023999999999994</v>
      </c>
      <c r="CU153" s="188">
        <f>AY153</f>
        <v>4.9380000000000006</v>
      </c>
      <c r="CV153" s="188">
        <f>BB153</f>
        <v>5.9352</v>
      </c>
      <c r="CW153" s="188">
        <f>BE153</f>
        <v>6.3767999999999994</v>
      </c>
      <c r="CX153" s="188">
        <f>BH153</f>
        <v>6.805200000000001</v>
      </c>
      <c r="CY153" s="188">
        <f>BK153</f>
        <v>8.1324000000000005</v>
      </c>
      <c r="CZ153" s="188">
        <f>BN153</f>
        <v>8.9516856914702423</v>
      </c>
      <c r="DA153" s="188">
        <f>BQ153</f>
        <v>9.8903424894738574</v>
      </c>
      <c r="DB153" s="188">
        <f>BT153</f>
        <v>11.140101351379773</v>
      </c>
      <c r="DC153" s="188">
        <f>BW153</f>
        <v>12.510241453017757</v>
      </c>
      <c r="DD153" s="188">
        <f>BZ153</f>
        <v>14.011603719377256</v>
      </c>
      <c r="DE153" s="188">
        <f>CC153</f>
        <v>15.655965139211387</v>
      </c>
    </row>
    <row r="154" spans="1:137" ht="12.75" customHeight="1">
      <c r="A154" s="1"/>
      <c r="B154" s="13" t="s">
        <v>141</v>
      </c>
      <c r="C154" s="1"/>
      <c r="D154" s="188"/>
      <c r="E154" s="188"/>
      <c r="F154" s="188"/>
      <c r="G154" s="188"/>
      <c r="H154" s="188"/>
      <c r="I154" s="188"/>
      <c r="J154" s="188">
        <f t="shared" ref="J154:AB154" si="908">J68</f>
        <v>0</v>
      </c>
      <c r="K154" s="188">
        <f t="shared" si="908"/>
        <v>0</v>
      </c>
      <c r="L154" s="188">
        <f t="shared" si="908"/>
        <v>-7.1840000000000002</v>
      </c>
      <c r="M154" s="188">
        <f t="shared" si="908"/>
        <v>-2.8159999999999998</v>
      </c>
      <c r="N154" s="188">
        <f t="shared" si="908"/>
        <v>-3.2480000000000002</v>
      </c>
      <c r="O154" s="188">
        <f t="shared" si="908"/>
        <v>-6.0640000000000001</v>
      </c>
      <c r="P154" s="188">
        <f t="shared" si="908"/>
        <v>-2.6480000000000001</v>
      </c>
      <c r="Q154" s="188">
        <f t="shared" si="908"/>
        <v>-2.6192000000000006</v>
      </c>
      <c r="R154" s="188">
        <f t="shared" si="908"/>
        <v>-5.2672000000000008</v>
      </c>
      <c r="S154" s="188">
        <f t="shared" si="908"/>
        <v>-2.6368</v>
      </c>
      <c r="T154" s="188">
        <f t="shared" si="908"/>
        <v>-2.6352000000000002</v>
      </c>
      <c r="U154" s="188">
        <f t="shared" si="908"/>
        <v>-5.2720000000000002</v>
      </c>
      <c r="V154" s="188">
        <f t="shared" si="908"/>
        <v>-2.7376</v>
      </c>
      <c r="W154" s="188">
        <f t="shared" si="908"/>
        <v>-2.9024000000000005</v>
      </c>
      <c r="X154" s="188">
        <f t="shared" si="908"/>
        <v>-5.6400000000000006</v>
      </c>
      <c r="Y154" s="188">
        <f t="shared" si="908"/>
        <v>-3.0464000000000002</v>
      </c>
      <c r="Z154" s="188">
        <f t="shared" si="908"/>
        <v>-3.0831999999999997</v>
      </c>
      <c r="AA154" s="188">
        <f t="shared" si="908"/>
        <v>-6.1295999999999999</v>
      </c>
      <c r="AB154" s="188">
        <f t="shared" si="908"/>
        <v>-2.9855999999999994</v>
      </c>
      <c r="AC154" s="188">
        <f>-Debt!J14</f>
        <v>-3.1935999999999996</v>
      </c>
      <c r="AD154" s="188">
        <f>SUM(AB154:AC154)</f>
        <v>-6.1791999999999989</v>
      </c>
      <c r="AE154" s="188">
        <f>-Debt!L14</f>
        <v>-3.1264000000000003</v>
      </c>
      <c r="AF154" s="188">
        <f>-Debt!M14</f>
        <v>-3.1872000000000003</v>
      </c>
      <c r="AG154" s="188">
        <f>SUM(AE154:AF154)</f>
        <v>-6.313600000000001</v>
      </c>
      <c r="AH154" s="188">
        <f>-Debt!O14</f>
        <v>-3.2943999999999996</v>
      </c>
      <c r="AI154" s="188">
        <f>-Debt!P14</f>
        <v>-3.2112000000000003</v>
      </c>
      <c r="AJ154" s="188">
        <f>SUM(AH154:AI154)</f>
        <v>-6.5055999999999994</v>
      </c>
      <c r="AK154" s="188">
        <f>-Debt!R14</f>
        <v>-3.1376000000000004</v>
      </c>
      <c r="AL154" s="188">
        <f>-Debt!S14</f>
        <v>-3.2095999999999996</v>
      </c>
      <c r="AM154" s="188">
        <f>SUM(AK154:AL154)</f>
        <v>-6.3472</v>
      </c>
      <c r="AN154" s="188">
        <f>-Debt!U14</f>
        <v>-3.0896000000000003</v>
      </c>
      <c r="AO154" s="188">
        <f>-Debt!V14</f>
        <v>-3.0672000000000006</v>
      </c>
      <c r="AP154" s="188">
        <f>SUM(AN154:AO154)</f>
        <v>-6.1568000000000005</v>
      </c>
      <c r="AQ154" s="188">
        <f>-Debt!X14</f>
        <v>-2.9087999999999998</v>
      </c>
      <c r="AR154" s="188">
        <f>-Debt!Y14</f>
        <v>-3.0448000000000004</v>
      </c>
      <c r="AS154" s="188">
        <f>SUM(AQ154:AR154)</f>
        <v>-5.9535999999999998</v>
      </c>
      <c r="AT154" s="188">
        <f>-Debt!AA14</f>
        <v>-3.4127999999999998</v>
      </c>
      <c r="AU154" s="188">
        <f>-Debt!AB14</f>
        <v>-3.3903999999999996</v>
      </c>
      <c r="AV154" s="188">
        <f t="shared" ref="AV154:AV156" si="909">SUM(AT154:AU154)</f>
        <v>-6.8031999999999995</v>
      </c>
      <c r="AW154" s="188">
        <f>-Debt!AD14</f>
        <v>-3.1376000000000004</v>
      </c>
      <c r="AX154" s="188">
        <f>-Debt!AE14</f>
        <v>-3.4463999999999997</v>
      </c>
      <c r="AY154" s="188">
        <f t="shared" si="874"/>
        <v>-6.5839999999999996</v>
      </c>
      <c r="AZ154" s="188">
        <f>-Debt!AG14</f>
        <v>-3.7439999999999998</v>
      </c>
      <c r="BA154" s="188">
        <f>-Debt!AH14</f>
        <v>-4.1696000000000009</v>
      </c>
      <c r="BB154" s="217">
        <f t="shared" si="864"/>
        <v>-7.9136000000000006</v>
      </c>
      <c r="BC154" s="188">
        <f>-Debt!AJ14</f>
        <v>-4.1616000000000009</v>
      </c>
      <c r="BD154" s="188">
        <f>-Debt!AK14</f>
        <v>-4.3407999999999998</v>
      </c>
      <c r="BE154" s="188">
        <f t="shared" si="875"/>
        <v>-8.5024000000000015</v>
      </c>
      <c r="BF154" s="188">
        <f>-Debt!AM14</f>
        <v>-4.4512</v>
      </c>
      <c r="BG154" s="188">
        <f>-Debt!AN14</f>
        <v>-4.6224000000000016</v>
      </c>
      <c r="BH154" s="188">
        <f t="shared" ref="BH154:BH156" si="910">SUM(BF154:BG154)</f>
        <v>-9.0736000000000026</v>
      </c>
      <c r="BI154" s="188">
        <f>-Debt!AP14</f>
        <v>-2.4951999999999996</v>
      </c>
      <c r="BJ154" s="188">
        <f>-Debt!AQ14</f>
        <v>-2.9264000000000006</v>
      </c>
      <c r="BK154" s="217">
        <f t="shared" si="865"/>
        <v>-5.4215999999999998</v>
      </c>
      <c r="BL154" s="188">
        <f>-Debt!AS14</f>
        <v>-2.9280000000000004</v>
      </c>
      <c r="BM154" s="188">
        <f>-Debt!AT14</f>
        <v>-3.0397904609801607</v>
      </c>
      <c r="BN154" s="188">
        <f t="shared" si="867"/>
        <v>-5.9677904609801615</v>
      </c>
      <c r="BO154" s="188">
        <f>-Debt!AV14</f>
        <v>-3.2059640950682478</v>
      </c>
      <c r="BP154" s="188">
        <f>-Debt!AW14</f>
        <v>-3.3875975645809904</v>
      </c>
      <c r="BQ154" s="188">
        <f t="shared" ref="BQ154:BQ156" si="911">SUM(BO154:BP154)</f>
        <v>-6.5935616596492377</v>
      </c>
      <c r="BR154" s="188">
        <f>-Debt!AY14</f>
        <v>0</v>
      </c>
      <c r="BS154" s="188">
        <f>-Debt!AZ14</f>
        <v>0</v>
      </c>
      <c r="BT154" s="188">
        <f t="shared" ref="BT154:BT156" si="912">SUM(BR154:BS154)</f>
        <v>0</v>
      </c>
      <c r="BU154" s="188">
        <f>-Debt!BB14</f>
        <v>0</v>
      </c>
      <c r="BV154" s="188">
        <f>-Debt!BC14</f>
        <v>0</v>
      </c>
      <c r="BW154" s="188">
        <f t="shared" ref="BW154:BW156" si="913">SUM(BU154:BV154)</f>
        <v>0</v>
      </c>
      <c r="BX154" s="188">
        <f>-Debt!BE14</f>
        <v>0</v>
      </c>
      <c r="BY154" s="188">
        <f>-Debt!BF14</f>
        <v>0</v>
      </c>
      <c r="BZ154" s="188">
        <f t="shared" ref="BZ154:BZ156" si="914">SUM(BX154:BY154)</f>
        <v>0</v>
      </c>
      <c r="CA154" s="188">
        <f>-Debt!BH14</f>
        <v>-6.1295999999999999</v>
      </c>
      <c r="CB154" s="188">
        <f>-Debt!BI14</f>
        <v>-6.1791999999999989</v>
      </c>
      <c r="CC154" s="188">
        <f t="shared" ref="CC154:CC156" si="915">SUM(CA154:CB154)</f>
        <v>-12.308799999999998</v>
      </c>
      <c r="CD154" s="186"/>
      <c r="CE154" s="187"/>
      <c r="CF154" s="187"/>
      <c r="CG154" s="187"/>
      <c r="CH154" s="187"/>
      <c r="CI154" s="187"/>
      <c r="CJ154" s="187"/>
      <c r="CK154" s="188"/>
      <c r="CL154" s="192">
        <f>X154</f>
        <v>-5.6400000000000006</v>
      </c>
      <c r="CM154" s="188">
        <f>AA154</f>
        <v>-6.1295999999999999</v>
      </c>
      <c r="CN154" s="188">
        <f>AD154</f>
        <v>-6.1791999999999989</v>
      </c>
      <c r="CO154" s="188">
        <f>AG154</f>
        <v>-6.313600000000001</v>
      </c>
      <c r="CP154" s="188">
        <f>AJ154</f>
        <v>-6.5055999999999994</v>
      </c>
      <c r="CQ154" s="188">
        <f>AM154</f>
        <v>-6.3472</v>
      </c>
      <c r="CR154" s="188">
        <f>AP154</f>
        <v>-6.1568000000000005</v>
      </c>
      <c r="CS154" s="188">
        <f>AS154</f>
        <v>-5.9535999999999998</v>
      </c>
      <c r="CT154" s="188">
        <f>AV154</f>
        <v>-6.8031999999999995</v>
      </c>
      <c r="CU154" s="188">
        <f>AY154</f>
        <v>-6.5839999999999996</v>
      </c>
      <c r="CV154" s="188">
        <f>BB154</f>
        <v>-7.9136000000000006</v>
      </c>
      <c r="CW154" s="188">
        <f>BE154</f>
        <v>-8.5024000000000015</v>
      </c>
      <c r="CX154" s="188">
        <f>BH154</f>
        <v>-9.0736000000000026</v>
      </c>
      <c r="CY154" s="188">
        <f>BK154</f>
        <v>-5.4215999999999998</v>
      </c>
      <c r="CZ154" s="188">
        <f>BN154</f>
        <v>-5.9677904609801615</v>
      </c>
      <c r="DA154" s="188">
        <f>BQ154</f>
        <v>-6.5935616596492377</v>
      </c>
      <c r="DB154" s="188">
        <f>BT154</f>
        <v>0</v>
      </c>
      <c r="DC154" s="188">
        <f>BW154</f>
        <v>0</v>
      </c>
      <c r="DD154" s="188">
        <f>BZ154</f>
        <v>0</v>
      </c>
      <c r="DE154" s="188">
        <f>CC154</f>
        <v>-12.308799999999998</v>
      </c>
    </row>
    <row r="155" spans="1:137" ht="12.75" customHeight="1">
      <c r="A155" s="1"/>
      <c r="B155" s="13" t="s">
        <v>142</v>
      </c>
      <c r="C155" s="1"/>
      <c r="D155" s="188"/>
      <c r="E155" s="188"/>
      <c r="F155" s="188"/>
      <c r="G155" s="188"/>
      <c r="H155" s="188"/>
      <c r="I155" s="188"/>
      <c r="J155" s="188">
        <f t="shared" ref="J155:AB155" si="916">J156-SUM(J148:J154)</f>
        <v>164.59999999999997</v>
      </c>
      <c r="K155" s="188">
        <f t="shared" si="916"/>
        <v>180.60000000000002</v>
      </c>
      <c r="L155" s="188">
        <f t="shared" si="916"/>
        <v>-520.71349999999984</v>
      </c>
      <c r="M155" s="188">
        <f t="shared" si="916"/>
        <v>-220.04475000000014</v>
      </c>
      <c r="N155" s="188">
        <f t="shared" si="916"/>
        <v>61.680000000000049</v>
      </c>
      <c r="O155" s="188">
        <f t="shared" si="916"/>
        <v>-69.562709183673462</v>
      </c>
      <c r="P155" s="188">
        <f t="shared" si="916"/>
        <v>83.766500000000036</v>
      </c>
      <c r="Q155" s="188">
        <f t="shared" si="916"/>
        <v>117.8765999999999</v>
      </c>
      <c r="R155" s="188">
        <f t="shared" si="916"/>
        <v>163.14310000000006</v>
      </c>
      <c r="S155" s="188">
        <f t="shared" si="916"/>
        <v>-214.51630000000003</v>
      </c>
      <c r="T155" s="188">
        <f t="shared" si="916"/>
        <v>19.080050000000199</v>
      </c>
      <c r="U155" s="188">
        <f t="shared" si="916"/>
        <v>-147.43624999999986</v>
      </c>
      <c r="V155" s="188">
        <f t="shared" si="916"/>
        <v>-125.36185</v>
      </c>
      <c r="W155" s="188">
        <f t="shared" si="916"/>
        <v>-135.52690000000001</v>
      </c>
      <c r="X155" s="188">
        <f t="shared" si="916"/>
        <v>-232.18875000000031</v>
      </c>
      <c r="Y155" s="188">
        <f t="shared" si="916"/>
        <v>48.403850000000034</v>
      </c>
      <c r="Z155" s="188">
        <f t="shared" si="916"/>
        <v>108.59679999999986</v>
      </c>
      <c r="AA155" s="188">
        <f t="shared" si="916"/>
        <v>169.40065000000004</v>
      </c>
      <c r="AB155" s="188">
        <f t="shared" si="916"/>
        <v>-155.32984999999996</v>
      </c>
      <c r="AC155" s="188">
        <f>266-SUM(AC148:AC154)</f>
        <v>-35.624849999999867</v>
      </c>
      <c r="AD155" s="188">
        <f>404.4-SUM(AD148:AD154)</f>
        <v>-190.45469999999989</v>
      </c>
      <c r="AE155" s="184">
        <f>AE156-SUM(AE148:AE154)</f>
        <v>4.1538499999999772</v>
      </c>
      <c r="AF155" s="184">
        <f>326.9-SUM(AF148:AF154)</f>
        <v>4.6707999999999856</v>
      </c>
      <c r="AG155" s="188">
        <f>SUM(AE155:AF155)</f>
        <v>8.8246499999999628</v>
      </c>
      <c r="AH155" s="188">
        <f>AH156-SUM(AH148:AH154)</f>
        <v>91.100350000000105</v>
      </c>
      <c r="AI155" s="188">
        <f>AI156-SUM(AI148:AI154)</f>
        <v>32.384050000000002</v>
      </c>
      <c r="AJ155" s="188">
        <f>SUM(AH155:AI155)</f>
        <v>123.48440000000011</v>
      </c>
      <c r="AK155" s="188">
        <f>AK156-SUM(AK148:AK154)</f>
        <v>22.050150000000031</v>
      </c>
      <c r="AL155" s="188">
        <f>AL156-SUM(AL148:AL154)</f>
        <v>-207.51309999999995</v>
      </c>
      <c r="AM155" s="188">
        <f>SUM(AK155:AL155)</f>
        <v>-185.46294999999992</v>
      </c>
      <c r="AN155" s="188">
        <f>AN156-SUM(AN148:AN154)</f>
        <v>224.805025</v>
      </c>
      <c r="AO155" s="188">
        <f>AO156-SUM(AO148:AO154)</f>
        <v>93.927549999999997</v>
      </c>
      <c r="AP155" s="188">
        <f>SUM(AN155:AO155)</f>
        <v>318.732575</v>
      </c>
      <c r="AQ155" s="188">
        <f>AQ156-SUM(AQ148:AQ154)</f>
        <v>-63.943300000000022</v>
      </c>
      <c r="AR155" s="188">
        <f>AR156-SUM(AR148:AR154)</f>
        <v>-47.047799999999881</v>
      </c>
      <c r="AS155" s="188">
        <f>SUM(AQ155:AR155)</f>
        <v>-110.9910999999999</v>
      </c>
      <c r="AT155" s="188">
        <f>AT156-SUM(AT148:AT154)</f>
        <v>-30.248300000000199</v>
      </c>
      <c r="AU155" s="188">
        <f>AU156-SUM(AU148:AU154)</f>
        <v>137.30060000000014</v>
      </c>
      <c r="AV155" s="188">
        <f t="shared" si="909"/>
        <v>107.05229999999995</v>
      </c>
      <c r="AW155" s="188">
        <f>AW156-SUM(AW148:AW154)</f>
        <v>269.13740000000007</v>
      </c>
      <c r="AX155" s="188">
        <f>AX156-SUM(AX148:AX154)</f>
        <v>-362.87489999999991</v>
      </c>
      <c r="AY155" s="188">
        <f t="shared" si="874"/>
        <v>-93.737499999999841</v>
      </c>
      <c r="AZ155" s="188">
        <f>AZ156-SUM(AZ148:AZ154)</f>
        <v>-501.53599999999983</v>
      </c>
      <c r="BA155" s="188">
        <f>BA156-SUM(BA148:BA154)</f>
        <v>-174.44385</v>
      </c>
      <c r="BB155" s="217">
        <f t="shared" si="864"/>
        <v>-675.97984999999983</v>
      </c>
      <c r="BC155" s="188">
        <f>BC156-SUM(BC148:BC154)</f>
        <v>-356.30034999999987</v>
      </c>
      <c r="BD155" s="188">
        <f>BD156-SUM(BD148:BD154)</f>
        <v>-133.0295500000002</v>
      </c>
      <c r="BE155" s="188">
        <f t="shared" si="875"/>
        <v>-489.32990000000007</v>
      </c>
      <c r="BF155" s="188">
        <f>BF156-SUM(BF148:BF154)</f>
        <v>-784.47519999999986</v>
      </c>
      <c r="BG155" s="188">
        <f>BG156-SUM(BG148:BG154)</f>
        <v>-65.832400000000234</v>
      </c>
      <c r="BH155" s="188">
        <f t="shared" si="910"/>
        <v>-850.30760000000009</v>
      </c>
      <c r="BI155" s="188">
        <f>BI156-SUM(BI148:BI154)</f>
        <v>-879.00184999999965</v>
      </c>
      <c r="BJ155" s="188">
        <f>BJ156-SUM(BJ148:BJ154)</f>
        <v>-454.44369999999981</v>
      </c>
      <c r="BK155" s="217">
        <f t="shared" si="865"/>
        <v>-1333.4455499999995</v>
      </c>
      <c r="BL155" s="188">
        <f>BL156-SUM(BL148:BL154)</f>
        <v>-595.58425</v>
      </c>
      <c r="BM155" s="188">
        <f t="shared" ref="BM155" si="917">+BM25</f>
        <v>0</v>
      </c>
      <c r="BN155" s="188">
        <f t="shared" si="867"/>
        <v>-595.58425</v>
      </c>
      <c r="BO155" s="188">
        <f t="shared" ref="BO155:BP155" si="918">+BO25</f>
        <v>0</v>
      </c>
      <c r="BP155" s="188">
        <f t="shared" si="918"/>
        <v>0</v>
      </c>
      <c r="BQ155" s="188">
        <f t="shared" si="911"/>
        <v>0</v>
      </c>
      <c r="BR155" s="188">
        <f t="shared" ref="BR155:BS155" si="919">+BR25</f>
        <v>0</v>
      </c>
      <c r="BS155" s="188">
        <f t="shared" si="919"/>
        <v>0</v>
      </c>
      <c r="BT155" s="188">
        <f t="shared" si="912"/>
        <v>0</v>
      </c>
      <c r="BU155" s="188">
        <f t="shared" ref="BU155:BV155" si="920">+BU25</f>
        <v>0</v>
      </c>
      <c r="BV155" s="188">
        <f t="shared" si="920"/>
        <v>0</v>
      </c>
      <c r="BW155" s="188">
        <f t="shared" si="913"/>
        <v>0</v>
      </c>
      <c r="BX155" s="188">
        <f t="shared" ref="BX155:BY155" si="921">+BX25</f>
        <v>0</v>
      </c>
      <c r="BY155" s="188">
        <f t="shared" si="921"/>
        <v>0</v>
      </c>
      <c r="BZ155" s="188">
        <f t="shared" si="914"/>
        <v>0</v>
      </c>
      <c r="CA155" s="188">
        <f t="shared" ref="CA155:CB155" si="922">+CA25</f>
        <v>0</v>
      </c>
      <c r="CB155" s="188">
        <f t="shared" si="922"/>
        <v>0</v>
      </c>
      <c r="CC155" s="188">
        <f t="shared" si="915"/>
        <v>0</v>
      </c>
      <c r="CD155" s="186"/>
      <c r="CE155" s="187"/>
      <c r="CF155" s="187"/>
      <c r="CG155" s="187"/>
      <c r="CH155" s="187"/>
      <c r="CI155" s="187"/>
      <c r="CJ155" s="187"/>
      <c r="CK155" s="188"/>
      <c r="CL155" s="192">
        <f>X155</f>
        <v>-232.18875000000031</v>
      </c>
      <c r="CM155" s="188">
        <f>AA155</f>
        <v>169.40065000000004</v>
      </c>
      <c r="CN155" s="188">
        <f>AD155</f>
        <v>-190.45469999999989</v>
      </c>
      <c r="CO155" s="188">
        <f>AG155</f>
        <v>8.8246499999999628</v>
      </c>
      <c r="CP155" s="188">
        <f>AJ155</f>
        <v>123.48440000000011</v>
      </c>
      <c r="CQ155" s="188">
        <f>AM155</f>
        <v>-185.46294999999992</v>
      </c>
      <c r="CR155" s="188">
        <f>AP155</f>
        <v>318.732575</v>
      </c>
      <c r="CS155" s="188">
        <f>AS155</f>
        <v>-110.9910999999999</v>
      </c>
      <c r="CT155" s="188">
        <f>AV155</f>
        <v>107.05229999999995</v>
      </c>
      <c r="CU155" s="188">
        <f>AY155</f>
        <v>-93.737499999999841</v>
      </c>
      <c r="CV155" s="188">
        <f>BB155</f>
        <v>-675.97984999999983</v>
      </c>
      <c r="CW155" s="188">
        <f>BE155</f>
        <v>-489.32990000000007</v>
      </c>
      <c r="CX155" s="188">
        <f>BH155</f>
        <v>-850.30760000000009</v>
      </c>
      <c r="CY155" s="188">
        <f>BK155</f>
        <v>-1333.4455499999995</v>
      </c>
      <c r="CZ155" s="188">
        <f>BN155</f>
        <v>-595.58425</v>
      </c>
      <c r="DA155" s="188">
        <f>BQ155</f>
        <v>0</v>
      </c>
      <c r="DB155" s="188">
        <f>BT155</f>
        <v>0</v>
      </c>
      <c r="DC155" s="188">
        <f>BW155</f>
        <v>0</v>
      </c>
      <c r="DD155" s="188">
        <f>BZ155</f>
        <v>0</v>
      </c>
      <c r="DE155" s="188">
        <f>CC155</f>
        <v>0</v>
      </c>
    </row>
    <row r="156" spans="1:137" s="86" customFormat="1" ht="12.75" customHeight="1" thickBot="1">
      <c r="A156" s="79"/>
      <c r="B156" s="80" t="s">
        <v>143</v>
      </c>
      <c r="C156" s="79"/>
      <c r="D156" s="81"/>
      <c r="E156" s="81"/>
      <c r="F156" s="171"/>
      <c r="G156" s="171"/>
      <c r="H156" s="171"/>
      <c r="I156" s="171"/>
      <c r="J156" s="171">
        <v>164.59999999999997</v>
      </c>
      <c r="K156" s="171">
        <v>180.60000000000002</v>
      </c>
      <c r="L156" s="171">
        <v>345.19999999999993</v>
      </c>
      <c r="M156" s="171">
        <v>155.10000000000002</v>
      </c>
      <c r="N156" s="171">
        <v>165.7</v>
      </c>
      <c r="O156" s="171">
        <v>320.79999999999995</v>
      </c>
      <c r="P156" s="171">
        <v>84.4</v>
      </c>
      <c r="Q156" s="171">
        <v>110.79999999999995</v>
      </c>
      <c r="R156" s="171">
        <v>195.20000000000002</v>
      </c>
      <c r="S156" s="82">
        <v>62.099999999999994</v>
      </c>
      <c r="T156" s="82">
        <v>232.30000000000007</v>
      </c>
      <c r="U156" s="171">
        <v>294.39999999999998</v>
      </c>
      <c r="V156" s="171">
        <v>140</v>
      </c>
      <c r="W156" s="171">
        <v>126.80000000000001</v>
      </c>
      <c r="X156" s="171">
        <v>266.79999999999995</v>
      </c>
      <c r="Y156" s="171">
        <v>226.3</v>
      </c>
      <c r="Z156" s="171">
        <v>129.79999999999995</v>
      </c>
      <c r="AA156" s="171">
        <v>356.09999999999997</v>
      </c>
      <c r="AB156" s="171">
        <v>138.39999999999998</v>
      </c>
      <c r="AC156" s="171">
        <f>SUM(AC148:AC155)</f>
        <v>266</v>
      </c>
      <c r="AD156" s="171">
        <f>SUM(AB156:AC156)</f>
        <v>404.4</v>
      </c>
      <c r="AE156" s="171">
        <v>327.8</v>
      </c>
      <c r="AF156" s="171">
        <f>SUM(AF148:AF155)</f>
        <v>326.89999999999998</v>
      </c>
      <c r="AG156" s="171">
        <f>SUM(AE156:AF156)</f>
        <v>654.70000000000005</v>
      </c>
      <c r="AH156" s="171">
        <v>444.8</v>
      </c>
      <c r="AI156" s="171">
        <f>830.1-AH156</f>
        <v>385.3</v>
      </c>
      <c r="AJ156" s="171">
        <f>SUM(AH156:AI156)</f>
        <v>830.1</v>
      </c>
      <c r="AK156" s="171">
        <v>406.5</v>
      </c>
      <c r="AL156" s="171">
        <f>586.4-AK156</f>
        <v>179.89999999999998</v>
      </c>
      <c r="AM156" s="82">
        <f>SUM(AK156:AL156)</f>
        <v>586.4</v>
      </c>
      <c r="AN156" s="171">
        <v>644.6</v>
      </c>
      <c r="AO156" s="171">
        <f>1161.2-AN156</f>
        <v>516.6</v>
      </c>
      <c r="AP156" s="82">
        <f>SUM(AN156:AO156)</f>
        <v>1161.2</v>
      </c>
      <c r="AQ156" s="171">
        <v>398.9</v>
      </c>
      <c r="AR156" s="171">
        <f>827.5-AQ156</f>
        <v>428.6</v>
      </c>
      <c r="AS156" s="82">
        <f>SUM(AQ156:AR156)</f>
        <v>827.5</v>
      </c>
      <c r="AT156" s="171">
        <v>495.4</v>
      </c>
      <c r="AU156" s="82">
        <f>1156.9-AT156</f>
        <v>661.50000000000011</v>
      </c>
      <c r="AV156" s="82">
        <f t="shared" si="909"/>
        <v>1156.9000000000001</v>
      </c>
      <c r="AW156" s="82">
        <v>878.5</v>
      </c>
      <c r="AX156" s="82">
        <f>1114.7-AW156</f>
        <v>236.20000000000005</v>
      </c>
      <c r="AY156" s="82">
        <f t="shared" ref="AY156" si="923">SUM(AW156:AX156)</f>
        <v>1114.7</v>
      </c>
      <c r="AZ156" s="171">
        <v>279.10000000000002</v>
      </c>
      <c r="BA156" s="171">
        <f>841-AZ156</f>
        <v>561.9</v>
      </c>
      <c r="BB156" s="82">
        <f t="shared" ref="BB156" si="924">SUM(AZ156:BA156)</f>
        <v>841</v>
      </c>
      <c r="BC156" s="171">
        <v>515.6</v>
      </c>
      <c r="BD156" s="171">
        <f>1284.2-BC156</f>
        <v>768.6</v>
      </c>
      <c r="BE156" s="82">
        <f t="shared" ref="BE156" si="925">SUM(BC156:BD156)</f>
        <v>1284.2</v>
      </c>
      <c r="BF156" s="171">
        <v>337.7</v>
      </c>
      <c r="BG156" s="171">
        <f>1188.6-BF156</f>
        <v>850.89999999999986</v>
      </c>
      <c r="BH156" s="82">
        <f t="shared" si="910"/>
        <v>1188.5999999999999</v>
      </c>
      <c r="BI156" s="171">
        <v>340.2</v>
      </c>
      <c r="BJ156" s="171">
        <f>959.6-BI156</f>
        <v>619.40000000000009</v>
      </c>
      <c r="BK156" s="82">
        <f t="shared" ref="BK156" si="926">SUM(BI156:BJ156)</f>
        <v>959.60000000000014</v>
      </c>
      <c r="BL156" s="171">
        <v>592.4</v>
      </c>
      <c r="BM156" s="82">
        <f t="shared" ref="BM156" ca="1" si="927">SUM(BM148:BM155)</f>
        <v>1434.7459052301019</v>
      </c>
      <c r="BN156" s="82">
        <f t="shared" ref="BN156" ca="1" si="928">SUM(BL156:BM156)</f>
        <v>2027.145905230102</v>
      </c>
      <c r="BO156" s="82">
        <f t="shared" ref="BO156:BP156" ca="1" si="929">SUM(BO148:BO155)</f>
        <v>1478.7928313593125</v>
      </c>
      <c r="BP156" s="82">
        <f t="shared" ca="1" si="929"/>
        <v>1477.9374458071559</v>
      </c>
      <c r="BQ156" s="82">
        <f t="shared" ca="1" si="911"/>
        <v>2956.7302771664681</v>
      </c>
      <c r="BR156" s="82">
        <f t="shared" ref="BR156:BS156" ca="1" si="930">SUM(BR148:BR155)</f>
        <v>1683.194421146065</v>
      </c>
      <c r="BS156" s="82">
        <f t="shared" ca="1" si="930"/>
        <v>1699.8218892046343</v>
      </c>
      <c r="BT156" s="82">
        <f t="shared" ca="1" si="912"/>
        <v>3383.0163103506993</v>
      </c>
      <c r="BU156" s="82">
        <f t="shared" ref="BU156:BV156" ca="1" si="931">SUM(BU148:BU155)</f>
        <v>1841.2617448959506</v>
      </c>
      <c r="BV156" s="82">
        <f t="shared" ca="1" si="931"/>
        <v>1864.0309475425702</v>
      </c>
      <c r="BW156" s="82">
        <f t="shared" ca="1" si="913"/>
        <v>3705.292692438521</v>
      </c>
      <c r="BX156" s="82">
        <f t="shared" ref="BX156:BY156" ca="1" si="932">SUM(BX148:BX155)</f>
        <v>1967.0022364025847</v>
      </c>
      <c r="BY156" s="82">
        <f t="shared" ca="1" si="932"/>
        <v>1980.8475832848628</v>
      </c>
      <c r="BZ156" s="82">
        <f t="shared" ca="1" si="914"/>
        <v>3947.8498196874475</v>
      </c>
      <c r="CA156" s="82">
        <f t="shared" ref="CA156:CB156" ca="1" si="933">SUM(CA148:CA155)</f>
        <v>2099.9242651876175</v>
      </c>
      <c r="CB156" s="82">
        <f t="shared" ca="1" si="933"/>
        <v>2118.193692218154</v>
      </c>
      <c r="CC156" s="82">
        <f t="shared" ca="1" si="915"/>
        <v>4218.1179574057714</v>
      </c>
      <c r="CD156" s="134"/>
      <c r="CE156" s="198"/>
      <c r="CF156" s="198"/>
      <c r="CG156" s="198"/>
      <c r="CH156" s="198"/>
      <c r="CI156" s="198"/>
      <c r="CJ156" s="198"/>
      <c r="CK156" s="199"/>
      <c r="CL156" s="246">
        <f>X156</f>
        <v>266.79999999999995</v>
      </c>
      <c r="CM156" s="247">
        <f>AA156</f>
        <v>356.09999999999997</v>
      </c>
      <c r="CN156" s="247">
        <f>AD156</f>
        <v>404.4</v>
      </c>
      <c r="CO156" s="247">
        <f>AG156</f>
        <v>654.70000000000005</v>
      </c>
      <c r="CP156" s="247">
        <f>AJ156</f>
        <v>830.1</v>
      </c>
      <c r="CQ156" s="247">
        <f>AM156</f>
        <v>586.4</v>
      </c>
      <c r="CR156" s="247">
        <f>AP156</f>
        <v>1161.2</v>
      </c>
      <c r="CS156" s="247">
        <f>AS156</f>
        <v>827.5</v>
      </c>
      <c r="CT156" s="247">
        <f>AV156</f>
        <v>1156.9000000000001</v>
      </c>
      <c r="CU156" s="247">
        <f>AY156</f>
        <v>1114.7</v>
      </c>
      <c r="CV156" s="247">
        <f>BB156</f>
        <v>841</v>
      </c>
      <c r="CW156" s="247">
        <f>BE156</f>
        <v>1284.2</v>
      </c>
      <c r="CX156" s="247">
        <f>BH156</f>
        <v>1188.5999999999999</v>
      </c>
      <c r="CY156" s="247">
        <f>BK156</f>
        <v>959.60000000000014</v>
      </c>
      <c r="CZ156" s="247">
        <f ca="1">BN156</f>
        <v>2027.145905230102</v>
      </c>
      <c r="DA156" s="247">
        <f ca="1">BQ156</f>
        <v>2956.7302771664681</v>
      </c>
      <c r="DB156" s="247">
        <f ca="1">BT156</f>
        <v>3383.0163103506993</v>
      </c>
      <c r="DC156" s="247">
        <f ca="1">BW156</f>
        <v>3705.292692438521</v>
      </c>
      <c r="DD156" s="247">
        <f ca="1">BZ156</f>
        <v>3947.8498196874475</v>
      </c>
      <c r="DE156" s="247">
        <f ca="1">CC156</f>
        <v>4218.1179574057714</v>
      </c>
      <c r="DF156" s="48"/>
      <c r="DG156" s="48"/>
      <c r="DH156" s="48"/>
      <c r="DI156" s="48"/>
      <c r="DJ156" s="48"/>
      <c r="DK156" s="48"/>
      <c r="EB156"/>
      <c r="EC156"/>
      <c r="ED156"/>
      <c r="EE156"/>
      <c r="EF156"/>
      <c r="EG156"/>
    </row>
    <row r="157" spans="1:137" ht="12.75" customHeight="1" thickTop="1">
      <c r="A157" s="1"/>
      <c r="B157" s="13"/>
      <c r="C157" s="1"/>
      <c r="D157" s="23"/>
      <c r="E157" s="23"/>
      <c r="F157" s="188"/>
      <c r="G157" s="188"/>
      <c r="H157" s="188"/>
      <c r="I157" s="188"/>
      <c r="J157" s="188"/>
      <c r="K157" s="188"/>
      <c r="L157" s="188"/>
      <c r="M157" s="188"/>
      <c r="N157" s="188"/>
      <c r="O157" s="188"/>
      <c r="P157" s="188"/>
      <c r="Q157" s="188"/>
      <c r="R157" s="188"/>
      <c r="S157" s="188"/>
      <c r="T157" s="188"/>
      <c r="U157" s="184"/>
      <c r="V157" s="184"/>
      <c r="W157" s="184"/>
      <c r="X157" s="184"/>
      <c r="Y157" s="184"/>
      <c r="Z157" s="184"/>
      <c r="AA157" s="184"/>
      <c r="AB157" s="188"/>
      <c r="AC157" s="188"/>
      <c r="AD157" s="188"/>
      <c r="AE157" s="188"/>
      <c r="AF157" s="188"/>
      <c r="AG157" s="188"/>
      <c r="AH157" s="188"/>
      <c r="AI157" s="188"/>
      <c r="AJ157" s="188"/>
      <c r="AK157" s="188"/>
      <c r="AL157" s="188"/>
      <c r="AM157" s="188"/>
      <c r="AN157" s="188"/>
      <c r="AO157" s="188"/>
      <c r="AP157" s="188"/>
      <c r="AQ157" s="188"/>
      <c r="AR157" s="188"/>
      <c r="AS157" s="188"/>
      <c r="AT157" s="188"/>
      <c r="AU157" s="188"/>
      <c r="AV157" s="188"/>
      <c r="AW157" s="188"/>
      <c r="AX157" s="188"/>
      <c r="AY157" s="188"/>
      <c r="AZ157" s="188"/>
      <c r="BA157" s="188"/>
      <c r="BB157" s="188"/>
      <c r="BC157" s="188"/>
      <c r="BD157" s="188"/>
      <c r="BE157" s="188"/>
      <c r="BF157" s="188"/>
      <c r="BG157" s="188"/>
      <c r="BH157" s="188"/>
      <c r="BI157" s="188"/>
      <c r="BJ157" s="188"/>
      <c r="BK157" s="188"/>
      <c r="BL157" s="188"/>
      <c r="BM157" s="188"/>
      <c r="BN157" s="188"/>
      <c r="BO157" s="188"/>
      <c r="BP157" s="188"/>
      <c r="BQ157" s="188"/>
      <c r="BR157" s="188"/>
      <c r="BS157" s="188"/>
      <c r="BT157" s="188"/>
      <c r="BU157" s="188"/>
      <c r="BV157" s="188"/>
      <c r="BW157" s="188"/>
      <c r="BX157" s="188"/>
      <c r="BY157" s="188"/>
      <c r="BZ157" s="188"/>
      <c r="CA157" s="188"/>
      <c r="CB157" s="188"/>
      <c r="CC157" s="188"/>
      <c r="CD157" s="186"/>
      <c r="CE157" s="187"/>
      <c r="CF157" s="187"/>
      <c r="CG157" s="187"/>
      <c r="CH157" s="187"/>
      <c r="CI157" s="187"/>
      <c r="CJ157" s="187"/>
      <c r="CK157" s="188"/>
      <c r="CL157" s="192"/>
      <c r="CM157" s="188"/>
      <c r="CN157" s="188"/>
      <c r="CO157" s="188"/>
      <c r="CP157" s="188"/>
      <c r="CQ157" s="188"/>
      <c r="CR157" s="188"/>
      <c r="CS157" s="188"/>
      <c r="CT157" s="188"/>
      <c r="CU157" s="188"/>
      <c r="CV157" s="188"/>
      <c r="CW157" s="188"/>
      <c r="CX157" s="188"/>
      <c r="CY157" s="188"/>
      <c r="CZ157" s="188"/>
      <c r="DA157" s="188"/>
      <c r="DB157" s="188"/>
      <c r="DC157" s="188"/>
      <c r="DD157" s="188"/>
      <c r="DE157" s="188"/>
    </row>
    <row r="158" spans="1:137" ht="12.75" customHeight="1">
      <c r="A158" s="1"/>
      <c r="B158" s="154" t="s">
        <v>144</v>
      </c>
      <c r="C158" s="1"/>
      <c r="D158" s="23"/>
      <c r="E158" s="23"/>
      <c r="F158" s="188"/>
      <c r="G158" s="188"/>
      <c r="H158" s="188"/>
      <c r="I158" s="188"/>
      <c r="J158" s="188"/>
      <c r="K158" s="188"/>
      <c r="L158" s="188"/>
      <c r="M158" s="188"/>
      <c r="N158" s="188"/>
      <c r="O158" s="188"/>
      <c r="P158" s="188"/>
      <c r="Q158" s="188"/>
      <c r="R158" s="188"/>
      <c r="S158" s="188"/>
      <c r="T158" s="188"/>
      <c r="U158" s="184"/>
      <c r="V158" s="184"/>
      <c r="W158" s="184"/>
      <c r="X158" s="184"/>
      <c r="Y158" s="184"/>
      <c r="Z158" s="184"/>
      <c r="AA158" s="184"/>
      <c r="AB158" s="188"/>
      <c r="AC158" s="188"/>
      <c r="AD158" s="188"/>
      <c r="AE158" s="188"/>
      <c r="AF158" s="188"/>
      <c r="AG158" s="188"/>
      <c r="AH158" s="188"/>
      <c r="AI158" s="188"/>
      <c r="AJ158" s="188"/>
      <c r="AK158" s="188"/>
      <c r="AL158" s="188"/>
      <c r="AM158" s="188"/>
      <c r="AN158" s="188"/>
      <c r="AO158" s="188"/>
      <c r="AP158" s="188"/>
      <c r="AQ158" s="188"/>
      <c r="AR158" s="188"/>
      <c r="AS158" s="188"/>
      <c r="AT158" s="188"/>
      <c r="AU158" s="188"/>
      <c r="AV158" s="188"/>
      <c r="AW158" s="188"/>
      <c r="AX158" s="188"/>
      <c r="AY158" s="188"/>
      <c r="AZ158" s="188"/>
      <c r="BA158" s="188"/>
      <c r="BB158" s="188"/>
      <c r="BC158" s="188"/>
      <c r="BD158" s="188"/>
      <c r="BE158" s="188"/>
      <c r="BF158" s="188"/>
      <c r="BG158" s="188"/>
      <c r="BH158" s="188"/>
      <c r="BI158" s="188"/>
      <c r="BJ158" s="188"/>
      <c r="BK158" s="188"/>
      <c r="BL158" s="188"/>
      <c r="BM158" s="188"/>
      <c r="BN158" s="188"/>
      <c r="BO158" s="188"/>
      <c r="BP158" s="188"/>
      <c r="BQ158" s="188"/>
      <c r="BR158" s="188"/>
      <c r="BS158" s="188"/>
      <c r="BT158" s="188"/>
      <c r="BU158" s="188"/>
      <c r="BV158" s="188"/>
      <c r="BW158" s="188"/>
      <c r="BX158" s="188"/>
      <c r="BY158" s="188"/>
      <c r="BZ158" s="188"/>
      <c r="CA158" s="188"/>
      <c r="CB158" s="188"/>
      <c r="CC158" s="188"/>
      <c r="CD158" s="186"/>
      <c r="CE158" s="187"/>
      <c r="CF158" s="187"/>
      <c r="CG158" s="187"/>
      <c r="CH158" s="187"/>
      <c r="CI158" s="187"/>
      <c r="CJ158" s="187"/>
      <c r="CK158" s="188"/>
      <c r="CL158" s="192"/>
      <c r="CM158" s="188"/>
      <c r="CN158" s="188"/>
      <c r="CO158" s="188"/>
      <c r="CP158" s="188"/>
      <c r="CQ158" s="188"/>
      <c r="CR158" s="188"/>
      <c r="CS158" s="188"/>
      <c r="CT158" s="188"/>
      <c r="CU158" s="188"/>
      <c r="CV158" s="188"/>
      <c r="CW158" s="188"/>
      <c r="CX158" s="188"/>
      <c r="CY158" s="188"/>
      <c r="CZ158" s="188"/>
      <c r="DA158" s="188"/>
      <c r="DB158" s="188"/>
      <c r="DC158" s="188"/>
      <c r="DD158" s="188"/>
      <c r="DE158" s="188"/>
    </row>
    <row r="159" spans="1:137" ht="12.75" customHeight="1">
      <c r="A159" s="1"/>
      <c r="B159" s="13" t="s">
        <v>145</v>
      </c>
      <c r="C159" s="1"/>
      <c r="D159" s="56"/>
      <c r="E159" s="56"/>
      <c r="F159" s="184"/>
      <c r="G159" s="184"/>
      <c r="H159" s="184"/>
      <c r="I159" s="184"/>
      <c r="J159" s="184">
        <v>-328.0999999999998</v>
      </c>
      <c r="K159" s="184">
        <v>-808.9</v>
      </c>
      <c r="L159" s="184">
        <v>-240.70000000000016</v>
      </c>
      <c r="M159" s="125">
        <v>-1049.6000000000001</v>
      </c>
      <c r="O159" s="184">
        <v>0</v>
      </c>
      <c r="Q159" s="184">
        <v>-92.300000000000068</v>
      </c>
      <c r="R159" s="184">
        <v>-150</v>
      </c>
      <c r="S159" s="184">
        <v>-242.30000000000007</v>
      </c>
      <c r="T159" s="188">
        <v>-133.5</v>
      </c>
      <c r="V159" s="184">
        <v>-33.5</v>
      </c>
      <c r="W159" s="184">
        <v>-100</v>
      </c>
      <c r="X159" s="184">
        <v>-216.66666666666663</v>
      </c>
      <c r="Y159" s="184">
        <v>-316.66666666666663</v>
      </c>
      <c r="Z159" s="184">
        <v>-383.33333333333337</v>
      </c>
      <c r="AA159" s="184">
        <f>+Z159+Y159</f>
        <v>-700</v>
      </c>
      <c r="AB159" s="217"/>
      <c r="AC159" s="217">
        <f>-Debt!J15</f>
        <v>0</v>
      </c>
      <c r="AD159" s="217">
        <f>-Debt!K15</f>
        <v>0</v>
      </c>
      <c r="AE159" s="217">
        <f>-Debt!L15</f>
        <v>0</v>
      </c>
      <c r="AF159" s="217">
        <f>-Debt!M15</f>
        <v>0</v>
      </c>
      <c r="AG159" s="217">
        <f>-Debt!N15</f>
        <v>0</v>
      </c>
      <c r="AH159" s="217">
        <f>-Debt!O15</f>
        <v>0</v>
      </c>
      <c r="AI159" s="217">
        <f>-Debt!P15</f>
        <v>0</v>
      </c>
      <c r="AJ159" s="217">
        <f>-Debt!Q15</f>
        <v>0</v>
      </c>
      <c r="AK159" s="217">
        <f>-Debt!R15</f>
        <v>0</v>
      </c>
      <c r="AL159" s="217">
        <f>-Debt!S15</f>
        <v>0</v>
      </c>
      <c r="AM159" s="217">
        <f>-Debt!T15</f>
        <v>0</v>
      </c>
      <c r="AN159" s="217">
        <f>-Debt!U15</f>
        <v>0</v>
      </c>
      <c r="AO159" s="217">
        <f>-Debt!V15</f>
        <v>0</v>
      </c>
      <c r="AP159" s="217">
        <f>SUM(AN159:AO159)</f>
        <v>0</v>
      </c>
      <c r="AQ159" s="217">
        <f>-Debt!X15</f>
        <v>0</v>
      </c>
      <c r="AR159" s="217">
        <f>-Debt!Y15</f>
        <v>0</v>
      </c>
      <c r="AS159" s="217">
        <f>-Debt!Z15</f>
        <v>0</v>
      </c>
      <c r="AT159" s="217">
        <f>-Debt!AA15</f>
        <v>0</v>
      </c>
      <c r="AU159" s="217">
        <f>-Debt!AB15</f>
        <v>0</v>
      </c>
      <c r="AV159" s="217">
        <f>-Debt!AC15</f>
        <v>0</v>
      </c>
      <c r="AW159" s="217">
        <f>-Debt!AD15</f>
        <v>0</v>
      </c>
      <c r="AX159" s="217">
        <f>-Debt!AE15</f>
        <v>0</v>
      </c>
      <c r="AY159" s="188">
        <f t="shared" ref="AY159:AY163" si="934">SUM(AW159:AX159)</f>
        <v>0</v>
      </c>
      <c r="AZ159" s="217">
        <f>-Debt!AG15</f>
        <v>0</v>
      </c>
      <c r="BA159" s="217">
        <f>-Debt!AH15</f>
        <v>-100</v>
      </c>
      <c r="BB159" s="217">
        <f>SUM(AZ159:BA159)</f>
        <v>-100</v>
      </c>
      <c r="BC159" s="217">
        <f>-Debt!AJ15</f>
        <v>0</v>
      </c>
      <c r="BD159" s="217">
        <f>-Debt!AK15</f>
        <v>0</v>
      </c>
      <c r="BE159" s="188">
        <f t="shared" ref="BE159:BE163" si="935">SUM(BC159:BD159)</f>
        <v>0</v>
      </c>
      <c r="BF159" s="217">
        <f>-Debt!AM15</f>
        <v>0</v>
      </c>
      <c r="BG159" s="217">
        <f>-Debt!AN15</f>
        <v>0</v>
      </c>
      <c r="BH159" s="217">
        <f>-Debt!AO15</f>
        <v>0</v>
      </c>
      <c r="BI159" s="217">
        <f>-1818.8-761.3</f>
        <v>-2580.1</v>
      </c>
      <c r="BJ159" s="217">
        <f>-Debt!AQ15</f>
        <v>0</v>
      </c>
      <c r="BK159" s="217">
        <f>SUM(BI159:BJ159)</f>
        <v>-2580.1</v>
      </c>
      <c r="BL159" s="217">
        <f>-Debt!AS15</f>
        <v>0</v>
      </c>
      <c r="BM159" s="217">
        <f>-Debt!AT15</f>
        <v>0</v>
      </c>
      <c r="BN159" s="188">
        <f t="shared" ref="BN159:BN163" si="936">SUM(BL159:BM159)</f>
        <v>0</v>
      </c>
      <c r="BO159" s="217">
        <f>-Debt!AV15</f>
        <v>0</v>
      </c>
      <c r="BP159" s="217">
        <f>-Debt!AW15</f>
        <v>0</v>
      </c>
      <c r="BQ159" s="217">
        <f>-Debt!AX15</f>
        <v>0</v>
      </c>
      <c r="BR159" s="217">
        <f>-Debt!AY15</f>
        <v>0</v>
      </c>
      <c r="BS159" s="217">
        <f>-Debt!AZ15</f>
        <v>0</v>
      </c>
      <c r="BT159" s="217">
        <f>-Debt!BA15</f>
        <v>0</v>
      </c>
      <c r="BU159" s="217">
        <f>-Debt!BB15</f>
        <v>0</v>
      </c>
      <c r="BV159" s="217">
        <f>-Debt!BC15</f>
        <v>0</v>
      </c>
      <c r="BW159" s="217">
        <f>-Debt!BD15</f>
        <v>0</v>
      </c>
      <c r="BX159" s="217">
        <f>-Debt!BE15</f>
        <v>0</v>
      </c>
      <c r="BY159" s="217">
        <f>-Debt!BF15</f>
        <v>0</v>
      </c>
      <c r="BZ159" s="217">
        <f>-Debt!BG15</f>
        <v>0</v>
      </c>
      <c r="CA159" s="217">
        <f>-Debt!BH15</f>
        <v>0</v>
      </c>
      <c r="CB159" s="217">
        <f>-Debt!BI15</f>
        <v>0</v>
      </c>
      <c r="CC159" s="217">
        <f>-Debt!BJ15</f>
        <v>0</v>
      </c>
      <c r="CD159" s="186"/>
      <c r="CE159" s="187"/>
      <c r="CF159" s="187"/>
      <c r="CG159" s="187"/>
      <c r="CH159" s="187"/>
      <c r="CI159" s="187"/>
      <c r="CJ159" s="187"/>
      <c r="CK159" s="188"/>
      <c r="CL159" s="192">
        <f>X159</f>
        <v>-216.66666666666663</v>
      </c>
      <c r="CM159" s="188">
        <f>AA159</f>
        <v>-700</v>
      </c>
      <c r="CN159" s="188">
        <f>AD159</f>
        <v>0</v>
      </c>
      <c r="CO159" s="188">
        <f t="shared" ref="CO159:CO164" si="937">AG159</f>
        <v>0</v>
      </c>
      <c r="CP159" s="188">
        <f t="shared" ref="CP159:CP164" si="938">AJ159</f>
        <v>0</v>
      </c>
      <c r="CQ159" s="188">
        <f t="shared" ref="CQ159:CQ164" si="939">AM159</f>
        <v>0</v>
      </c>
      <c r="CR159" s="188">
        <f t="shared" ref="CR159:CR164" si="940">AP159</f>
        <v>0</v>
      </c>
      <c r="CS159" s="188">
        <f t="shared" ref="CS159:CS164" si="941">AS159</f>
        <v>0</v>
      </c>
      <c r="CT159" s="188">
        <f t="shared" ref="CT159:CT164" si="942">AV159</f>
        <v>0</v>
      </c>
      <c r="CU159" s="188">
        <f t="shared" ref="CU159:CU164" si="943">AY159</f>
        <v>0</v>
      </c>
      <c r="CV159" s="188">
        <f t="shared" ref="CV159:CV164" si="944">BB159</f>
        <v>-100</v>
      </c>
      <c r="CW159" s="188">
        <f t="shared" ref="CW159:CW164" si="945">BE159</f>
        <v>0</v>
      </c>
      <c r="CX159" s="188">
        <f t="shared" ref="CX159:CX164" si="946">BH159</f>
        <v>0</v>
      </c>
      <c r="CY159" s="188">
        <f t="shared" ref="CY159:CY164" si="947">BK159</f>
        <v>-2580.1</v>
      </c>
      <c r="CZ159" s="188">
        <f t="shared" ref="CZ159:CZ164" si="948">BN159</f>
        <v>0</v>
      </c>
      <c r="DA159" s="188">
        <f t="shared" ref="DA159:DA164" si="949">BQ159</f>
        <v>0</v>
      </c>
      <c r="DB159" s="188">
        <f t="shared" ref="DB159:DB164" si="950">BT159</f>
        <v>0</v>
      </c>
      <c r="DC159" s="188">
        <f t="shared" ref="DC159:DC164" si="951">BW159</f>
        <v>0</v>
      </c>
      <c r="DD159" s="188">
        <f t="shared" ref="DD159:DD164" si="952">BZ159</f>
        <v>0</v>
      </c>
      <c r="DE159" s="188">
        <f t="shared" ref="DE159:DE164" si="953">CC159</f>
        <v>0</v>
      </c>
    </row>
    <row r="160" spans="1:137" ht="12.75" customHeight="1">
      <c r="A160" s="1"/>
      <c r="B160" s="13" t="s">
        <v>146</v>
      </c>
      <c r="C160" s="1"/>
      <c r="D160" s="56"/>
      <c r="E160" s="56"/>
      <c r="F160" s="184"/>
      <c r="G160" s="184"/>
      <c r="H160" s="184"/>
      <c r="I160" s="184"/>
      <c r="J160" s="184"/>
      <c r="K160" s="184"/>
      <c r="L160" s="184"/>
      <c r="M160" s="125"/>
      <c r="N160" s="184">
        <v>219.6</v>
      </c>
      <c r="O160" s="184"/>
      <c r="P160" s="184">
        <v>219.6</v>
      </c>
      <c r="Q160" s="184"/>
      <c r="R160" s="184"/>
      <c r="S160" s="184"/>
      <c r="T160" s="188"/>
      <c r="U160" s="184">
        <v>100</v>
      </c>
      <c r="V160" s="184"/>
      <c r="W160" s="184"/>
      <c r="X160" s="184"/>
      <c r="Y160" s="184"/>
      <c r="Z160" s="184"/>
      <c r="AA160" s="184"/>
      <c r="AB160" s="188"/>
      <c r="AC160" s="188">
        <f>+Debt!J20</f>
        <v>0</v>
      </c>
      <c r="AD160" s="188">
        <f>+Debt!K20</f>
        <v>0</v>
      </c>
      <c r="AE160" s="188">
        <f>+Debt!L20</f>
        <v>0</v>
      </c>
      <c r="AF160" s="188">
        <f>+Debt!M20</f>
        <v>0</v>
      </c>
      <c r="AG160" s="188">
        <f>+Debt!N20</f>
        <v>0</v>
      </c>
      <c r="AH160" s="188">
        <f>+Debt!O20</f>
        <v>0</v>
      </c>
      <c r="AI160" s="188">
        <f>+Debt!P20</f>
        <v>500</v>
      </c>
      <c r="AJ160" s="188">
        <f>+Debt!Q20</f>
        <v>500</v>
      </c>
      <c r="AK160" s="188">
        <v>0</v>
      </c>
      <c r="AL160" s="188">
        <v>0</v>
      </c>
      <c r="AM160" s="188">
        <f>SUM(AK160:AL160)</f>
        <v>0</v>
      </c>
      <c r="AN160" s="188">
        <v>275</v>
      </c>
      <c r="AO160" s="188">
        <f>+Debt!V20</f>
        <v>75</v>
      </c>
      <c r="AP160" s="217">
        <f t="shared" ref="AP160:AP163" si="954">SUM(AN160:AO160)</f>
        <v>350</v>
      </c>
      <c r="AQ160" s="188">
        <f>+Debt!X20</f>
        <v>0</v>
      </c>
      <c r="AR160" s="188">
        <f>+Debt!Y20</f>
        <v>200</v>
      </c>
      <c r="AS160" s="217">
        <f t="shared" ref="AS160" si="955">SUM(AQ160:AR160)</f>
        <v>200</v>
      </c>
      <c r="AT160" s="188">
        <f>+Debt!AA20</f>
        <v>100</v>
      </c>
      <c r="AU160" s="188">
        <f>+Debt!AB20</f>
        <v>0</v>
      </c>
      <c r="AV160" s="188">
        <f>+Debt!AC20</f>
        <v>100</v>
      </c>
      <c r="AW160" s="188">
        <v>221.9</v>
      </c>
      <c r="AX160" s="188">
        <f>+Debt!AE20</f>
        <v>0</v>
      </c>
      <c r="AY160" s="188">
        <f t="shared" si="934"/>
        <v>221.9</v>
      </c>
      <c r="AZ160" s="188">
        <f>+Debt!AG20</f>
        <v>0</v>
      </c>
      <c r="BA160" s="188">
        <f>+Debt!AH20</f>
        <v>50</v>
      </c>
      <c r="BB160" s="217">
        <f t="shared" ref="BB160:BB163" si="956">SUM(AZ160:BA160)</f>
        <v>50</v>
      </c>
      <c r="BC160" s="188">
        <f>+Debt!AJ20</f>
        <v>300</v>
      </c>
      <c r="BD160" s="188">
        <f>+Debt!AK20</f>
        <v>100</v>
      </c>
      <c r="BE160" s="188">
        <f t="shared" si="935"/>
        <v>400</v>
      </c>
      <c r="BF160" s="188">
        <f>+Debt!AM20</f>
        <v>0</v>
      </c>
      <c r="BG160" s="188">
        <f>+Debt!AN20</f>
        <v>0</v>
      </c>
      <c r="BH160" s="188">
        <f>+Debt!AO20</f>
        <v>0</v>
      </c>
      <c r="BI160" s="188">
        <v>265.89999999999998</v>
      </c>
      <c r="BJ160" s="188">
        <f>+Debt!AQ20</f>
        <v>0</v>
      </c>
      <c r="BK160" s="217">
        <f t="shared" ref="BK160:BK163" si="957">SUM(BI160:BJ160)</f>
        <v>265.89999999999998</v>
      </c>
      <c r="BL160" s="188">
        <f>+Debt!AS20</f>
        <v>0</v>
      </c>
      <c r="BM160" s="188">
        <f>+Debt!AT20</f>
        <v>0</v>
      </c>
      <c r="BN160" s="188">
        <f t="shared" si="936"/>
        <v>0</v>
      </c>
      <c r="BO160" s="188">
        <f>+Debt!AV20</f>
        <v>0</v>
      </c>
      <c r="BP160" s="188">
        <f>+Debt!AW20</f>
        <v>0</v>
      </c>
      <c r="BQ160" s="188">
        <f>+Debt!AX20</f>
        <v>0</v>
      </c>
      <c r="BR160" s="188">
        <f>+Debt!AY20</f>
        <v>0</v>
      </c>
      <c r="BS160" s="188">
        <f>+Debt!AZ20</f>
        <v>0</v>
      </c>
      <c r="BT160" s="188">
        <f>+Debt!BA20</f>
        <v>0</v>
      </c>
      <c r="BU160" s="188">
        <f>+Debt!BB20</f>
        <v>0</v>
      </c>
      <c r="BV160" s="188">
        <f>+Debt!BC20</f>
        <v>0</v>
      </c>
      <c r="BW160" s="188">
        <f>+Debt!BD20</f>
        <v>0</v>
      </c>
      <c r="BX160" s="188">
        <f>+Debt!BE20</f>
        <v>0</v>
      </c>
      <c r="BY160" s="188">
        <f>+Debt!BF20</f>
        <v>0</v>
      </c>
      <c r="BZ160" s="188">
        <f>+Debt!BG20</f>
        <v>0</v>
      </c>
      <c r="CA160" s="188">
        <f>+Debt!BH20</f>
        <v>0</v>
      </c>
      <c r="CB160" s="188">
        <f>+Debt!BI20</f>
        <v>0</v>
      </c>
      <c r="CC160" s="188">
        <f>+Debt!BJ20</f>
        <v>0</v>
      </c>
      <c r="CD160" s="186"/>
      <c r="CE160" s="187"/>
      <c r="CF160" s="187"/>
      <c r="CG160" s="187"/>
      <c r="CH160" s="187"/>
      <c r="CI160" s="187"/>
      <c r="CJ160" s="187"/>
      <c r="CK160" s="188"/>
      <c r="CL160" s="192">
        <f>X160</f>
        <v>0</v>
      </c>
      <c r="CM160" s="188">
        <f>AA160</f>
        <v>0</v>
      </c>
      <c r="CN160" s="188">
        <f>AD160</f>
        <v>0</v>
      </c>
      <c r="CO160" s="188">
        <f t="shared" si="937"/>
        <v>0</v>
      </c>
      <c r="CP160" s="188">
        <f t="shared" si="938"/>
        <v>500</v>
      </c>
      <c r="CQ160" s="188">
        <f t="shared" si="939"/>
        <v>0</v>
      </c>
      <c r="CR160" s="188">
        <f t="shared" si="940"/>
        <v>350</v>
      </c>
      <c r="CS160" s="188">
        <f t="shared" si="941"/>
        <v>200</v>
      </c>
      <c r="CT160" s="188">
        <f t="shared" si="942"/>
        <v>100</v>
      </c>
      <c r="CU160" s="188">
        <f t="shared" si="943"/>
        <v>221.9</v>
      </c>
      <c r="CV160" s="188">
        <f t="shared" si="944"/>
        <v>50</v>
      </c>
      <c r="CW160" s="188">
        <f t="shared" si="945"/>
        <v>400</v>
      </c>
      <c r="CX160" s="188">
        <f t="shared" si="946"/>
        <v>0</v>
      </c>
      <c r="CY160" s="188">
        <f t="shared" si="947"/>
        <v>265.89999999999998</v>
      </c>
      <c r="CZ160" s="188">
        <f t="shared" si="948"/>
        <v>0</v>
      </c>
      <c r="DA160" s="188">
        <f t="shared" si="949"/>
        <v>0</v>
      </c>
      <c r="DB160" s="188">
        <f t="shared" si="950"/>
        <v>0</v>
      </c>
      <c r="DC160" s="188">
        <f t="shared" si="951"/>
        <v>0</v>
      </c>
      <c r="DD160" s="188">
        <f t="shared" si="952"/>
        <v>0</v>
      </c>
      <c r="DE160" s="188">
        <f t="shared" si="953"/>
        <v>0</v>
      </c>
    </row>
    <row r="161" spans="1:137" ht="12.75" customHeight="1">
      <c r="A161" s="1"/>
      <c r="B161" s="13" t="s">
        <v>147</v>
      </c>
      <c r="C161" s="1"/>
      <c r="D161" s="56"/>
      <c r="E161" s="56"/>
      <c r="F161" s="184"/>
      <c r="G161" s="184"/>
      <c r="H161" s="184"/>
      <c r="I161" s="184"/>
      <c r="J161" s="184">
        <v>0</v>
      </c>
      <c r="K161" s="184"/>
      <c r="L161" s="184">
        <v>0</v>
      </c>
      <c r="M161" s="184">
        <v>0</v>
      </c>
      <c r="N161" s="184">
        <v>-0.9</v>
      </c>
      <c r="O161" s="184">
        <v>0</v>
      </c>
      <c r="P161" s="184">
        <v>-0.9</v>
      </c>
      <c r="Q161" s="184">
        <v>-23.309709375000001</v>
      </c>
      <c r="R161" s="184">
        <v>-28.728459375</v>
      </c>
      <c r="S161" s="184">
        <v>-52.038168749999997</v>
      </c>
      <c r="T161" s="184">
        <v>0</v>
      </c>
      <c r="U161" s="184">
        <v>-38.662500000000001</v>
      </c>
      <c r="V161" s="184">
        <v>-38.662500000000001</v>
      </c>
      <c r="W161" s="184">
        <v>-35.837499999999999</v>
      </c>
      <c r="X161" s="184">
        <v>-42.675000000000004</v>
      </c>
      <c r="Y161" s="184">
        <v>-78.512500000000003</v>
      </c>
      <c r="Z161" s="184">
        <v>-50.825000000000003</v>
      </c>
      <c r="AA161" s="184">
        <f>+Z161+Y161</f>
        <v>-129.33750000000001</v>
      </c>
      <c r="AB161" s="188"/>
      <c r="AC161" s="188">
        <f>-Debt!J13</f>
        <v>-124.4</v>
      </c>
      <c r="AD161" s="188">
        <f>-Debt!K13</f>
        <v>-117.875</v>
      </c>
      <c r="AE161" s="188">
        <f>-Debt!L13</f>
        <v>-65.573750000000004</v>
      </c>
      <c r="AF161" s="188">
        <f>-Debt!M13</f>
        <v>-64.813749999999999</v>
      </c>
      <c r="AG161" s="188">
        <f>-Debt!N13</f>
        <v>-130.38749999999999</v>
      </c>
      <c r="AH161" s="188">
        <f>-Debt!O13</f>
        <v>-64.03</v>
      </c>
      <c r="AI161" s="188">
        <f>-Debt!P13</f>
        <v>-79.491249999999994</v>
      </c>
      <c r="AJ161" s="188">
        <f>-Debt!Q13</f>
        <v>-143.52125000000001</v>
      </c>
      <c r="AK161" s="188">
        <f>-Debt!R13</f>
        <v>-163.4</v>
      </c>
      <c r="AL161" s="188">
        <f>-Debt!S13</f>
        <v>-133</v>
      </c>
      <c r="AM161" s="188">
        <f>-Debt!T13</f>
        <v>-296.39999999999998</v>
      </c>
      <c r="AN161" s="188">
        <f>-Debt!U13</f>
        <v>-128.25</v>
      </c>
      <c r="AO161" s="188">
        <f>-Debt!V13</f>
        <v>-152</v>
      </c>
      <c r="AP161" s="217">
        <f t="shared" si="954"/>
        <v>-280.25</v>
      </c>
      <c r="AQ161" s="188">
        <f>-Debt!X13</f>
        <v>-259</v>
      </c>
      <c r="AR161" s="188">
        <f>-Debt!Y13</f>
        <v>-294</v>
      </c>
      <c r="AS161" s="188">
        <f>-Debt!Z13</f>
        <v>-553</v>
      </c>
      <c r="AT161" s="188">
        <f>-Debt!AA13</f>
        <v>-294</v>
      </c>
      <c r="AU161" s="188">
        <f>-Debt!AB13</f>
        <v>-315</v>
      </c>
      <c r="AV161" s="188">
        <f>-Debt!AC13</f>
        <v>-609</v>
      </c>
      <c r="AW161" s="188">
        <f>-Debt!AD13</f>
        <v>-427</v>
      </c>
      <c r="AX161" s="188">
        <f>-Debt!AE13</f>
        <v>-462</v>
      </c>
      <c r="AY161" s="188">
        <f t="shared" si="934"/>
        <v>-889</v>
      </c>
      <c r="AZ161" s="188">
        <f>-Debt!AG13</f>
        <v>-595</v>
      </c>
      <c r="BA161" s="188">
        <f>-Debt!AH13</f>
        <v>-553</v>
      </c>
      <c r="BB161" s="217">
        <f t="shared" si="956"/>
        <v>-1148</v>
      </c>
      <c r="BC161" s="188">
        <f>-Debt!AJ13</f>
        <v>-427</v>
      </c>
      <c r="BD161" s="188">
        <f>-Debt!AK13</f>
        <v>-420</v>
      </c>
      <c r="BE161" s="188">
        <f t="shared" si="935"/>
        <v>-847</v>
      </c>
      <c r="BF161" s="188">
        <f>-Debt!AM13</f>
        <v>-378</v>
      </c>
      <c r="BG161" s="188">
        <f>-Debt!AN13</f>
        <v>-364</v>
      </c>
      <c r="BH161" s="188">
        <f>-Debt!AO13</f>
        <v>-742</v>
      </c>
      <c r="BI161" s="188"/>
      <c r="BJ161" s="188">
        <f>-Debt!AQ13</f>
        <v>-700</v>
      </c>
      <c r="BK161" s="217">
        <f t="shared" si="957"/>
        <v>-700</v>
      </c>
      <c r="BL161" s="188">
        <f>-Debt!AS13</f>
        <v>-1137.5</v>
      </c>
      <c r="BM161" s="188">
        <f>-Debt!AT13</f>
        <v>-1592.5</v>
      </c>
      <c r="BN161" s="188">
        <f t="shared" si="936"/>
        <v>-2730</v>
      </c>
      <c r="BO161" s="188">
        <f>-Debt!AV13</f>
        <v>-1750</v>
      </c>
      <c r="BP161" s="188">
        <f>-Debt!AW13</f>
        <v>-1400</v>
      </c>
      <c r="BQ161" s="188">
        <f>-Debt!AX13</f>
        <v>-3150</v>
      </c>
      <c r="BR161" s="188">
        <f>-Debt!AY13</f>
        <v>-1268.75</v>
      </c>
      <c r="BS161" s="188">
        <f>-Debt!AZ13</f>
        <v>-1137.5</v>
      </c>
      <c r="BT161" s="188">
        <f>-Debt!BA13</f>
        <v>-2406.25</v>
      </c>
      <c r="BU161" s="188">
        <f>-Debt!BB13</f>
        <v>-1137.5</v>
      </c>
      <c r="BV161" s="188">
        <f>-Debt!BC13</f>
        <v>-1137.5</v>
      </c>
      <c r="BW161" s="188">
        <f>-Debt!BD13</f>
        <v>-2275</v>
      </c>
      <c r="BX161" s="188">
        <f>-Debt!BE13</f>
        <v>-1137.5</v>
      </c>
      <c r="BY161" s="188">
        <f>-Debt!BF13</f>
        <v>-1137.5</v>
      </c>
      <c r="BZ161" s="188">
        <f>-Debt!BG13</f>
        <v>-2275</v>
      </c>
      <c r="CA161" s="188">
        <f>-Debt!BH13</f>
        <v>-1137.5</v>
      </c>
      <c r="CB161" s="188">
        <f>-Debt!BI13</f>
        <v>-1137.5</v>
      </c>
      <c r="CC161" s="188">
        <f>-Debt!BJ13</f>
        <v>-2275</v>
      </c>
      <c r="CD161" s="186"/>
      <c r="CE161" s="187"/>
      <c r="CF161" s="187"/>
      <c r="CG161" s="187"/>
      <c r="CH161" s="187"/>
      <c r="CI161" s="187"/>
      <c r="CJ161" s="187"/>
      <c r="CK161" s="188"/>
      <c r="CL161" s="192">
        <f>X161</f>
        <v>-42.675000000000004</v>
      </c>
      <c r="CM161" s="188">
        <f>AA161</f>
        <v>-129.33750000000001</v>
      </c>
      <c r="CN161" s="188">
        <f>AD161</f>
        <v>-117.875</v>
      </c>
      <c r="CO161" s="188">
        <f t="shared" si="937"/>
        <v>-130.38749999999999</v>
      </c>
      <c r="CP161" s="188">
        <f t="shared" si="938"/>
        <v>-143.52125000000001</v>
      </c>
      <c r="CQ161" s="188">
        <f t="shared" si="939"/>
        <v>-296.39999999999998</v>
      </c>
      <c r="CR161" s="188">
        <f t="shared" si="940"/>
        <v>-280.25</v>
      </c>
      <c r="CS161" s="188">
        <f t="shared" si="941"/>
        <v>-553</v>
      </c>
      <c r="CT161" s="188">
        <f t="shared" si="942"/>
        <v>-609</v>
      </c>
      <c r="CU161" s="188">
        <f t="shared" si="943"/>
        <v>-889</v>
      </c>
      <c r="CV161" s="188">
        <f t="shared" si="944"/>
        <v>-1148</v>
      </c>
      <c r="CW161" s="188">
        <f t="shared" si="945"/>
        <v>-847</v>
      </c>
      <c r="CX161" s="188">
        <f t="shared" si="946"/>
        <v>-742</v>
      </c>
      <c r="CY161" s="188">
        <f t="shared" si="947"/>
        <v>-700</v>
      </c>
      <c r="CZ161" s="188">
        <f t="shared" si="948"/>
        <v>-2730</v>
      </c>
      <c r="DA161" s="188">
        <f t="shared" si="949"/>
        <v>-3150</v>
      </c>
      <c r="DB161" s="188">
        <f t="shared" si="950"/>
        <v>-2406.25</v>
      </c>
      <c r="DC161" s="188">
        <f t="shared" si="951"/>
        <v>-2275</v>
      </c>
      <c r="DD161" s="188">
        <f t="shared" si="952"/>
        <v>-2275</v>
      </c>
      <c r="DE161" s="188">
        <f t="shared" si="953"/>
        <v>-2275</v>
      </c>
    </row>
    <row r="162" spans="1:137" ht="12.75" customHeight="1">
      <c r="A162" s="1"/>
      <c r="B162" s="13" t="s">
        <v>148</v>
      </c>
      <c r="C162" s="1"/>
      <c r="D162" s="56"/>
      <c r="E162" s="56"/>
      <c r="F162" s="184"/>
      <c r="G162" s="184"/>
      <c r="H162" s="184"/>
      <c r="I162" s="184"/>
      <c r="J162" s="184"/>
      <c r="K162" s="184"/>
      <c r="L162" s="184"/>
      <c r="M162" s="184"/>
      <c r="N162" s="184"/>
      <c r="O162" s="184"/>
      <c r="P162" s="184"/>
      <c r="Q162" s="184"/>
      <c r="R162" s="184"/>
      <c r="S162" s="184"/>
      <c r="T162" s="184"/>
      <c r="U162" s="184"/>
      <c r="V162" s="184"/>
      <c r="W162" s="184"/>
      <c r="X162" s="184"/>
      <c r="Y162" s="184"/>
      <c r="Z162" s="184"/>
      <c r="AA162" s="184"/>
      <c r="AB162" s="188"/>
      <c r="AC162" s="188">
        <f>-Debt!J16</f>
        <v>0</v>
      </c>
      <c r="AD162" s="188">
        <f>-Debt!K16</f>
        <v>0</v>
      </c>
      <c r="AE162" s="188">
        <f>-Debt!L16</f>
        <v>-374.48191570574011</v>
      </c>
      <c r="AF162" s="188">
        <f>-Debt!M16</f>
        <v>-119.20968594908177</v>
      </c>
      <c r="AG162" s="188">
        <f>-Debt!N16</f>
        <v>-493.69160165482185</v>
      </c>
      <c r="AH162" s="188">
        <f>-Debt!O16</f>
        <v>-500.0674240432989</v>
      </c>
      <c r="AI162" s="188">
        <f>-Debt!P16</f>
        <v>-238.95256414348154</v>
      </c>
      <c r="AJ162" s="188">
        <f>-Debt!Q16</f>
        <v>-739.01998818678044</v>
      </c>
      <c r="AK162" s="188">
        <f>-Debt!R16</f>
        <v>-158.87818541959629</v>
      </c>
      <c r="AL162" s="188">
        <f>-Debt!S16</f>
        <v>0</v>
      </c>
      <c r="AM162" s="188">
        <f>-Debt!T16</f>
        <v>-158.87818541959629</v>
      </c>
      <c r="AN162" s="188">
        <f>-Debt!U16</f>
        <v>-122.02890213046756</v>
      </c>
      <c r="AO162" s="188">
        <f>-Debt!V16</f>
        <v>-833.39414000258182</v>
      </c>
      <c r="AP162" s="217">
        <f t="shared" si="954"/>
        <v>-955.42304213304942</v>
      </c>
      <c r="AQ162" s="188">
        <f>-Debt!X16</f>
        <v>-957.62749055913355</v>
      </c>
      <c r="AR162" s="188">
        <f>-Debt!Y16</f>
        <v>-712.96843141398335</v>
      </c>
      <c r="AS162" s="188">
        <f>-Debt!Z16</f>
        <v>-1670.5959219731169</v>
      </c>
      <c r="AT162" s="188">
        <f>-Debt!AA16</f>
        <v>-120</v>
      </c>
      <c r="AU162" s="188">
        <f>-Debt!AB16</f>
        <v>-182.19889757562902</v>
      </c>
      <c r="AV162" s="188">
        <f>-Debt!AC16</f>
        <v>-302.19889757562902</v>
      </c>
      <c r="AW162" s="188">
        <f>-Debt!AD16</f>
        <v>-38.740786631325889</v>
      </c>
      <c r="AX162" s="188">
        <f>-Debt!AE16</f>
        <v>-438.73022717909259</v>
      </c>
      <c r="AY162" s="188">
        <f t="shared" si="934"/>
        <v>-477.47101381041847</v>
      </c>
      <c r="AZ162" s="188">
        <f>-Debt!AG16</f>
        <v>0</v>
      </c>
      <c r="BA162" s="188">
        <f>-Debt!AH16</f>
        <v>-387.99267153103523</v>
      </c>
      <c r="BB162" s="217">
        <f t="shared" si="956"/>
        <v>-387.99267153103523</v>
      </c>
      <c r="BC162" s="188">
        <f>-Debt!AJ16</f>
        <v>-586.70047728388602</v>
      </c>
      <c r="BD162" s="188">
        <f>-Debt!AK16</f>
        <v>-67.752211409099004</v>
      </c>
      <c r="BE162" s="188">
        <f t="shared" si="935"/>
        <v>-654.45268869298502</v>
      </c>
      <c r="BF162" s="188">
        <f>-Debt!AM16</f>
        <v>141.06735196689021</v>
      </c>
      <c r="BG162" s="188">
        <f>-Debt!AN16</f>
        <v>-205.69650162648085</v>
      </c>
      <c r="BH162" s="188">
        <f>-Debt!AO16</f>
        <v>-64.629149659590638</v>
      </c>
      <c r="BI162" s="188"/>
      <c r="BJ162" s="188">
        <f>-Debt!AQ16</f>
        <v>-59.820428550924738</v>
      </c>
      <c r="BK162" s="217">
        <f t="shared" si="957"/>
        <v>-59.820428550924738</v>
      </c>
      <c r="BL162" s="188">
        <f>-Debt!AS16</f>
        <v>-89.730082763211726</v>
      </c>
      <c r="BM162" s="188">
        <f>-Debt!AT16</f>
        <v>-170.92306344542416</v>
      </c>
      <c r="BN162" s="188">
        <f t="shared" si="936"/>
        <v>-260.65314620863592</v>
      </c>
      <c r="BO162" s="188">
        <f>-Debt!AV16</f>
        <v>-139.47034573078153</v>
      </c>
      <c r="BP162" s="188">
        <f>-Debt!AW16</f>
        <v>-186.81735348739585</v>
      </c>
      <c r="BQ162" s="188">
        <f>-Debt!AX16</f>
        <v>-326.28769921817741</v>
      </c>
      <c r="BR162" s="188">
        <f>-Debt!AY16</f>
        <v>-194.05917965350943</v>
      </c>
      <c r="BS162" s="188">
        <f>-Debt!AZ16</f>
        <v>-201.58510616908131</v>
      </c>
      <c r="BT162" s="188">
        <f>-Debt!BA16</f>
        <v>-395.64428582259075</v>
      </c>
      <c r="BU162" s="188">
        <f>-Debt!BB16</f>
        <v>-209.4062784284819</v>
      </c>
      <c r="BV162" s="188">
        <f>-Debt!BC16</f>
        <v>-217.53427906530192</v>
      </c>
      <c r="BW162" s="188">
        <f>-Debt!BD16</f>
        <v>-426.94055749378379</v>
      </c>
      <c r="BX162" s="188">
        <f>-Debt!BE16</f>
        <v>-225.98114510545386</v>
      </c>
      <c r="BY162" s="188">
        <f>-Debt!BF16</f>
        <v>-234.759385793218</v>
      </c>
      <c r="BZ162" s="188">
        <f>-Debt!BG16</f>
        <v>-460.74053089867186</v>
      </c>
      <c r="CA162" s="188">
        <f>-Debt!BH16</f>
        <v>-243.88200111658293</v>
      </c>
      <c r="CB162" s="188">
        <f>-Debt!BI16</f>
        <v>-253.3625010593675</v>
      </c>
      <c r="CC162" s="188">
        <f>-Debt!BJ16</f>
        <v>-497.2445021759504</v>
      </c>
      <c r="CD162" s="186"/>
      <c r="CE162" s="187"/>
      <c r="CF162" s="187"/>
      <c r="CG162" s="187"/>
      <c r="CH162" s="187"/>
      <c r="CI162" s="187"/>
      <c r="CJ162" s="187"/>
      <c r="CK162" s="188"/>
      <c r="CL162" s="192"/>
      <c r="CM162" s="188"/>
      <c r="CN162" s="188"/>
      <c r="CO162" s="188">
        <f t="shared" si="937"/>
        <v>-493.69160165482185</v>
      </c>
      <c r="CP162" s="188">
        <f t="shared" si="938"/>
        <v>-739.01998818678044</v>
      </c>
      <c r="CQ162" s="188">
        <f t="shared" si="939"/>
        <v>-158.87818541959629</v>
      </c>
      <c r="CR162" s="188">
        <f t="shared" si="940"/>
        <v>-955.42304213304942</v>
      </c>
      <c r="CS162" s="188">
        <f t="shared" si="941"/>
        <v>-1670.5959219731169</v>
      </c>
      <c r="CT162" s="188">
        <f t="shared" si="942"/>
        <v>-302.19889757562902</v>
      </c>
      <c r="CU162" s="188">
        <f t="shared" si="943"/>
        <v>-477.47101381041847</v>
      </c>
      <c r="CV162" s="188">
        <f t="shared" si="944"/>
        <v>-387.99267153103523</v>
      </c>
      <c r="CW162" s="188">
        <f t="shared" si="945"/>
        <v>-654.45268869298502</v>
      </c>
      <c r="CX162" s="188">
        <f t="shared" si="946"/>
        <v>-64.629149659590638</v>
      </c>
      <c r="CY162" s="188">
        <f t="shared" si="947"/>
        <v>-59.820428550924738</v>
      </c>
      <c r="CZ162" s="188">
        <f t="shared" si="948"/>
        <v>-260.65314620863592</v>
      </c>
      <c r="DA162" s="188">
        <f t="shared" si="949"/>
        <v>-326.28769921817741</v>
      </c>
      <c r="DB162" s="188">
        <f t="shared" si="950"/>
        <v>-395.64428582259075</v>
      </c>
      <c r="DC162" s="188">
        <f t="shared" si="951"/>
        <v>-426.94055749378379</v>
      </c>
      <c r="DD162" s="188">
        <f t="shared" si="952"/>
        <v>-460.74053089867186</v>
      </c>
      <c r="DE162" s="188">
        <f t="shared" si="953"/>
        <v>-497.2445021759504</v>
      </c>
    </row>
    <row r="163" spans="1:137" ht="12.75" customHeight="1">
      <c r="A163" s="1"/>
      <c r="B163" s="13" t="s">
        <v>149</v>
      </c>
      <c r="C163" s="1"/>
      <c r="D163" s="188"/>
      <c r="E163" s="188"/>
      <c r="F163" s="188"/>
      <c r="G163" s="188"/>
      <c r="H163" s="188"/>
      <c r="I163" s="188"/>
      <c r="J163" s="188">
        <f t="shared" ref="J163:AA163" si="958">J164-SUM(J159:J161)</f>
        <v>-126.19999999999999</v>
      </c>
      <c r="K163" s="188">
        <f t="shared" si="958"/>
        <v>935.09999999999991</v>
      </c>
      <c r="L163" s="188">
        <f t="shared" si="958"/>
        <v>-87.399999999999636</v>
      </c>
      <c r="M163" s="188">
        <f t="shared" si="958"/>
        <v>240.70000000000016</v>
      </c>
      <c r="N163" s="188">
        <f t="shared" si="958"/>
        <v>-459.40000000000015</v>
      </c>
      <c r="O163" s="188">
        <f t="shared" si="958"/>
        <v>-1049.6000000000001</v>
      </c>
      <c r="P163" s="188">
        <f t="shared" si="958"/>
        <v>-92.8</v>
      </c>
      <c r="Q163" s="188">
        <f t="shared" si="958"/>
        <v>6.8097093750000681</v>
      </c>
      <c r="R163" s="188">
        <f t="shared" si="958"/>
        <v>195.82845937499999</v>
      </c>
      <c r="S163" s="188">
        <f t="shared" si="958"/>
        <v>218.4381687500001</v>
      </c>
      <c r="T163" s="188">
        <f t="shared" si="958"/>
        <v>-146.10000000000002</v>
      </c>
      <c r="U163" s="188">
        <f t="shared" si="958"/>
        <v>-416.83749999999998</v>
      </c>
      <c r="V163" s="188">
        <f t="shared" si="958"/>
        <v>-103.9375</v>
      </c>
      <c r="W163" s="188">
        <f t="shared" si="958"/>
        <v>91.137499999999989</v>
      </c>
      <c r="X163" s="188">
        <f t="shared" si="958"/>
        <v>38.541666666666629</v>
      </c>
      <c r="Y163" s="188">
        <f t="shared" si="958"/>
        <v>156.47916666666663</v>
      </c>
      <c r="Z163" s="188">
        <f t="shared" si="958"/>
        <v>819.25833333333321</v>
      </c>
      <c r="AA163" s="188">
        <f t="shared" si="958"/>
        <v>975.73749999999995</v>
      </c>
      <c r="AB163" s="188">
        <f>AB164-SUM(AB159:AB161)</f>
        <v>12.399999999999977</v>
      </c>
      <c r="AC163" s="188">
        <f>-240.9-SUM(AC159:AC162)</f>
        <v>-116.5</v>
      </c>
      <c r="AD163" s="188">
        <f>-6.52+SUM(AB163:AC163)</f>
        <v>-110.62000000000002</v>
      </c>
      <c r="AE163" s="184">
        <f>AE164-SUM(AE159:AE162)</f>
        <v>202.65566570574012</v>
      </c>
      <c r="AF163" s="184">
        <f>89.6-SUM(AF159:AF162)</f>
        <v>273.6234359490818</v>
      </c>
      <c r="AG163" s="188">
        <f>SUM(AE163:AF163)</f>
        <v>476.27910165482194</v>
      </c>
      <c r="AH163" s="188">
        <f>AH164-SUM(AH159:AH162)</f>
        <v>369.89742404329894</v>
      </c>
      <c r="AI163" s="188">
        <f>AI164-SUM(AI159:AI162)</f>
        <v>172.64381414348151</v>
      </c>
      <c r="AJ163" s="188">
        <f>SUM(AH163:AI163)</f>
        <v>542.54123818678045</v>
      </c>
      <c r="AK163" s="188">
        <f>AK164-SUM(AK159:AK162)</f>
        <v>514.97818541959623</v>
      </c>
      <c r="AL163" s="188">
        <f>AL164-SUM(AL159:AL162)</f>
        <v>670.3</v>
      </c>
      <c r="AM163" s="188">
        <f>SUM(AK163:AL163)</f>
        <v>1185.2781854195962</v>
      </c>
      <c r="AN163" s="188">
        <f>AN164-SUM(AN159:AN162)</f>
        <v>63.578902130467554</v>
      </c>
      <c r="AO163" s="188">
        <f>AO164-SUM(AO159:AO162)</f>
        <v>795.59414000258187</v>
      </c>
      <c r="AP163" s="217">
        <f t="shared" si="954"/>
        <v>859.17304213304942</v>
      </c>
      <c r="AQ163" s="188">
        <f>AQ164-SUM(AQ159:AQ162)</f>
        <v>1023.9274905591335</v>
      </c>
      <c r="AR163" s="188">
        <f>AR164-SUM(AR159:AR162)</f>
        <v>181.46843141398335</v>
      </c>
      <c r="AS163" s="188">
        <f>SUM(AQ163:AR163)</f>
        <v>1205.3959219731169</v>
      </c>
      <c r="AT163" s="188">
        <f>AT164-SUM(AT159:AT162)</f>
        <v>-1.8000000000000114</v>
      </c>
      <c r="AU163" s="188">
        <f>AU164-SUM(AU159:AU162)</f>
        <v>506.59889757562905</v>
      </c>
      <c r="AV163" s="188">
        <f t="shared" ref="AV163" si="959">SUM(AT163:AU163)</f>
        <v>504.79889757562904</v>
      </c>
      <c r="AW163" s="188">
        <f>AW164-SUM(AW159:AW162)</f>
        <v>-2.7592133686740965</v>
      </c>
      <c r="AX163" s="188">
        <f>AX164-SUM(AX159:AX162)</f>
        <v>597.43022717909264</v>
      </c>
      <c r="AY163" s="188">
        <f t="shared" si="934"/>
        <v>594.67101381041857</v>
      </c>
      <c r="AZ163" s="188">
        <f>AZ164-SUM(AZ159:AZ162)</f>
        <v>179.5</v>
      </c>
      <c r="BA163" s="188">
        <f>BA164-SUM(BA159:BA162)</f>
        <v>404.99267153103528</v>
      </c>
      <c r="BB163" s="217">
        <f t="shared" si="956"/>
        <v>584.49267153103528</v>
      </c>
      <c r="BC163" s="188">
        <f>BC164-SUM(BC159:BC162)</f>
        <v>169.50047728388597</v>
      </c>
      <c r="BD163" s="188">
        <f>BD164-SUM(BD159:BD162)</f>
        <v>215.95221140909905</v>
      </c>
      <c r="BE163" s="188">
        <f t="shared" si="935"/>
        <v>385.45268869298502</v>
      </c>
      <c r="BF163" s="188">
        <f>BF164-SUM(BF159:BF162)</f>
        <v>10.232648033109797</v>
      </c>
      <c r="BG163" s="188">
        <f>BG164-SUM(BG159:BG162)</f>
        <v>108.19650162648082</v>
      </c>
      <c r="BH163" s="188">
        <f t="shared" ref="BH163" si="960">SUM(BF163:BG163)</f>
        <v>118.42914965959062</v>
      </c>
      <c r="BI163" s="188">
        <f>BI164-SUM(BI159:BI162)</f>
        <v>-76.300000000000182</v>
      </c>
      <c r="BJ163" s="188">
        <f>BJ164-SUM(BJ159:BJ162)</f>
        <v>-334.07957144907539</v>
      </c>
      <c r="BK163" s="217">
        <f t="shared" si="957"/>
        <v>-410.37957144907557</v>
      </c>
      <c r="BL163" s="188">
        <f>BL164-SUM(BL159:BL162)</f>
        <v>193.53008276321157</v>
      </c>
      <c r="BM163" s="188">
        <f>-Debt!AT17</f>
        <v>0</v>
      </c>
      <c r="BN163" s="188">
        <f t="shared" si="936"/>
        <v>193.53008276321157</v>
      </c>
      <c r="BO163" s="188">
        <f>-Debt!AV17</f>
        <v>0</v>
      </c>
      <c r="BP163" s="188">
        <f>-Debt!AW17</f>
        <v>0</v>
      </c>
      <c r="BQ163" s="188">
        <f t="shared" ref="BQ163" si="961">SUM(BO163:BP163)</f>
        <v>0</v>
      </c>
      <c r="BR163" s="188">
        <f>-Debt!AY17</f>
        <v>0</v>
      </c>
      <c r="BS163" s="188">
        <f>-Debt!AZ17</f>
        <v>0</v>
      </c>
      <c r="BT163" s="188">
        <f t="shared" ref="BT163" si="962">SUM(BR163:BS163)</f>
        <v>0</v>
      </c>
      <c r="BU163" s="188">
        <f>-Debt!BB17</f>
        <v>0</v>
      </c>
      <c r="BV163" s="188">
        <f>-Debt!BC17</f>
        <v>0</v>
      </c>
      <c r="BW163" s="188">
        <f t="shared" ref="BW163" si="963">SUM(BU163:BV163)</f>
        <v>0</v>
      </c>
      <c r="BX163" s="188">
        <f>-Debt!BE17</f>
        <v>0</v>
      </c>
      <c r="BY163" s="188">
        <f>-Debt!BF17</f>
        <v>0</v>
      </c>
      <c r="BZ163" s="188">
        <f t="shared" ref="BZ163" si="964">SUM(BX163:BY163)</f>
        <v>0</v>
      </c>
      <c r="CA163" s="188">
        <f>-Debt!BH17</f>
        <v>0</v>
      </c>
      <c r="CB163" s="188">
        <f>-Debt!BI17</f>
        <v>0</v>
      </c>
      <c r="CC163" s="188">
        <f t="shared" ref="CC163" si="965">SUM(CA163:CB163)</f>
        <v>0</v>
      </c>
      <c r="CD163" s="186"/>
      <c r="CE163" s="187"/>
      <c r="CF163" s="187"/>
      <c r="CG163" s="187"/>
      <c r="CH163" s="187"/>
      <c r="CI163" s="187"/>
      <c r="CJ163" s="187"/>
      <c r="CK163" s="188">
        <f>237.4-147.8</f>
        <v>89.6</v>
      </c>
      <c r="CL163" s="192">
        <f>X163</f>
        <v>38.541666666666629</v>
      </c>
      <c r="CM163" s="188">
        <f>AA163</f>
        <v>975.73749999999995</v>
      </c>
      <c r="CN163" s="188">
        <f>AD163</f>
        <v>-110.62000000000002</v>
      </c>
      <c r="CO163" s="188">
        <f t="shared" si="937"/>
        <v>476.27910165482194</v>
      </c>
      <c r="CP163" s="188">
        <f t="shared" si="938"/>
        <v>542.54123818678045</v>
      </c>
      <c r="CQ163" s="188">
        <f t="shared" si="939"/>
        <v>1185.2781854195962</v>
      </c>
      <c r="CR163" s="188">
        <f t="shared" si="940"/>
        <v>859.17304213304942</v>
      </c>
      <c r="CS163" s="188">
        <f t="shared" si="941"/>
        <v>1205.3959219731169</v>
      </c>
      <c r="CT163" s="188">
        <f t="shared" si="942"/>
        <v>504.79889757562904</v>
      </c>
      <c r="CU163" s="188">
        <f t="shared" si="943"/>
        <v>594.67101381041857</v>
      </c>
      <c r="CV163" s="188">
        <f t="shared" si="944"/>
        <v>584.49267153103528</v>
      </c>
      <c r="CW163" s="188">
        <f t="shared" si="945"/>
        <v>385.45268869298502</v>
      </c>
      <c r="CX163" s="188">
        <f t="shared" si="946"/>
        <v>118.42914965959062</v>
      </c>
      <c r="CY163" s="188">
        <f t="shared" si="947"/>
        <v>-410.37957144907557</v>
      </c>
      <c r="CZ163" s="188">
        <f t="shared" si="948"/>
        <v>193.53008276321157</v>
      </c>
      <c r="DA163" s="188">
        <f t="shared" si="949"/>
        <v>0</v>
      </c>
      <c r="DB163" s="188">
        <f t="shared" si="950"/>
        <v>0</v>
      </c>
      <c r="DC163" s="188">
        <f t="shared" si="951"/>
        <v>0</v>
      </c>
      <c r="DD163" s="188">
        <f t="shared" si="952"/>
        <v>0</v>
      </c>
      <c r="DE163" s="188">
        <f t="shared" si="953"/>
        <v>0</v>
      </c>
    </row>
    <row r="164" spans="1:137" s="86" customFormat="1" ht="12.75" customHeight="1" thickBot="1">
      <c r="A164" s="79"/>
      <c r="B164" s="80" t="s">
        <v>150</v>
      </c>
      <c r="C164" s="79"/>
      <c r="D164" s="171"/>
      <c r="E164" s="171"/>
      <c r="F164" s="171"/>
      <c r="G164" s="171"/>
      <c r="H164" s="171"/>
      <c r="I164" s="171"/>
      <c r="J164" s="171">
        <v>-454.29999999999978</v>
      </c>
      <c r="K164" s="171">
        <v>126.19999999999999</v>
      </c>
      <c r="L164" s="171">
        <v>-328.0999999999998</v>
      </c>
      <c r="M164" s="171">
        <v>-808.9</v>
      </c>
      <c r="N164" s="171">
        <v>-240.70000000000016</v>
      </c>
      <c r="O164" s="171">
        <v>-1049.6000000000001</v>
      </c>
      <c r="P164" s="171">
        <v>125.89999999999999</v>
      </c>
      <c r="Q164" s="171">
        <v>-108.8</v>
      </c>
      <c r="R164" s="171">
        <v>17.099999999999994</v>
      </c>
      <c r="S164" s="171">
        <v>-75.899999999999991</v>
      </c>
      <c r="T164" s="171">
        <v>-279.60000000000002</v>
      </c>
      <c r="U164" s="171">
        <v>-355.5</v>
      </c>
      <c r="V164" s="171">
        <v>-176.1</v>
      </c>
      <c r="W164" s="171">
        <v>-44.70000000000001</v>
      </c>
      <c r="X164" s="171">
        <v>-220.8</v>
      </c>
      <c r="Y164" s="171">
        <v>-238.7</v>
      </c>
      <c r="Z164" s="171">
        <v>385.09999999999991</v>
      </c>
      <c r="AA164" s="171">
        <v>146.39999999999992</v>
      </c>
      <c r="AB164" s="171">
        <v>12.399999999999977</v>
      </c>
      <c r="AC164" s="171">
        <f>SUM(AC159:AC163)</f>
        <v>-240.9</v>
      </c>
      <c r="AD164" s="171">
        <f>SUM(AB164:AC164)</f>
        <v>-228.50000000000003</v>
      </c>
      <c r="AE164" s="171">
        <v>-237.4</v>
      </c>
      <c r="AF164" s="171">
        <f>SUM(AF159:AF163)</f>
        <v>89.600000000000023</v>
      </c>
      <c r="AG164" s="171">
        <f t="shared" ref="AG164:AS164" si="966">SUM(AG159:AG163)</f>
        <v>-147.79999999999995</v>
      </c>
      <c r="AH164" s="171">
        <v>-194.2</v>
      </c>
      <c r="AI164" s="171">
        <f>160-AH164</f>
        <v>354.2</v>
      </c>
      <c r="AJ164" s="171">
        <f t="shared" si="966"/>
        <v>160</v>
      </c>
      <c r="AK164" s="171">
        <v>192.7</v>
      </c>
      <c r="AL164" s="171">
        <f>730-AK164</f>
        <v>537.29999999999995</v>
      </c>
      <c r="AM164" s="82">
        <f t="shared" si="966"/>
        <v>729.99999999999989</v>
      </c>
      <c r="AN164" s="171">
        <v>88.3</v>
      </c>
      <c r="AO164" s="171">
        <f>-26.5-AN164</f>
        <v>-114.8</v>
      </c>
      <c r="AP164" s="82">
        <f t="shared" si="966"/>
        <v>-26.5</v>
      </c>
      <c r="AQ164" s="171">
        <v>-192.7</v>
      </c>
      <c r="AR164" s="171">
        <f>-818.2-AQ164</f>
        <v>-625.5</v>
      </c>
      <c r="AS164" s="82">
        <f t="shared" si="966"/>
        <v>-818.2</v>
      </c>
      <c r="AT164" s="171">
        <v>-315.8</v>
      </c>
      <c r="AU164" s="82">
        <f>-306.4-AT164</f>
        <v>9.4000000000000341</v>
      </c>
      <c r="AV164" s="82">
        <f t="shared" ref="AV164:BB164" si="967">SUM(AV159:AV163)</f>
        <v>-306.39999999999992</v>
      </c>
      <c r="AW164" s="82">
        <v>-246.6</v>
      </c>
      <c r="AX164" s="82">
        <f>-549.9-AW164</f>
        <v>-303.29999999999995</v>
      </c>
      <c r="AY164" s="82">
        <f t="shared" si="967"/>
        <v>-549.89999999999986</v>
      </c>
      <c r="AZ164" s="171">
        <v>-415.5</v>
      </c>
      <c r="BA164" s="171">
        <f>-1001.5-AZ164</f>
        <v>-586</v>
      </c>
      <c r="BB164" s="82">
        <f t="shared" si="967"/>
        <v>-1001.5</v>
      </c>
      <c r="BC164" s="171">
        <v>-544.20000000000005</v>
      </c>
      <c r="BD164" s="171">
        <f>-716-BC164</f>
        <v>-171.79999999999995</v>
      </c>
      <c r="BE164" s="82">
        <f t="shared" ref="BE164:BK164" si="968">SUM(BE159:BE163)</f>
        <v>-716</v>
      </c>
      <c r="BF164" s="171">
        <v>-226.7</v>
      </c>
      <c r="BG164" s="171">
        <f>-688.2-BF164</f>
        <v>-461.50000000000006</v>
      </c>
      <c r="BH164" s="82">
        <f t="shared" si="968"/>
        <v>-688.2</v>
      </c>
      <c r="BI164" s="171">
        <v>-2390.5</v>
      </c>
      <c r="BJ164" s="171">
        <f>-3484.4-BI164</f>
        <v>-1093.9000000000001</v>
      </c>
      <c r="BK164" s="82">
        <f t="shared" si="968"/>
        <v>-3484.4</v>
      </c>
      <c r="BL164" s="171">
        <v>-1033.7</v>
      </c>
      <c r="BM164" s="82">
        <f t="shared" ref="BM164:BN164" si="969">SUM(BM159:BM163)</f>
        <v>-1763.4230634454241</v>
      </c>
      <c r="BN164" s="82">
        <f t="shared" si="969"/>
        <v>-2797.1230634454241</v>
      </c>
      <c r="BO164" s="82">
        <f t="shared" ref="BO164:BQ164" si="970">SUM(BO159:BO163)</f>
        <v>-1889.4703457307814</v>
      </c>
      <c r="BP164" s="82">
        <f t="shared" si="970"/>
        <v>-1586.8173534873958</v>
      </c>
      <c r="BQ164" s="82">
        <f t="shared" si="970"/>
        <v>-3476.2876992181773</v>
      </c>
      <c r="BR164" s="82">
        <f t="shared" ref="BR164:BT164" si="971">SUM(BR159:BR163)</f>
        <v>-1462.8091796535095</v>
      </c>
      <c r="BS164" s="82">
        <f t="shared" si="971"/>
        <v>-1339.0851061690814</v>
      </c>
      <c r="BT164" s="82">
        <f t="shared" si="971"/>
        <v>-2801.894285822591</v>
      </c>
      <c r="BU164" s="82">
        <f t="shared" ref="BU164:BZ164" si="972">SUM(BU159:BU163)</f>
        <v>-1346.906278428482</v>
      </c>
      <c r="BV164" s="82">
        <f t="shared" si="972"/>
        <v>-1355.0342790653019</v>
      </c>
      <c r="BW164" s="82">
        <f t="shared" si="972"/>
        <v>-2701.9405574937837</v>
      </c>
      <c r="BX164" s="82">
        <f t="shared" si="972"/>
        <v>-1363.4811451054538</v>
      </c>
      <c r="BY164" s="82">
        <f t="shared" si="972"/>
        <v>-1372.2593857932179</v>
      </c>
      <c r="BZ164" s="82">
        <f t="shared" si="972"/>
        <v>-2735.7405308986718</v>
      </c>
      <c r="CA164" s="82">
        <f t="shared" ref="CA164:CC164" si="973">SUM(CA159:CA163)</f>
        <v>-1381.3820011165828</v>
      </c>
      <c r="CB164" s="82">
        <f t="shared" si="973"/>
        <v>-1390.8625010593676</v>
      </c>
      <c r="CC164" s="82">
        <f t="shared" si="973"/>
        <v>-2772.2445021759504</v>
      </c>
      <c r="CD164" s="134"/>
      <c r="CE164" s="134"/>
      <c r="CF164" s="198"/>
      <c r="CG164" s="198"/>
      <c r="CH164" s="198"/>
      <c r="CI164" s="198"/>
      <c r="CJ164" s="198"/>
      <c r="CK164" s="199"/>
      <c r="CL164" s="246">
        <f>X164</f>
        <v>-220.8</v>
      </c>
      <c r="CM164" s="247">
        <f>AA164</f>
        <v>146.39999999999992</v>
      </c>
      <c r="CN164" s="247">
        <f>AD164</f>
        <v>-228.50000000000003</v>
      </c>
      <c r="CO164" s="247">
        <f t="shared" si="937"/>
        <v>-147.79999999999995</v>
      </c>
      <c r="CP164" s="247">
        <f t="shared" si="938"/>
        <v>160</v>
      </c>
      <c r="CQ164" s="247">
        <f t="shared" si="939"/>
        <v>729.99999999999989</v>
      </c>
      <c r="CR164" s="247">
        <f t="shared" si="940"/>
        <v>-26.5</v>
      </c>
      <c r="CS164" s="247">
        <f t="shared" si="941"/>
        <v>-818.2</v>
      </c>
      <c r="CT164" s="247">
        <f t="shared" si="942"/>
        <v>-306.39999999999992</v>
      </c>
      <c r="CU164" s="247">
        <f t="shared" si="943"/>
        <v>-549.89999999999986</v>
      </c>
      <c r="CV164" s="247">
        <f t="shared" si="944"/>
        <v>-1001.5</v>
      </c>
      <c r="CW164" s="247">
        <f t="shared" si="945"/>
        <v>-716</v>
      </c>
      <c r="CX164" s="247">
        <f t="shared" si="946"/>
        <v>-688.2</v>
      </c>
      <c r="CY164" s="247">
        <f t="shared" si="947"/>
        <v>-3484.4</v>
      </c>
      <c r="CZ164" s="247">
        <f t="shared" si="948"/>
        <v>-2797.1230634454241</v>
      </c>
      <c r="DA164" s="247">
        <f t="shared" si="949"/>
        <v>-3476.2876992181773</v>
      </c>
      <c r="DB164" s="247">
        <f t="shared" si="950"/>
        <v>-2801.894285822591</v>
      </c>
      <c r="DC164" s="247">
        <f t="shared" si="951"/>
        <v>-2701.9405574937837</v>
      </c>
      <c r="DD164" s="247">
        <f t="shared" si="952"/>
        <v>-2735.7405308986718</v>
      </c>
      <c r="DE164" s="247">
        <f t="shared" si="953"/>
        <v>-2772.2445021759504</v>
      </c>
      <c r="DF164" s="48"/>
      <c r="DG164" s="48"/>
      <c r="DH164" s="48"/>
      <c r="DI164" s="48"/>
      <c r="DJ164" s="48"/>
      <c r="DK164" s="48"/>
      <c r="EB164"/>
      <c r="EC164"/>
      <c r="ED164"/>
      <c r="EE164"/>
      <c r="EF164"/>
      <c r="EG164"/>
    </row>
    <row r="165" spans="1:137" ht="12.75" customHeight="1" thickTop="1">
      <c r="A165" s="1"/>
      <c r="B165" s="13"/>
      <c r="C165" s="1"/>
      <c r="G165" s="23"/>
      <c r="H165" s="23"/>
      <c r="I165" s="188"/>
      <c r="J165" s="188"/>
      <c r="K165" s="188"/>
      <c r="L165" s="188"/>
      <c r="M165" s="188"/>
      <c r="N165" s="188"/>
      <c r="O165" s="188"/>
      <c r="P165" s="188"/>
      <c r="Q165" s="188"/>
      <c r="R165" s="188"/>
      <c r="S165" s="188"/>
      <c r="T165" s="188"/>
      <c r="U165" s="188"/>
      <c r="V165" s="188"/>
      <c r="W165" s="188"/>
      <c r="X165" s="184"/>
      <c r="Y165" s="184"/>
      <c r="Z165" s="184"/>
      <c r="AA165" s="184"/>
      <c r="AB165" s="188"/>
      <c r="AC165" s="188"/>
      <c r="AD165" s="188"/>
      <c r="AE165" s="188"/>
      <c r="AF165" s="188"/>
      <c r="AG165" s="188"/>
      <c r="AH165" s="188"/>
      <c r="AI165" s="188"/>
      <c r="AJ165" s="188"/>
      <c r="AK165" s="188"/>
      <c r="AL165" s="188"/>
      <c r="AM165" s="188"/>
      <c r="AN165" s="188"/>
      <c r="AO165" s="188"/>
      <c r="AP165" s="188"/>
      <c r="AQ165" s="188"/>
      <c r="AR165" s="188"/>
      <c r="AS165" s="188"/>
      <c r="AT165" s="188"/>
      <c r="AU165" s="188"/>
      <c r="AV165" s="188"/>
      <c r="AW165" s="188"/>
      <c r="AX165" s="188"/>
      <c r="AY165" s="188"/>
      <c r="AZ165" s="188"/>
      <c r="BA165" s="188"/>
      <c r="BB165" s="188"/>
      <c r="BC165" s="188"/>
      <c r="BD165" s="188"/>
      <c r="BE165" s="188"/>
      <c r="BF165" s="188"/>
      <c r="BG165" s="188"/>
      <c r="BH165" s="188"/>
      <c r="BI165" s="188"/>
      <c r="BJ165" s="188"/>
      <c r="BK165" s="188"/>
      <c r="BL165" s="188"/>
      <c r="BM165" s="188"/>
      <c r="BN165" s="188"/>
      <c r="BO165" s="188"/>
      <c r="BP165" s="188"/>
      <c r="BQ165" s="188"/>
      <c r="BR165" s="188"/>
      <c r="BS165" s="188"/>
      <c r="BT165" s="188"/>
      <c r="BU165" s="188"/>
      <c r="BV165" s="188"/>
      <c r="BW165" s="188"/>
      <c r="BX165" s="188"/>
      <c r="BY165" s="188"/>
      <c r="BZ165" s="188"/>
      <c r="CA165" s="188"/>
      <c r="CB165" s="188"/>
      <c r="CC165" s="188"/>
      <c r="CD165" s="186"/>
      <c r="CE165" s="187"/>
      <c r="CF165" s="187"/>
      <c r="CG165" s="187"/>
      <c r="CH165" s="187"/>
      <c r="CI165" s="187"/>
      <c r="CJ165" s="187"/>
      <c r="CK165" s="188"/>
      <c r="CL165" s="192"/>
      <c r="CM165" s="188"/>
      <c r="CN165" s="188"/>
      <c r="CO165" s="188"/>
      <c r="CP165" s="188"/>
      <c r="CQ165" s="188"/>
      <c r="CR165" s="188"/>
      <c r="CS165" s="188"/>
      <c r="CT165" s="188"/>
      <c r="CU165" s="188"/>
      <c r="CV165" s="188"/>
      <c r="CW165" s="188"/>
      <c r="CX165" s="188"/>
      <c r="CY165" s="188"/>
      <c r="CZ165" s="188"/>
      <c r="DA165" s="188"/>
      <c r="DB165" s="188"/>
      <c r="DC165" s="188"/>
      <c r="DD165" s="188"/>
      <c r="DE165" s="188"/>
    </row>
    <row r="166" spans="1:137" ht="12.75" customHeight="1">
      <c r="A166" s="1"/>
      <c r="B166" s="154" t="s">
        <v>151</v>
      </c>
      <c r="C166" s="1"/>
      <c r="D166" s="23"/>
      <c r="E166" s="23"/>
      <c r="F166" s="188"/>
      <c r="G166" s="188"/>
      <c r="H166" s="188"/>
      <c r="I166" s="188"/>
      <c r="J166" s="188"/>
      <c r="K166" s="188"/>
      <c r="L166" s="188"/>
      <c r="M166" s="188"/>
      <c r="N166" s="188"/>
      <c r="O166" s="188"/>
      <c r="P166" s="188"/>
      <c r="Q166" s="188"/>
      <c r="R166" s="188"/>
      <c r="S166" s="188"/>
      <c r="T166" s="188"/>
      <c r="U166" s="184"/>
      <c r="V166" s="184"/>
      <c r="W166" s="184"/>
      <c r="X166" s="184"/>
      <c r="Y166" s="184"/>
      <c r="Z166" s="184"/>
      <c r="AA166" s="184"/>
      <c r="AB166" s="188"/>
      <c r="AC166" s="188"/>
      <c r="AD166" s="188"/>
      <c r="AE166" s="188"/>
      <c r="AF166" s="188"/>
      <c r="AG166" s="188"/>
      <c r="AH166" s="188"/>
      <c r="AI166" s="188"/>
      <c r="AJ166" s="188"/>
      <c r="AK166" s="188"/>
      <c r="AL166" s="188"/>
      <c r="AM166" s="188"/>
      <c r="AN166" s="188"/>
      <c r="AO166" s="188"/>
      <c r="AP166" s="188"/>
      <c r="AQ166" s="188"/>
      <c r="AR166" s="188"/>
      <c r="AS166" s="188"/>
      <c r="AT166" s="188"/>
      <c r="AU166" s="188"/>
      <c r="AV166" s="188"/>
      <c r="AW166" s="188"/>
      <c r="AX166" s="188"/>
      <c r="AY166" s="188"/>
      <c r="AZ166" s="188"/>
      <c r="BA166" s="188"/>
      <c r="BB166" s="188"/>
      <c r="BC166" s="188"/>
      <c r="BD166" s="188"/>
      <c r="BE166" s="188"/>
      <c r="BF166" s="188"/>
      <c r="BG166" s="188"/>
      <c r="BH166" s="188"/>
      <c r="BI166" s="188"/>
      <c r="BJ166" s="188"/>
      <c r="BK166" s="188"/>
      <c r="BL166" s="188"/>
      <c r="BM166" s="188"/>
      <c r="BN166" s="188"/>
      <c r="BO166" s="188"/>
      <c r="BP166" s="188"/>
      <c r="BQ166" s="188"/>
      <c r="BR166" s="188"/>
      <c r="BS166" s="188"/>
      <c r="BT166" s="188"/>
      <c r="BU166" s="188"/>
      <c r="BV166" s="188"/>
      <c r="BW166" s="188"/>
      <c r="BX166" s="188"/>
      <c r="BY166" s="188"/>
      <c r="BZ166" s="188"/>
      <c r="CA166" s="188"/>
      <c r="CB166" s="188"/>
      <c r="CC166" s="188"/>
      <c r="CD166" s="186"/>
      <c r="CE166" s="187"/>
      <c r="CF166" s="187"/>
      <c r="CG166" s="187"/>
      <c r="CH166" s="187"/>
      <c r="CI166" s="187"/>
      <c r="CJ166" s="187"/>
      <c r="CK166" s="188"/>
      <c r="CL166" s="192"/>
      <c r="CM166" s="188"/>
      <c r="CN166" s="188"/>
      <c r="CO166" s="188"/>
      <c r="CP166" s="188"/>
      <c r="CQ166" s="188"/>
      <c r="CR166" s="188"/>
      <c r="CS166" s="188"/>
      <c r="CT166" s="188"/>
      <c r="CU166" s="188"/>
      <c r="CV166" s="188"/>
      <c r="CW166" s="188"/>
      <c r="CX166" s="188"/>
      <c r="CY166" s="188"/>
      <c r="CZ166" s="188"/>
      <c r="DA166" s="188"/>
      <c r="DB166" s="188"/>
      <c r="DC166" s="188"/>
      <c r="DD166" s="188"/>
      <c r="DE166" s="188"/>
    </row>
    <row r="167" spans="1:137" ht="12.75" customHeight="1">
      <c r="A167" s="1"/>
      <c r="B167" s="13" t="s">
        <v>152</v>
      </c>
      <c r="C167" s="1"/>
      <c r="D167" s="56"/>
      <c r="E167" s="56"/>
      <c r="F167" s="184"/>
      <c r="G167" s="184"/>
      <c r="H167" s="184"/>
      <c r="I167" s="184"/>
      <c r="J167" s="184">
        <v>267.30099999999999</v>
      </c>
      <c r="K167" s="184">
        <v>-3.1000000000005912E-2</v>
      </c>
      <c r="L167" s="184">
        <v>267.27</v>
      </c>
      <c r="M167" s="184">
        <v>328.798</v>
      </c>
      <c r="N167" s="184">
        <v>-5.2029999999999745</v>
      </c>
      <c r="O167" s="184">
        <v>323.59500000000003</v>
      </c>
      <c r="P167" s="184">
        <v>-2.8000000000000001E-2</v>
      </c>
      <c r="Q167" s="184">
        <v>0</v>
      </c>
      <c r="R167" s="184">
        <v>0</v>
      </c>
      <c r="S167" s="184">
        <v>567.04142959967658</v>
      </c>
      <c r="T167" s="184">
        <v>13.928585560462237</v>
      </c>
      <c r="U167" s="184">
        <v>580.97001516013881</v>
      </c>
      <c r="V167" s="184">
        <v>0</v>
      </c>
      <c r="W167" s="184"/>
      <c r="X167" s="184"/>
      <c r="Y167" s="184"/>
      <c r="Z167" s="184"/>
      <c r="AA167" s="184"/>
      <c r="AB167" s="188"/>
      <c r="AC167" s="188"/>
      <c r="AD167" s="188"/>
      <c r="AE167" s="188"/>
      <c r="AF167" s="188"/>
      <c r="AG167" s="188"/>
      <c r="AH167" s="188"/>
      <c r="AI167" s="188"/>
      <c r="AJ167" s="188"/>
      <c r="AK167" s="188"/>
      <c r="AL167" s="188"/>
      <c r="AM167" s="188"/>
      <c r="AN167" s="188"/>
      <c r="AO167" s="188"/>
      <c r="AP167" s="188"/>
      <c r="AQ167" s="188"/>
      <c r="AR167" s="188"/>
      <c r="AS167" s="188"/>
      <c r="AT167" s="188"/>
      <c r="AU167" s="188"/>
      <c r="AV167" s="188"/>
      <c r="AW167" s="372">
        <f t="shared" ref="AW167:BJ167" si="974">AW218*AW219+AW225*AW226+AW232*AW233+AW239*AW240</f>
        <v>0</v>
      </c>
      <c r="AX167" s="372">
        <f t="shared" si="974"/>
        <v>0</v>
      </c>
      <c r="AY167" s="188">
        <f t="shared" ref="AY167:AY170" si="975">SUM(AW167:AX167)</f>
        <v>0</v>
      </c>
      <c r="AZ167" s="372">
        <f t="shared" si="974"/>
        <v>0</v>
      </c>
      <c r="BA167" s="372">
        <f t="shared" si="974"/>
        <v>0</v>
      </c>
      <c r="BB167" s="217">
        <f t="shared" ref="BB167:BB170" si="976">SUM(AZ167:BA167)</f>
        <v>0</v>
      </c>
      <c r="BC167" s="372">
        <f t="shared" si="974"/>
        <v>0</v>
      </c>
      <c r="BD167" s="372">
        <f t="shared" si="974"/>
        <v>0</v>
      </c>
      <c r="BE167" s="188">
        <f t="shared" ref="BE167:BE170" si="977">SUM(BC167:BD167)</f>
        <v>0</v>
      </c>
      <c r="BF167" s="372">
        <f t="shared" si="974"/>
        <v>0</v>
      </c>
      <c r="BG167" s="372">
        <f t="shared" si="974"/>
        <v>0</v>
      </c>
      <c r="BH167" s="372">
        <f t="shared" si="974"/>
        <v>0</v>
      </c>
      <c r="BI167" s="372">
        <f t="shared" si="974"/>
        <v>0</v>
      </c>
      <c r="BJ167" s="372">
        <f t="shared" si="974"/>
        <v>4000</v>
      </c>
      <c r="BK167" s="217">
        <f t="shared" ref="BK167:BK170" si="978">SUM(BI167:BJ167)</f>
        <v>4000</v>
      </c>
      <c r="BL167" s="372">
        <f t="shared" ref="BL167:BM167" si="979">BL218*BL219+BL225*BL226+BL232*BL233+BL239*BL240</f>
        <v>0</v>
      </c>
      <c r="BM167" s="372">
        <f t="shared" si="979"/>
        <v>0</v>
      </c>
      <c r="BN167" s="372">
        <f>SUM(BL167:BM167)</f>
        <v>0</v>
      </c>
      <c r="BO167" s="372">
        <f t="shared" ref="BO167:BQ167" si="980">BO218*BO219+BO225*BO226+BO232*BO233+BO239*BO240</f>
        <v>0</v>
      </c>
      <c r="BP167" s="372">
        <f t="shared" si="980"/>
        <v>0</v>
      </c>
      <c r="BQ167" s="372">
        <f t="shared" si="980"/>
        <v>0</v>
      </c>
      <c r="BR167" s="372">
        <f t="shared" ref="BR167:BT167" si="981">BR218*BR219+BR225*BR226+BR232*BR233+BR239*BR240</f>
        <v>0</v>
      </c>
      <c r="BS167" s="372">
        <f t="shared" si="981"/>
        <v>0</v>
      </c>
      <c r="BT167" s="372">
        <f t="shared" si="981"/>
        <v>0</v>
      </c>
      <c r="BU167" s="372">
        <f t="shared" ref="BU167:BZ167" si="982">BU218*BU219+BU225*BU226+BU232*BU233+BU239*BU240</f>
        <v>0</v>
      </c>
      <c r="BV167" s="372">
        <f t="shared" si="982"/>
        <v>0</v>
      </c>
      <c r="BW167" s="372">
        <f t="shared" si="982"/>
        <v>0</v>
      </c>
      <c r="BX167" s="372">
        <f t="shared" si="982"/>
        <v>0</v>
      </c>
      <c r="BY167" s="372">
        <f t="shared" si="982"/>
        <v>0</v>
      </c>
      <c r="BZ167" s="372">
        <f t="shared" si="982"/>
        <v>0</v>
      </c>
      <c r="CA167" s="372">
        <f t="shared" ref="CA167:CC167" si="983">CA218*CA219+CA225*CA226+CA232*CA233+CA239*CA240</f>
        <v>0</v>
      </c>
      <c r="CB167" s="372">
        <f t="shared" si="983"/>
        <v>0</v>
      </c>
      <c r="CC167" s="372">
        <f t="shared" si="983"/>
        <v>0</v>
      </c>
      <c r="CD167" s="186"/>
      <c r="CE167" s="187"/>
      <c r="CF167" s="187"/>
      <c r="CG167" s="187"/>
      <c r="CH167" s="187"/>
      <c r="CI167" s="187"/>
      <c r="CJ167" s="187"/>
      <c r="CK167" s="188"/>
      <c r="CL167" s="192">
        <f>X167</f>
        <v>0</v>
      </c>
      <c r="CM167" s="188">
        <f>AA167</f>
        <v>0</v>
      </c>
      <c r="CN167" s="188">
        <f>AD167</f>
        <v>0</v>
      </c>
      <c r="CO167" s="188">
        <f>AG167</f>
        <v>0</v>
      </c>
      <c r="CP167" s="188">
        <f>AJ167</f>
        <v>0</v>
      </c>
      <c r="CQ167" s="188">
        <f>AM167</f>
        <v>0</v>
      </c>
      <c r="CR167" s="188">
        <f>AP167</f>
        <v>0</v>
      </c>
      <c r="CS167" s="188">
        <f>AS167</f>
        <v>0</v>
      </c>
      <c r="CT167" s="188">
        <f>AV167</f>
        <v>0</v>
      </c>
      <c r="CU167" s="188">
        <f>AY167</f>
        <v>0</v>
      </c>
      <c r="CV167" s="188">
        <f>BB167</f>
        <v>0</v>
      </c>
      <c r="CW167" s="188">
        <f>BE167</f>
        <v>0</v>
      </c>
      <c r="CX167" s="188">
        <f>BH167</f>
        <v>0</v>
      </c>
      <c r="CY167" s="188">
        <f>BK167</f>
        <v>4000</v>
      </c>
      <c r="CZ167" s="188">
        <f>BN167</f>
        <v>0</v>
      </c>
      <c r="DA167" s="188">
        <f>BQ167</f>
        <v>0</v>
      </c>
      <c r="DB167" s="188">
        <f>BT167</f>
        <v>0</v>
      </c>
      <c r="DC167" s="188">
        <f>BW167</f>
        <v>0</v>
      </c>
      <c r="DD167" s="188">
        <f>BZ167</f>
        <v>0</v>
      </c>
      <c r="DE167" s="188">
        <f>CC167</f>
        <v>0</v>
      </c>
    </row>
    <row r="168" spans="1:137" ht="12.75" customHeight="1">
      <c r="A168" s="1"/>
      <c r="B168" s="13" t="s">
        <v>153</v>
      </c>
      <c r="C168" s="1"/>
      <c r="D168" s="184"/>
      <c r="E168" s="184"/>
      <c r="F168" s="184"/>
      <c r="G168" s="184"/>
      <c r="H168" s="184"/>
      <c r="I168" s="184"/>
      <c r="J168" s="184">
        <v>295.90599999999995</v>
      </c>
      <c r="K168" s="184">
        <v>108</v>
      </c>
      <c r="L168" s="184">
        <v>403.90599999999995</v>
      </c>
      <c r="M168" s="184">
        <v>-103.01300000000001</v>
      </c>
      <c r="N168" s="184">
        <v>51.013000000000005</v>
      </c>
      <c r="O168" s="184">
        <v>-52</v>
      </c>
      <c r="P168" s="184">
        <v>239</v>
      </c>
      <c r="Q168" s="184">
        <v>38</v>
      </c>
      <c r="R168" s="184">
        <v>277</v>
      </c>
      <c r="S168" s="184">
        <v>161.94070373365685</v>
      </c>
      <c r="T168" s="184">
        <v>5</v>
      </c>
      <c r="U168" s="184">
        <v>166.94070373365685</v>
      </c>
      <c r="V168" s="184">
        <v>159.99999999999991</v>
      </c>
      <c r="W168" s="184">
        <v>0</v>
      </c>
      <c r="X168" s="184">
        <v>159.99999999999991</v>
      </c>
      <c r="Y168" s="184">
        <v>155.50000000000006</v>
      </c>
      <c r="Z168" s="184">
        <v>111.6363612761636</v>
      </c>
      <c r="AA168" s="184">
        <v>267.13636127616365</v>
      </c>
      <c r="AB168" s="188">
        <f>Debt!I18-Debt!I24+Debt!I21</f>
        <v>119.75935000000001</v>
      </c>
      <c r="AC168" s="188">
        <f>Debt!J18-Debt!J24</f>
        <v>0</v>
      </c>
      <c r="AD168" s="188">
        <f>Debt!K18-Debt!K24</f>
        <v>119.75935000000001</v>
      </c>
      <c r="AE168" s="188">
        <f>Debt!L18-Debt!L24</f>
        <v>422.69999999999982</v>
      </c>
      <c r="AF168" s="188">
        <f>Debt!M18-Debt!M24</f>
        <v>119.20968594908179</v>
      </c>
      <c r="AG168" s="188">
        <f>Debt!N18-Debt!N24</f>
        <v>467.33728594908166</v>
      </c>
      <c r="AH168" s="188">
        <f>Debt!O18-Debt!O24</f>
        <v>500.06742404329884</v>
      </c>
      <c r="AI168" s="188">
        <f>Debt!P18-Debt!P24</f>
        <v>-261.04743585651852</v>
      </c>
      <c r="AJ168" s="188">
        <f>SUM(AH168:AI168)</f>
        <v>239.01998818678032</v>
      </c>
      <c r="AK168" s="188">
        <f>Debt!R18-Debt!R24</f>
        <v>0</v>
      </c>
      <c r="AL168" s="188">
        <f>Debt!S18-Debt!S24</f>
        <v>0</v>
      </c>
      <c r="AM168" s="188">
        <f>Debt!T18-Debt!T24</f>
        <v>0</v>
      </c>
      <c r="AN168" s="188">
        <f>Debt!U18-Debt!U24</f>
        <v>-200</v>
      </c>
      <c r="AO168" s="188">
        <f>Debt!V18-Debt!V24</f>
        <v>-45.000000000000114</v>
      </c>
      <c r="AP168" s="188">
        <f>Debt!W18-Debt!W24</f>
        <v>-245</v>
      </c>
      <c r="AQ168" s="188">
        <f>Debt!X18-Debt!X24</f>
        <v>657.62749055913355</v>
      </c>
      <c r="AR168" s="188">
        <f>Debt!Y18-Debt!Y24</f>
        <v>412.96843141398335</v>
      </c>
      <c r="AS168" s="188">
        <f>Debt!Z18-Debt!Z24</f>
        <v>1070.5959219731167</v>
      </c>
      <c r="AT168" s="188">
        <f>Debt!AA18-Debt!AA24</f>
        <v>-80</v>
      </c>
      <c r="AU168" s="188">
        <f>Debt!AB18-Debt!AB24</f>
        <v>82.198897575629019</v>
      </c>
      <c r="AV168" s="188">
        <f>Debt!AC18-Debt!AC24</f>
        <v>2.1988975756289619</v>
      </c>
      <c r="AW168" s="188">
        <v>-712.6</v>
      </c>
      <c r="AX168" s="188">
        <f>Debt!AE18-Debt!AE24</f>
        <v>438.73022717909254</v>
      </c>
      <c r="AY168" s="188">
        <f t="shared" si="975"/>
        <v>-273.86977282090749</v>
      </c>
      <c r="AZ168" s="188">
        <f>Debt!AG18-Debt!AG24</f>
        <v>0</v>
      </c>
      <c r="BA168" s="188">
        <f>Debt!AH18-Debt!AH24</f>
        <v>749.57602153103517</v>
      </c>
      <c r="BB168" s="217">
        <f t="shared" si="976"/>
        <v>749.57602153103517</v>
      </c>
      <c r="BC168" s="188">
        <f>Debt!AJ18-Debt!AJ24</f>
        <v>286.70047728388602</v>
      </c>
      <c r="BD168" s="188">
        <f>Debt!AK18-Debt!AK24</f>
        <v>-32.247788590900996</v>
      </c>
      <c r="BE168" s="188">
        <f t="shared" si="977"/>
        <v>254.45268869298502</v>
      </c>
      <c r="BF168" s="188">
        <f>Debt!AM18-Debt!AM24</f>
        <v>-141.06735196689021</v>
      </c>
      <c r="BG168" s="188">
        <f>Debt!AN18-Debt!AN24</f>
        <v>205.69650162648088</v>
      </c>
      <c r="BH168" s="188">
        <f>Debt!AO18-Debt!AO24</f>
        <v>64.629149659590666</v>
      </c>
      <c r="BI168" s="188">
        <f>Debt!AP18-Debt!AP24</f>
        <v>286.40090636094556</v>
      </c>
      <c r="BJ168" s="188">
        <f>Debt!AQ18-Debt!AQ24</f>
        <v>-1940.1795714490756</v>
      </c>
      <c r="BK168" s="217">
        <f t="shared" si="978"/>
        <v>-1653.7786650881301</v>
      </c>
      <c r="BL168" s="188">
        <f>Debt!AS18-Debt!AS24</f>
        <v>-1110.2699172367884</v>
      </c>
      <c r="BM168" s="188">
        <f>Debt!AT18-Debt!AT24</f>
        <v>170.92306344542408</v>
      </c>
      <c r="BN168" s="188">
        <f t="shared" ref="BN168:BN170" si="984">SUM(BL168:BM168)</f>
        <v>-939.34685379136431</v>
      </c>
      <c r="BO168" s="188">
        <f>Debt!AV18-Debt!AV24</f>
        <v>139.47034573078145</v>
      </c>
      <c r="BP168" s="188">
        <f>Debt!AW18-Debt!AW24</f>
        <v>186.81735348739585</v>
      </c>
      <c r="BQ168" s="188">
        <f>Debt!AX18-Debt!AX24</f>
        <v>326.28769921817729</v>
      </c>
      <c r="BR168" s="188">
        <f>Debt!AY18-Debt!AY24</f>
        <v>194.05917965350955</v>
      </c>
      <c r="BS168" s="188">
        <f>Debt!AZ18-Debt!AZ24</f>
        <v>201.58510616908143</v>
      </c>
      <c r="BT168" s="188">
        <f>Debt!BA18-Debt!BA24</f>
        <v>395.64428582259097</v>
      </c>
      <c r="BU168" s="188">
        <f>Debt!BB18-Debt!BB24</f>
        <v>209.40627842848198</v>
      </c>
      <c r="BV168" s="188">
        <f>Debt!BC18-Debt!BC24</f>
        <v>217.53427906530192</v>
      </c>
      <c r="BW168" s="188">
        <f>Debt!BD18-Debt!BD24</f>
        <v>426.94055749378367</v>
      </c>
      <c r="BX168" s="188">
        <f>Debt!BE18-Debt!BE24</f>
        <v>225.98114510545383</v>
      </c>
      <c r="BY168" s="188">
        <f>Debt!BF18-Debt!BF24</f>
        <v>234.75938579321792</v>
      </c>
      <c r="BZ168" s="188">
        <f>Debt!BG18-Debt!BG24</f>
        <v>460.74053089867175</v>
      </c>
      <c r="CA168" s="188">
        <f>Debt!BH18-Debt!BH24</f>
        <v>243.88200111658284</v>
      </c>
      <c r="CB168" s="188">
        <f>Debt!BI18-Debt!BI24</f>
        <v>253.36250105936756</v>
      </c>
      <c r="CC168" s="188">
        <f>Debt!BJ18-Debt!BJ24</f>
        <v>497.2445021759504</v>
      </c>
      <c r="CD168" s="186"/>
      <c r="CE168" s="187"/>
      <c r="CF168" s="187"/>
      <c r="CG168" s="187"/>
      <c r="CH168" s="187"/>
      <c r="CI168" s="187"/>
      <c r="CJ168" s="187"/>
      <c r="CK168" s="188"/>
      <c r="CL168" s="192">
        <f>X168</f>
        <v>159.99999999999991</v>
      </c>
      <c r="CM168" s="188">
        <f>AA168</f>
        <v>267.13636127616365</v>
      </c>
      <c r="CN168" s="188">
        <f>AD168</f>
        <v>119.75935000000001</v>
      </c>
      <c r="CO168" s="188">
        <f>AG168</f>
        <v>467.33728594908166</v>
      </c>
      <c r="CP168" s="188">
        <f>AJ168</f>
        <v>239.01998818678032</v>
      </c>
      <c r="CQ168" s="188">
        <f>AM168</f>
        <v>0</v>
      </c>
      <c r="CR168" s="188">
        <f>AP168</f>
        <v>-245</v>
      </c>
      <c r="CS168" s="188">
        <f>AS168</f>
        <v>1070.5959219731167</v>
      </c>
      <c r="CT168" s="188">
        <f>AV168</f>
        <v>2.1988975756289619</v>
      </c>
      <c r="CU168" s="188">
        <f>AY168</f>
        <v>-273.86977282090749</v>
      </c>
      <c r="CV168" s="188">
        <f>BB168</f>
        <v>749.57602153103517</v>
      </c>
      <c r="CW168" s="188">
        <f>BE168</f>
        <v>254.45268869298502</v>
      </c>
      <c r="CX168" s="188">
        <f>BH168</f>
        <v>64.629149659590666</v>
      </c>
      <c r="CY168" s="188">
        <f>BK168</f>
        <v>-1653.7786650881301</v>
      </c>
      <c r="CZ168" s="188">
        <f>BN168</f>
        <v>-939.34685379136431</v>
      </c>
      <c r="DA168" s="188">
        <f>BQ168</f>
        <v>326.28769921817729</v>
      </c>
      <c r="DB168" s="188">
        <f>BT168</f>
        <v>395.64428582259097</v>
      </c>
      <c r="DC168" s="188">
        <f>BW168</f>
        <v>426.94055749378367</v>
      </c>
      <c r="DD168" s="188">
        <f>BZ168</f>
        <v>460.74053089867175</v>
      </c>
      <c r="DE168" s="188">
        <f>CC168</f>
        <v>497.2445021759504</v>
      </c>
    </row>
    <row r="169" spans="1:137" ht="12.75" customHeight="1">
      <c r="A169" s="1"/>
      <c r="B169" s="13" t="s">
        <v>154</v>
      </c>
      <c r="C169" s="1"/>
      <c r="D169" s="188"/>
      <c r="E169" s="188"/>
      <c r="F169" s="188"/>
      <c r="G169" s="188"/>
      <c r="H169" s="188"/>
      <c r="I169" s="188"/>
      <c r="J169" s="188">
        <v>-145.30000000000001</v>
      </c>
      <c r="K169" s="188">
        <v>-300.3</v>
      </c>
      <c r="L169" s="188">
        <v>-445.6</v>
      </c>
      <c r="M169" s="188">
        <v>-157.9</v>
      </c>
      <c r="N169" s="188">
        <v>-273.10000000000002</v>
      </c>
      <c r="O169" s="188">
        <v>-431</v>
      </c>
      <c r="P169" s="188">
        <v>-17.399999999999999</v>
      </c>
      <c r="Q169" s="188">
        <v>-124.9</v>
      </c>
      <c r="R169" s="188">
        <v>-142.30000000000001</v>
      </c>
      <c r="S169" s="188">
        <v>-156.4</v>
      </c>
      <c r="T169" s="188">
        <v>-127.70000000000002</v>
      </c>
      <c r="U169" s="188">
        <v>-284.10000000000002</v>
      </c>
      <c r="V169" s="188">
        <v>-172</v>
      </c>
      <c r="W169" s="188">
        <v>-156</v>
      </c>
      <c r="X169" s="188">
        <v>-328</v>
      </c>
      <c r="Y169" s="188">
        <v>-155.5</v>
      </c>
      <c r="Z169" s="188">
        <v>-171.89999999999998</v>
      </c>
      <c r="AA169" s="188">
        <v>-327.39999999999998</v>
      </c>
      <c r="AB169" s="188">
        <v>-178.33999999999995</v>
      </c>
      <c r="AC169" s="188">
        <f>-AC84</f>
        <v>-178.80000000000004</v>
      </c>
      <c r="AD169" s="188">
        <f>SUM(AB169:AC169)</f>
        <v>-357.14</v>
      </c>
      <c r="AE169" s="188">
        <f t="shared" ref="AE169:BJ169" si="985">-AE84</f>
        <v>-194.167004967</v>
      </c>
      <c r="AF169" s="188">
        <f t="shared" si="985"/>
        <v>-194.53439999999998</v>
      </c>
      <c r="AG169" s="188">
        <f t="shared" si="985"/>
        <v>-388.70140496699997</v>
      </c>
      <c r="AH169" s="188">
        <f t="shared" si="985"/>
        <v>-210.9</v>
      </c>
      <c r="AI169" s="188">
        <f t="shared" si="985"/>
        <v>-215.63475</v>
      </c>
      <c r="AJ169" s="188">
        <f>SUM(AH169:AI169)</f>
        <v>-426.53475000000003</v>
      </c>
      <c r="AK169" s="188">
        <f t="shared" si="985"/>
        <v>-228.0675</v>
      </c>
      <c r="AL169" s="188">
        <f t="shared" si="985"/>
        <v>-237.33359999999999</v>
      </c>
      <c r="AM169" s="188">
        <f t="shared" si="985"/>
        <v>-465.40109999999999</v>
      </c>
      <c r="AN169" s="188">
        <f t="shared" si="985"/>
        <v>-248.77765000000002</v>
      </c>
      <c r="AO169" s="188">
        <f t="shared" si="985"/>
        <v>-258.15680000000003</v>
      </c>
      <c r="AP169" s="188">
        <f t="shared" si="985"/>
        <v>-506.93445000000008</v>
      </c>
      <c r="AQ169" s="188">
        <f t="shared" si="985"/>
        <v>-272.10000000000002</v>
      </c>
      <c r="AR169" s="188">
        <f t="shared" si="985"/>
        <v>-272.08229999999998</v>
      </c>
      <c r="AS169" s="188">
        <f t="shared" si="985"/>
        <v>-544.18229999999994</v>
      </c>
      <c r="AT169" s="188">
        <f t="shared" si="985"/>
        <v>-274.3</v>
      </c>
      <c r="AU169" s="188">
        <f t="shared" si="985"/>
        <v>-276.93373217115686</v>
      </c>
      <c r="AV169" s="188">
        <f t="shared" si="985"/>
        <v>-551.23373217115682</v>
      </c>
      <c r="AW169" s="188">
        <f t="shared" si="985"/>
        <v>-279.18373217115686</v>
      </c>
      <c r="AX169" s="188">
        <f t="shared" si="985"/>
        <v>-277.08</v>
      </c>
      <c r="AY169" s="188">
        <f t="shared" si="975"/>
        <v>-556.26373217115679</v>
      </c>
      <c r="AZ169" s="188">
        <f t="shared" si="985"/>
        <v>-280.23</v>
      </c>
      <c r="BA169" s="188">
        <f t="shared" si="985"/>
        <v>-280.23</v>
      </c>
      <c r="BB169" s="217">
        <f t="shared" si="976"/>
        <v>-560.46</v>
      </c>
      <c r="BC169" s="188">
        <f t="shared" si="985"/>
        <v>-282.07499999999999</v>
      </c>
      <c r="BD169" s="188">
        <f t="shared" si="985"/>
        <v>-283.57499999999999</v>
      </c>
      <c r="BE169" s="188">
        <f t="shared" si="977"/>
        <v>-565.65</v>
      </c>
      <c r="BF169" s="188">
        <f t="shared" si="985"/>
        <v>-284.88</v>
      </c>
      <c r="BG169" s="188">
        <f t="shared" si="985"/>
        <v>-284.88</v>
      </c>
      <c r="BH169" s="188">
        <f t="shared" si="985"/>
        <v>-569.76</v>
      </c>
      <c r="BI169" s="188">
        <f t="shared" si="985"/>
        <v>-286.74</v>
      </c>
      <c r="BJ169" s="188">
        <f t="shared" si="985"/>
        <v>-304.68</v>
      </c>
      <c r="BK169" s="217">
        <f t="shared" si="978"/>
        <v>-591.42000000000007</v>
      </c>
      <c r="BL169" s="188">
        <f t="shared" ref="BL169:BM169" si="986">-BL84</f>
        <v>-306.72000000000003</v>
      </c>
      <c r="BM169" s="188">
        <f t="shared" si="986"/>
        <v>-306.72000000000003</v>
      </c>
      <c r="BN169" s="188">
        <f t="shared" si="984"/>
        <v>-613.44000000000005</v>
      </c>
      <c r="BO169" s="188">
        <f t="shared" ref="BO169:BQ169" si="987">-BO84</f>
        <v>-306.72000000000003</v>
      </c>
      <c r="BP169" s="188">
        <f t="shared" si="987"/>
        <v>-306.72000000000003</v>
      </c>
      <c r="BQ169" s="188">
        <f t="shared" si="987"/>
        <v>-613.44000000000005</v>
      </c>
      <c r="BR169" s="188">
        <f t="shared" ref="BR169:BT169" si="988">-BR84</f>
        <v>-322.05599999999998</v>
      </c>
      <c r="BS169" s="188">
        <f t="shared" si="988"/>
        <v>-322.05599999999998</v>
      </c>
      <c r="BT169" s="188">
        <f t="shared" si="988"/>
        <v>-644.11199999999997</v>
      </c>
      <c r="BU169" s="188">
        <f t="shared" ref="BU169:BZ169" si="989">-BU84</f>
        <v>-338.15880000000004</v>
      </c>
      <c r="BV169" s="188">
        <f t="shared" si="989"/>
        <v>-338.15880000000004</v>
      </c>
      <c r="BW169" s="188">
        <f t="shared" si="989"/>
        <v>-676.31760000000008</v>
      </c>
      <c r="BX169" s="188">
        <f t="shared" si="989"/>
        <v>-355.06674000000004</v>
      </c>
      <c r="BY169" s="188">
        <f t="shared" si="989"/>
        <v>-355.06674000000004</v>
      </c>
      <c r="BZ169" s="188">
        <f t="shared" si="989"/>
        <v>-710.13348000000008</v>
      </c>
      <c r="CA169" s="188">
        <f t="shared" ref="CA169:CC169" si="990">-CA84</f>
        <v>-372.82007700000003</v>
      </c>
      <c r="CB169" s="188">
        <f t="shared" si="990"/>
        <v>-372.82007700000003</v>
      </c>
      <c r="CC169" s="188">
        <f t="shared" si="990"/>
        <v>-745.64015400000005</v>
      </c>
      <c r="CD169" s="186"/>
      <c r="CE169" s="187"/>
      <c r="CF169" s="187"/>
      <c r="CG169" s="187"/>
      <c r="CH169" s="187"/>
      <c r="CI169" s="187"/>
      <c r="CJ169" s="187"/>
      <c r="CK169" s="188"/>
      <c r="CL169" s="192">
        <f>X169</f>
        <v>-328</v>
      </c>
      <c r="CM169" s="188">
        <f>AA169</f>
        <v>-327.39999999999998</v>
      </c>
      <c r="CN169" s="188">
        <f>AD169</f>
        <v>-357.14</v>
      </c>
      <c r="CO169" s="188">
        <f>AG169</f>
        <v>-388.70140496699997</v>
      </c>
      <c r="CP169" s="188">
        <f>AJ169</f>
        <v>-426.53475000000003</v>
      </c>
      <c r="CQ169" s="188">
        <f>AM169</f>
        <v>-465.40109999999999</v>
      </c>
      <c r="CR169" s="188">
        <f>AP169</f>
        <v>-506.93445000000008</v>
      </c>
      <c r="CS169" s="188">
        <f>AS169</f>
        <v>-544.18229999999994</v>
      </c>
      <c r="CT169" s="188">
        <f>AV169</f>
        <v>-551.23373217115682</v>
      </c>
      <c r="CU169" s="188">
        <f>AY169</f>
        <v>-556.26373217115679</v>
      </c>
      <c r="CV169" s="188">
        <f>BB169</f>
        <v>-560.46</v>
      </c>
      <c r="CW169" s="188">
        <f>BE169</f>
        <v>-565.65</v>
      </c>
      <c r="CX169" s="188">
        <f>BH169</f>
        <v>-569.76</v>
      </c>
      <c r="CY169" s="188">
        <f>BK169</f>
        <v>-591.42000000000007</v>
      </c>
      <c r="CZ169" s="188">
        <f>BN169</f>
        <v>-613.44000000000005</v>
      </c>
      <c r="DA169" s="188">
        <f>BQ169</f>
        <v>-613.44000000000005</v>
      </c>
      <c r="DB169" s="188">
        <f>BT169</f>
        <v>-644.11199999999997</v>
      </c>
      <c r="DC169" s="188">
        <f>BW169</f>
        <v>-676.31760000000008</v>
      </c>
      <c r="DD169" s="188">
        <f>BZ169</f>
        <v>-710.13348000000008</v>
      </c>
      <c r="DE169" s="188">
        <f>CC169</f>
        <v>-745.64015400000005</v>
      </c>
    </row>
    <row r="170" spans="1:137" ht="12.75" customHeight="1">
      <c r="A170" s="1"/>
      <c r="B170" s="13" t="s">
        <v>155</v>
      </c>
      <c r="C170" s="1"/>
      <c r="D170" s="188"/>
      <c r="E170" s="188"/>
      <c r="F170" s="188"/>
      <c r="G170" s="188"/>
      <c r="H170" s="188"/>
      <c r="I170" s="188"/>
      <c r="J170" s="188">
        <f t="shared" ref="J170:AC170" si="991">J171-SUM(J167:J169)</f>
        <v>-49.807000000000016</v>
      </c>
      <c r="K170" s="188">
        <f t="shared" si="991"/>
        <v>364.53099999999966</v>
      </c>
      <c r="L170" s="188">
        <f t="shared" si="991"/>
        <v>314.72399999999948</v>
      </c>
      <c r="M170" s="188">
        <f t="shared" si="991"/>
        <v>113.41500000000028</v>
      </c>
      <c r="N170" s="188">
        <f t="shared" si="991"/>
        <v>378.08999999999946</v>
      </c>
      <c r="O170" s="188">
        <f t="shared" si="991"/>
        <v>491.50499999999977</v>
      </c>
      <c r="P170" s="188">
        <f t="shared" si="991"/>
        <v>1.9280000000003668</v>
      </c>
      <c r="Q170" s="188">
        <f t="shared" si="991"/>
        <v>-76.300000000000352</v>
      </c>
      <c r="R170" s="188">
        <f t="shared" si="991"/>
        <v>-74.399999999999864</v>
      </c>
      <c r="S170" s="188">
        <f t="shared" si="991"/>
        <v>-853.18213333333347</v>
      </c>
      <c r="T170" s="188">
        <f t="shared" si="991"/>
        <v>163.17141443953778</v>
      </c>
      <c r="U170" s="188">
        <f t="shared" si="991"/>
        <v>-690.01071889379568</v>
      </c>
      <c r="V170" s="188">
        <f t="shared" si="991"/>
        <v>116.70000000000002</v>
      </c>
      <c r="W170" s="188">
        <f t="shared" si="991"/>
        <v>88.300000000000068</v>
      </c>
      <c r="X170" s="188">
        <f t="shared" si="991"/>
        <v>205.00000000000009</v>
      </c>
      <c r="Y170" s="188">
        <f t="shared" si="991"/>
        <v>79.699999999999989</v>
      </c>
      <c r="Z170" s="188">
        <f t="shared" si="991"/>
        <v>-187.33636127616364</v>
      </c>
      <c r="AA170" s="188">
        <f t="shared" si="991"/>
        <v>-107.63636127616371</v>
      </c>
      <c r="AB170" s="188">
        <f t="shared" si="991"/>
        <v>-171.91935000000007</v>
      </c>
      <c r="AC170" s="188">
        <f t="shared" si="991"/>
        <v>-52.099999999999966</v>
      </c>
      <c r="AD170" s="188">
        <f t="shared" ref="AD170:BL170" si="992">AD171-SUM(AD167:AD169)</f>
        <v>-224.01935</v>
      </c>
      <c r="AE170" s="184">
        <f t="shared" si="992"/>
        <v>-198.83299503299983</v>
      </c>
      <c r="AF170" s="184">
        <f t="shared" si="992"/>
        <v>-74.675285949081811</v>
      </c>
      <c r="AG170" s="188">
        <f t="shared" si="992"/>
        <v>-198.9358809820817</v>
      </c>
      <c r="AH170" s="188">
        <f t="shared" si="992"/>
        <v>-441.56742404329884</v>
      </c>
      <c r="AI170" s="188">
        <f t="shared" si="992"/>
        <v>229.4821858565185</v>
      </c>
      <c r="AJ170" s="188">
        <f>SUM(AH170:AI170)</f>
        <v>-212.08523818678034</v>
      </c>
      <c r="AK170" s="188">
        <f t="shared" si="992"/>
        <v>1.3675000000000068</v>
      </c>
      <c r="AL170" s="188">
        <f t="shared" si="992"/>
        <v>-92.266399999999976</v>
      </c>
      <c r="AM170" s="188">
        <f>SUM(AK170:AL170)</f>
        <v>-90.898899999999969</v>
      </c>
      <c r="AN170" s="188">
        <f t="shared" si="992"/>
        <v>-38.422349999999994</v>
      </c>
      <c r="AO170" s="188">
        <f t="shared" si="992"/>
        <v>-8.8431999999999107</v>
      </c>
      <c r="AP170" s="188">
        <f>SUM(AN170:AO170)</f>
        <v>-47.265549999999905</v>
      </c>
      <c r="AQ170" s="188">
        <f t="shared" si="992"/>
        <v>-968.9274905591335</v>
      </c>
      <c r="AR170" s="188">
        <f t="shared" si="992"/>
        <v>-406.68613141398345</v>
      </c>
      <c r="AS170" s="188">
        <f>SUM(AQ170:AR170)</f>
        <v>-1375.613621973117</v>
      </c>
      <c r="AT170" s="188">
        <f t="shared" si="992"/>
        <v>-69.899999999999977</v>
      </c>
      <c r="AU170" s="188">
        <f t="shared" si="992"/>
        <v>-56.765165404472157</v>
      </c>
      <c r="AV170" s="188">
        <f>SUM(AT170:AU170)</f>
        <v>-126.66516540447213</v>
      </c>
      <c r="AW170" s="188">
        <f t="shared" si="992"/>
        <v>-56.816267828843024</v>
      </c>
      <c r="AX170" s="188">
        <f t="shared" si="992"/>
        <v>-462.15022717909255</v>
      </c>
      <c r="AY170" s="188">
        <f t="shared" si="975"/>
        <v>-518.96649500793558</v>
      </c>
      <c r="AZ170" s="188">
        <f t="shared" si="992"/>
        <v>225.13000000000002</v>
      </c>
      <c r="BA170" s="188">
        <f t="shared" si="992"/>
        <v>-114.54602153103514</v>
      </c>
      <c r="BB170" s="217">
        <f t="shared" si="976"/>
        <v>110.58397846896489</v>
      </c>
      <c r="BC170" s="188">
        <f t="shared" si="992"/>
        <v>-65.025477283886033</v>
      </c>
      <c r="BD170" s="188">
        <f t="shared" si="992"/>
        <v>67.422788590900979</v>
      </c>
      <c r="BE170" s="188">
        <f t="shared" si="977"/>
        <v>2.3973113070149452</v>
      </c>
      <c r="BF170" s="188">
        <f t="shared" si="992"/>
        <v>177.74735196689022</v>
      </c>
      <c r="BG170" s="188">
        <f t="shared" si="992"/>
        <v>274.98349837351907</v>
      </c>
      <c r="BH170" s="188">
        <f>SUM(BF170:BG170)</f>
        <v>452.73085034040929</v>
      </c>
      <c r="BI170" s="188">
        <f t="shared" si="992"/>
        <v>1644.0390936390545</v>
      </c>
      <c r="BJ170" s="188">
        <f t="shared" si="992"/>
        <v>1205.4595714490758</v>
      </c>
      <c r="BK170" s="217">
        <f t="shared" si="978"/>
        <v>2849.4986650881301</v>
      </c>
      <c r="BL170" s="188">
        <f t="shared" si="992"/>
        <v>893.28991723678837</v>
      </c>
      <c r="BM170" s="188"/>
      <c r="BN170" s="188">
        <f t="shared" si="984"/>
        <v>893.28991723678837</v>
      </c>
      <c r="BO170" s="188"/>
      <c r="BP170" s="188"/>
      <c r="BQ170" s="188"/>
      <c r="BR170" s="188"/>
      <c r="BS170" s="188"/>
      <c r="BT170" s="188"/>
      <c r="BU170" s="188"/>
      <c r="BV170" s="188"/>
      <c r="BW170" s="188"/>
      <c r="BX170" s="188"/>
      <c r="BY170" s="188"/>
      <c r="BZ170" s="188"/>
      <c r="CA170" s="188"/>
      <c r="CB170" s="188"/>
      <c r="CC170" s="188"/>
      <c r="CD170" s="186"/>
      <c r="CE170" s="187"/>
      <c r="CF170" s="187"/>
      <c r="CG170" s="187"/>
      <c r="CH170" s="187"/>
      <c r="CI170" s="187"/>
      <c r="CJ170" s="187"/>
      <c r="CK170" s="188"/>
      <c r="CL170" s="192">
        <f>X170</f>
        <v>205.00000000000009</v>
      </c>
      <c r="CM170" s="188">
        <f>AA170</f>
        <v>-107.63636127616371</v>
      </c>
      <c r="CN170" s="188">
        <f>AD170</f>
        <v>-224.01935</v>
      </c>
      <c r="CO170" s="188">
        <f>AG170</f>
        <v>-198.9358809820817</v>
      </c>
      <c r="CP170" s="188"/>
      <c r="CQ170" s="188"/>
      <c r="CR170" s="188"/>
      <c r="CS170" s="188"/>
      <c r="CT170" s="188"/>
      <c r="CU170" s="188"/>
      <c r="CV170" s="188"/>
      <c r="CW170" s="188"/>
      <c r="CX170" s="188"/>
      <c r="CY170" s="188"/>
      <c r="CZ170" s="188"/>
      <c r="DA170" s="188"/>
      <c r="DB170" s="188"/>
      <c r="DC170" s="188"/>
      <c r="DD170" s="188"/>
      <c r="DE170" s="188"/>
    </row>
    <row r="171" spans="1:137" s="86" customFormat="1" ht="12.75" customHeight="1" thickBot="1">
      <c r="A171" s="79"/>
      <c r="B171" s="80" t="s">
        <v>156</v>
      </c>
      <c r="C171" s="79"/>
      <c r="D171" s="81"/>
      <c r="E171" s="81"/>
      <c r="F171" s="171"/>
      <c r="G171" s="171"/>
      <c r="H171" s="171"/>
      <c r="I171" s="171"/>
      <c r="J171" s="171">
        <v>368.09999999999985</v>
      </c>
      <c r="K171" s="171">
        <v>172.19999999999965</v>
      </c>
      <c r="L171" s="171">
        <v>540.29999999999939</v>
      </c>
      <c r="M171" s="171">
        <v>181.30000000000027</v>
      </c>
      <c r="N171" s="171">
        <v>150.7999999999995</v>
      </c>
      <c r="O171" s="171">
        <v>332.0999999999998</v>
      </c>
      <c r="P171" s="171">
        <v>223.50000000000037</v>
      </c>
      <c r="Q171" s="171">
        <v>-163.20000000000036</v>
      </c>
      <c r="R171" s="171">
        <v>60.300000000000125</v>
      </c>
      <c r="S171" s="171">
        <v>-280.60000000000002</v>
      </c>
      <c r="T171" s="171">
        <v>54.400000000000006</v>
      </c>
      <c r="U171" s="171">
        <v>-226.2</v>
      </c>
      <c r="V171" s="171">
        <v>104.69999999999993</v>
      </c>
      <c r="W171" s="171">
        <v>-67.699999999999932</v>
      </c>
      <c r="X171" s="171">
        <v>37</v>
      </c>
      <c r="Y171" s="171">
        <v>79.699999999999989</v>
      </c>
      <c r="Z171" s="171">
        <v>-247.60000000000002</v>
      </c>
      <c r="AA171" s="171">
        <v>-167.90000000000003</v>
      </c>
      <c r="AB171" s="171">
        <v>-230.5</v>
      </c>
      <c r="AC171" s="171">
        <v>-230.9</v>
      </c>
      <c r="AD171" s="171">
        <v>-461.4</v>
      </c>
      <c r="AE171" s="171">
        <v>29.7</v>
      </c>
      <c r="AF171" s="171">
        <f>AG171-AE171</f>
        <v>-150</v>
      </c>
      <c r="AG171" s="171">
        <v>-120.3</v>
      </c>
      <c r="AH171" s="171">
        <v>-152.4</v>
      </c>
      <c r="AI171" s="171">
        <f>-399.6-AH171</f>
        <v>-247.20000000000002</v>
      </c>
      <c r="AJ171" s="171">
        <f t="shared" ref="AJ171:BB171" si="993">SUM(AJ167:AJ170)</f>
        <v>-399.6</v>
      </c>
      <c r="AK171" s="171">
        <v>-226.7</v>
      </c>
      <c r="AL171" s="171">
        <f>-556.3-AK171</f>
        <v>-329.59999999999997</v>
      </c>
      <c r="AM171" s="82">
        <f t="shared" si="993"/>
        <v>-556.29999999999995</v>
      </c>
      <c r="AN171" s="171">
        <v>-487.2</v>
      </c>
      <c r="AO171" s="171">
        <f>-799.2-AN171</f>
        <v>-312.00000000000006</v>
      </c>
      <c r="AP171" s="82">
        <f t="shared" si="993"/>
        <v>-799.2</v>
      </c>
      <c r="AQ171" s="171">
        <v>-583.4</v>
      </c>
      <c r="AR171" s="171">
        <f>-849.2-AQ171</f>
        <v>-265.80000000000007</v>
      </c>
      <c r="AS171" s="82">
        <f t="shared" si="993"/>
        <v>-849.20000000000027</v>
      </c>
      <c r="AT171" s="171">
        <v>-424.2</v>
      </c>
      <c r="AU171" s="82">
        <f>-660.9-AT171-14.8</f>
        <v>-251.5</v>
      </c>
      <c r="AV171" s="82">
        <f t="shared" si="993"/>
        <v>-675.7</v>
      </c>
      <c r="AW171" s="82">
        <v>-1048.5999999999999</v>
      </c>
      <c r="AX171" s="82">
        <f>-1349.1-AW171</f>
        <v>-300.5</v>
      </c>
      <c r="AY171" s="82">
        <f t="shared" si="993"/>
        <v>-1349.1</v>
      </c>
      <c r="AZ171" s="171">
        <v>-55.1</v>
      </c>
      <c r="BA171" s="171">
        <f>299.7-AZ171</f>
        <v>354.8</v>
      </c>
      <c r="BB171" s="82">
        <f t="shared" si="993"/>
        <v>299.70000000000005</v>
      </c>
      <c r="BC171" s="171">
        <v>-60.4</v>
      </c>
      <c r="BD171" s="171">
        <f>-308.8-BC171</f>
        <v>-248.4</v>
      </c>
      <c r="BE171" s="82">
        <f t="shared" ref="BE171:BK171" si="994">SUM(BE167:BE170)</f>
        <v>-308.8</v>
      </c>
      <c r="BF171" s="171">
        <v>-248.2</v>
      </c>
      <c r="BG171" s="171">
        <f>-52.4-BF171</f>
        <v>195.79999999999998</v>
      </c>
      <c r="BH171" s="82">
        <f t="shared" si="994"/>
        <v>-52.400000000000034</v>
      </c>
      <c r="BI171" s="171">
        <v>1643.7</v>
      </c>
      <c r="BJ171" s="171">
        <f>4604.3-BI171</f>
        <v>2960.6000000000004</v>
      </c>
      <c r="BK171" s="82">
        <f t="shared" si="994"/>
        <v>4604.3</v>
      </c>
      <c r="BL171" s="171">
        <v>-523.70000000000005</v>
      </c>
      <c r="BM171" s="82">
        <f t="shared" ref="BM171:BN171" si="995">SUM(BM167:BM170)</f>
        <v>-135.79693655457595</v>
      </c>
      <c r="BN171" s="82">
        <f t="shared" si="995"/>
        <v>-659.496936554576</v>
      </c>
      <c r="BO171" s="82">
        <f t="shared" ref="BO171:BQ171" si="996">SUM(BO167:BO170)</f>
        <v>-167.24965426921858</v>
      </c>
      <c r="BP171" s="82">
        <f t="shared" si="996"/>
        <v>-119.90264651260418</v>
      </c>
      <c r="BQ171" s="82">
        <f t="shared" si="996"/>
        <v>-287.15230078182276</v>
      </c>
      <c r="BR171" s="82">
        <f t="shared" ref="BR171:BT171" si="997">SUM(BR167:BR170)</f>
        <v>-127.99682034649044</v>
      </c>
      <c r="BS171" s="82">
        <f t="shared" si="997"/>
        <v>-120.47089383091856</v>
      </c>
      <c r="BT171" s="82">
        <f t="shared" si="997"/>
        <v>-248.46771417740899</v>
      </c>
      <c r="BU171" s="82">
        <f t="shared" ref="BU171:BZ171" si="998">SUM(BU167:BU170)</f>
        <v>-128.75252157151806</v>
      </c>
      <c r="BV171" s="82">
        <f t="shared" si="998"/>
        <v>-120.62452093469813</v>
      </c>
      <c r="BW171" s="82">
        <f t="shared" si="998"/>
        <v>-249.37704250621641</v>
      </c>
      <c r="BX171" s="82">
        <f t="shared" si="998"/>
        <v>-129.0855948945462</v>
      </c>
      <c r="BY171" s="82">
        <f t="shared" si="998"/>
        <v>-120.30735420678212</v>
      </c>
      <c r="BZ171" s="82">
        <f t="shared" si="998"/>
        <v>-249.39294910132833</v>
      </c>
      <c r="CA171" s="82">
        <f t="shared" ref="CA171:CC171" si="999">SUM(CA167:CA170)</f>
        <v>-128.93807588341718</v>
      </c>
      <c r="CB171" s="82">
        <f t="shared" si="999"/>
        <v>-119.45757594063247</v>
      </c>
      <c r="CC171" s="82">
        <f t="shared" si="999"/>
        <v>-248.39565182404965</v>
      </c>
      <c r="CD171" s="134"/>
      <c r="CE171" s="198"/>
      <c r="CF171" s="198"/>
      <c r="CG171" s="198"/>
      <c r="CH171" s="198"/>
      <c r="CI171" s="198"/>
      <c r="CJ171" s="198"/>
      <c r="CK171" s="199"/>
      <c r="CL171" s="246">
        <f>X171</f>
        <v>37</v>
      </c>
      <c r="CM171" s="247">
        <f>AA171</f>
        <v>-167.90000000000003</v>
      </c>
      <c r="CN171" s="247">
        <f>AD171</f>
        <v>-461.4</v>
      </c>
      <c r="CO171" s="247">
        <f>AG171</f>
        <v>-120.3</v>
      </c>
      <c r="CP171" s="247">
        <f>AJ171</f>
        <v>-399.6</v>
      </c>
      <c r="CQ171" s="247">
        <f>AM171</f>
        <v>-556.29999999999995</v>
      </c>
      <c r="CR171" s="247">
        <f>AP171</f>
        <v>-799.2</v>
      </c>
      <c r="CS171" s="247">
        <f>AS171</f>
        <v>-849.20000000000027</v>
      </c>
      <c r="CT171" s="247">
        <f>AV171</f>
        <v>-675.7</v>
      </c>
      <c r="CU171" s="247">
        <f>AY171</f>
        <v>-1349.1</v>
      </c>
      <c r="CV171" s="247">
        <f>BB171</f>
        <v>299.70000000000005</v>
      </c>
      <c r="CW171" s="247">
        <f>BE171</f>
        <v>-308.8</v>
      </c>
      <c r="CX171" s="247">
        <f>BH171</f>
        <v>-52.400000000000034</v>
      </c>
      <c r="CY171" s="247">
        <f>BK171</f>
        <v>4604.3</v>
      </c>
      <c r="CZ171" s="247">
        <f>BN171</f>
        <v>-659.496936554576</v>
      </c>
      <c r="DA171" s="247">
        <f>BQ171</f>
        <v>-287.15230078182276</v>
      </c>
      <c r="DB171" s="247">
        <f>BT171</f>
        <v>-248.46771417740899</v>
      </c>
      <c r="DC171" s="247">
        <f>BW171</f>
        <v>-249.37704250621641</v>
      </c>
      <c r="DD171" s="247">
        <f>BZ171</f>
        <v>-249.39294910132833</v>
      </c>
      <c r="DE171" s="247">
        <f>CC171</f>
        <v>-248.39565182404965</v>
      </c>
      <c r="DF171" s="48"/>
      <c r="DG171" s="48"/>
      <c r="DH171" s="48"/>
      <c r="DI171" s="48"/>
      <c r="DJ171" s="48"/>
      <c r="DK171" s="48"/>
      <c r="EB171"/>
      <c r="EC171"/>
      <c r="ED171"/>
      <c r="EE171"/>
      <c r="EF171"/>
      <c r="EG171"/>
    </row>
    <row r="172" spans="1:137" ht="12.75" customHeight="1" thickTop="1">
      <c r="A172" s="1"/>
      <c r="B172" s="13"/>
      <c r="C172" s="1"/>
      <c r="D172" s="23"/>
      <c r="E172" s="23"/>
      <c r="F172" s="188"/>
      <c r="G172" s="188"/>
      <c r="H172" s="188"/>
      <c r="I172" s="188"/>
      <c r="J172" s="188"/>
      <c r="K172" s="188"/>
      <c r="L172" s="188"/>
      <c r="M172" s="188"/>
      <c r="N172" s="188"/>
      <c r="O172" s="188"/>
      <c r="P172" s="188"/>
      <c r="Q172" s="188"/>
      <c r="R172" s="188"/>
      <c r="S172" s="188"/>
      <c r="T172" s="188"/>
      <c r="U172" s="188"/>
      <c r="V172" s="188"/>
      <c r="W172" s="188"/>
      <c r="X172" s="188"/>
      <c r="Y172" s="188"/>
      <c r="Z172" s="188"/>
      <c r="AA172" s="188"/>
      <c r="AB172" s="188"/>
      <c r="AC172" s="188"/>
      <c r="AD172" s="188"/>
      <c r="AE172" s="188"/>
      <c r="AF172" s="188"/>
      <c r="AG172" s="188"/>
      <c r="AH172" s="188"/>
      <c r="AI172" s="188"/>
      <c r="AJ172" s="188"/>
      <c r="AK172" s="188"/>
      <c r="AL172" s="188"/>
      <c r="AM172" s="188"/>
      <c r="AN172" s="188"/>
      <c r="AO172" s="188"/>
      <c r="AP172" s="188"/>
      <c r="AQ172" s="188"/>
      <c r="AR172" s="188"/>
      <c r="AS172" s="188"/>
      <c r="AT172" s="188"/>
      <c r="AU172" s="188"/>
      <c r="AV172" s="188"/>
      <c r="AW172" s="188"/>
      <c r="AX172" s="188"/>
      <c r="AY172" s="188"/>
      <c r="AZ172" s="188"/>
      <c r="BA172" s="188"/>
      <c r="BB172" s="188"/>
      <c r="BC172" s="188"/>
      <c r="BD172" s="188"/>
      <c r="BE172" s="188"/>
      <c r="BF172" s="188"/>
      <c r="BG172" s="188"/>
      <c r="BH172" s="188"/>
      <c r="BI172" s="188"/>
      <c r="BJ172" s="188"/>
      <c r="BK172" s="188"/>
      <c r="BL172" s="188"/>
      <c r="BM172" s="188"/>
      <c r="BN172" s="188"/>
      <c r="BO172" s="188"/>
      <c r="BP172" s="188"/>
      <c r="BQ172" s="188"/>
      <c r="BR172" s="188"/>
      <c r="BS172" s="188"/>
      <c r="BT172" s="188"/>
      <c r="BU172" s="188"/>
      <c r="BV172" s="188"/>
      <c r="BW172" s="188"/>
      <c r="BX172" s="188"/>
      <c r="BY172" s="188"/>
      <c r="BZ172" s="188"/>
      <c r="CA172" s="188"/>
      <c r="CB172" s="188"/>
      <c r="CC172" s="188"/>
      <c r="CD172" s="186"/>
      <c r="CE172" s="187"/>
      <c r="CF172" s="187"/>
      <c r="CG172" s="187"/>
      <c r="CH172" s="187"/>
      <c r="CI172" s="187"/>
      <c r="CJ172" s="187"/>
      <c r="CK172" s="188"/>
      <c r="CL172" s="192"/>
      <c r="CM172" s="188"/>
      <c r="CN172" s="188"/>
      <c r="CO172" s="188"/>
      <c r="CP172" s="188"/>
      <c r="CQ172" s="188"/>
      <c r="CR172" s="188"/>
      <c r="CS172" s="188"/>
      <c r="CT172" s="188"/>
      <c r="CU172" s="188"/>
      <c r="CV172" s="188"/>
      <c r="CW172" s="188"/>
      <c r="CX172" s="188"/>
      <c r="CY172" s="188"/>
      <c r="CZ172" s="188"/>
      <c r="DA172" s="188"/>
      <c r="DB172" s="188"/>
      <c r="DC172" s="188"/>
      <c r="DD172" s="188"/>
      <c r="DE172" s="188"/>
    </row>
    <row r="173" spans="1:137" ht="12.75" customHeight="1">
      <c r="A173" s="1"/>
      <c r="B173" s="13" t="s">
        <v>157</v>
      </c>
      <c r="C173" s="1"/>
      <c r="D173" s="188"/>
      <c r="E173" s="188"/>
      <c r="F173" s="188"/>
      <c r="G173" s="188"/>
      <c r="H173" s="188"/>
      <c r="I173" s="188"/>
      <c r="J173" s="188"/>
      <c r="K173" s="188"/>
      <c r="L173" s="188"/>
      <c r="M173" s="188"/>
      <c r="N173" s="188"/>
      <c r="O173" s="188"/>
      <c r="P173" s="188"/>
      <c r="Q173" s="188"/>
      <c r="R173" s="188"/>
      <c r="S173" s="188"/>
      <c r="T173" s="188"/>
      <c r="U173" s="188"/>
      <c r="V173" s="188"/>
      <c r="W173" s="188"/>
      <c r="X173" s="188"/>
      <c r="Y173" s="188"/>
      <c r="Z173" s="188"/>
      <c r="AA173" s="188"/>
      <c r="AB173" s="188"/>
      <c r="AC173" s="188"/>
      <c r="AD173" s="188"/>
      <c r="AE173" s="188"/>
      <c r="AF173" s="188"/>
      <c r="AG173" s="188"/>
      <c r="AH173" s="188"/>
      <c r="AI173" s="188"/>
      <c r="AJ173" s="188"/>
      <c r="AK173" s="188"/>
      <c r="AL173" s="188"/>
      <c r="AM173" s="188"/>
      <c r="AN173" s="184">
        <v>3</v>
      </c>
      <c r="AO173" s="184">
        <f>-23.8-AN173</f>
        <v>-26.8</v>
      </c>
      <c r="AP173" s="188">
        <f>+AN173+AO173</f>
        <v>-23.8</v>
      </c>
      <c r="AQ173" s="184">
        <v>33</v>
      </c>
      <c r="AR173" s="184">
        <f>40.2-AQ173</f>
        <v>7.2000000000000028</v>
      </c>
      <c r="AS173" s="188">
        <f>+AQ173+AR173</f>
        <v>40.200000000000003</v>
      </c>
      <c r="AT173" s="184"/>
      <c r="AU173" s="188"/>
      <c r="AV173" s="188"/>
      <c r="AW173" s="188">
        <f>AW177-AV177-AW171-AW164-AW156</f>
        <v>-89.999999999999204</v>
      </c>
      <c r="AX173" s="188">
        <f>AX177-AW177-AX171-AX164-AX156</f>
        <v>12.799999999999613</v>
      </c>
      <c r="AY173" s="188">
        <f>SUM(AW173:AX173)</f>
        <v>-77.199999999999591</v>
      </c>
      <c r="AZ173" s="188">
        <v>-9.3000000000000007</v>
      </c>
      <c r="BA173" s="188">
        <f>-3.6-AZ173</f>
        <v>5.7000000000000011</v>
      </c>
      <c r="BB173" s="188">
        <f>SUM(AZ173:BA173)</f>
        <v>-3.5999999999999996</v>
      </c>
      <c r="BC173" s="188">
        <v>14.6</v>
      </c>
      <c r="BD173" s="188">
        <f>44.7-BC173</f>
        <v>30.1</v>
      </c>
      <c r="BE173" s="188">
        <f>SUM(BC173:BD173)</f>
        <v>44.7</v>
      </c>
      <c r="BF173" s="188"/>
      <c r="BG173" s="188">
        <v>-22.8</v>
      </c>
      <c r="BH173" s="188">
        <f>SUM(BF173:BG173)</f>
        <v>-22.8</v>
      </c>
      <c r="BI173" s="188">
        <v>110.4</v>
      </c>
      <c r="BJ173" s="188">
        <f>92.3-BI173</f>
        <v>-18.100000000000009</v>
      </c>
      <c r="BK173" s="188">
        <f>SUM(BI173:BJ173)</f>
        <v>92.3</v>
      </c>
      <c r="BL173" s="188">
        <v>-28.7</v>
      </c>
      <c r="BM173" s="188"/>
      <c r="BN173" s="188">
        <f>BL173+BM173</f>
        <v>-28.7</v>
      </c>
      <c r="BO173" s="188"/>
      <c r="BP173" s="188"/>
      <c r="BQ173" s="188"/>
      <c r="BR173" s="188"/>
      <c r="BS173" s="188"/>
      <c r="BT173" s="188"/>
      <c r="BU173" s="188"/>
      <c r="BV173" s="188"/>
      <c r="BW173" s="188"/>
      <c r="BX173" s="188"/>
      <c r="BY173" s="188"/>
      <c r="BZ173" s="188"/>
      <c r="CA173" s="188"/>
      <c r="CB173" s="188"/>
      <c r="CC173" s="188"/>
      <c r="CD173" s="186"/>
      <c r="CE173" s="187"/>
      <c r="CF173" s="187"/>
      <c r="CG173" s="187"/>
      <c r="CH173" s="187"/>
      <c r="CI173" s="187"/>
      <c r="CJ173" s="187"/>
      <c r="CK173" s="188"/>
      <c r="CL173" s="192"/>
      <c r="CM173" s="188"/>
      <c r="CN173" s="188"/>
      <c r="CO173" s="188"/>
      <c r="CP173" s="188"/>
      <c r="CQ173" s="188"/>
      <c r="CR173" s="188"/>
      <c r="CS173" s="188"/>
      <c r="CT173" s="188"/>
      <c r="CU173" s="188"/>
      <c r="CV173" s="188"/>
      <c r="CW173" s="188"/>
      <c r="CX173" s="188"/>
      <c r="CY173" s="188"/>
      <c r="CZ173" s="188"/>
      <c r="DA173" s="188"/>
      <c r="DB173" s="188"/>
      <c r="DC173" s="188"/>
      <c r="DD173" s="188"/>
      <c r="DE173" s="188"/>
    </row>
    <row r="174" spans="1:137" ht="12.75" customHeight="1">
      <c r="A174" s="1"/>
      <c r="B174" s="13"/>
      <c r="C174" s="1"/>
      <c r="D174" s="23"/>
      <c r="E174" s="23"/>
      <c r="F174" s="188"/>
      <c r="G174" s="188"/>
      <c r="H174" s="188"/>
      <c r="I174" s="188"/>
      <c r="J174" s="188"/>
      <c r="K174" s="188"/>
      <c r="L174" s="188"/>
      <c r="M174" s="188"/>
      <c r="N174" s="188"/>
      <c r="O174" s="188"/>
      <c r="P174" s="188"/>
      <c r="Q174" s="188"/>
      <c r="R174" s="188"/>
      <c r="S174" s="188"/>
      <c r="T174" s="188"/>
      <c r="U174" s="188"/>
      <c r="V174" s="188"/>
      <c r="W174" s="188"/>
      <c r="X174" s="188"/>
      <c r="Y174" s="188"/>
      <c r="Z174" s="188"/>
      <c r="AA174" s="188"/>
      <c r="AB174" s="188"/>
      <c r="AC174" s="188"/>
      <c r="AD174" s="188"/>
      <c r="AE174" s="188"/>
      <c r="AF174" s="188"/>
      <c r="AG174" s="188"/>
      <c r="AH174" s="188"/>
      <c r="AI174" s="188"/>
      <c r="AJ174" s="188"/>
      <c r="AK174" s="188"/>
      <c r="AL174" s="188"/>
      <c r="AM174" s="188"/>
      <c r="AN174" s="188"/>
      <c r="AO174" s="188"/>
      <c r="AP174" s="188"/>
      <c r="AQ174" s="188"/>
      <c r="AR174" s="188"/>
      <c r="AS174" s="188"/>
      <c r="AT174" s="188"/>
      <c r="AU174" s="188"/>
      <c r="AV174" s="188"/>
      <c r="AW174" s="188"/>
      <c r="AX174" s="188"/>
      <c r="AY174" s="188"/>
      <c r="AZ174" s="188"/>
      <c r="BA174" s="188"/>
      <c r="BB174" s="188"/>
      <c r="BC174" s="188"/>
      <c r="BD174" s="188"/>
      <c r="BE174" s="188"/>
      <c r="BF174" s="188"/>
      <c r="BG174" s="188"/>
      <c r="BH174" s="188"/>
      <c r="BI174" s="188"/>
      <c r="BJ174" s="188"/>
      <c r="BK174" s="188"/>
      <c r="BL174" s="188"/>
      <c r="BM174" s="188"/>
      <c r="BN174" s="188"/>
      <c r="BO174" s="188"/>
      <c r="BP174" s="188"/>
      <c r="BQ174" s="188"/>
      <c r="BR174" s="188"/>
      <c r="BS174" s="188"/>
      <c r="BT174" s="188"/>
      <c r="BU174" s="188"/>
      <c r="BV174" s="188"/>
      <c r="BW174" s="188"/>
      <c r="BX174" s="188"/>
      <c r="BY174" s="188"/>
      <c r="BZ174" s="188"/>
      <c r="CA174" s="188"/>
      <c r="CB174" s="188"/>
      <c r="CC174" s="188"/>
      <c r="CD174" s="186"/>
      <c r="CE174" s="187"/>
      <c r="CF174" s="187"/>
      <c r="CG174" s="187"/>
      <c r="CH174" s="187"/>
      <c r="CI174" s="187"/>
      <c r="CJ174" s="187"/>
      <c r="CK174" s="188"/>
      <c r="CL174" s="192"/>
      <c r="CM174" s="188"/>
      <c r="CN174" s="188"/>
      <c r="CO174" s="188"/>
      <c r="CP174" s="188"/>
      <c r="CQ174" s="188"/>
      <c r="CR174" s="188"/>
      <c r="CS174" s="188"/>
      <c r="CT174" s="188"/>
      <c r="CU174" s="188"/>
      <c r="CV174" s="188"/>
      <c r="CW174" s="188"/>
      <c r="CX174" s="188"/>
      <c r="CY174" s="188"/>
      <c r="CZ174" s="188"/>
      <c r="DA174" s="188"/>
      <c r="DB174" s="188"/>
      <c r="DC174" s="188"/>
      <c r="DD174" s="188"/>
      <c r="DE174" s="188"/>
    </row>
    <row r="175" spans="1:137" ht="12.75" customHeight="1">
      <c r="A175" s="1"/>
      <c r="B175" s="112" t="s">
        <v>158</v>
      </c>
      <c r="C175" s="1"/>
      <c r="D175" s="23"/>
      <c r="E175" s="23"/>
      <c r="F175" s="188"/>
      <c r="G175" s="188"/>
      <c r="H175" s="188"/>
      <c r="I175" s="188"/>
      <c r="J175" s="188">
        <f t="shared" ref="J175:AI175" si="1000">J171+J164+J156</f>
        <v>78.400000000000034</v>
      </c>
      <c r="K175" s="188">
        <f t="shared" si="1000"/>
        <v>478.99999999999966</v>
      </c>
      <c r="L175" s="188">
        <f t="shared" si="1000"/>
        <v>557.39999999999952</v>
      </c>
      <c r="M175" s="188">
        <f t="shared" si="1000"/>
        <v>-472.49999999999966</v>
      </c>
      <c r="N175" s="188">
        <f t="shared" si="1000"/>
        <v>75.799999999999329</v>
      </c>
      <c r="O175" s="188">
        <f t="shared" si="1000"/>
        <v>-396.70000000000039</v>
      </c>
      <c r="P175" s="188">
        <f t="shared" si="1000"/>
        <v>433.80000000000041</v>
      </c>
      <c r="Q175" s="188">
        <f t="shared" si="1000"/>
        <v>-161.20000000000039</v>
      </c>
      <c r="R175" s="188">
        <f t="shared" si="1000"/>
        <v>272.60000000000014</v>
      </c>
      <c r="S175" s="188">
        <f t="shared" si="1000"/>
        <v>-294.39999999999998</v>
      </c>
      <c r="T175" s="188">
        <f t="shared" si="1000"/>
        <v>7.1000000000000512</v>
      </c>
      <c r="U175" s="188">
        <f t="shared" si="1000"/>
        <v>-287.30000000000007</v>
      </c>
      <c r="V175" s="188">
        <f t="shared" si="1000"/>
        <v>68.599999999999937</v>
      </c>
      <c r="W175" s="188">
        <f t="shared" si="1000"/>
        <v>14.400000000000063</v>
      </c>
      <c r="X175" s="188">
        <f t="shared" si="1000"/>
        <v>82.999999999999943</v>
      </c>
      <c r="Y175" s="188">
        <f t="shared" si="1000"/>
        <v>67.300000000000011</v>
      </c>
      <c r="Z175" s="188">
        <f t="shared" si="1000"/>
        <v>267.29999999999984</v>
      </c>
      <c r="AA175" s="188">
        <f t="shared" si="1000"/>
        <v>334.59999999999985</v>
      </c>
      <c r="AB175" s="188">
        <f t="shared" si="1000"/>
        <v>-79.700000000000045</v>
      </c>
      <c r="AC175" s="188">
        <f t="shared" si="1000"/>
        <v>-205.8</v>
      </c>
      <c r="AD175" s="188">
        <f t="shared" si="1000"/>
        <v>-285.5</v>
      </c>
      <c r="AE175" s="188">
        <f t="shared" si="1000"/>
        <v>120.1</v>
      </c>
      <c r="AF175" s="188">
        <f t="shared" si="1000"/>
        <v>266.5</v>
      </c>
      <c r="AG175" s="188">
        <f t="shared" si="1000"/>
        <v>386.60000000000008</v>
      </c>
      <c r="AH175" s="188">
        <f t="shared" si="1000"/>
        <v>98.199999999999989</v>
      </c>
      <c r="AI175" s="188">
        <f t="shared" si="1000"/>
        <v>492.29999999999995</v>
      </c>
      <c r="AJ175" s="188">
        <f>SUM(AH175:AI175)</f>
        <v>590.5</v>
      </c>
      <c r="AK175" s="188">
        <f>AK171+AK164+AK156</f>
        <v>372.5</v>
      </c>
      <c r="AL175" s="188">
        <f>AL171+AL164+AL156-2</f>
        <v>385.59999999999997</v>
      </c>
      <c r="AM175" s="188">
        <f>SUM(AK175:AL175)</f>
        <v>758.09999999999991</v>
      </c>
      <c r="AN175" s="188">
        <f>AN171+AN164+AN156+AN173</f>
        <v>248.70000000000005</v>
      </c>
      <c r="AO175" s="188">
        <f>AO171+AO164+AO156+AO173</f>
        <v>62.999999999999957</v>
      </c>
      <c r="AP175" s="188">
        <f>SUM(AN175:AO175)</f>
        <v>311.7</v>
      </c>
      <c r="AQ175" s="188">
        <f>AQ171+AQ164+AQ156+AQ173</f>
        <v>-344.19999999999993</v>
      </c>
      <c r="AR175" s="188">
        <f>AR171+AR164+AR156+AR173</f>
        <v>-455.50000000000006</v>
      </c>
      <c r="AS175" s="188">
        <f>SUM(AQ175:AR175)</f>
        <v>-799.7</v>
      </c>
      <c r="AT175" s="188">
        <f>AT171+AT164+AT156+AT173</f>
        <v>-244.60000000000002</v>
      </c>
      <c r="AU175" s="188">
        <f>AU171+AU164+AU156+AU173</f>
        <v>419.40000000000015</v>
      </c>
      <c r="AV175" s="188">
        <f t="shared" ref="AV175" si="1001">SUM(AT175:AU175)</f>
        <v>174.80000000000013</v>
      </c>
      <c r="AW175" s="188">
        <f>AW171+AW164+AW156+AW173</f>
        <v>-506.69999999999902</v>
      </c>
      <c r="AX175" s="188">
        <f>AX171+AX164+AX156+AX173</f>
        <v>-354.8000000000003</v>
      </c>
      <c r="AY175" s="188">
        <f t="shared" ref="AY175" si="1002">SUM(AW175:AX175)</f>
        <v>-861.49999999999932</v>
      </c>
      <c r="AZ175" s="188">
        <f>AZ171+AZ164+AZ156+AZ173</f>
        <v>-200.8</v>
      </c>
      <c r="BA175" s="188">
        <f>BA171+BA164+BA156+BA173</f>
        <v>336.4</v>
      </c>
      <c r="BB175" s="188">
        <f t="shared" ref="BB175" si="1003">SUM(AZ175:BA175)</f>
        <v>135.59999999999997</v>
      </c>
      <c r="BC175" s="188">
        <f>BC171+BC164+BC156+BC173</f>
        <v>-74.400000000000006</v>
      </c>
      <c r="BD175" s="188">
        <f>BD171+BD164+BD156+BD173</f>
        <v>378.50000000000011</v>
      </c>
      <c r="BE175" s="188">
        <f t="shared" ref="BE175" si="1004">SUM(BC175:BD175)</f>
        <v>304.10000000000014</v>
      </c>
      <c r="BF175" s="188">
        <f>BF171+BF164+BF156+BF173</f>
        <v>-137.19999999999999</v>
      </c>
      <c r="BG175" s="188">
        <f>BG171+BG164+BG156+BG173</f>
        <v>562.39999999999986</v>
      </c>
      <c r="BH175" s="188">
        <f t="shared" ref="BH175" si="1005">SUM(BF175:BG175)</f>
        <v>425.19999999999987</v>
      </c>
      <c r="BI175" s="188">
        <f>BI171+BI164+BI156+BI173</f>
        <v>-296.19999999999993</v>
      </c>
      <c r="BJ175" s="188">
        <f>BJ171+BJ164+BJ156+BJ173</f>
        <v>2468.0000000000005</v>
      </c>
      <c r="BK175" s="188">
        <f t="shared" ref="BK175" si="1006">SUM(BI175:BJ175)</f>
        <v>2171.8000000000006</v>
      </c>
      <c r="BL175" s="188">
        <f>BL171+BL164+BL156+BL173</f>
        <v>-993.70000000000016</v>
      </c>
      <c r="BM175" s="188">
        <f ca="1">BM171+BM164+BM156+BM173</f>
        <v>-464.4740947698981</v>
      </c>
      <c r="BN175" s="188">
        <f t="shared" ref="BN175" ca="1" si="1007">SUM(BL175:BM175)</f>
        <v>-1458.1740947698981</v>
      </c>
      <c r="BO175" s="188">
        <f ca="1">BO171+BO164+BO156+BO173</f>
        <v>-577.9271686406878</v>
      </c>
      <c r="BP175" s="188">
        <f ca="1">BP171+BP164+BP156+BP173</f>
        <v>-228.78255419284415</v>
      </c>
      <c r="BQ175" s="188">
        <f t="shared" ref="BQ175" ca="1" si="1008">SUM(BO175:BP175)</f>
        <v>-806.70972283353194</v>
      </c>
      <c r="BR175" s="188">
        <f ca="1">BR171+BR164+BR156+BR173</f>
        <v>92.388421146064957</v>
      </c>
      <c r="BS175" s="188">
        <f ca="1">BS171+BS164+BS156+BS173</f>
        <v>240.26588920463428</v>
      </c>
      <c r="BT175" s="188">
        <f t="shared" ref="BT175" ca="1" si="1009">SUM(BR175:BS175)</f>
        <v>332.65431035069923</v>
      </c>
      <c r="BU175" s="188">
        <f ca="1">BU171+BU164+BU156+BU173</f>
        <v>365.60294489595049</v>
      </c>
      <c r="BV175" s="188">
        <f ca="1">BV171+BV164+BV156+BV173</f>
        <v>388.37214754257002</v>
      </c>
      <c r="BW175" s="188">
        <f t="shared" ref="BW175" ca="1" si="1010">SUM(BU175:BV175)</f>
        <v>753.97509243852051</v>
      </c>
      <c r="BX175" s="188">
        <f ca="1">BX171+BX164+BX156+BX173</f>
        <v>474.4354964025847</v>
      </c>
      <c r="BY175" s="188">
        <f ca="1">BY171+BY164+BY156+BY173</f>
        <v>488.28084328486284</v>
      </c>
      <c r="BZ175" s="188">
        <f t="shared" ref="BZ175" ca="1" si="1011">SUM(BX175:BY175)</f>
        <v>962.71633968744754</v>
      </c>
      <c r="CA175" s="188">
        <f ca="1">CA171+CA164+CA156+CA173</f>
        <v>589.60418818761741</v>
      </c>
      <c r="CB175" s="188">
        <f ca="1">CB171+CB164+CB156+CB173</f>
        <v>607.87361521815387</v>
      </c>
      <c r="CC175" s="188">
        <f t="shared" ref="CC175" ca="1" si="1012">SUM(CA175:CB175)</f>
        <v>1197.4778034057713</v>
      </c>
      <c r="CD175" s="186"/>
      <c r="CE175" s="187"/>
      <c r="CF175" s="187"/>
      <c r="CG175" s="187"/>
      <c r="CH175" s="187"/>
      <c r="CI175" s="187"/>
      <c r="CJ175" s="187"/>
      <c r="CK175" s="188"/>
      <c r="CL175" s="192">
        <f>X175</f>
        <v>82.999999999999943</v>
      </c>
      <c r="CM175" s="188">
        <f>AA175</f>
        <v>334.59999999999985</v>
      </c>
      <c r="CN175" s="188">
        <f>AD175</f>
        <v>-285.5</v>
      </c>
      <c r="CO175" s="188">
        <f>AG175</f>
        <v>386.60000000000008</v>
      </c>
      <c r="CP175" s="188">
        <f>AJ175</f>
        <v>590.5</v>
      </c>
      <c r="CQ175" s="188">
        <f>AM175</f>
        <v>758.09999999999991</v>
      </c>
      <c r="CR175" s="188">
        <f>AP175</f>
        <v>311.7</v>
      </c>
      <c r="CS175" s="188">
        <f>AS175</f>
        <v>-799.7</v>
      </c>
      <c r="CT175" s="188">
        <f>AV175</f>
        <v>174.80000000000013</v>
      </c>
      <c r="CU175" s="188">
        <f>AY175</f>
        <v>-861.49999999999932</v>
      </c>
      <c r="CV175" s="188">
        <f>BB175</f>
        <v>135.59999999999997</v>
      </c>
      <c r="CW175" s="188">
        <f>BE175</f>
        <v>304.10000000000014</v>
      </c>
      <c r="CX175" s="188">
        <f>BH175</f>
        <v>425.19999999999987</v>
      </c>
      <c r="CY175" s="188">
        <f>BK175</f>
        <v>2171.8000000000006</v>
      </c>
      <c r="CZ175" s="188">
        <f ca="1">BN175</f>
        <v>-1458.1740947698981</v>
      </c>
      <c r="DA175" s="188">
        <f ca="1">BQ175</f>
        <v>-806.70972283353194</v>
      </c>
      <c r="DB175" s="188">
        <f ca="1">BT175</f>
        <v>332.65431035069923</v>
      </c>
      <c r="DC175" s="188">
        <f ca="1">BW175</f>
        <v>753.97509243852051</v>
      </c>
      <c r="DD175" s="188">
        <f ca="1">BZ175</f>
        <v>962.71633968744754</v>
      </c>
      <c r="DE175" s="188">
        <f ca="1">CC175</f>
        <v>1197.4778034057713</v>
      </c>
    </row>
    <row r="176" spans="1:137" ht="12.75" customHeight="1">
      <c r="A176" s="1"/>
      <c r="B176" s="13" t="s">
        <v>159</v>
      </c>
      <c r="C176" s="1"/>
      <c r="D176" s="23"/>
      <c r="E176" s="23"/>
      <c r="F176" s="188"/>
      <c r="G176" s="188"/>
      <c r="H176" s="188"/>
      <c r="I176" s="188"/>
      <c r="J176" s="188">
        <f>I177</f>
        <v>81.8</v>
      </c>
      <c r="K176" s="188">
        <f>J177</f>
        <v>160.20000000000005</v>
      </c>
      <c r="L176" s="188">
        <f>I177</f>
        <v>81.8</v>
      </c>
      <c r="M176" s="188">
        <f>L177</f>
        <v>639.19999999999948</v>
      </c>
      <c r="N176" s="188">
        <f>M177</f>
        <v>166.69999999999982</v>
      </c>
      <c r="O176" s="188">
        <f>L177</f>
        <v>639.19999999999948</v>
      </c>
      <c r="P176" s="188">
        <f>O177</f>
        <v>242.49999999999909</v>
      </c>
      <c r="Q176" s="188">
        <f>P177</f>
        <v>676.2999999999995</v>
      </c>
      <c r="R176" s="188">
        <f>O177</f>
        <v>242.49999999999909</v>
      </c>
      <c r="S176" s="188">
        <f>R177</f>
        <v>515.09999999999923</v>
      </c>
      <c r="T176" s="188">
        <f>S177</f>
        <v>220.69999999999925</v>
      </c>
      <c r="U176" s="188">
        <f>R177</f>
        <v>515.09999999999923</v>
      </c>
      <c r="V176" s="188">
        <f>U177</f>
        <v>227.79999999999916</v>
      </c>
      <c r="W176" s="188">
        <f>V177</f>
        <v>296.39999999999907</v>
      </c>
      <c r="X176" s="188">
        <f>U177</f>
        <v>227.79999999999916</v>
      </c>
      <c r="Y176" s="188">
        <f>X177</f>
        <v>310.7999999999991</v>
      </c>
      <c r="Z176" s="188">
        <f>Y177</f>
        <v>378.09999999999911</v>
      </c>
      <c r="AA176" s="188">
        <f>X177</f>
        <v>310.7999999999991</v>
      </c>
      <c r="AB176" s="188">
        <f>AA177</f>
        <v>645.39999999999895</v>
      </c>
      <c r="AC176" s="188">
        <f>AB95</f>
        <v>565.70000000000005</v>
      </c>
      <c r="AD176" s="188">
        <f>AA177</f>
        <v>645.39999999999895</v>
      </c>
      <c r="AE176" s="188">
        <f>AD177</f>
        <v>359.89999999999895</v>
      </c>
      <c r="AF176" s="188">
        <f>AE177</f>
        <v>479.99999999999898</v>
      </c>
      <c r="AG176" s="188">
        <f>AD177</f>
        <v>359.89999999999895</v>
      </c>
      <c r="AH176" s="188">
        <f>AG177</f>
        <v>746.49999999999909</v>
      </c>
      <c r="AI176" s="188">
        <f>AH177</f>
        <v>844.69999999999914</v>
      </c>
      <c r="AJ176" s="188">
        <f>AG177</f>
        <v>746.49999999999909</v>
      </c>
      <c r="AK176" s="188">
        <f>AJ177</f>
        <v>1336.9999999999991</v>
      </c>
      <c r="AL176" s="188">
        <f>AK177</f>
        <v>1709.4999999999991</v>
      </c>
      <c r="AM176" s="188">
        <f>AJ177</f>
        <v>1336.9999999999991</v>
      </c>
      <c r="AN176" s="188">
        <f>AM177</f>
        <v>2095.099999999999</v>
      </c>
      <c r="AO176" s="188">
        <f>AN177</f>
        <v>2343.7999999999993</v>
      </c>
      <c r="AP176" s="188">
        <f>AM177</f>
        <v>2095.099999999999</v>
      </c>
      <c r="AQ176" s="188">
        <f>AP177</f>
        <v>2406.7999999999993</v>
      </c>
      <c r="AR176" s="188">
        <f>AQ177</f>
        <v>2062.5999999999995</v>
      </c>
      <c r="AS176" s="188">
        <f>AP177</f>
        <v>2406.7999999999993</v>
      </c>
      <c r="AT176" s="188">
        <f t="shared" ref="AT176:AU176" si="1013">AS177</f>
        <v>1607.0999999999992</v>
      </c>
      <c r="AU176" s="188">
        <f t="shared" si="1013"/>
        <v>1362.4999999999991</v>
      </c>
      <c r="AV176" s="188">
        <f t="shared" ref="AV176" si="1014">AS177</f>
        <v>1607.0999999999992</v>
      </c>
      <c r="AW176" s="188">
        <f>AV177</f>
        <v>1781.8999999999994</v>
      </c>
      <c r="AX176" s="188">
        <f t="shared" ref="AX176" si="1015">AW177</f>
        <v>1275.2000000000003</v>
      </c>
      <c r="AY176" s="188">
        <f>AW176</f>
        <v>1781.8999999999994</v>
      </c>
      <c r="AZ176" s="188">
        <f t="shared" ref="AZ176:BA176" si="1016">AY177</f>
        <v>920.4</v>
      </c>
      <c r="BA176" s="188">
        <f t="shared" si="1016"/>
        <v>719.59999999999991</v>
      </c>
      <c r="BB176" s="188">
        <f t="shared" ref="BB176" si="1017">AY177</f>
        <v>920.4</v>
      </c>
      <c r="BC176" s="188">
        <f t="shared" ref="BC176:BD176" si="1018">BB177</f>
        <v>1056</v>
      </c>
      <c r="BD176" s="188">
        <f t="shared" si="1018"/>
        <v>981.6</v>
      </c>
      <c r="BE176" s="188">
        <f t="shared" ref="BE176" si="1019">BB177</f>
        <v>1056</v>
      </c>
      <c r="BF176" s="188">
        <f t="shared" ref="BF176:BG176" si="1020">BE177</f>
        <v>1360.1000000000001</v>
      </c>
      <c r="BG176" s="188">
        <f t="shared" si="1020"/>
        <v>1222.9000000000001</v>
      </c>
      <c r="BH176" s="188">
        <f t="shared" ref="BH176" si="1021">BE177</f>
        <v>1360.1000000000001</v>
      </c>
      <c r="BI176" s="188">
        <f t="shared" ref="BI176:BJ176" si="1022">BH177</f>
        <v>1785.3</v>
      </c>
      <c r="BJ176" s="188">
        <f t="shared" si="1022"/>
        <v>1489.1</v>
      </c>
      <c r="BK176" s="188">
        <f t="shared" ref="BK176" si="1023">BH177</f>
        <v>1785.3</v>
      </c>
      <c r="BL176" s="188">
        <f t="shared" ref="BL176" si="1024">BK177</f>
        <v>3957.1000000000004</v>
      </c>
      <c r="BM176" s="188">
        <f t="shared" ref="BM176" si="1025">BL177</f>
        <v>2963.4</v>
      </c>
      <c r="BN176" s="188">
        <f t="shared" ref="BN176" si="1026">BK177</f>
        <v>3957.1000000000004</v>
      </c>
      <c r="BO176" s="188">
        <f t="shared" ref="BO176" ca="1" si="1027">BN177</f>
        <v>2498.9259052301022</v>
      </c>
      <c r="BP176" s="188">
        <f t="shared" ref="BP176" ca="1" si="1028">BO177</f>
        <v>1920.9987365894144</v>
      </c>
      <c r="BQ176" s="188">
        <f t="shared" ref="BQ176" ca="1" si="1029">BN177</f>
        <v>2498.9259052301022</v>
      </c>
      <c r="BR176" s="188">
        <f t="shared" ref="BR176" ca="1" si="1030">BQ177</f>
        <v>1692.2161823965703</v>
      </c>
      <c r="BS176" s="188">
        <f t="shared" ref="BS176" ca="1" si="1031">BR177</f>
        <v>1784.6046035426352</v>
      </c>
      <c r="BT176" s="188">
        <f t="shared" ref="BT176" ca="1" si="1032">BQ177</f>
        <v>1692.2161823965703</v>
      </c>
      <c r="BU176" s="188">
        <f t="shared" ref="BU176" ca="1" si="1033">BT177</f>
        <v>2024.8704927472695</v>
      </c>
      <c r="BV176" s="188">
        <f t="shared" ref="BV176" ca="1" si="1034">BU177</f>
        <v>2390.4734376432198</v>
      </c>
      <c r="BW176" s="188">
        <f t="shared" ref="BW176" ca="1" si="1035">BT177</f>
        <v>2024.8704927472695</v>
      </c>
      <c r="BX176" s="188">
        <f t="shared" ref="BX176" ca="1" si="1036">BW177</f>
        <v>2778.8455851857898</v>
      </c>
      <c r="BY176" s="188">
        <f t="shared" ref="BY176" ca="1" si="1037">BX177</f>
        <v>3253.2810815883745</v>
      </c>
      <c r="BZ176" s="188">
        <f t="shared" ref="BZ176" ca="1" si="1038">BW177</f>
        <v>2778.8455851857898</v>
      </c>
      <c r="CA176" s="188">
        <f t="shared" ref="CA176" ca="1" si="1039">BZ177</f>
        <v>3741.5619248732373</v>
      </c>
      <c r="CB176" s="188">
        <f t="shared" ref="CB176" ca="1" si="1040">CA177</f>
        <v>4331.1661130608545</v>
      </c>
      <c r="CC176" s="188">
        <f t="shared" ref="CC176" ca="1" si="1041">BZ177</f>
        <v>3741.5619248732373</v>
      </c>
      <c r="CD176" s="186"/>
      <c r="CE176" s="187"/>
      <c r="CF176" s="187"/>
      <c r="CG176" s="187"/>
      <c r="CH176" s="187"/>
      <c r="CI176" s="187"/>
      <c r="CJ176" s="187"/>
      <c r="CK176" s="188"/>
      <c r="CL176" s="192">
        <f>X176</f>
        <v>227.79999999999916</v>
      </c>
      <c r="CM176" s="188">
        <f>AA176</f>
        <v>310.7999999999991</v>
      </c>
      <c r="CN176" s="188">
        <f>AD176</f>
        <v>645.39999999999895</v>
      </c>
      <c r="CO176" s="188">
        <f>AG176</f>
        <v>359.89999999999895</v>
      </c>
      <c r="CP176" s="188">
        <f>AJ176</f>
        <v>746.49999999999909</v>
      </c>
      <c r="CQ176" s="188">
        <f>AM176</f>
        <v>1336.9999999999991</v>
      </c>
      <c r="CR176" s="188">
        <f>AP176</f>
        <v>2095.099999999999</v>
      </c>
      <c r="CS176" s="188">
        <f>AS176</f>
        <v>2406.7999999999993</v>
      </c>
      <c r="CT176" s="188">
        <f>AV176</f>
        <v>1607.0999999999992</v>
      </c>
      <c r="CU176" s="188">
        <f>AY176</f>
        <v>1781.8999999999994</v>
      </c>
      <c r="CV176" s="188">
        <f>BB176</f>
        <v>920.4</v>
      </c>
      <c r="CW176" s="188">
        <f>BE176</f>
        <v>1056</v>
      </c>
      <c r="CX176" s="188">
        <f>BH176</f>
        <v>1360.1000000000001</v>
      </c>
      <c r="CY176" s="188">
        <f>BK176</f>
        <v>1785.3</v>
      </c>
      <c r="CZ176" s="188">
        <f>BN176</f>
        <v>3957.1000000000004</v>
      </c>
      <c r="DA176" s="188">
        <f ca="1">BQ176</f>
        <v>2498.9259052301022</v>
      </c>
      <c r="DB176" s="188">
        <f ca="1">BT176</f>
        <v>1692.2161823965703</v>
      </c>
      <c r="DC176" s="188">
        <f ca="1">BW176</f>
        <v>2024.8704927472695</v>
      </c>
      <c r="DD176" s="188">
        <f ca="1">BZ176</f>
        <v>2778.8455851857898</v>
      </c>
      <c r="DE176" s="188">
        <f ca="1">CC176</f>
        <v>3741.5619248732373</v>
      </c>
    </row>
    <row r="177" spans="1:137" s="86" customFormat="1" ht="12.75" customHeight="1" thickBot="1">
      <c r="A177" s="79"/>
      <c r="B177" s="80" t="s">
        <v>160</v>
      </c>
      <c r="C177" s="79"/>
      <c r="D177" s="81"/>
      <c r="E177" s="81"/>
      <c r="F177" s="82"/>
      <c r="G177" s="82"/>
      <c r="H177" s="82"/>
      <c r="I177" s="82">
        <v>81.8</v>
      </c>
      <c r="J177" s="82">
        <f t="shared" ref="J177:BK177" si="1042">J176+J175</f>
        <v>160.20000000000005</v>
      </c>
      <c r="K177" s="82">
        <f t="shared" si="1042"/>
        <v>639.1999999999997</v>
      </c>
      <c r="L177" s="82">
        <f t="shared" si="1042"/>
        <v>639.19999999999948</v>
      </c>
      <c r="M177" s="82">
        <f t="shared" si="1042"/>
        <v>166.69999999999982</v>
      </c>
      <c r="N177" s="82">
        <f t="shared" si="1042"/>
        <v>242.49999999999915</v>
      </c>
      <c r="O177" s="82">
        <f t="shared" si="1042"/>
        <v>242.49999999999909</v>
      </c>
      <c r="P177" s="82">
        <f t="shared" si="1042"/>
        <v>676.2999999999995</v>
      </c>
      <c r="Q177" s="82">
        <f t="shared" si="1042"/>
        <v>515.09999999999911</v>
      </c>
      <c r="R177" s="82">
        <f t="shared" si="1042"/>
        <v>515.09999999999923</v>
      </c>
      <c r="S177" s="82">
        <f t="shared" si="1042"/>
        <v>220.69999999999925</v>
      </c>
      <c r="T177" s="82">
        <f t="shared" si="1042"/>
        <v>227.7999999999993</v>
      </c>
      <c r="U177" s="82">
        <f t="shared" si="1042"/>
        <v>227.79999999999916</v>
      </c>
      <c r="V177" s="82">
        <f t="shared" si="1042"/>
        <v>296.39999999999907</v>
      </c>
      <c r="W177" s="82">
        <f t="shared" si="1042"/>
        <v>310.79999999999916</v>
      </c>
      <c r="X177" s="82">
        <f t="shared" si="1042"/>
        <v>310.7999999999991</v>
      </c>
      <c r="Y177" s="82">
        <f t="shared" si="1042"/>
        <v>378.09999999999911</v>
      </c>
      <c r="Z177" s="82">
        <f t="shared" si="1042"/>
        <v>645.39999999999895</v>
      </c>
      <c r="AA177" s="82">
        <f t="shared" si="1042"/>
        <v>645.39999999999895</v>
      </c>
      <c r="AB177" s="82">
        <f>AB176+AB175</f>
        <v>565.69999999999891</v>
      </c>
      <c r="AC177" s="82">
        <f>AC176+AC175</f>
        <v>359.90000000000003</v>
      </c>
      <c r="AD177" s="82">
        <f t="shared" si="1042"/>
        <v>359.89999999999895</v>
      </c>
      <c r="AE177" s="82">
        <f>AE176+AE175</f>
        <v>479.99999999999898</v>
      </c>
      <c r="AF177" s="82">
        <f t="shared" si="1042"/>
        <v>746.49999999999898</v>
      </c>
      <c r="AG177" s="82">
        <f t="shared" si="1042"/>
        <v>746.49999999999909</v>
      </c>
      <c r="AH177" s="82">
        <f t="shared" si="1042"/>
        <v>844.69999999999914</v>
      </c>
      <c r="AI177" s="82">
        <f t="shared" si="1042"/>
        <v>1336.9999999999991</v>
      </c>
      <c r="AJ177" s="82">
        <f t="shared" si="1042"/>
        <v>1336.9999999999991</v>
      </c>
      <c r="AK177" s="82">
        <f t="shared" si="1042"/>
        <v>1709.4999999999991</v>
      </c>
      <c r="AL177" s="82">
        <f t="shared" si="1042"/>
        <v>2095.099999999999</v>
      </c>
      <c r="AM177" s="82">
        <f t="shared" si="1042"/>
        <v>2095.099999999999</v>
      </c>
      <c r="AN177" s="82">
        <f>AN176+AN175</f>
        <v>2343.7999999999993</v>
      </c>
      <c r="AO177" s="82">
        <f t="shared" si="1042"/>
        <v>2406.7999999999993</v>
      </c>
      <c r="AP177" s="82">
        <f>AO177</f>
        <v>2406.7999999999993</v>
      </c>
      <c r="AQ177" s="82">
        <f>AQ176+AQ175</f>
        <v>2062.5999999999995</v>
      </c>
      <c r="AR177" s="82">
        <f t="shared" si="1042"/>
        <v>1607.0999999999995</v>
      </c>
      <c r="AS177" s="82">
        <f t="shared" si="1042"/>
        <v>1607.0999999999992</v>
      </c>
      <c r="AT177" s="82">
        <f t="shared" si="1042"/>
        <v>1362.4999999999991</v>
      </c>
      <c r="AU177" s="82">
        <f t="shared" si="1042"/>
        <v>1781.8999999999992</v>
      </c>
      <c r="AV177" s="82">
        <f t="shared" si="1042"/>
        <v>1781.8999999999994</v>
      </c>
      <c r="AW177" s="82">
        <v>1275.2000000000003</v>
      </c>
      <c r="AX177" s="82">
        <v>920.4</v>
      </c>
      <c r="AY177" s="82">
        <f>AX177</f>
        <v>920.4</v>
      </c>
      <c r="AZ177" s="82">
        <f t="shared" si="1042"/>
        <v>719.59999999999991</v>
      </c>
      <c r="BA177" s="82">
        <f t="shared" si="1042"/>
        <v>1056</v>
      </c>
      <c r="BB177" s="82">
        <f t="shared" si="1042"/>
        <v>1056</v>
      </c>
      <c r="BC177" s="82">
        <f t="shared" si="1042"/>
        <v>981.6</v>
      </c>
      <c r="BD177" s="82">
        <f t="shared" si="1042"/>
        <v>1360.1000000000001</v>
      </c>
      <c r="BE177" s="82">
        <f t="shared" si="1042"/>
        <v>1360.1000000000001</v>
      </c>
      <c r="BF177" s="82">
        <f t="shared" si="1042"/>
        <v>1222.9000000000001</v>
      </c>
      <c r="BG177" s="82">
        <f t="shared" si="1042"/>
        <v>1785.3</v>
      </c>
      <c r="BH177" s="82">
        <f t="shared" si="1042"/>
        <v>1785.3</v>
      </c>
      <c r="BI177" s="82">
        <f t="shared" si="1042"/>
        <v>1489.1</v>
      </c>
      <c r="BJ177" s="82">
        <f t="shared" si="1042"/>
        <v>3957.1000000000004</v>
      </c>
      <c r="BK177" s="82">
        <f t="shared" si="1042"/>
        <v>3957.1000000000004</v>
      </c>
      <c r="BL177" s="82">
        <f t="shared" ref="BL177:BN177" si="1043">BL176+BL175</f>
        <v>2963.4</v>
      </c>
      <c r="BM177" s="82">
        <f t="shared" ca="1" si="1043"/>
        <v>2498.9259052301022</v>
      </c>
      <c r="BN177" s="82">
        <f t="shared" ca="1" si="1043"/>
        <v>2498.9259052301022</v>
      </c>
      <c r="BO177" s="82">
        <f t="shared" ref="BO177:BQ177" ca="1" si="1044">BO176+BO175</f>
        <v>1920.9987365894144</v>
      </c>
      <c r="BP177" s="82">
        <f t="shared" ca="1" si="1044"/>
        <v>1692.2161823965703</v>
      </c>
      <c r="BQ177" s="82">
        <f t="shared" ca="1" si="1044"/>
        <v>1692.2161823965703</v>
      </c>
      <c r="BR177" s="82">
        <f t="shared" ref="BR177:BT177" ca="1" si="1045">BR176+BR175</f>
        <v>1784.6046035426352</v>
      </c>
      <c r="BS177" s="82">
        <f t="shared" ca="1" si="1045"/>
        <v>2024.8704927472695</v>
      </c>
      <c r="BT177" s="82">
        <f t="shared" ca="1" si="1045"/>
        <v>2024.8704927472695</v>
      </c>
      <c r="BU177" s="82">
        <f t="shared" ref="BU177:BZ177" ca="1" si="1046">BU176+BU175</f>
        <v>2390.4734376432198</v>
      </c>
      <c r="BV177" s="82">
        <f t="shared" ca="1" si="1046"/>
        <v>2778.8455851857898</v>
      </c>
      <c r="BW177" s="82">
        <f t="shared" ca="1" si="1046"/>
        <v>2778.8455851857898</v>
      </c>
      <c r="BX177" s="82">
        <f t="shared" ca="1" si="1046"/>
        <v>3253.2810815883745</v>
      </c>
      <c r="BY177" s="82">
        <f t="shared" ca="1" si="1046"/>
        <v>3741.5619248732373</v>
      </c>
      <c r="BZ177" s="82">
        <f t="shared" ca="1" si="1046"/>
        <v>3741.5619248732373</v>
      </c>
      <c r="CA177" s="82">
        <f t="shared" ref="CA177:CC177" ca="1" si="1047">CA176+CA175</f>
        <v>4331.1661130608545</v>
      </c>
      <c r="CB177" s="82">
        <f t="shared" ca="1" si="1047"/>
        <v>4939.0397282790082</v>
      </c>
      <c r="CC177" s="82">
        <f t="shared" ca="1" si="1047"/>
        <v>4939.0397282790091</v>
      </c>
      <c r="CD177" s="134"/>
      <c r="CE177" s="198"/>
      <c r="CF177" s="198"/>
      <c r="CG177" s="198"/>
      <c r="CH177" s="198"/>
      <c r="CI177" s="198"/>
      <c r="CJ177" s="198"/>
      <c r="CK177" s="199"/>
      <c r="CL177" s="246">
        <f>X177</f>
        <v>310.7999999999991</v>
      </c>
      <c r="CM177" s="247">
        <f>AA177</f>
        <v>645.39999999999895</v>
      </c>
      <c r="CN177" s="247">
        <f>AD177</f>
        <v>359.89999999999895</v>
      </c>
      <c r="CO177" s="247">
        <f>AG177</f>
        <v>746.49999999999909</v>
      </c>
      <c r="CP177" s="247">
        <f>AJ177</f>
        <v>1336.9999999999991</v>
      </c>
      <c r="CQ177" s="247">
        <f>AM177</f>
        <v>2095.099999999999</v>
      </c>
      <c r="CR177" s="247">
        <f>AP177</f>
        <v>2406.7999999999993</v>
      </c>
      <c r="CS177" s="247">
        <f>AS177</f>
        <v>1607.0999999999992</v>
      </c>
      <c r="CT177" s="247">
        <f>AV177</f>
        <v>1781.8999999999994</v>
      </c>
      <c r="CU177" s="247">
        <f>AY177</f>
        <v>920.4</v>
      </c>
      <c r="CV177" s="247">
        <f>BB177</f>
        <v>1056</v>
      </c>
      <c r="CW177" s="247">
        <f>BE177</f>
        <v>1360.1000000000001</v>
      </c>
      <c r="CX177" s="247">
        <f>BH177</f>
        <v>1785.3</v>
      </c>
      <c r="CY177" s="247">
        <f>BK177</f>
        <v>3957.1000000000004</v>
      </c>
      <c r="CZ177" s="247">
        <f ca="1">BN177</f>
        <v>2498.9259052301022</v>
      </c>
      <c r="DA177" s="247">
        <f ca="1">BQ177</f>
        <v>1692.2161823965703</v>
      </c>
      <c r="DB177" s="247">
        <f ca="1">BT177</f>
        <v>2024.8704927472695</v>
      </c>
      <c r="DC177" s="247">
        <f ca="1">BW177</f>
        <v>2778.8455851857898</v>
      </c>
      <c r="DD177" s="247">
        <f ca="1">BZ177</f>
        <v>3741.5619248732373</v>
      </c>
      <c r="DE177" s="247">
        <f ca="1">CC177</f>
        <v>4939.0397282790091</v>
      </c>
      <c r="DF177" s="48"/>
      <c r="DG177" s="48"/>
      <c r="DH177" s="48"/>
      <c r="DI177" s="48"/>
      <c r="DJ177" s="48"/>
      <c r="DK177" s="48"/>
      <c r="EB177"/>
      <c r="EC177"/>
      <c r="ED177"/>
      <c r="EE177"/>
      <c r="EF177"/>
      <c r="EG177"/>
    </row>
    <row r="178" spans="1:137" ht="12.75" customHeight="1" thickTop="1">
      <c r="A178" s="1"/>
      <c r="B178" s="13"/>
      <c r="C178" s="1"/>
      <c r="D178" s="238"/>
      <c r="E178" s="238"/>
      <c r="F178" s="239"/>
      <c r="G178" s="239"/>
      <c r="H178" s="239"/>
      <c r="I178" s="239"/>
      <c r="J178" s="239">
        <f t="shared" ref="J178:BK178" si="1048">ROUND(J177-J95,1)</f>
        <v>0</v>
      </c>
      <c r="K178" s="239">
        <f t="shared" si="1048"/>
        <v>0</v>
      </c>
      <c r="L178" s="239">
        <f t="shared" si="1048"/>
        <v>0</v>
      </c>
      <c r="M178" s="239">
        <f t="shared" si="1048"/>
        <v>0</v>
      </c>
      <c r="N178" s="239">
        <f t="shared" si="1048"/>
        <v>0</v>
      </c>
      <c r="O178" s="239">
        <f t="shared" si="1048"/>
        <v>0</v>
      </c>
      <c r="P178" s="239">
        <f t="shared" si="1048"/>
        <v>0</v>
      </c>
      <c r="Q178" s="239">
        <f t="shared" si="1048"/>
        <v>0</v>
      </c>
      <c r="R178" s="239">
        <f t="shared" si="1048"/>
        <v>0</v>
      </c>
      <c r="S178" s="239">
        <f t="shared" si="1048"/>
        <v>0</v>
      </c>
      <c r="T178" s="239">
        <f t="shared" si="1048"/>
        <v>0</v>
      </c>
      <c r="U178" s="239">
        <f t="shared" si="1048"/>
        <v>0</v>
      </c>
      <c r="V178" s="239">
        <f t="shared" si="1048"/>
        <v>0</v>
      </c>
      <c r="W178" s="239">
        <f t="shared" si="1048"/>
        <v>0</v>
      </c>
      <c r="X178" s="239">
        <f t="shared" si="1048"/>
        <v>0</v>
      </c>
      <c r="Y178" s="239">
        <f t="shared" si="1048"/>
        <v>0</v>
      </c>
      <c r="Z178" s="239">
        <f t="shared" si="1048"/>
        <v>0</v>
      </c>
      <c r="AA178" s="239">
        <f t="shared" si="1048"/>
        <v>0</v>
      </c>
      <c r="AB178" s="239">
        <f t="shared" si="1048"/>
        <v>0</v>
      </c>
      <c r="AC178" s="239">
        <f t="shared" si="1048"/>
        <v>0</v>
      </c>
      <c r="AD178" s="239">
        <f t="shared" si="1048"/>
        <v>0</v>
      </c>
      <c r="AE178" s="239">
        <f t="shared" si="1048"/>
        <v>0</v>
      </c>
      <c r="AF178" s="239">
        <f t="shared" si="1048"/>
        <v>0</v>
      </c>
      <c r="AG178" s="239">
        <f t="shared" si="1048"/>
        <v>0</v>
      </c>
      <c r="AH178" s="239">
        <f t="shared" si="1048"/>
        <v>0</v>
      </c>
      <c r="AI178" s="239">
        <f t="shared" si="1048"/>
        <v>0</v>
      </c>
      <c r="AJ178" s="239">
        <f t="shared" si="1048"/>
        <v>0</v>
      </c>
      <c r="AK178" s="239">
        <f t="shared" si="1048"/>
        <v>0</v>
      </c>
      <c r="AL178" s="239">
        <f t="shared" si="1048"/>
        <v>0</v>
      </c>
      <c r="AM178" s="239">
        <f t="shared" si="1048"/>
        <v>0</v>
      </c>
      <c r="AN178" s="239">
        <f t="shared" si="1048"/>
        <v>0</v>
      </c>
      <c r="AO178" s="239">
        <f t="shared" si="1048"/>
        <v>0</v>
      </c>
      <c r="AP178" s="239">
        <f t="shared" si="1048"/>
        <v>0</v>
      </c>
      <c r="AQ178" s="239">
        <f t="shared" si="1048"/>
        <v>0</v>
      </c>
      <c r="AR178" s="239">
        <f t="shared" si="1048"/>
        <v>0</v>
      </c>
      <c r="AS178" s="239">
        <f t="shared" si="1048"/>
        <v>0</v>
      </c>
      <c r="AT178" s="239">
        <f t="shared" si="1048"/>
        <v>0</v>
      </c>
      <c r="AU178" s="239">
        <f t="shared" si="1048"/>
        <v>0</v>
      </c>
      <c r="AV178" s="239">
        <f t="shared" si="1048"/>
        <v>0</v>
      </c>
      <c r="AW178" s="239">
        <f t="shared" si="1048"/>
        <v>0</v>
      </c>
      <c r="AX178" s="239">
        <f t="shared" si="1048"/>
        <v>0</v>
      </c>
      <c r="AY178" s="239">
        <f t="shared" si="1048"/>
        <v>0</v>
      </c>
      <c r="AZ178" s="239">
        <f t="shared" si="1048"/>
        <v>0</v>
      </c>
      <c r="BA178" s="239">
        <f t="shared" si="1048"/>
        <v>0</v>
      </c>
      <c r="BB178" s="239">
        <f t="shared" si="1048"/>
        <v>0</v>
      </c>
      <c r="BC178" s="239">
        <f t="shared" si="1048"/>
        <v>0</v>
      </c>
      <c r="BD178" s="239">
        <f t="shared" si="1048"/>
        <v>0</v>
      </c>
      <c r="BE178" s="239">
        <f t="shared" si="1048"/>
        <v>0</v>
      </c>
      <c r="BF178" s="239">
        <f t="shared" si="1048"/>
        <v>9.1</v>
      </c>
      <c r="BG178" s="239">
        <f t="shared" si="1048"/>
        <v>0</v>
      </c>
      <c r="BH178" s="239">
        <f t="shared" si="1048"/>
        <v>0</v>
      </c>
      <c r="BI178" s="239">
        <f t="shared" si="1048"/>
        <v>0</v>
      </c>
      <c r="BJ178" s="239">
        <f t="shared" si="1048"/>
        <v>0</v>
      </c>
      <c r="BK178" s="239">
        <f t="shared" si="1048"/>
        <v>0</v>
      </c>
      <c r="BL178" s="239">
        <f t="shared" ref="BL178:BN178" si="1049">ROUND(BL177-BL95,1)</f>
        <v>0</v>
      </c>
      <c r="BM178" s="239">
        <f t="shared" ca="1" si="1049"/>
        <v>0</v>
      </c>
      <c r="BN178" s="239">
        <f t="shared" ca="1" si="1049"/>
        <v>0</v>
      </c>
      <c r="BO178" s="239">
        <f t="shared" ref="BO178:BQ178" ca="1" si="1050">ROUND(BO177-BO95,1)</f>
        <v>0</v>
      </c>
      <c r="BP178" s="239">
        <f t="shared" ca="1" si="1050"/>
        <v>0</v>
      </c>
      <c r="BQ178" s="239">
        <f t="shared" ca="1" si="1050"/>
        <v>0</v>
      </c>
      <c r="BR178" s="239">
        <f t="shared" ref="BR178:BT178" ca="1" si="1051">ROUND(BR177-BR95,1)</f>
        <v>0</v>
      </c>
      <c r="BS178" s="239">
        <f t="shared" ca="1" si="1051"/>
        <v>0</v>
      </c>
      <c r="BT178" s="239">
        <f t="shared" ca="1" si="1051"/>
        <v>0</v>
      </c>
      <c r="BU178" s="239">
        <f t="shared" ref="BU178:BZ178" ca="1" si="1052">ROUND(BU177-BU95,1)</f>
        <v>0</v>
      </c>
      <c r="BV178" s="239">
        <f t="shared" ca="1" si="1052"/>
        <v>0</v>
      </c>
      <c r="BW178" s="239">
        <f t="shared" ca="1" si="1052"/>
        <v>0</v>
      </c>
      <c r="BX178" s="239">
        <f t="shared" ca="1" si="1052"/>
        <v>0</v>
      </c>
      <c r="BY178" s="239">
        <f t="shared" ca="1" si="1052"/>
        <v>0</v>
      </c>
      <c r="BZ178" s="239">
        <f t="shared" ca="1" si="1052"/>
        <v>0</v>
      </c>
      <c r="CA178" s="239">
        <f t="shared" ref="CA178:CC178" ca="1" si="1053">ROUND(CA177-CA95,1)</f>
        <v>0</v>
      </c>
      <c r="CB178" s="239">
        <f t="shared" ca="1" si="1053"/>
        <v>0</v>
      </c>
      <c r="CC178" s="239">
        <f t="shared" ca="1" si="1053"/>
        <v>0</v>
      </c>
      <c r="CD178" s="186"/>
      <c r="CE178" s="187"/>
      <c r="CF178" s="187"/>
      <c r="CG178" s="187"/>
      <c r="CH178" s="187"/>
      <c r="CI178" s="187"/>
      <c r="CJ178" s="187"/>
      <c r="CK178" s="188"/>
      <c r="CL178" s="192"/>
      <c r="CM178" s="188"/>
      <c r="CN178" s="188"/>
      <c r="CO178" s="188"/>
      <c r="CP178" s="188"/>
      <c r="CQ178" s="188"/>
      <c r="CR178" s="188"/>
      <c r="CS178" s="188"/>
      <c r="CT178" s="188"/>
      <c r="CU178" s="188"/>
      <c r="CV178" s="188"/>
      <c r="CW178" s="188"/>
      <c r="CX178" s="188"/>
      <c r="CY178" s="188"/>
      <c r="CZ178" s="188"/>
      <c r="DA178" s="188"/>
      <c r="DB178" s="188"/>
      <c r="DC178" s="188"/>
      <c r="DD178" s="188"/>
      <c r="DE178" s="188"/>
    </row>
    <row r="179" spans="1:137" ht="12.75" customHeight="1">
      <c r="A179" s="1"/>
      <c r="B179" s="112"/>
      <c r="C179" s="1"/>
      <c r="D179" s="1"/>
      <c r="E179" s="1"/>
      <c r="F179" s="188"/>
      <c r="G179" s="188"/>
      <c r="H179" s="188"/>
      <c r="I179" s="188"/>
      <c r="J179" s="188"/>
      <c r="K179" s="188"/>
      <c r="L179" s="188"/>
      <c r="M179" s="188"/>
      <c r="N179" s="188"/>
      <c r="O179" s="188"/>
      <c r="P179" s="188"/>
      <c r="Q179" s="188"/>
      <c r="R179" s="188"/>
      <c r="S179" s="188"/>
      <c r="T179" s="188"/>
      <c r="U179" s="188"/>
      <c r="V179" s="188"/>
      <c r="W179" s="188"/>
      <c r="X179" s="188"/>
      <c r="Y179" s="188"/>
      <c r="Z179" s="188"/>
      <c r="AA179" s="188"/>
      <c r="AB179" s="188"/>
      <c r="AC179" s="188"/>
      <c r="AD179" s="188"/>
      <c r="AE179" s="188"/>
      <c r="AF179" s="188"/>
      <c r="AG179" s="188"/>
      <c r="AH179" s="188"/>
      <c r="AI179" s="188"/>
      <c r="AJ179" s="188"/>
      <c r="AK179" s="188"/>
      <c r="AL179" s="188"/>
      <c r="AM179" s="188"/>
      <c r="AN179" s="188"/>
      <c r="AO179" s="188"/>
      <c r="AP179" s="188"/>
      <c r="AQ179" s="188"/>
      <c r="AR179" s="188"/>
      <c r="AS179" s="188"/>
      <c r="AT179" s="188"/>
      <c r="AU179" s="188"/>
      <c r="AV179" s="188"/>
      <c r="AW179" s="188"/>
      <c r="AX179" s="188"/>
      <c r="AY179" s="188"/>
      <c r="AZ179" s="188"/>
      <c r="BA179" s="188"/>
      <c r="BB179" s="188"/>
      <c r="BC179" s="188"/>
      <c r="BD179" s="188"/>
      <c r="BE179" s="188"/>
      <c r="BF179" s="188"/>
      <c r="BG179" s="188"/>
      <c r="BH179" s="188"/>
      <c r="BI179" s="188"/>
      <c r="BJ179" s="188"/>
      <c r="BK179" s="188"/>
      <c r="BL179" s="188"/>
      <c r="BM179" s="188"/>
      <c r="BN179" s="188"/>
      <c r="BO179" s="188"/>
      <c r="BP179" s="188"/>
      <c r="BQ179" s="188"/>
      <c r="BR179" s="188"/>
      <c r="BS179" s="188"/>
      <c r="BT179" s="188"/>
      <c r="BU179" s="188"/>
      <c r="BV179" s="188"/>
      <c r="BW179" s="188"/>
      <c r="BX179" s="188"/>
      <c r="BY179" s="188"/>
      <c r="BZ179" s="188"/>
      <c r="CA179" s="188"/>
      <c r="CB179" s="188"/>
      <c r="CC179" s="188"/>
      <c r="CD179" s="186"/>
      <c r="CE179" s="187"/>
      <c r="CF179" s="187"/>
      <c r="CG179" s="187"/>
      <c r="CH179" s="187"/>
      <c r="CI179" s="187"/>
      <c r="CJ179" s="187"/>
      <c r="CK179" s="188"/>
      <c r="CL179" s="192"/>
      <c r="CM179" s="188"/>
      <c r="CN179" s="188"/>
      <c r="CO179" s="188"/>
      <c r="CP179" s="188"/>
      <c r="CQ179" s="188"/>
      <c r="CR179" s="188"/>
      <c r="CS179" s="188"/>
      <c r="CT179" s="188"/>
      <c r="CU179" s="188"/>
      <c r="CV179" s="188"/>
      <c r="CW179" s="188"/>
      <c r="CX179" s="188"/>
      <c r="CY179" s="188"/>
      <c r="CZ179" s="188"/>
      <c r="DA179" s="188"/>
      <c r="DB179" s="188"/>
      <c r="DC179" s="188"/>
      <c r="DD179" s="188"/>
      <c r="DE179" s="188"/>
    </row>
    <row r="180" spans="1:137" s="47" customFormat="1" ht="12.75" customHeight="1">
      <c r="A180" s="42"/>
      <c r="B180" s="241" t="s">
        <v>161</v>
      </c>
      <c r="C180" s="42"/>
      <c r="D180" s="42"/>
      <c r="E180" s="42"/>
      <c r="F180" s="242"/>
      <c r="G180" s="242"/>
      <c r="H180" s="242"/>
      <c r="I180" s="242"/>
      <c r="J180" s="242"/>
      <c r="K180" s="242"/>
      <c r="L180" s="242"/>
      <c r="M180" s="242"/>
      <c r="N180" s="242"/>
      <c r="O180" s="242"/>
      <c r="P180" s="242"/>
      <c r="Q180" s="242"/>
      <c r="R180" s="242"/>
      <c r="S180" s="242"/>
      <c r="T180" s="242"/>
      <c r="U180" s="242"/>
      <c r="V180" s="242"/>
      <c r="W180" s="242"/>
      <c r="X180" s="242"/>
      <c r="Y180" s="242"/>
      <c r="Z180" s="242"/>
      <c r="AA180" s="242"/>
      <c r="AB180" s="242"/>
      <c r="AC180" s="242"/>
      <c r="AD180" s="242"/>
      <c r="AE180" s="242"/>
      <c r="AF180" s="242" t="s">
        <v>162</v>
      </c>
      <c r="AG180" s="242">
        <v>-360</v>
      </c>
      <c r="AH180" s="242">
        <f>AG180</f>
        <v>-360</v>
      </c>
      <c r="AI180" s="242">
        <v>-260</v>
      </c>
      <c r="AJ180" s="242">
        <f t="shared" ref="AJ180:BK180" si="1054">AI180</f>
        <v>-260</v>
      </c>
      <c r="AK180" s="242">
        <v>-250</v>
      </c>
      <c r="AL180" s="242">
        <v>-160</v>
      </c>
      <c r="AM180" s="242">
        <f t="shared" si="1054"/>
        <v>-160</v>
      </c>
      <c r="AN180" s="242">
        <v>-180</v>
      </c>
      <c r="AO180" s="242">
        <v>-120</v>
      </c>
      <c r="AP180" s="242">
        <f t="shared" si="1054"/>
        <v>-120</v>
      </c>
      <c r="AQ180" s="242">
        <f t="shared" si="1054"/>
        <v>-120</v>
      </c>
      <c r="AR180" s="242">
        <f t="shared" si="1054"/>
        <v>-120</v>
      </c>
      <c r="AS180" s="242">
        <f t="shared" si="1054"/>
        <v>-120</v>
      </c>
      <c r="AT180" s="242">
        <v>-90</v>
      </c>
      <c r="AU180" s="242">
        <f t="shared" si="1054"/>
        <v>-90</v>
      </c>
      <c r="AV180" s="242">
        <f t="shared" si="1054"/>
        <v>-90</v>
      </c>
      <c r="AW180" s="242">
        <f t="shared" si="1054"/>
        <v>-90</v>
      </c>
      <c r="AX180" s="242">
        <f t="shared" si="1054"/>
        <v>-90</v>
      </c>
      <c r="AY180" s="242">
        <f t="shared" si="1054"/>
        <v>-90</v>
      </c>
      <c r="AZ180" s="242">
        <f t="shared" si="1054"/>
        <v>-90</v>
      </c>
      <c r="BA180" s="242">
        <f t="shared" si="1054"/>
        <v>-90</v>
      </c>
      <c r="BB180" s="242">
        <f t="shared" si="1054"/>
        <v>-90</v>
      </c>
      <c r="BC180" s="242">
        <f t="shared" si="1054"/>
        <v>-90</v>
      </c>
      <c r="BD180" s="242">
        <f t="shared" si="1054"/>
        <v>-90</v>
      </c>
      <c r="BE180" s="242">
        <f t="shared" si="1054"/>
        <v>-90</v>
      </c>
      <c r="BF180" s="242">
        <f t="shared" si="1054"/>
        <v>-90</v>
      </c>
      <c r="BG180" s="242">
        <v>0</v>
      </c>
      <c r="BH180" s="242">
        <f t="shared" si="1054"/>
        <v>0</v>
      </c>
      <c r="BI180" s="242">
        <f>BH180</f>
        <v>0</v>
      </c>
      <c r="BJ180" s="242">
        <f t="shared" si="1054"/>
        <v>0</v>
      </c>
      <c r="BK180" s="242">
        <f t="shared" si="1054"/>
        <v>0</v>
      </c>
      <c r="BL180" s="242">
        <f t="shared" ref="BL180" si="1055">BK180</f>
        <v>0</v>
      </c>
      <c r="BM180" s="242">
        <f t="shared" ref="BM180" si="1056">BL180</f>
        <v>0</v>
      </c>
      <c r="BN180" s="242">
        <f t="shared" ref="BN180" si="1057">BM180</f>
        <v>0</v>
      </c>
      <c r="BO180" s="242">
        <f t="shared" ref="BO180" si="1058">BN180</f>
        <v>0</v>
      </c>
      <c r="BP180" s="242">
        <f t="shared" ref="BP180" si="1059">BO180</f>
        <v>0</v>
      </c>
      <c r="BQ180" s="242">
        <f t="shared" ref="BQ180" si="1060">BP180</f>
        <v>0</v>
      </c>
      <c r="BR180" s="242">
        <f t="shared" ref="BR180" si="1061">BQ180</f>
        <v>0</v>
      </c>
      <c r="BS180" s="242">
        <f t="shared" ref="BS180" si="1062">BR180</f>
        <v>0</v>
      </c>
      <c r="BT180" s="242">
        <f t="shared" ref="BT180" si="1063">BS180</f>
        <v>0</v>
      </c>
      <c r="BU180" s="242">
        <f t="shared" ref="BU180" si="1064">BT180</f>
        <v>0</v>
      </c>
      <c r="BV180" s="242">
        <f t="shared" ref="BV180" si="1065">BU180</f>
        <v>0</v>
      </c>
      <c r="BW180" s="242">
        <f t="shared" ref="BW180" si="1066">BV180</f>
        <v>0</v>
      </c>
      <c r="BX180" s="242">
        <f t="shared" ref="BX180" si="1067">BW180</f>
        <v>0</v>
      </c>
      <c r="BY180" s="242">
        <f t="shared" ref="BY180" si="1068">BX180</f>
        <v>0</v>
      </c>
      <c r="BZ180" s="242">
        <f t="shared" ref="BZ180" si="1069">BY180</f>
        <v>0</v>
      </c>
      <c r="CA180" s="242">
        <f t="shared" ref="CA180" si="1070">BZ180</f>
        <v>0</v>
      </c>
      <c r="CB180" s="242">
        <f t="shared" ref="CB180" si="1071">CA180</f>
        <v>0</v>
      </c>
      <c r="CC180" s="242">
        <f t="shared" ref="CC180" si="1072">CB180</f>
        <v>0</v>
      </c>
      <c r="CD180" s="243"/>
      <c r="CE180" s="242"/>
      <c r="CF180" s="242"/>
      <c r="CG180" s="242"/>
      <c r="CH180" s="242"/>
      <c r="CI180" s="242"/>
      <c r="CJ180" s="242"/>
      <c r="CK180" s="244"/>
      <c r="CL180" s="245"/>
      <c r="CM180" s="242"/>
      <c r="CN180" s="242"/>
      <c r="CO180" s="242"/>
      <c r="CP180" s="242"/>
      <c r="CQ180" s="242"/>
      <c r="CR180" s="242"/>
      <c r="CS180" s="242"/>
      <c r="CT180" s="242"/>
      <c r="CU180" s="242"/>
      <c r="CV180" s="242"/>
      <c r="CW180" s="242"/>
      <c r="CX180" s="242"/>
      <c r="CY180" s="242"/>
      <c r="CZ180" s="242"/>
      <c r="DA180" s="242"/>
      <c r="DB180" s="242"/>
      <c r="DC180" s="242"/>
      <c r="DD180" s="242"/>
      <c r="DE180" s="242"/>
      <c r="DF180" s="45"/>
      <c r="DG180" s="45"/>
      <c r="DH180" s="45"/>
      <c r="DI180" s="45"/>
      <c r="DJ180" s="45"/>
      <c r="DK180" s="45"/>
      <c r="EB180"/>
      <c r="EC180"/>
      <c r="ED180"/>
      <c r="EE180"/>
      <c r="EF180"/>
      <c r="EG180"/>
    </row>
    <row r="181" spans="1:137" ht="12.75" customHeight="1">
      <c r="A181" s="1"/>
      <c r="B181" s="13"/>
      <c r="C181" s="1"/>
      <c r="D181" s="1"/>
      <c r="E181" s="1"/>
      <c r="F181" s="188"/>
      <c r="G181" s="188"/>
      <c r="H181" s="188"/>
      <c r="I181" s="188"/>
      <c r="J181" s="188"/>
      <c r="K181" s="188"/>
      <c r="L181" s="188"/>
      <c r="M181" s="188"/>
      <c r="N181" s="188"/>
      <c r="O181" s="188"/>
      <c r="P181" s="188"/>
      <c r="Q181" s="188"/>
      <c r="R181" s="188"/>
      <c r="S181" s="188"/>
      <c r="T181" s="188"/>
      <c r="U181" s="188"/>
      <c r="V181" s="188"/>
      <c r="W181" s="188"/>
      <c r="X181" s="188"/>
      <c r="Y181" s="188"/>
      <c r="Z181" s="188"/>
      <c r="AA181" s="188"/>
      <c r="AB181" s="188"/>
      <c r="AC181" s="188"/>
      <c r="AD181" s="188"/>
      <c r="AE181" s="188"/>
      <c r="AF181" s="188"/>
      <c r="AG181" s="188"/>
      <c r="AH181" s="188"/>
      <c r="AI181" s="188"/>
      <c r="AJ181" s="188"/>
      <c r="AK181" s="188"/>
      <c r="AL181" s="188"/>
      <c r="AM181" s="188"/>
      <c r="AN181" s="188"/>
      <c r="AO181" s="188"/>
      <c r="AP181" s="188"/>
      <c r="AQ181" s="188"/>
      <c r="AR181" s="188"/>
      <c r="AS181" s="188"/>
      <c r="AT181" s="188"/>
      <c r="AU181" s="188"/>
      <c r="AV181" s="188"/>
      <c r="AW181" s="188"/>
      <c r="AX181" s="188"/>
      <c r="AY181" s="188"/>
      <c r="AZ181" s="188"/>
      <c r="BA181" s="188"/>
      <c r="BB181" s="188"/>
      <c r="BC181" s="188"/>
      <c r="BD181" s="188"/>
      <c r="BE181" s="188"/>
      <c r="BF181" s="188"/>
      <c r="BG181" s="188"/>
      <c r="BH181" s="188"/>
      <c r="BI181" s="188"/>
      <c r="BJ181" s="188"/>
      <c r="BK181" s="188"/>
      <c r="BL181" s="188"/>
      <c r="BM181" s="188"/>
      <c r="BN181" s="188"/>
      <c r="BO181" s="188"/>
      <c r="BP181" s="188"/>
      <c r="BQ181" s="188"/>
      <c r="BR181" s="188"/>
      <c r="BS181" s="188"/>
      <c r="BT181" s="188"/>
      <c r="BU181" s="188"/>
      <c r="BV181" s="188"/>
      <c r="BW181" s="188"/>
      <c r="BX181" s="188"/>
      <c r="BY181" s="188"/>
      <c r="BZ181" s="188"/>
      <c r="CA181" s="188"/>
      <c r="CB181" s="188"/>
      <c r="CC181" s="188"/>
      <c r="CD181" s="186"/>
      <c r="CE181" s="187"/>
      <c r="CF181" s="187"/>
      <c r="CG181" s="187"/>
      <c r="CH181" s="187"/>
      <c r="CI181" s="187"/>
      <c r="CJ181" s="187"/>
      <c r="CK181" s="188"/>
      <c r="CL181" s="192"/>
      <c r="CM181" s="188"/>
      <c r="CN181" s="188"/>
      <c r="CO181" s="188"/>
      <c r="CP181" s="188"/>
      <c r="CQ181" s="188"/>
      <c r="CR181" s="188"/>
      <c r="CS181" s="188"/>
      <c r="CT181" s="188"/>
      <c r="CU181" s="188"/>
      <c r="CV181" s="188"/>
      <c r="CW181" s="188"/>
      <c r="CX181" s="188"/>
      <c r="CY181" s="188"/>
      <c r="CZ181" s="188"/>
      <c r="DA181" s="188"/>
      <c r="DB181" s="188"/>
      <c r="DC181" s="188"/>
      <c r="DD181" s="188"/>
      <c r="DE181" s="188"/>
    </row>
    <row r="182" spans="1:137" ht="12.75" customHeight="1">
      <c r="A182" s="1"/>
      <c r="B182" s="49" t="s">
        <v>10</v>
      </c>
      <c r="C182" s="1"/>
      <c r="D182" s="19"/>
      <c r="E182" s="19"/>
      <c r="F182" s="188"/>
      <c r="G182" s="188"/>
      <c r="H182" s="188"/>
      <c r="I182" s="188"/>
      <c r="J182" s="188"/>
      <c r="K182" s="188"/>
      <c r="L182" s="188">
        <f t="shared" ref="L182:BK182" si="1073">(L127-L133-L106)/L210</f>
        <v>9.7757171536900529</v>
      </c>
      <c r="M182" s="188">
        <f t="shared" si="1073"/>
        <v>5.2695351814345841</v>
      </c>
      <c r="N182" s="188">
        <f t="shared" si="1073"/>
        <v>4.2611357750067427</v>
      </c>
      <c r="O182" s="188">
        <f t="shared" si="1073"/>
        <v>4.3269555556213071</v>
      </c>
      <c r="P182" s="188">
        <f t="shared" si="1073"/>
        <v>2.1011873145632221</v>
      </c>
      <c r="Q182" s="188">
        <f t="shared" si="1073"/>
        <v>1.8683831024565931</v>
      </c>
      <c r="R182" s="188">
        <f t="shared" si="1073"/>
        <v>1.8684058593989539</v>
      </c>
      <c r="S182" s="188">
        <f t="shared" si="1073"/>
        <v>2.0676592504339379</v>
      </c>
      <c r="T182" s="188">
        <f t="shared" si="1073"/>
        <v>2.2528833904694672</v>
      </c>
      <c r="U182" s="188">
        <f t="shared" si="1073"/>
        <v>2.2528833904694672</v>
      </c>
      <c r="V182" s="188">
        <f t="shared" si="1073"/>
        <v>2.6246016138875703</v>
      </c>
      <c r="W182" s="188">
        <f t="shared" si="1073"/>
        <v>2.6006385696040866</v>
      </c>
      <c r="X182" s="188">
        <f t="shared" si="1073"/>
        <v>2.5216129313607212</v>
      </c>
      <c r="Y182" s="188">
        <f t="shared" si="1073"/>
        <v>2.6045092035502462</v>
      </c>
      <c r="Z182" s="188">
        <f t="shared" si="1073"/>
        <v>2.6474698183232213</v>
      </c>
      <c r="AA182" s="188">
        <f t="shared" si="1073"/>
        <v>2.6474698183232213</v>
      </c>
      <c r="AB182" s="188">
        <f t="shared" si="1073"/>
        <v>2.7238989716939508</v>
      </c>
      <c r="AC182" s="188">
        <f t="shared" si="1073"/>
        <v>2.8777565549574589</v>
      </c>
      <c r="AD182" s="188">
        <f t="shared" si="1073"/>
        <v>2.8777565549574589</v>
      </c>
      <c r="AE182" s="188">
        <f t="shared" si="1073"/>
        <v>3.1620255205454204</v>
      </c>
      <c r="AF182" s="188">
        <f t="shared" si="1073"/>
        <v>3.3145090241012913</v>
      </c>
      <c r="AG182" s="188">
        <f t="shared" si="1073"/>
        <v>3.3145090241012913</v>
      </c>
      <c r="AH182" s="188">
        <f t="shared" si="1073"/>
        <v>3.8829691371930619</v>
      </c>
      <c r="AI182" s="188">
        <f t="shared" si="1073"/>
        <v>4.0747637421014362</v>
      </c>
      <c r="AJ182" s="188">
        <f t="shared" si="1073"/>
        <v>4.0747637421014362</v>
      </c>
      <c r="AK182" s="188">
        <f t="shared" si="1073"/>
        <v>4.224832962138084</v>
      </c>
      <c r="AL182" s="188">
        <f t="shared" si="1073"/>
        <v>4.1853765174639861</v>
      </c>
      <c r="AM182" s="188">
        <f t="shared" si="1073"/>
        <v>4.1839968861209966</v>
      </c>
      <c r="AN182" s="188">
        <f t="shared" si="1073"/>
        <v>4.3550740658854732</v>
      </c>
      <c r="AO182" s="188">
        <f t="shared" si="1073"/>
        <v>4.6141411444574425</v>
      </c>
      <c r="AP182" s="188">
        <f t="shared" si="1073"/>
        <v>4.6141411444574425</v>
      </c>
      <c r="AQ182" s="188">
        <f t="shared" si="1073"/>
        <v>5.0530299104351872</v>
      </c>
      <c r="AR182" s="188">
        <f t="shared" si="1073"/>
        <v>5.3379988334412047</v>
      </c>
      <c r="AS182" s="188">
        <f t="shared" si="1073"/>
        <v>5.3379988334412047</v>
      </c>
      <c r="AT182" s="188">
        <f t="shared" si="1073"/>
        <v>5.6127286298812828</v>
      </c>
      <c r="AU182" s="188">
        <f t="shared" si="1073"/>
        <v>5.7819608591790388</v>
      </c>
      <c r="AV182" s="188">
        <f t="shared" si="1073"/>
        <v>5.7819608591790388</v>
      </c>
      <c r="AW182" s="188">
        <f t="shared" si="1073"/>
        <v>5.9891741792996429</v>
      </c>
      <c r="AX182" s="188">
        <f t="shared" si="1073"/>
        <v>6.6797856214811606</v>
      </c>
      <c r="AY182" s="188">
        <f t="shared" si="1073"/>
        <v>6.6797856214811606</v>
      </c>
      <c r="AZ182" s="188">
        <f t="shared" si="1073"/>
        <v>7.6929129643507128</v>
      </c>
      <c r="BA182" s="188">
        <f t="shared" si="1073"/>
        <v>8.3660207686543213</v>
      </c>
      <c r="BB182" s="188">
        <f t="shared" si="1073"/>
        <v>8.3660207686543213</v>
      </c>
      <c r="BC182" s="188">
        <f t="shared" si="1073"/>
        <v>8.8712576442435527</v>
      </c>
      <c r="BD182" s="188">
        <f t="shared" si="1073"/>
        <v>9.0847394869082265</v>
      </c>
      <c r="BE182" s="188">
        <f t="shared" si="1073"/>
        <v>9.1170506423187181</v>
      </c>
      <c r="BF182" s="188">
        <f t="shared" si="1073"/>
        <v>8.7998631002527361</v>
      </c>
      <c r="BG182" s="188">
        <f t="shared" si="1073"/>
        <v>8.7975989890480211</v>
      </c>
      <c r="BH182" s="188">
        <f t="shared" si="1073"/>
        <v>8.7975989890480211</v>
      </c>
      <c r="BI182" s="188">
        <f t="shared" si="1073"/>
        <v>9.4384808537350935</v>
      </c>
      <c r="BJ182" s="188">
        <f t="shared" si="1073"/>
        <v>11.025157542339505</v>
      </c>
      <c r="BK182" s="188">
        <f t="shared" si="1073"/>
        <v>11.025157542339505</v>
      </c>
      <c r="BL182" s="188">
        <f t="shared" ref="BL182:BN182" si="1074">(BL127-BL133-BL106)/BL210</f>
        <v>11.175714006259781</v>
      </c>
      <c r="BM182" s="188">
        <f t="shared" ca="1" si="1074"/>
        <v>11.845270936032673</v>
      </c>
      <c r="BN182" s="188">
        <f t="shared" ca="1" si="1074"/>
        <v>11.845270936032673</v>
      </c>
      <c r="BO182" s="188">
        <f t="shared" ref="BO182:BQ182" ca="1" si="1075">(BO127-BO133-BO106)/BO210</f>
        <v>12.535291931365149</v>
      </c>
      <c r="BP182" s="188">
        <f t="shared" ca="1" si="1075"/>
        <v>13.224935073306705</v>
      </c>
      <c r="BQ182" s="188">
        <f t="shared" ca="1" si="1075"/>
        <v>13.224935073306705</v>
      </c>
      <c r="BR182" s="188">
        <f t="shared" ref="BR182:BT182" ca="1" si="1076">(BR127-BR133-BR106)/BR210</f>
        <v>14.005862018919633</v>
      </c>
      <c r="BS182" s="188">
        <f t="shared" ca="1" si="1076"/>
        <v>14.794919935084193</v>
      </c>
      <c r="BT182" s="188">
        <f t="shared" ca="1" si="1076"/>
        <v>14.794919935084193</v>
      </c>
      <c r="BU182" s="188">
        <f t="shared" ref="BU182:BZ182" ca="1" si="1077">(BU127-BU133-BU106)/BU210</f>
        <v>15.649155211782666</v>
      </c>
      <c r="BV182" s="188">
        <f t="shared" ca="1" si="1077"/>
        <v>16.514509685891202</v>
      </c>
      <c r="BW182" s="188">
        <f t="shared" ca="1" si="1077"/>
        <v>16.514509685891202</v>
      </c>
      <c r="BX182" s="188">
        <f t="shared" ca="1" si="1077"/>
        <v>17.426053850431842</v>
      </c>
      <c r="BY182" s="188">
        <f t="shared" ca="1" si="1077"/>
        <v>18.34433630091576</v>
      </c>
      <c r="BZ182" s="188">
        <f t="shared" ca="1" si="1077"/>
        <v>18.34433630091576</v>
      </c>
      <c r="CA182" s="188">
        <f t="shared" ref="CA182:CC182" ca="1" si="1078">(CA127-CA133-CA106)/CA210</f>
        <v>19.324671524695873</v>
      </c>
      <c r="CB182" s="188">
        <f t="shared" ca="1" si="1078"/>
        <v>20.314077111340207</v>
      </c>
      <c r="CC182" s="188">
        <f t="shared" ca="1" si="1078"/>
        <v>20.314077111340207</v>
      </c>
      <c r="CD182" s="186"/>
      <c r="CE182" s="187"/>
      <c r="CF182" s="187"/>
      <c r="CG182" s="187"/>
      <c r="CH182" s="187"/>
      <c r="CI182" s="187"/>
      <c r="CJ182" s="187"/>
      <c r="CK182" s="188"/>
      <c r="CL182" s="192">
        <f>X182</f>
        <v>2.5216129313607212</v>
      </c>
      <c r="CM182" s="188">
        <f>AA182</f>
        <v>2.6474698183232213</v>
      </c>
      <c r="CN182" s="188">
        <f>AD182</f>
        <v>2.8777565549574589</v>
      </c>
      <c r="CO182" s="188">
        <f>AG182</f>
        <v>3.3145090241012913</v>
      </c>
      <c r="CP182" s="188">
        <f>AJ182</f>
        <v>4.0747637421014362</v>
      </c>
      <c r="CQ182" s="188">
        <f>AM182</f>
        <v>4.1839968861209966</v>
      </c>
      <c r="CR182" s="188">
        <f>AP182</f>
        <v>4.6141411444574425</v>
      </c>
      <c r="CS182" s="188">
        <f>AS182</f>
        <v>5.3379988334412047</v>
      </c>
      <c r="CT182" s="188">
        <f>AV182</f>
        <v>5.7819608591790388</v>
      </c>
      <c r="CU182" s="188">
        <f>AY182</f>
        <v>6.6797856214811606</v>
      </c>
      <c r="CV182" s="188">
        <f>BB182</f>
        <v>8.3660207686543213</v>
      </c>
      <c r="CW182" s="188">
        <f>BE182</f>
        <v>9.1170506423187181</v>
      </c>
      <c r="CX182" s="188">
        <f>BH182</f>
        <v>8.7975989890480211</v>
      </c>
      <c r="CY182" s="188">
        <f>BK182</f>
        <v>11.025157542339505</v>
      </c>
      <c r="CZ182" s="188">
        <f ca="1">BN182</f>
        <v>11.845270936032673</v>
      </c>
      <c r="DA182" s="188">
        <f ca="1">BQ182</f>
        <v>13.224935073306705</v>
      </c>
      <c r="DB182" s="188">
        <f ca="1">BT182</f>
        <v>14.794919935084193</v>
      </c>
      <c r="DC182" s="188">
        <f ca="1">BW182</f>
        <v>16.514509685891202</v>
      </c>
      <c r="DD182" s="188">
        <f ca="1">BZ182</f>
        <v>18.34433630091576</v>
      </c>
      <c r="DE182" s="188">
        <f ca="1">CC182</f>
        <v>20.314077111340207</v>
      </c>
    </row>
    <row r="183" spans="1:137" s="153" customFormat="1" ht="12.75" customHeight="1">
      <c r="A183" s="17"/>
      <c r="B183" s="16" t="s">
        <v>57</v>
      </c>
      <c r="C183" s="17"/>
      <c r="D183" s="17"/>
      <c r="E183" s="17"/>
      <c r="F183" s="248"/>
      <c r="G183" s="11"/>
      <c r="H183" s="11"/>
      <c r="I183" s="11"/>
      <c r="J183" s="11"/>
      <c r="K183" s="11"/>
      <c r="L183" s="11" t="e">
        <f t="shared" ref="L183:AF183" si="1079">L182/I182-1</f>
        <v>#DIV/0!</v>
      </c>
      <c r="M183" s="11" t="e">
        <f t="shared" si="1079"/>
        <v>#DIV/0!</v>
      </c>
      <c r="N183" s="11" t="e">
        <f t="shared" si="1079"/>
        <v>#DIV/0!</v>
      </c>
      <c r="O183" s="11">
        <f t="shared" si="1079"/>
        <v>-0.55737717370556239</v>
      </c>
      <c r="P183" s="11">
        <f t="shared" si="1079"/>
        <v>-0.60125756025578103</v>
      </c>
      <c r="Q183" s="11">
        <f t="shared" si="1079"/>
        <v>-0.56152931962050978</v>
      </c>
      <c r="R183" s="11">
        <f t="shared" si="1079"/>
        <v>-0.56819388704567597</v>
      </c>
      <c r="S183" s="11">
        <f t="shared" si="1079"/>
        <v>-1.5956723085515878E-2</v>
      </c>
      <c r="T183" s="11">
        <f t="shared" si="1079"/>
        <v>0.20579306647941964</v>
      </c>
      <c r="U183" s="11">
        <f t="shared" si="1079"/>
        <v>0.20577838007540583</v>
      </c>
      <c r="V183" s="11">
        <f t="shared" si="1079"/>
        <v>0.26935887203694087</v>
      </c>
      <c r="W183" s="11">
        <f t="shared" si="1079"/>
        <v>0.15436004393558611</v>
      </c>
      <c r="X183" s="11">
        <f t="shared" si="1079"/>
        <v>0.11928249017595838</v>
      </c>
      <c r="Y183" s="11">
        <f t="shared" si="1079"/>
        <v>-7.6554133896012955E-3</v>
      </c>
      <c r="Z183" s="11">
        <f t="shared" si="1079"/>
        <v>1.8007596006031745E-2</v>
      </c>
      <c r="AA183" s="11">
        <f t="shared" si="1079"/>
        <v>4.9911263301852138E-2</v>
      </c>
      <c r="AB183" s="11">
        <f t="shared" si="1079"/>
        <v>4.5839641488293781E-2</v>
      </c>
      <c r="AC183" s="11">
        <f t="shared" si="1079"/>
        <v>8.6983706118353377E-2</v>
      </c>
      <c r="AD183" s="11">
        <f t="shared" si="1079"/>
        <v>8.6983706118353377E-2</v>
      </c>
      <c r="AE183" s="11">
        <f t="shared" si="1079"/>
        <v>0.16084537400409005</v>
      </c>
      <c r="AF183" s="11">
        <f t="shared" si="1079"/>
        <v>0.1517683865202033</v>
      </c>
      <c r="AG183" s="11">
        <f>AG182/AD182-1</f>
        <v>0.1517683865202033</v>
      </c>
      <c r="AH183" s="11">
        <f t="shared" ref="AH183:BK183" si="1080">AH182/AE182-1</f>
        <v>0.22800056861125051</v>
      </c>
      <c r="AI183" s="11">
        <f t="shared" si="1080"/>
        <v>0.22937174479598332</v>
      </c>
      <c r="AJ183" s="11">
        <f t="shared" si="1080"/>
        <v>0.22937174479598332</v>
      </c>
      <c r="AK183" s="11">
        <f t="shared" si="1080"/>
        <v>8.8041859944359535E-2</v>
      </c>
      <c r="AL183" s="11">
        <f t="shared" si="1080"/>
        <v>2.7145813196400193E-2</v>
      </c>
      <c r="AM183" s="11">
        <f t="shared" si="1080"/>
        <v>2.6807233727673019E-2</v>
      </c>
      <c r="AN183" s="11">
        <f t="shared" si="1080"/>
        <v>3.0827515528916383E-2</v>
      </c>
      <c r="AO183" s="11">
        <f t="shared" si="1080"/>
        <v>0.10244350184610251</v>
      </c>
      <c r="AP183" s="11">
        <f t="shared" si="1080"/>
        <v>0.10280702162167121</v>
      </c>
      <c r="AQ183" s="11">
        <f t="shared" si="1080"/>
        <v>0.16026268072384808</v>
      </c>
      <c r="AR183" s="11">
        <f t="shared" si="1080"/>
        <v>0.1568780985066458</v>
      </c>
      <c r="AS183" s="11">
        <f t="shared" si="1080"/>
        <v>0.1568780985066458</v>
      </c>
      <c r="AT183" s="11">
        <f t="shared" si="1080"/>
        <v>0.11076497257422568</v>
      </c>
      <c r="AU183" s="11">
        <f t="shared" si="1080"/>
        <v>8.317012415898728E-2</v>
      </c>
      <c r="AV183" s="11">
        <f t="shared" si="1080"/>
        <v>8.317012415898728E-2</v>
      </c>
      <c r="AW183" s="11">
        <f t="shared" si="1080"/>
        <v>6.7069971531177108E-2</v>
      </c>
      <c r="AX183" s="11">
        <f t="shared" si="1080"/>
        <v>0.15528032516456736</v>
      </c>
      <c r="AY183" s="11">
        <f t="shared" si="1080"/>
        <v>0.15528032516456736</v>
      </c>
      <c r="AZ183" s="11">
        <f t="shared" si="1080"/>
        <v>0.28446973389748709</v>
      </c>
      <c r="BA183" s="11">
        <f t="shared" si="1080"/>
        <v>0.25243851265982076</v>
      </c>
      <c r="BB183" s="11">
        <f t="shared" si="1080"/>
        <v>0.25243851265982076</v>
      </c>
      <c r="BC183" s="11">
        <f t="shared" si="1080"/>
        <v>0.15317275593176993</v>
      </c>
      <c r="BD183" s="11">
        <f t="shared" si="1080"/>
        <v>8.5909267754484819E-2</v>
      </c>
      <c r="BE183" s="11">
        <f t="shared" si="1080"/>
        <v>8.9771456996418753E-2</v>
      </c>
      <c r="BF183" s="11">
        <f t="shared" si="1080"/>
        <v>-8.0478492288118542E-3</v>
      </c>
      <c r="BG183" s="11">
        <f t="shared" si="1080"/>
        <v>-3.1606904994248453E-2</v>
      </c>
      <c r="BH183" s="11">
        <f t="shared" si="1080"/>
        <v>-3.5038924955390183E-2</v>
      </c>
      <c r="BI183" s="11">
        <f t="shared" si="1080"/>
        <v>7.2571328236233024E-2</v>
      </c>
      <c r="BJ183" s="11">
        <f t="shared" si="1080"/>
        <v>0.25320073761767659</v>
      </c>
      <c r="BK183" s="11">
        <f t="shared" si="1080"/>
        <v>0.25320073761767659</v>
      </c>
      <c r="BL183" s="11">
        <f t="shared" ref="BL183" si="1081">BL182/BI182-1</f>
        <v>0.18405855554998674</v>
      </c>
      <c r="BM183" s="11">
        <f t="shared" ref="BM183" ca="1" si="1082">BM182/BJ182-1</f>
        <v>7.4385639438141027E-2</v>
      </c>
      <c r="BN183" s="11">
        <f t="shared" ref="BN183" ca="1" si="1083">BN182/BK182-1</f>
        <v>7.4385639438141027E-2</v>
      </c>
      <c r="BO183" s="11">
        <f t="shared" ref="BO183" ca="1" si="1084">BO182/BL182-1</f>
        <v>0.1216546812439756</v>
      </c>
      <c r="BP183" s="11">
        <f t="shared" ref="BP183" ca="1" si="1085">BP182/BM182-1</f>
        <v>0.11647383540018219</v>
      </c>
      <c r="BQ183" s="11">
        <f t="shared" ref="BQ183" ca="1" si="1086">BQ182/BN182-1</f>
        <v>0.11647383540018219</v>
      </c>
      <c r="BR183" s="11">
        <f t="shared" ref="BR183" ca="1" si="1087">BR182/BO182-1</f>
        <v>0.11731438690110596</v>
      </c>
      <c r="BS183" s="11">
        <f t="shared" ref="BS183" ca="1" si="1088">BS182/BP182-1</f>
        <v>0.11871399391187598</v>
      </c>
      <c r="BT183" s="11">
        <f t="shared" ref="BT183" ca="1" si="1089">BT182/BQ182-1</f>
        <v>0.11871399391187598</v>
      </c>
      <c r="BU183" s="11">
        <f t="shared" ref="BU183" ca="1" si="1090">BU182/BR182-1</f>
        <v>0.11732895773521212</v>
      </c>
      <c r="BV183" s="11">
        <f t="shared" ref="BV183" ca="1" si="1091">BV182/BS182-1</f>
        <v>0.11622839179610756</v>
      </c>
      <c r="BW183" s="11">
        <f t="shared" ref="BW183" ca="1" si="1092">BW182/BT182-1</f>
        <v>0.11622839179610756</v>
      </c>
      <c r="BX183" s="11">
        <f t="shared" ref="BX183" ca="1" si="1093">BX182/BU182-1</f>
        <v>0.11354597833570601</v>
      </c>
      <c r="BY183" s="11">
        <f t="shared" ref="BY183" ca="1" si="1094">BY182/BV182-1</f>
        <v>0.11080114698093824</v>
      </c>
      <c r="BZ183" s="11">
        <f t="shared" ref="BZ183" ca="1" si="1095">BZ182/BW182-1</f>
        <v>0.11080114698093824</v>
      </c>
      <c r="CA183" s="11">
        <f t="shared" ref="CA183" ca="1" si="1096">CA182/BX182-1</f>
        <v>0.1089528180367112</v>
      </c>
      <c r="CB183" s="11">
        <f t="shared" ref="CB183" ca="1" si="1097">CB182/BY182-1</f>
        <v>0.10737596488165768</v>
      </c>
      <c r="CC183" s="11">
        <f t="shared" ref="CC183" ca="1" si="1098">CC182/BZ182-1</f>
        <v>0.10737596488165768</v>
      </c>
      <c r="CD183" s="249"/>
      <c r="CE183" s="250"/>
      <c r="CF183" s="250"/>
      <c r="CG183" s="250"/>
      <c r="CH183" s="250"/>
      <c r="CI183" s="251"/>
      <c r="CJ183" s="251"/>
      <c r="CK183" s="248"/>
      <c r="CL183" s="252">
        <f>X183</f>
        <v>0.11928249017595838</v>
      </c>
      <c r="CM183" s="11">
        <f>AA183</f>
        <v>4.9911263301852138E-2</v>
      </c>
      <c r="CN183" s="11">
        <f>AD183</f>
        <v>8.6983706118353377E-2</v>
      </c>
      <c r="CO183" s="11">
        <f>AG183</f>
        <v>0.1517683865202033</v>
      </c>
      <c r="CP183" s="11">
        <f>AJ183</f>
        <v>0.22937174479598332</v>
      </c>
      <c r="CQ183" s="11">
        <f>AM183</f>
        <v>2.6807233727673019E-2</v>
      </c>
      <c r="CR183" s="11">
        <f>AP183</f>
        <v>0.10280702162167121</v>
      </c>
      <c r="CS183" s="11">
        <f>AS183</f>
        <v>0.1568780985066458</v>
      </c>
      <c r="CT183" s="11">
        <f>AV183</f>
        <v>8.317012415898728E-2</v>
      </c>
      <c r="CU183" s="11">
        <f>AY183</f>
        <v>0.15528032516456736</v>
      </c>
      <c r="CV183" s="11">
        <f>BB183</f>
        <v>0.25243851265982076</v>
      </c>
      <c r="CW183" s="11">
        <f>BE183</f>
        <v>8.9771456996418753E-2</v>
      </c>
      <c r="CX183" s="11">
        <f>BH183</f>
        <v>-3.5038924955390183E-2</v>
      </c>
      <c r="CY183" s="11">
        <f>BK183</f>
        <v>0.25320073761767659</v>
      </c>
      <c r="CZ183" s="11">
        <f ca="1">BN183</f>
        <v>7.4385639438141027E-2</v>
      </c>
      <c r="DA183" s="11">
        <f ca="1">BQ183</f>
        <v>0.11647383540018219</v>
      </c>
      <c r="DB183" s="11">
        <f ca="1">BT183</f>
        <v>0.11871399391187598</v>
      </c>
      <c r="DC183" s="11">
        <f ca="1">BW183</f>
        <v>0.11622839179610756</v>
      </c>
      <c r="DD183" s="11">
        <f ca="1">BZ183</f>
        <v>0.11080114698093824</v>
      </c>
      <c r="DE183" s="11">
        <f ca="1">CC183</f>
        <v>0.10737596488165768</v>
      </c>
      <c r="DF183" s="17"/>
      <c r="DG183" s="17"/>
      <c r="DH183" s="17"/>
      <c r="DI183" s="17"/>
      <c r="DJ183" s="17"/>
      <c r="DK183" s="17"/>
      <c r="EB183"/>
      <c r="EC183"/>
      <c r="ED183"/>
      <c r="EE183"/>
      <c r="EF183"/>
      <c r="EG183"/>
    </row>
    <row r="184" spans="1:137" ht="12.75" customHeight="1">
      <c r="A184" s="1"/>
      <c r="B184" s="13"/>
      <c r="C184" s="1"/>
      <c r="D184" s="1"/>
      <c r="E184" s="1"/>
      <c r="F184" s="188"/>
      <c r="G184" s="188"/>
      <c r="H184" s="188"/>
      <c r="I184" s="188"/>
      <c r="J184" s="188"/>
      <c r="K184" s="188"/>
      <c r="L184" s="188"/>
      <c r="M184" s="188"/>
      <c r="N184" s="188"/>
      <c r="O184" s="188"/>
      <c r="P184" s="188"/>
      <c r="Q184" s="188"/>
      <c r="R184" s="188"/>
      <c r="S184" s="188"/>
      <c r="T184" s="188"/>
      <c r="U184" s="188"/>
      <c r="V184" s="188"/>
      <c r="W184" s="188"/>
      <c r="X184" s="188"/>
      <c r="Y184" s="188"/>
      <c r="Z184" s="188"/>
      <c r="AA184" s="188"/>
      <c r="AB184" s="188"/>
      <c r="AC184" s="188"/>
      <c r="AD184" s="188"/>
      <c r="AE184" s="188"/>
      <c r="AF184" s="188"/>
      <c r="AG184" s="188"/>
      <c r="AH184" s="188"/>
      <c r="AI184" s="188"/>
      <c r="AJ184" s="188"/>
      <c r="AK184" s="188"/>
      <c r="AL184" s="188"/>
      <c r="AM184" s="188"/>
      <c r="AN184" s="188"/>
      <c r="AO184" s="188"/>
      <c r="AP184" s="188"/>
      <c r="AQ184" s="188"/>
      <c r="AR184" s="188"/>
      <c r="AS184" s="188"/>
      <c r="AT184" s="188"/>
      <c r="AU184" s="188"/>
      <c r="AV184" s="188"/>
      <c r="AW184" s="188"/>
      <c r="AX184" s="188"/>
      <c r="AY184" s="188"/>
      <c r="AZ184" s="188"/>
      <c r="BA184" s="188"/>
      <c r="BB184" s="188"/>
      <c r="BC184" s="188"/>
      <c r="BD184" s="188"/>
      <c r="BE184" s="188"/>
      <c r="BF184" s="188"/>
      <c r="BG184" s="188"/>
      <c r="BH184" s="188"/>
      <c r="BI184" s="188"/>
      <c r="BJ184" s="188"/>
      <c r="BK184" s="188"/>
      <c r="BL184" s="188"/>
      <c r="BM184" s="188"/>
      <c r="BN184" s="188"/>
      <c r="BO184" s="188"/>
      <c r="BP184" s="188"/>
      <c r="BQ184" s="188"/>
      <c r="BR184" s="188"/>
      <c r="BS184" s="188"/>
      <c r="BT184" s="188"/>
      <c r="BU184" s="188"/>
      <c r="BV184" s="188"/>
      <c r="BW184" s="188"/>
      <c r="BX184" s="188"/>
      <c r="BY184" s="188"/>
      <c r="BZ184" s="188"/>
      <c r="CA184" s="188"/>
      <c r="CB184" s="188"/>
      <c r="CC184" s="188"/>
      <c r="CD184" s="186"/>
      <c r="CE184" s="187"/>
      <c r="CF184" s="187"/>
      <c r="CG184" s="187"/>
      <c r="CH184" s="187"/>
      <c r="CI184" s="187"/>
      <c r="CJ184" s="187"/>
      <c r="CK184" s="188"/>
      <c r="CL184" s="192"/>
      <c r="CM184" s="188"/>
      <c r="CN184" s="188"/>
      <c r="CO184" s="188"/>
      <c r="CP184" s="188"/>
      <c r="CQ184" s="188"/>
      <c r="CR184" s="188"/>
      <c r="CS184" s="188"/>
      <c r="CT184" s="188"/>
      <c r="CU184" s="188"/>
      <c r="CV184" s="188"/>
      <c r="CW184" s="188"/>
      <c r="CX184" s="188"/>
      <c r="CY184" s="188"/>
      <c r="CZ184" s="188"/>
      <c r="DA184" s="188"/>
      <c r="DB184" s="188"/>
      <c r="DC184" s="188"/>
      <c r="DD184" s="188"/>
      <c r="DE184" s="188"/>
    </row>
    <row r="185" spans="1:137" ht="12.75" customHeight="1">
      <c r="A185" s="1"/>
      <c r="B185" s="49" t="s">
        <v>163</v>
      </c>
      <c r="C185" s="1"/>
      <c r="D185" s="253"/>
      <c r="E185" s="253"/>
      <c r="F185" s="253"/>
      <c r="G185" s="253"/>
      <c r="H185" s="253"/>
      <c r="I185" s="253"/>
      <c r="J185" s="253"/>
      <c r="K185" s="253"/>
      <c r="L185" s="253">
        <f t="shared" ref="L185:W185" si="1099">(L121+L116-L96)/L110</f>
        <v>0.38367796047168246</v>
      </c>
      <c r="M185" s="253">
        <f t="shared" si="1099"/>
        <v>0.37539504087701658</v>
      </c>
      <c r="N185" s="253">
        <f t="shared" si="1099"/>
        <v>0.45720610509145987</v>
      </c>
      <c r="O185" s="253">
        <f t="shared" si="1099"/>
        <v>0.45720610509145987</v>
      </c>
      <c r="P185" s="253">
        <f t="shared" si="1099"/>
        <v>0.28758393080687372</v>
      </c>
      <c r="Q185" s="253">
        <f t="shared" si="1099"/>
        <v>0.26961648811560635</v>
      </c>
      <c r="R185" s="253">
        <f t="shared" si="1099"/>
        <v>0.26961648811560635</v>
      </c>
      <c r="S185" s="253">
        <f t="shared" si="1099"/>
        <v>0.23794366197183098</v>
      </c>
      <c r="T185" s="253">
        <f t="shared" si="1099"/>
        <v>0.22304326560826981</v>
      </c>
      <c r="U185" s="253">
        <f t="shared" si="1099"/>
        <v>0.22304326560826981</v>
      </c>
      <c r="V185" s="253">
        <f t="shared" si="1099"/>
        <v>0.25533734000553221</v>
      </c>
      <c r="W185" s="253">
        <f t="shared" si="1099"/>
        <v>0.2655993381914622</v>
      </c>
      <c r="X185" s="253">
        <f t="shared" ref="X185:BK185" si="1100">(X121+X116-X95)/X134</f>
        <v>0.39359564024272403</v>
      </c>
      <c r="Y185" s="253">
        <f t="shared" si="1100"/>
        <v>0.31418709620320384</v>
      </c>
      <c r="Z185" s="253">
        <f t="shared" si="1100"/>
        <v>0.27492845759720347</v>
      </c>
      <c r="AA185" s="253">
        <f t="shared" si="1100"/>
        <v>0.27492845759720347</v>
      </c>
      <c r="AB185" s="253">
        <f t="shared" si="1100"/>
        <v>0.29075661075727766</v>
      </c>
      <c r="AC185" s="253">
        <f t="shared" si="1100"/>
        <v>0.28900231124807396</v>
      </c>
      <c r="AD185" s="253">
        <f t="shared" si="1100"/>
        <v>0.28900231124807396</v>
      </c>
      <c r="AE185" s="253">
        <f t="shared" si="1100"/>
        <v>0.31002815489615132</v>
      </c>
      <c r="AF185" s="253">
        <f t="shared" si="1100"/>
        <v>0.28748254497634246</v>
      </c>
      <c r="AG185" s="253">
        <f t="shared" si="1100"/>
        <v>0.28748254497634246</v>
      </c>
      <c r="AH185" s="253">
        <f t="shared" si="1100"/>
        <v>0.24390570423649402</v>
      </c>
      <c r="AI185" s="253">
        <f t="shared" si="1100"/>
        <v>0.18207379695709677</v>
      </c>
      <c r="AJ185" s="253">
        <f t="shared" si="1100"/>
        <v>0.18207379695709688</v>
      </c>
      <c r="AK185" s="253">
        <f t="shared" si="1100"/>
        <v>0.13747422502275122</v>
      </c>
      <c r="AL185" s="253">
        <f t="shared" si="1100"/>
        <v>9.0835285657952874E-2</v>
      </c>
      <c r="AM185" s="253">
        <f t="shared" si="1100"/>
        <v>9.0835285657952874E-2</v>
      </c>
      <c r="AN185" s="253">
        <f t="shared" si="1100"/>
        <v>9.0725643716199983E-2</v>
      </c>
      <c r="AO185" s="253">
        <f t="shared" si="1100"/>
        <v>7.3547205598613496E-2</v>
      </c>
      <c r="AP185" s="253">
        <f t="shared" si="1100"/>
        <v>7.3547205598613496E-2</v>
      </c>
      <c r="AQ185" s="253">
        <f t="shared" si="1100"/>
        <v>8.9526436230276549E-2</v>
      </c>
      <c r="AR185" s="253">
        <f t="shared" si="1100"/>
        <v>0.12999762413875035</v>
      </c>
      <c r="AS185" s="253">
        <f t="shared" si="1100"/>
        <v>0.12999762413875038</v>
      </c>
      <c r="AT185" s="253">
        <f t="shared" si="1100"/>
        <v>0.13331949008703195</v>
      </c>
      <c r="AU185" s="253">
        <f t="shared" si="1100"/>
        <v>0.10039407669739424</v>
      </c>
      <c r="AV185" s="253">
        <f t="shared" si="1100"/>
        <v>0.10039407669739424</v>
      </c>
      <c r="AW185" s="253">
        <f t="shared" si="1100"/>
        <v>6.4219646900562311E-2</v>
      </c>
      <c r="AX185" s="253">
        <f t="shared" si="1100"/>
        <v>8.6608669224632451E-2</v>
      </c>
      <c r="AY185" s="253">
        <f t="shared" si="1100"/>
        <v>8.6608669224632451E-2</v>
      </c>
      <c r="AZ185" s="253">
        <f t="shared" si="1100"/>
        <v>9.0052790247627065E-2</v>
      </c>
      <c r="BA185" s="253">
        <f t="shared" si="1100"/>
        <v>0.10814134723101651</v>
      </c>
      <c r="BB185" s="253">
        <f t="shared" si="1100"/>
        <v>0.10814134723101651</v>
      </c>
      <c r="BC185" s="253">
        <f t="shared" si="1100"/>
        <v>0.12526426457311987</v>
      </c>
      <c r="BD185" s="253">
        <f t="shared" si="1100"/>
        <v>0.1072300386134659</v>
      </c>
      <c r="BE185" s="253">
        <f t="shared" si="1100"/>
        <v>0.1072300386134659</v>
      </c>
      <c r="BF185" s="253">
        <f t="shared" si="1100"/>
        <v>0.11385698660103911</v>
      </c>
      <c r="BG185" s="253">
        <f t="shared" si="1100"/>
        <v>0.10841662912891507</v>
      </c>
      <c r="BH185" s="253">
        <f t="shared" si="1100"/>
        <v>0.10841662912891507</v>
      </c>
      <c r="BI185" s="253">
        <f t="shared" si="1100"/>
        <v>0.23125608053804825</v>
      </c>
      <c r="BJ185" s="253">
        <f t="shared" si="1100"/>
        <v>5.4843179565939225E-2</v>
      </c>
      <c r="BK185" s="253">
        <f t="shared" si="1100"/>
        <v>5.4843179565939225E-2</v>
      </c>
      <c r="BL185" s="253">
        <f t="shared" ref="BL185:BN185" si="1101">(BL121+BL116-BL95)/BL134</f>
        <v>4.8962355110753697E-2</v>
      </c>
      <c r="BM185" s="253">
        <f t="shared" ca="1" si="1101"/>
        <v>7.158823414080917E-2</v>
      </c>
      <c r="BN185" s="253">
        <f t="shared" ca="1" si="1101"/>
        <v>7.158823414080917E-2</v>
      </c>
      <c r="BO185" s="253">
        <f t="shared" ref="BO185:BQ185" ca="1" si="1102">(BO121+BO116-BO95)/BO134</f>
        <v>9.4821077113365917E-2</v>
      </c>
      <c r="BP185" s="253">
        <f t="shared" ca="1" si="1102"/>
        <v>0.1049095999999318</v>
      </c>
      <c r="BQ185" s="253">
        <f t="shared" ca="1" si="1102"/>
        <v>0.1049095999999318</v>
      </c>
      <c r="BR185" s="253">
        <f t="shared" ref="BR185:BT185" ca="1" si="1103">(BR121+BR116-BR95)/BR134</f>
        <v>0.10269124488682603</v>
      </c>
      <c r="BS185" s="253">
        <f t="shared" ca="1" si="1103"/>
        <v>9.6140201412786522E-2</v>
      </c>
      <c r="BT185" s="253">
        <f t="shared" ca="1" si="1103"/>
        <v>9.6140201412786508E-2</v>
      </c>
      <c r="BU185" s="253">
        <f t="shared" ref="BU185:BZ185" ca="1" si="1104">(BU121+BU116-BU95)/BU134</f>
        <v>8.629297772367045E-2</v>
      </c>
      <c r="BV185" s="253">
        <f t="shared" ca="1" si="1104"/>
        <v>7.6964393255820787E-2</v>
      </c>
      <c r="BW185" s="253">
        <f t="shared" ca="1" si="1104"/>
        <v>7.6964393255820787E-2</v>
      </c>
      <c r="BX185" s="253">
        <f t="shared" ca="1" si="1104"/>
        <v>6.6236961776070497E-2</v>
      </c>
      <c r="BY185" s="253">
        <f t="shared" ca="1" si="1104"/>
        <v>5.6398060742480181E-2</v>
      </c>
      <c r="BZ185" s="253">
        <f t="shared" ca="1" si="1104"/>
        <v>5.6398060742480181E-2</v>
      </c>
      <c r="CA185" s="253">
        <f t="shared" ref="CA185:CC185" ca="1" si="1105">(CA121+CA116-CA95)/CA134</f>
        <v>4.5050180108907906E-2</v>
      </c>
      <c r="CB185" s="253">
        <f t="shared" ca="1" si="1105"/>
        <v>3.4549053431280292E-2</v>
      </c>
      <c r="CC185" s="253">
        <f t="shared" ca="1" si="1105"/>
        <v>3.4549053431280272E-2</v>
      </c>
      <c r="CD185" s="186"/>
      <c r="CE185" s="187"/>
      <c r="CF185" s="187"/>
      <c r="CG185" s="187"/>
      <c r="CH185" s="187"/>
      <c r="CI185" s="187"/>
      <c r="CJ185" s="187"/>
      <c r="CK185" s="188"/>
      <c r="CL185" s="254">
        <f>X185</f>
        <v>0.39359564024272403</v>
      </c>
      <c r="CM185" s="69">
        <f>AA185</f>
        <v>0.27492845759720347</v>
      </c>
      <c r="CN185" s="69">
        <f>AD185</f>
        <v>0.28900231124807396</v>
      </c>
      <c r="CO185" s="69">
        <f>AG185</f>
        <v>0.28748254497634246</v>
      </c>
      <c r="CP185" s="69">
        <f>AJ185</f>
        <v>0.18207379695709688</v>
      </c>
      <c r="CQ185" s="69">
        <f>AM185</f>
        <v>9.0835285657952874E-2</v>
      </c>
      <c r="CR185" s="69">
        <f>AP185</f>
        <v>7.3547205598613496E-2</v>
      </c>
      <c r="CS185" s="69">
        <f>AS185</f>
        <v>0.12999762413875038</v>
      </c>
      <c r="CT185" s="69">
        <f>AV185</f>
        <v>0.10039407669739424</v>
      </c>
      <c r="CU185" s="69">
        <f>AY185</f>
        <v>8.6608669224632451E-2</v>
      </c>
      <c r="CV185" s="69">
        <f>BB185</f>
        <v>0.10814134723101651</v>
      </c>
      <c r="CW185" s="69">
        <f>BE185</f>
        <v>0.1072300386134659</v>
      </c>
      <c r="CX185" s="69">
        <f>BH185</f>
        <v>0.10841662912891507</v>
      </c>
      <c r="CY185" s="69">
        <f>BK185</f>
        <v>5.4843179565939225E-2</v>
      </c>
      <c r="CZ185" s="69">
        <f ca="1">BN185</f>
        <v>7.158823414080917E-2</v>
      </c>
      <c r="DA185" s="69">
        <f ca="1">BQ185</f>
        <v>0.1049095999999318</v>
      </c>
      <c r="DB185" s="69">
        <f ca="1">BT185</f>
        <v>9.6140201412786508E-2</v>
      </c>
      <c r="DC185" s="69">
        <f ca="1">BW185</f>
        <v>7.6964393255820787E-2</v>
      </c>
      <c r="DD185" s="69">
        <f ca="1">BZ185</f>
        <v>5.6398060742480181E-2</v>
      </c>
      <c r="DE185" s="69">
        <f ca="1">CC185</f>
        <v>3.4549053431280272E-2</v>
      </c>
    </row>
    <row r="186" spans="1:137" ht="12.75" customHeight="1">
      <c r="A186" s="1"/>
      <c r="B186" s="16" t="s">
        <v>57</v>
      </c>
      <c r="C186" s="1"/>
      <c r="D186" s="1"/>
      <c r="E186" s="1"/>
      <c r="F186" s="11"/>
      <c r="G186" s="11"/>
      <c r="H186" s="11"/>
      <c r="I186" s="11"/>
      <c r="J186" s="11"/>
      <c r="K186" s="11"/>
      <c r="L186" s="11"/>
      <c r="M186" s="11"/>
      <c r="N186" s="11"/>
      <c r="O186" s="11">
        <f t="shared" ref="O186:AA186" si="1106">O185/L185-1</f>
        <v>0.19164026135195278</v>
      </c>
      <c r="P186" s="11">
        <f t="shared" si="1106"/>
        <v>-0.23391654259735073</v>
      </c>
      <c r="Q186" s="11">
        <f t="shared" si="1106"/>
        <v>-0.41029552074403719</v>
      </c>
      <c r="R186" s="11">
        <f t="shared" si="1106"/>
        <v>-0.41029552074403719</v>
      </c>
      <c r="S186" s="11">
        <f t="shared" si="1106"/>
        <v>-0.17261141363415933</v>
      </c>
      <c r="T186" s="11">
        <f t="shared" si="1106"/>
        <v>-0.17273877733830145</v>
      </c>
      <c r="U186" s="11">
        <f t="shared" si="1106"/>
        <v>-0.17273877733830145</v>
      </c>
      <c r="V186" s="11">
        <f t="shared" si="1106"/>
        <v>7.30999846331708E-2</v>
      </c>
      <c r="W186" s="11">
        <f t="shared" si="1106"/>
        <v>0.19079738842208971</v>
      </c>
      <c r="X186" s="11">
        <f t="shared" si="1106"/>
        <v>0.76466049835369088</v>
      </c>
      <c r="Y186" s="11">
        <f t="shared" si="1106"/>
        <v>0.23047845722993965</v>
      </c>
      <c r="Z186" s="11">
        <f t="shared" si="1106"/>
        <v>3.5124784079906934E-2</v>
      </c>
      <c r="AA186" s="11">
        <f t="shared" si="1106"/>
        <v>-0.3014951653741399</v>
      </c>
      <c r="AB186" s="188"/>
      <c r="AC186" s="11">
        <f t="shared" ref="AC186:BK186" si="1107">AC185/Z185-1</f>
        <v>5.1190967184233882E-2</v>
      </c>
      <c r="AD186" s="11">
        <f t="shared" si="1107"/>
        <v>5.1190967184233882E-2</v>
      </c>
      <c r="AE186" s="11">
        <f t="shared" si="1107"/>
        <v>6.628067402725879E-2</v>
      </c>
      <c r="AF186" s="11">
        <f t="shared" si="1107"/>
        <v>-5.2586647669643494E-3</v>
      </c>
      <c r="AG186" s="11">
        <f t="shared" si="1107"/>
        <v>-5.2586647669643494E-3</v>
      </c>
      <c r="AH186" s="11">
        <f t="shared" si="1107"/>
        <v>-0.21327885746959341</v>
      </c>
      <c r="AI186" s="11">
        <f t="shared" si="1107"/>
        <v>-0.36666138470396525</v>
      </c>
      <c r="AJ186" s="11">
        <f t="shared" si="1107"/>
        <v>-0.36666138470396481</v>
      </c>
      <c r="AK186" s="11">
        <f t="shared" si="1107"/>
        <v>-0.43636322302058794</v>
      </c>
      <c r="AL186" s="11">
        <f t="shared" si="1107"/>
        <v>-0.50110731375939288</v>
      </c>
      <c r="AM186" s="11">
        <f t="shared" si="1107"/>
        <v>-0.50110731375939332</v>
      </c>
      <c r="AN186" s="11">
        <f t="shared" si="1107"/>
        <v>-0.34005342673373584</v>
      </c>
      <c r="AO186" s="11">
        <f t="shared" si="1107"/>
        <v>-0.19032339617931016</v>
      </c>
      <c r="AP186" s="11">
        <f t="shared" si="1107"/>
        <v>-0.19032339617931016</v>
      </c>
      <c r="AQ186" s="11">
        <f t="shared" si="1107"/>
        <v>-1.3217955109524393E-2</v>
      </c>
      <c r="AR186" s="11">
        <f t="shared" si="1107"/>
        <v>0.76753995043968137</v>
      </c>
      <c r="AS186" s="11">
        <f t="shared" si="1107"/>
        <v>0.7675399504396816</v>
      </c>
      <c r="AT186" s="11">
        <f t="shared" si="1107"/>
        <v>0.48916337677189059</v>
      </c>
      <c r="AU186" s="11">
        <f t="shared" si="1107"/>
        <v>-0.22772375754928686</v>
      </c>
      <c r="AV186" s="11">
        <f t="shared" si="1107"/>
        <v>-0.22772375754928709</v>
      </c>
      <c r="AW186" s="11">
        <f t="shared" si="1107"/>
        <v>-0.51830263633142271</v>
      </c>
      <c r="AX186" s="11">
        <f t="shared" si="1107"/>
        <v>-0.13731295636408392</v>
      </c>
      <c r="AY186" s="11">
        <f t="shared" si="1107"/>
        <v>-0.13731295636408392</v>
      </c>
      <c r="AZ186" s="11">
        <f t="shared" si="1107"/>
        <v>0.40226230746900238</v>
      </c>
      <c r="BA186" s="11">
        <f t="shared" si="1107"/>
        <v>0.24862035404949889</v>
      </c>
      <c r="BB186" s="11">
        <f t="shared" si="1107"/>
        <v>0.24862035404949889</v>
      </c>
      <c r="BC186" s="11">
        <f t="shared" si="1107"/>
        <v>0.39100925389061603</v>
      </c>
      <c r="BD186" s="11">
        <f t="shared" si="1107"/>
        <v>-8.4270137268017686E-3</v>
      </c>
      <c r="BE186" s="11">
        <f t="shared" si="1107"/>
        <v>-8.4270137268017686E-3</v>
      </c>
      <c r="BF186" s="11">
        <f t="shared" si="1107"/>
        <v>-9.1065700269385652E-2</v>
      </c>
      <c r="BG186" s="11">
        <f t="shared" si="1107"/>
        <v>1.1065840605788635E-2</v>
      </c>
      <c r="BH186" s="11">
        <f t="shared" si="1107"/>
        <v>1.1065840605788635E-2</v>
      </c>
      <c r="BI186" s="11">
        <f t="shared" si="1107"/>
        <v>1.0311101447676791</v>
      </c>
      <c r="BJ186" s="11">
        <f t="shared" si="1107"/>
        <v>-0.49414421010335241</v>
      </c>
      <c r="BK186" s="11">
        <f t="shared" si="1107"/>
        <v>-0.49414421010335241</v>
      </c>
      <c r="BL186" s="11">
        <f t="shared" ref="BL186" si="1108">BL185/BI185-1</f>
        <v>-0.78827646392329997</v>
      </c>
      <c r="BM186" s="11">
        <f t="shared" ref="BM186" ca="1" si="1109">BM185/BJ185-1</f>
        <v>0.30532610813960881</v>
      </c>
      <c r="BN186" s="11">
        <f t="shared" ref="BN186" ca="1" si="1110">BN185/BK185-1</f>
        <v>0.30532610813960881</v>
      </c>
      <c r="BO186" s="11">
        <f t="shared" ref="BO186" ca="1" si="1111">BO185/BL185-1</f>
        <v>0.93661185004028091</v>
      </c>
      <c r="BP186" s="11">
        <f t="shared" ref="BP186" ca="1" si="1112">BP185/BM185-1</f>
        <v>0.46545869246588456</v>
      </c>
      <c r="BQ186" s="11">
        <f t="shared" ref="BQ186" ca="1" si="1113">BQ185/BN185-1</f>
        <v>0.46545869246588456</v>
      </c>
      <c r="BR186" s="11">
        <f t="shared" ref="BR186" ca="1" si="1114">BR185/BO185-1</f>
        <v>8.3000193765471852E-2</v>
      </c>
      <c r="BS186" s="11">
        <f t="shared" ref="BS186" ca="1" si="1115">BS185/BP185-1</f>
        <v>-8.359004883395782E-2</v>
      </c>
      <c r="BT186" s="11">
        <f t="shared" ref="BT186" ca="1" si="1116">BT185/BQ185-1</f>
        <v>-8.3590048833957931E-2</v>
      </c>
      <c r="BU186" s="11">
        <f t="shared" ref="BU186" ca="1" si="1117">BU185/BR185-1</f>
        <v>-0.15968515311337184</v>
      </c>
      <c r="BV186" s="11">
        <f t="shared" ref="BV186" ca="1" si="1118">BV185/BS185-1</f>
        <v>-0.19945670879794286</v>
      </c>
      <c r="BW186" s="11">
        <f t="shared" ref="BW186" ca="1" si="1119">BW185/BT185-1</f>
        <v>-0.19945670879794275</v>
      </c>
      <c r="BX186" s="11">
        <f t="shared" ref="BX186" ca="1" si="1120">BX185/BU185-1</f>
        <v>-0.23241770624515745</v>
      </c>
      <c r="BY186" s="11">
        <f t="shared" ref="BY186" ca="1" si="1121">BY185/BV185-1</f>
        <v>-0.26721879616435729</v>
      </c>
      <c r="BZ186" s="11">
        <f t="shared" ref="BZ186" ca="1" si="1122">BZ185/BW185-1</f>
        <v>-0.26721879616435729</v>
      </c>
      <c r="CA186" s="11">
        <f t="shared" ref="CA186" ca="1" si="1123">CA185/BX185-1</f>
        <v>-0.3198634281987367</v>
      </c>
      <c r="CB186" s="11">
        <f t="shared" ref="CB186" ca="1" si="1124">CB185/BY185-1</f>
        <v>-0.38740706725653007</v>
      </c>
      <c r="CC186" s="11">
        <f t="shared" ref="CC186" ca="1" si="1125">CC185/BZ185-1</f>
        <v>-0.38740706725653051</v>
      </c>
      <c r="CD186" s="249"/>
      <c r="CE186" s="250"/>
      <c r="CF186" s="250"/>
      <c r="CG186" s="250"/>
      <c r="CH186" s="250"/>
      <c r="CI186" s="187"/>
      <c r="CJ186" s="187"/>
      <c r="CK186" s="188"/>
      <c r="CL186" s="252">
        <f>X186</f>
        <v>0.76466049835369088</v>
      </c>
      <c r="CM186" s="11">
        <f>AA186</f>
        <v>-0.3014951653741399</v>
      </c>
      <c r="CN186" s="11">
        <f>AD186</f>
        <v>5.1190967184233882E-2</v>
      </c>
      <c r="CO186" s="11">
        <f>AG186</f>
        <v>-5.2586647669643494E-3</v>
      </c>
      <c r="CP186" s="11">
        <f>AJ186</f>
        <v>-0.36666138470396481</v>
      </c>
      <c r="CQ186" s="11">
        <f>AM186</f>
        <v>-0.50110731375939332</v>
      </c>
      <c r="CR186" s="11">
        <f>AP186</f>
        <v>-0.19032339617931016</v>
      </c>
      <c r="CS186" s="11">
        <f>AS186</f>
        <v>0.7675399504396816</v>
      </c>
      <c r="CT186" s="11">
        <f>AV186</f>
        <v>-0.22772375754928709</v>
      </c>
      <c r="CU186" s="11">
        <f>AY186</f>
        <v>-0.13731295636408392</v>
      </c>
      <c r="CV186" s="11">
        <f>BB186</f>
        <v>0.24862035404949889</v>
      </c>
      <c r="CW186" s="11">
        <f>BE186</f>
        <v>-8.4270137268017686E-3</v>
      </c>
      <c r="CX186" s="11">
        <f>BH186</f>
        <v>1.1065840605788635E-2</v>
      </c>
      <c r="CY186" s="11">
        <f>BK186</f>
        <v>-0.49414421010335241</v>
      </c>
      <c r="CZ186" s="11">
        <f ca="1">BN186</f>
        <v>0.30532610813960881</v>
      </c>
      <c r="DA186" s="11">
        <f ca="1">BQ186</f>
        <v>0.46545869246588456</v>
      </c>
      <c r="DB186" s="11">
        <f ca="1">BT186</f>
        <v>-8.3590048833957931E-2</v>
      </c>
      <c r="DC186" s="11">
        <f ca="1">BW186</f>
        <v>-0.19945670879794275</v>
      </c>
      <c r="DD186" s="11">
        <f ca="1">BZ186</f>
        <v>-0.26721879616435729</v>
      </c>
      <c r="DE186" s="11">
        <f ca="1">CC186</f>
        <v>-0.38740706725653051</v>
      </c>
    </row>
    <row r="187" spans="1:137" ht="12.75" customHeight="1">
      <c r="A187" s="1"/>
      <c r="B187" s="49" t="s">
        <v>164</v>
      </c>
      <c r="C187" s="1"/>
      <c r="D187" s="1"/>
      <c r="E187" s="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>
        <f t="shared" ref="X187:AF187" si="1126">(X121+X116-X95)/(X110-X106)</f>
        <v>0.27387147525111943</v>
      </c>
      <c r="Y187" s="11">
        <f t="shared" si="1126"/>
        <v>0.23316606678401597</v>
      </c>
      <c r="Z187" s="11">
        <f t="shared" si="1126"/>
        <v>0.20056754966059528</v>
      </c>
      <c r="AA187" s="11">
        <f t="shared" si="1126"/>
        <v>0.20056754966059528</v>
      </c>
      <c r="AB187" s="11">
        <f t="shared" si="1126"/>
        <v>0.20810759206663643</v>
      </c>
      <c r="AC187" s="11">
        <f t="shared" si="1126"/>
        <v>0.21255548210407024</v>
      </c>
      <c r="AD187" s="11">
        <f t="shared" si="1126"/>
        <v>0.21255548210407024</v>
      </c>
      <c r="AE187" s="11">
        <f t="shared" si="1126"/>
        <v>0.22290522924306344</v>
      </c>
      <c r="AF187" s="11">
        <f t="shared" si="1126"/>
        <v>0.20615599996111181</v>
      </c>
      <c r="AG187" s="11">
        <f t="shared" ref="AG187:BK187" si="1127">(AG121+AG116-AG95+AG180)/(AG110-AG95+AG180)</f>
        <v>0.17334921916540302</v>
      </c>
      <c r="AH187" s="11">
        <f t="shared" si="1127"/>
        <v>0.14868641193759893</v>
      </c>
      <c r="AI187" s="11">
        <f t="shared" si="1127"/>
        <v>0.11753366511895165</v>
      </c>
      <c r="AJ187" s="11">
        <f t="shared" si="1127"/>
        <v>0.11753366511895172</v>
      </c>
      <c r="AK187" s="11">
        <f t="shared" si="1127"/>
        <v>8.6890847632468571E-2</v>
      </c>
      <c r="AL187" s="11">
        <f t="shared" si="1127"/>
        <v>5.9601572287946859E-2</v>
      </c>
      <c r="AM187" s="11">
        <f t="shared" si="1127"/>
        <v>5.9601572287946859E-2</v>
      </c>
      <c r="AN187" s="11">
        <f t="shared" si="1127"/>
        <v>5.8636517369667206E-2</v>
      </c>
      <c r="AO187" s="11">
        <f t="shared" si="1127"/>
        <v>5.0738159266780145E-2</v>
      </c>
      <c r="AP187" s="11">
        <f t="shared" si="1127"/>
        <v>5.0738159266780145E-2</v>
      </c>
      <c r="AQ187" s="11">
        <f t="shared" si="1127"/>
        <v>6.4377219474959377E-2</v>
      </c>
      <c r="AR187" s="11">
        <f t="shared" si="1127"/>
        <v>9.4640405894264271E-2</v>
      </c>
      <c r="AS187" s="11">
        <f t="shared" si="1127"/>
        <v>9.4640405894264298E-2</v>
      </c>
      <c r="AT187" s="11">
        <f t="shared" si="1127"/>
        <v>9.9595641837782772E-2</v>
      </c>
      <c r="AU187" s="11">
        <f t="shared" si="1127"/>
        <v>7.4763603737479228E-2</v>
      </c>
      <c r="AV187" s="11">
        <f t="shared" si="1127"/>
        <v>7.4763603737479228E-2</v>
      </c>
      <c r="AW187" s="11">
        <f t="shared" si="1127"/>
        <v>4.8151564606542255E-2</v>
      </c>
      <c r="AX187" s="11">
        <f t="shared" si="1127"/>
        <v>6.6212176633073924E-2</v>
      </c>
      <c r="AY187" s="11">
        <f t="shared" si="1127"/>
        <v>6.6212176633073924E-2</v>
      </c>
      <c r="AZ187" s="11">
        <f t="shared" si="1127"/>
        <v>6.9670589646168679E-2</v>
      </c>
      <c r="BA187" s="11">
        <f t="shared" si="1127"/>
        <v>8.3119725530404615E-2</v>
      </c>
      <c r="BB187" s="11">
        <f t="shared" si="1127"/>
        <v>8.3119725530404615E-2</v>
      </c>
      <c r="BC187" s="11">
        <f t="shared" si="1127"/>
        <v>9.4981860240267113E-2</v>
      </c>
      <c r="BD187" s="11">
        <f t="shared" si="1127"/>
        <v>8.1622529022770868E-2</v>
      </c>
      <c r="BE187" s="11">
        <f t="shared" si="1127"/>
        <v>8.1622529022770868E-2</v>
      </c>
      <c r="BF187" s="11">
        <f t="shared" si="1127"/>
        <v>8.7701724074550597E-2</v>
      </c>
      <c r="BG187" s="11">
        <f t="shared" si="1127"/>
        <v>8.6259458870923816E-2</v>
      </c>
      <c r="BH187" s="11">
        <f t="shared" si="1127"/>
        <v>8.6259458870923816E-2</v>
      </c>
      <c r="BI187" s="11">
        <f t="shared" si="1127"/>
        <v>0.16885177549744035</v>
      </c>
      <c r="BJ187" s="11">
        <f t="shared" si="1127"/>
        <v>4.6305083272361103E-2</v>
      </c>
      <c r="BK187" s="11">
        <f t="shared" si="1127"/>
        <v>4.6305083272361103E-2</v>
      </c>
      <c r="BL187" s="11">
        <f t="shared" ref="BL187:BN187" si="1128">(BL121+BL116-BL95+BL180)/(BL110-BL95+BL180)</f>
        <v>4.2502101531376783E-2</v>
      </c>
      <c r="BM187" s="11">
        <f t="shared" ca="1" si="1128"/>
        <v>6.123841648346498E-2</v>
      </c>
      <c r="BN187" s="11">
        <f t="shared" ca="1" si="1128"/>
        <v>6.123841648346498E-2</v>
      </c>
      <c r="BO187" s="11">
        <f t="shared" ref="BO187:BQ187" ca="1" si="1129">(BO121+BO116-BO95+BO180)/(BO110-BO95+BO180)</f>
        <v>7.9878893963224756E-2</v>
      </c>
      <c r="BP187" s="11">
        <f t="shared" ca="1" si="1129"/>
        <v>8.7974972728218317E-2</v>
      </c>
      <c r="BQ187" s="11">
        <f t="shared" ca="1" si="1129"/>
        <v>8.7974972728218317E-2</v>
      </c>
      <c r="BR187" s="11">
        <f t="shared" ref="BR187:BT187" ca="1" si="1130">(BR121+BR116-BR95+BR180)/(BR110-BR95+BR180)</f>
        <v>8.6619116819558625E-2</v>
      </c>
      <c r="BS187" s="11">
        <f t="shared" ca="1" si="1130"/>
        <v>8.1841322262410254E-2</v>
      </c>
      <c r="BT187" s="11">
        <f t="shared" ca="1" si="1130"/>
        <v>8.1841322262410254E-2</v>
      </c>
      <c r="BU187" s="11">
        <f t="shared" ref="BU187:BZ187" ca="1" si="1131">(BU121+BU116-BU95+BU180)/(BU110-BU95+BU180)</f>
        <v>7.4345577728833476E-2</v>
      </c>
      <c r="BV187" s="11">
        <f t="shared" ca="1" si="1131"/>
        <v>6.7066739539318992E-2</v>
      </c>
      <c r="BW187" s="11">
        <f t="shared" ca="1" si="1131"/>
        <v>6.7066739539318992E-2</v>
      </c>
      <c r="BX187" s="11">
        <f t="shared" ca="1" si="1131"/>
        <v>5.8448585192514259E-2</v>
      </c>
      <c r="BY187" s="11">
        <f t="shared" ca="1" si="1131"/>
        <v>5.0349147693775048E-2</v>
      </c>
      <c r="BZ187" s="11">
        <f t="shared" ca="1" si="1131"/>
        <v>5.0349147693775048E-2</v>
      </c>
      <c r="CA187" s="11">
        <f t="shared" ref="CA187:CC187" ca="1" si="1132">(CA121+CA116-CA95+CA180)/(CA110-CA95+CA180)</f>
        <v>4.0745784844237812E-2</v>
      </c>
      <c r="CB187" s="11">
        <f t="shared" ca="1" si="1132"/>
        <v>3.1630805153439356E-2</v>
      </c>
      <c r="CC187" s="11">
        <f t="shared" ca="1" si="1132"/>
        <v>3.1630805153439336E-2</v>
      </c>
      <c r="CD187" s="249"/>
      <c r="CE187" s="250"/>
      <c r="CF187" s="250"/>
      <c r="CG187" s="250"/>
      <c r="CH187" s="250"/>
      <c r="CI187" s="187"/>
      <c r="CJ187" s="187"/>
      <c r="CK187" s="188"/>
      <c r="CL187" s="252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  <c r="CW187" s="11"/>
      <c r="CX187" s="11"/>
      <c r="CY187" s="11"/>
      <c r="CZ187" s="11"/>
      <c r="DA187" s="11"/>
      <c r="DB187" s="11"/>
      <c r="DC187" s="11"/>
      <c r="DD187" s="11"/>
      <c r="DE187" s="11"/>
    </row>
    <row r="188" spans="1:137" ht="12.75" customHeight="1">
      <c r="A188" s="1"/>
      <c r="B188" s="16" t="s">
        <v>57</v>
      </c>
      <c r="C188" s="1"/>
      <c r="D188" s="1"/>
      <c r="E188" s="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>
        <f>AA187/X187-1</f>
        <v>-0.26765812512350906</v>
      </c>
      <c r="AB188" s="188"/>
      <c r="AC188" s="11">
        <f t="shared" ref="AC188:BK188" si="1133">AC187/Z187-1</f>
        <v>5.9770049859816377E-2</v>
      </c>
      <c r="AD188" s="11">
        <f t="shared" si="1133"/>
        <v>5.9770049859816377E-2</v>
      </c>
      <c r="AE188" s="11">
        <f t="shared" si="1133"/>
        <v>7.1105705608706327E-2</v>
      </c>
      <c r="AF188" s="11">
        <f t="shared" si="1133"/>
        <v>-3.0107349288808982E-2</v>
      </c>
      <c r="AG188" s="11">
        <f t="shared" si="1133"/>
        <v>-0.18445190192493488</v>
      </c>
      <c r="AH188" s="11">
        <f t="shared" si="1133"/>
        <v>-0.33296131076644142</v>
      </c>
      <c r="AI188" s="11">
        <f t="shared" si="1133"/>
        <v>-0.42987996885308899</v>
      </c>
      <c r="AJ188" s="11">
        <f t="shared" si="1133"/>
        <v>-0.32198330234873629</v>
      </c>
      <c r="AK188" s="11">
        <f t="shared" si="1133"/>
        <v>-0.4156100312049017</v>
      </c>
      <c r="AL188" s="11">
        <f t="shared" si="1133"/>
        <v>-0.49289786694198445</v>
      </c>
      <c r="AM188" s="11">
        <f t="shared" si="1133"/>
        <v>-0.49289786694198479</v>
      </c>
      <c r="AN188" s="11">
        <f t="shared" si="1133"/>
        <v>-0.32517038367851703</v>
      </c>
      <c r="AO188" s="11">
        <f t="shared" si="1133"/>
        <v>-0.14871106047917382</v>
      </c>
      <c r="AP188" s="11">
        <f t="shared" si="1133"/>
        <v>-0.14871106047917382</v>
      </c>
      <c r="AQ188" s="11">
        <f t="shared" si="1133"/>
        <v>9.7903190073526547E-2</v>
      </c>
      <c r="AR188" s="11">
        <f t="shared" si="1133"/>
        <v>0.86527077966402088</v>
      </c>
      <c r="AS188" s="11">
        <f t="shared" si="1133"/>
        <v>0.86527077966402155</v>
      </c>
      <c r="AT188" s="11">
        <f t="shared" si="1133"/>
        <v>0.54706342787175211</v>
      </c>
      <c r="AU188" s="11">
        <f t="shared" si="1133"/>
        <v>-0.21002448128753948</v>
      </c>
      <c r="AV188" s="11">
        <f t="shared" si="1133"/>
        <v>-0.2100244812875397</v>
      </c>
      <c r="AW188" s="11">
        <f t="shared" si="1133"/>
        <v>-0.51652940110602918</v>
      </c>
      <c r="AX188" s="11">
        <f t="shared" si="1133"/>
        <v>-0.11437954669002193</v>
      </c>
      <c r="AY188" s="11">
        <f t="shared" si="1133"/>
        <v>-0.11437954669002193</v>
      </c>
      <c r="AZ188" s="11">
        <f t="shared" si="1133"/>
        <v>0.44690188606462589</v>
      </c>
      <c r="BA188" s="11">
        <f t="shared" si="1133"/>
        <v>0.25535407166912449</v>
      </c>
      <c r="BB188" s="11">
        <f t="shared" si="1133"/>
        <v>0.25535407166912449</v>
      </c>
      <c r="BC188" s="11">
        <f t="shared" si="1133"/>
        <v>0.36329921596250414</v>
      </c>
      <c r="BD188" s="11">
        <f t="shared" si="1133"/>
        <v>-1.8012529493809271E-2</v>
      </c>
      <c r="BE188" s="11">
        <f t="shared" si="1133"/>
        <v>-1.8012529493809271E-2</v>
      </c>
      <c r="BF188" s="11">
        <f t="shared" si="1133"/>
        <v>-7.6647647743480762E-2</v>
      </c>
      <c r="BG188" s="11">
        <f t="shared" si="1133"/>
        <v>5.6809436116091794E-2</v>
      </c>
      <c r="BH188" s="11">
        <f t="shared" si="1133"/>
        <v>5.6809436116091794E-2</v>
      </c>
      <c r="BI188" s="11">
        <f t="shared" si="1133"/>
        <v>0.92529596515010804</v>
      </c>
      <c r="BJ188" s="11">
        <f t="shared" si="1133"/>
        <v>-0.4631883404039121</v>
      </c>
      <c r="BK188" s="11">
        <f t="shared" si="1133"/>
        <v>-0.4631883404039121</v>
      </c>
      <c r="BL188" s="11">
        <f t="shared" ref="BL188" si="1134">BL187/BI187-1</f>
        <v>-0.74828750597282834</v>
      </c>
      <c r="BM188" s="11">
        <f t="shared" ref="BM188" ca="1" si="1135">BM187/BJ187-1</f>
        <v>0.32249878751470451</v>
      </c>
      <c r="BN188" s="11">
        <f t="shared" ref="BN188" ca="1" si="1136">BN187/BK187-1</f>
        <v>0.32249878751470451</v>
      </c>
      <c r="BO188" s="11">
        <f t="shared" ref="BO188" ca="1" si="1137">BO187/BL187-1</f>
        <v>0.87941045466316292</v>
      </c>
      <c r="BP188" s="11">
        <f t="shared" ref="BP188" ca="1" si="1138">BP187/BM187-1</f>
        <v>0.43659777277181044</v>
      </c>
      <c r="BQ188" s="11">
        <f t="shared" ref="BQ188" ca="1" si="1139">BQ187/BN187-1</f>
        <v>0.43659777277181044</v>
      </c>
      <c r="BR188" s="11">
        <f t="shared" ref="BR188" ca="1" si="1140">BR187/BO187-1</f>
        <v>8.4380523088326553E-2</v>
      </c>
      <c r="BS188" s="11">
        <f t="shared" ref="BS188" ca="1" si="1141">BS187/BP187-1</f>
        <v>-6.9720402014295524E-2</v>
      </c>
      <c r="BT188" s="11">
        <f t="shared" ref="BT188" ca="1" si="1142">BT187/BQ187-1</f>
        <v>-6.9720402014295524E-2</v>
      </c>
      <c r="BU188" s="11">
        <f t="shared" ref="BU188" ca="1" si="1143">BU187/BR187-1</f>
        <v>-0.14169550027037192</v>
      </c>
      <c r="BV188" s="11">
        <f t="shared" ref="BV188" ca="1" si="1144">BV187/BS187-1</f>
        <v>-0.18052717520519868</v>
      </c>
      <c r="BW188" s="11">
        <f t="shared" ref="BW188" ca="1" si="1145">BW187/BT187-1</f>
        <v>-0.18052717520519868</v>
      </c>
      <c r="BX188" s="11">
        <f t="shared" ref="BX188" ca="1" si="1146">BX187/BU187-1</f>
        <v>-0.21382566417469484</v>
      </c>
      <c r="BY188" s="11">
        <f t="shared" ref="BY188" ca="1" si="1147">BY187/BV187-1</f>
        <v>-0.24926799722749271</v>
      </c>
      <c r="BZ188" s="11">
        <f t="shared" ref="BZ188" ca="1" si="1148">BZ187/BW187-1</f>
        <v>-0.24926799722749271</v>
      </c>
      <c r="CA188" s="11">
        <f t="shared" ref="CA188" ca="1" si="1149">CA187/BX187-1</f>
        <v>-0.30287816702436987</v>
      </c>
      <c r="CB188" s="11">
        <f t="shared" ref="CB188" ca="1" si="1150">CB187/BY187-1</f>
        <v>-0.37177079251035561</v>
      </c>
      <c r="CC188" s="11">
        <f t="shared" ref="CC188" ca="1" si="1151">CC187/BZ187-1</f>
        <v>-0.37177079251035605</v>
      </c>
      <c r="CD188" s="249"/>
      <c r="CE188" s="250"/>
      <c r="CF188" s="250"/>
      <c r="CG188" s="250"/>
      <c r="CH188" s="250"/>
      <c r="CI188" s="187"/>
      <c r="CJ188" s="187"/>
      <c r="CK188" s="188"/>
      <c r="CL188" s="252"/>
      <c r="CM188" s="11"/>
      <c r="CN188" s="11"/>
      <c r="CO188" s="11"/>
      <c r="CP188" s="11"/>
      <c r="CQ188" s="11"/>
      <c r="CR188" s="11"/>
      <c r="CS188" s="11"/>
      <c r="CT188" s="11"/>
      <c r="CU188" s="11"/>
      <c r="CV188" s="11"/>
      <c r="CW188" s="11"/>
      <c r="CX188" s="11"/>
      <c r="CY188" s="11"/>
      <c r="CZ188" s="11"/>
      <c r="DA188" s="11"/>
      <c r="DB188" s="11"/>
      <c r="DC188" s="11"/>
      <c r="DD188" s="11"/>
      <c r="DE188" s="11"/>
    </row>
    <row r="189" spans="1:137" ht="12.75" customHeight="1">
      <c r="A189" s="1"/>
      <c r="B189" s="16"/>
      <c r="C189" s="1"/>
      <c r="D189" s="1"/>
      <c r="E189" s="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88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249"/>
      <c r="CE189" s="250"/>
      <c r="CF189" s="250"/>
      <c r="CG189" s="250"/>
      <c r="CH189" s="250"/>
      <c r="CI189" s="187"/>
      <c r="CJ189" s="187"/>
      <c r="CK189" s="188"/>
      <c r="CL189" s="252"/>
      <c r="CM189" s="11"/>
      <c r="CN189" s="11"/>
      <c r="CO189" s="11"/>
      <c r="CP189" s="11"/>
      <c r="CQ189" s="11"/>
      <c r="CR189" s="11"/>
      <c r="CS189" s="11"/>
      <c r="CT189" s="11"/>
      <c r="CU189" s="11"/>
      <c r="CV189" s="11"/>
      <c r="CW189" s="11"/>
      <c r="CX189" s="11"/>
      <c r="CY189" s="11"/>
      <c r="CZ189" s="11"/>
      <c r="DA189" s="11"/>
      <c r="DB189" s="11"/>
      <c r="DC189" s="11"/>
      <c r="DD189" s="11"/>
      <c r="DE189" s="11"/>
    </row>
    <row r="190" spans="1:137" ht="12.75" customHeight="1">
      <c r="A190" s="1"/>
      <c r="B190" s="49" t="s">
        <v>165</v>
      </c>
      <c r="C190" s="1"/>
      <c r="D190" s="1"/>
      <c r="E190" s="1"/>
      <c r="F190" s="188"/>
      <c r="G190" s="188"/>
      <c r="H190" s="188"/>
      <c r="I190" s="188"/>
      <c r="J190" s="188"/>
      <c r="K190" s="188"/>
      <c r="L190" s="188"/>
      <c r="M190" s="188"/>
      <c r="N190" s="188"/>
      <c r="O190" s="188"/>
      <c r="P190" s="188"/>
      <c r="Q190" s="188"/>
      <c r="R190" s="188"/>
      <c r="S190" s="188"/>
      <c r="T190" s="188"/>
      <c r="U190" s="188"/>
      <c r="V190" s="188"/>
      <c r="W190" s="188"/>
      <c r="X190" s="188"/>
      <c r="Y190" s="188"/>
      <c r="Z190" s="188"/>
      <c r="AA190" s="188"/>
      <c r="AB190" s="188"/>
      <c r="AC190" s="188"/>
      <c r="AD190" s="188"/>
      <c r="AE190" s="188"/>
      <c r="AF190" s="188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88"/>
      <c r="AR190" s="188"/>
      <c r="AS190" s="188"/>
      <c r="AT190" s="188"/>
      <c r="AU190" s="188"/>
      <c r="AV190" s="188"/>
      <c r="AW190" s="188"/>
      <c r="AX190" s="188"/>
      <c r="AY190" s="188"/>
      <c r="AZ190" s="188"/>
      <c r="BA190" s="188"/>
      <c r="BB190" s="188"/>
      <c r="BC190" s="188"/>
      <c r="BD190" s="188"/>
      <c r="BE190" s="188"/>
      <c r="BF190" s="188"/>
      <c r="BG190" s="188"/>
      <c r="BH190" s="188"/>
      <c r="BI190" s="188"/>
      <c r="BJ190" s="188"/>
      <c r="BK190" s="188"/>
      <c r="BL190" s="188"/>
      <c r="BM190" s="188"/>
      <c r="BN190" s="188"/>
      <c r="BO190" s="188"/>
      <c r="BP190" s="188"/>
      <c r="BQ190" s="188"/>
      <c r="BR190" s="188"/>
      <c r="BS190" s="188"/>
      <c r="BT190" s="188"/>
      <c r="BU190" s="188"/>
      <c r="BV190" s="188"/>
      <c r="BW190" s="188"/>
      <c r="BX190" s="188"/>
      <c r="BY190" s="188"/>
      <c r="BZ190" s="188"/>
      <c r="CA190" s="188"/>
      <c r="CB190" s="188"/>
      <c r="CC190" s="188"/>
      <c r="CD190" s="186"/>
      <c r="CE190" s="187"/>
      <c r="CF190" s="187"/>
      <c r="CG190" s="187"/>
      <c r="CH190" s="187"/>
      <c r="CI190" s="187"/>
      <c r="CJ190" s="187"/>
      <c r="CK190" s="188"/>
      <c r="CL190" s="192"/>
      <c r="CM190" s="188"/>
      <c r="CN190" s="188"/>
      <c r="CO190" s="188"/>
      <c r="CP190" s="188"/>
      <c r="CQ190" s="188"/>
      <c r="CR190" s="188"/>
      <c r="CS190" s="188"/>
      <c r="CT190" s="188"/>
      <c r="CU190" s="188"/>
      <c r="CV190" s="188"/>
      <c r="CW190" s="188"/>
      <c r="CX190" s="188"/>
      <c r="CY190" s="188"/>
      <c r="CZ190" s="188"/>
      <c r="DA190" s="188"/>
      <c r="DB190" s="188"/>
      <c r="DC190" s="188"/>
      <c r="DD190" s="188"/>
      <c r="DE190" s="188"/>
    </row>
    <row r="191" spans="1:137" ht="12.75" customHeight="1">
      <c r="A191" s="1"/>
      <c r="B191" s="13" t="s">
        <v>166</v>
      </c>
      <c r="C191" s="1"/>
      <c r="D191" s="19"/>
      <c r="E191" s="19"/>
      <c r="F191" s="188"/>
      <c r="G191" s="188"/>
      <c r="H191" s="188"/>
      <c r="I191" s="188"/>
      <c r="J191" s="188"/>
      <c r="K191" s="188"/>
      <c r="L191" s="188">
        <f t="shared" ref="L191:BK191" si="1152">L125/L110</f>
        <v>0.51533175552233845</v>
      </c>
      <c r="M191" s="188">
        <f t="shared" si="1152"/>
        <v>0.53281041146421571</v>
      </c>
      <c r="N191" s="188">
        <f t="shared" si="1152"/>
        <v>0.55987416987067451</v>
      </c>
      <c r="O191" s="188">
        <f t="shared" si="1152"/>
        <v>0.55987416987067451</v>
      </c>
      <c r="P191" s="188">
        <f t="shared" si="1152"/>
        <v>0.37909538080244798</v>
      </c>
      <c r="Q191" s="188">
        <f t="shared" si="1152"/>
        <v>0.37857650496170148</v>
      </c>
      <c r="R191" s="188">
        <f t="shared" si="1152"/>
        <v>0.37857650496170148</v>
      </c>
      <c r="S191" s="188">
        <f t="shared" si="1152"/>
        <v>0.33790140845070421</v>
      </c>
      <c r="T191" s="188">
        <f t="shared" si="1152"/>
        <v>0.3372152969636083</v>
      </c>
      <c r="U191" s="188">
        <f t="shared" si="1152"/>
        <v>0.3372152969636083</v>
      </c>
      <c r="V191" s="188">
        <f t="shared" si="1152"/>
        <v>0.35928030779289361</v>
      </c>
      <c r="W191" s="188">
        <f t="shared" si="1152"/>
        <v>0.37047895959804866</v>
      </c>
      <c r="X191" s="188">
        <f t="shared" si="1152"/>
        <v>0.37047895959804866</v>
      </c>
      <c r="Y191" s="188">
        <f t="shared" si="1152"/>
        <v>0.32845578708381373</v>
      </c>
      <c r="Z191" s="188">
        <f t="shared" si="1152"/>
        <v>0.34361748793683283</v>
      </c>
      <c r="AA191" s="188">
        <f t="shared" si="1152"/>
        <v>0.34361748793683283</v>
      </c>
      <c r="AB191" s="188">
        <f t="shared" si="1152"/>
        <v>0.3591272385348549</v>
      </c>
      <c r="AC191" s="188">
        <f t="shared" si="1152"/>
        <v>0.33746637033571175</v>
      </c>
      <c r="AD191" s="188">
        <f t="shared" si="1152"/>
        <v>0.33746637033571175</v>
      </c>
      <c r="AE191" s="188">
        <f t="shared" si="1152"/>
        <v>0.34783988002537924</v>
      </c>
      <c r="AF191" s="188">
        <f t="shared" si="1152"/>
        <v>0.34506273141365446</v>
      </c>
      <c r="AG191" s="188">
        <f t="shared" si="1152"/>
        <v>0.34506273141365446</v>
      </c>
      <c r="AH191" s="188">
        <f t="shared" si="1152"/>
        <v>0.32991632822821354</v>
      </c>
      <c r="AI191" s="188">
        <f t="shared" si="1152"/>
        <v>0.32241606187081723</v>
      </c>
      <c r="AJ191" s="188">
        <f t="shared" si="1152"/>
        <v>0.32241606187081723</v>
      </c>
      <c r="AK191" s="188">
        <f t="shared" si="1152"/>
        <v>0.32269365208164291</v>
      </c>
      <c r="AL191" s="188">
        <f t="shared" si="1152"/>
        <v>0.32168481339291338</v>
      </c>
      <c r="AM191" s="188">
        <f t="shared" si="1152"/>
        <v>0.32168481339291338</v>
      </c>
      <c r="AN191" s="188">
        <f t="shared" si="1152"/>
        <v>0.32628201642286153</v>
      </c>
      <c r="AO191" s="188">
        <f t="shared" si="1152"/>
        <v>0.3184168685082544</v>
      </c>
      <c r="AP191" s="188">
        <f t="shared" si="1152"/>
        <v>0.3184168685082544</v>
      </c>
      <c r="AQ191" s="188">
        <f t="shared" si="1152"/>
        <v>0.29700737618545842</v>
      </c>
      <c r="AR191" s="188">
        <f t="shared" si="1152"/>
        <v>0.29439810096024893</v>
      </c>
      <c r="AS191" s="188">
        <f t="shared" si="1152"/>
        <v>0.29439810096024893</v>
      </c>
      <c r="AT191" s="188">
        <f t="shared" si="1152"/>
        <v>0.27962122296075648</v>
      </c>
      <c r="AU191" s="188">
        <f t="shared" si="1152"/>
        <v>0.2861285645239246</v>
      </c>
      <c r="AV191" s="188">
        <f t="shared" si="1152"/>
        <v>0.2861285645239246</v>
      </c>
      <c r="AW191" s="188">
        <f t="shared" si="1152"/>
        <v>0.22576367235512546</v>
      </c>
      <c r="AX191" s="188">
        <f t="shared" si="1152"/>
        <v>0.21968933420288136</v>
      </c>
      <c r="AY191" s="188">
        <f t="shared" si="1152"/>
        <v>0.21968933420288136</v>
      </c>
      <c r="AZ191" s="188">
        <f t="shared" si="1152"/>
        <v>0.20686000678691693</v>
      </c>
      <c r="BA191" s="188">
        <f t="shared" si="1152"/>
        <v>0.23364625520240384</v>
      </c>
      <c r="BB191" s="188">
        <f t="shared" si="1152"/>
        <v>0.23364625520240384</v>
      </c>
      <c r="BC191" s="188">
        <f t="shared" si="1152"/>
        <v>0.24580160566767073</v>
      </c>
      <c r="BD191" s="188">
        <f t="shared" si="1152"/>
        <v>0.24981687420922954</v>
      </c>
      <c r="BE191" s="188">
        <f t="shared" si="1152"/>
        <v>0.24981687420922954</v>
      </c>
      <c r="BF191" s="188">
        <f t="shared" si="1152"/>
        <v>0.23899038419852425</v>
      </c>
      <c r="BG191" s="188">
        <f t="shared" si="1152"/>
        <v>0.26398244089961009</v>
      </c>
      <c r="BH191" s="188">
        <f t="shared" si="1152"/>
        <v>0.26398244089961009</v>
      </c>
      <c r="BI191" s="188">
        <f t="shared" si="1152"/>
        <v>0.30954267168521848</v>
      </c>
      <c r="BJ191" s="188">
        <f t="shared" si="1152"/>
        <v>0.26152769021678868</v>
      </c>
      <c r="BK191" s="188">
        <f t="shared" si="1152"/>
        <v>0.26152769021678868</v>
      </c>
      <c r="BL191" s="188">
        <f t="shared" ref="BL191:BN191" si="1153">BL125/BL110</f>
        <v>0.21677263193995597</v>
      </c>
      <c r="BM191" s="188">
        <f t="shared" ca="1" si="1153"/>
        <v>0.21165991084479849</v>
      </c>
      <c r="BN191" s="188">
        <f t="shared" ca="1" si="1153"/>
        <v>0.21165991084479849</v>
      </c>
      <c r="BO191" s="188">
        <f t="shared" ref="BO191:BQ191" ca="1" si="1154">BO125/BO110</f>
        <v>0.20601294600691544</v>
      </c>
      <c r="BP191" s="188">
        <f t="shared" ca="1" si="1154"/>
        <v>0.2019518862023911</v>
      </c>
      <c r="BQ191" s="188">
        <f t="shared" ca="1" si="1154"/>
        <v>0.2019518862023911</v>
      </c>
      <c r="BR191" s="188">
        <f t="shared" ref="BR191:BT191" ca="1" si="1155">BR125/BR110</f>
        <v>0.19741453587538646</v>
      </c>
      <c r="BS191" s="188">
        <f t="shared" ca="1" si="1155"/>
        <v>0.19337210767510349</v>
      </c>
      <c r="BT191" s="188">
        <f t="shared" ca="1" si="1155"/>
        <v>0.19337210767510349</v>
      </c>
      <c r="BU191" s="188">
        <f t="shared" ref="BU191:BZ191" ca="1" si="1156">BU125/BU110</f>
        <v>0.18922249616763678</v>
      </c>
      <c r="BV191" s="188">
        <f t="shared" ca="1" si="1156"/>
        <v>0.18551101642815163</v>
      </c>
      <c r="BW191" s="188">
        <f t="shared" ca="1" si="1156"/>
        <v>0.18551101642815163</v>
      </c>
      <c r="BX191" s="188">
        <f t="shared" ca="1" si="1156"/>
        <v>0.18189734776322472</v>
      </c>
      <c r="BY191" s="188">
        <f t="shared" ca="1" si="1156"/>
        <v>0.1787084106021628</v>
      </c>
      <c r="BZ191" s="188">
        <f t="shared" ca="1" si="1156"/>
        <v>0.1787084106021628</v>
      </c>
      <c r="CA191" s="188">
        <f t="shared" ref="CA191:CC191" ca="1" si="1157">CA125/CA110</f>
        <v>0.17551296091154509</v>
      </c>
      <c r="CB191" s="188">
        <f t="shared" ca="1" si="1157"/>
        <v>0.1726878932524421</v>
      </c>
      <c r="CC191" s="188">
        <f t="shared" ca="1" si="1157"/>
        <v>0.1726878932524421</v>
      </c>
      <c r="CD191" s="186"/>
      <c r="CE191" s="187"/>
      <c r="CF191" s="187"/>
      <c r="CG191" s="187"/>
      <c r="CH191" s="187"/>
      <c r="CI191" s="187"/>
      <c r="CJ191" s="187"/>
      <c r="CK191" s="188"/>
      <c r="CL191" s="192">
        <f>X191</f>
        <v>0.37047895959804866</v>
      </c>
      <c r="CM191" s="188">
        <f>AA191</f>
        <v>0.34361748793683283</v>
      </c>
      <c r="CN191" s="188">
        <f>AD191</f>
        <v>0.33746637033571175</v>
      </c>
      <c r="CO191" s="188">
        <f>AG191</f>
        <v>0.34506273141365446</v>
      </c>
      <c r="CP191" s="188">
        <f>AJ191</f>
        <v>0.32241606187081723</v>
      </c>
      <c r="CQ191" s="188">
        <f>AM191</f>
        <v>0.32168481339291338</v>
      </c>
      <c r="CR191" s="188">
        <f>AP191</f>
        <v>0.3184168685082544</v>
      </c>
      <c r="CS191" s="188">
        <f>AS191</f>
        <v>0.29439810096024893</v>
      </c>
      <c r="CT191" s="188">
        <f>AV191</f>
        <v>0.2861285645239246</v>
      </c>
      <c r="CU191" s="188">
        <f>AY191</f>
        <v>0.21968933420288136</v>
      </c>
      <c r="CV191" s="188">
        <f>BB191</f>
        <v>0.23364625520240384</v>
      </c>
      <c r="CW191" s="188">
        <f>BE191</f>
        <v>0.24981687420922954</v>
      </c>
      <c r="CX191" s="188">
        <f>BH191</f>
        <v>0.26398244089961009</v>
      </c>
      <c r="CY191" s="188">
        <f>BK191</f>
        <v>0.26152769021678868</v>
      </c>
      <c r="CZ191" s="188">
        <f ca="1">BN191</f>
        <v>0.21165991084479849</v>
      </c>
      <c r="DA191" s="188">
        <f ca="1">BQ191</f>
        <v>0.2019518862023911</v>
      </c>
      <c r="DB191" s="188">
        <f ca="1">BT191</f>
        <v>0.19337210767510349</v>
      </c>
      <c r="DC191" s="188">
        <f ca="1">BW191</f>
        <v>0.18551101642815163</v>
      </c>
      <c r="DD191" s="188">
        <f ca="1">BZ191</f>
        <v>0.1787084106021628</v>
      </c>
      <c r="DE191" s="188">
        <f ca="1">CC191</f>
        <v>0.1726878932524421</v>
      </c>
    </row>
    <row r="192" spans="1:137" ht="12.75" customHeight="1">
      <c r="A192" s="1"/>
      <c r="B192" s="13" t="s">
        <v>167</v>
      </c>
      <c r="C192" s="1"/>
      <c r="D192" s="188"/>
      <c r="E192" s="188"/>
      <c r="F192" s="188"/>
      <c r="G192" s="188"/>
      <c r="H192" s="188"/>
      <c r="I192" s="188"/>
      <c r="J192" s="188"/>
      <c r="K192" s="188"/>
      <c r="L192" s="188">
        <f t="shared" ref="L192:W192" si="1158">L148/L31</f>
        <v>-4.0174255199550295</v>
      </c>
      <c r="M192" s="188">
        <f t="shared" si="1158"/>
        <v>-3.9344262295081975</v>
      </c>
      <c r="N192" s="188">
        <f t="shared" si="1158"/>
        <v>-0.85975609756097471</v>
      </c>
      <c r="O192" s="188">
        <f t="shared" si="1158"/>
        <v>-2.3956257639171823</v>
      </c>
      <c r="P192" s="188">
        <f t="shared" si="1158"/>
        <v>1.1888888888888896</v>
      </c>
      <c r="Q192" s="188">
        <f t="shared" si="1158"/>
        <v>1.8267764705882332</v>
      </c>
      <c r="R192" s="188">
        <f t="shared" si="1158"/>
        <v>0.66150894308943142</v>
      </c>
      <c r="S192" s="188">
        <f t="shared" si="1158"/>
        <v>-13.43859649122807</v>
      </c>
      <c r="T192" s="188">
        <f t="shared" si="1158"/>
        <v>-8.0086580086580028</v>
      </c>
      <c r="U192" s="188">
        <f t="shared" si="1158"/>
        <v>-10.318407960199</v>
      </c>
      <c r="V192" s="188">
        <f t="shared" si="1158"/>
        <v>-59.333333333333293</v>
      </c>
      <c r="W192" s="188">
        <f t="shared" si="1158"/>
        <v>-22.65789473684211</v>
      </c>
      <c r="X192" s="188">
        <f>-X148/X31</f>
        <v>32.532051282051292</v>
      </c>
      <c r="Y192" s="188">
        <f>Y148/Y31</f>
        <v>-6.3735408560311289</v>
      </c>
      <c r="Z192" s="188">
        <f>Z148/Z31</f>
        <v>-1.6781609195402403</v>
      </c>
      <c r="AA192" s="188">
        <f>-AA148/AA31</f>
        <v>5.1860465116279055</v>
      </c>
      <c r="AB192" s="188">
        <f>AB148/AB31</f>
        <v>-29.619047619047613</v>
      </c>
      <c r="AC192" s="188">
        <f t="shared" ref="AC192:BK192" si="1159">AC148/-AC31</f>
        <v>15.98571428571428</v>
      </c>
      <c r="AD192" s="188">
        <f t="shared" si="1159"/>
        <v>20.530158730158725</v>
      </c>
      <c r="AE192" s="188">
        <f t="shared" si="1159"/>
        <v>37.608695652173914</v>
      </c>
      <c r="AF192" s="188">
        <f t="shared" si="1159"/>
        <v>22.707006369426747</v>
      </c>
      <c r="AG192" s="188">
        <f t="shared" si="1159"/>
        <v>28.212851405622484</v>
      </c>
      <c r="AH192" s="188">
        <f t="shared" si="1159"/>
        <v>8.5133079847908721</v>
      </c>
      <c r="AI192" s="188">
        <f t="shared" si="1159"/>
        <v>9.3834080717488781</v>
      </c>
      <c r="AJ192" s="188">
        <f t="shared" si="1159"/>
        <v>8.9125514403292172</v>
      </c>
      <c r="AK192" s="188">
        <f t="shared" si="1159"/>
        <v>9.5397148676171089</v>
      </c>
      <c r="AL192" s="188">
        <f t="shared" si="1159"/>
        <v>15.362637362637365</v>
      </c>
      <c r="AM192" s="188">
        <f t="shared" si="1159"/>
        <v>11.620418848167541</v>
      </c>
      <c r="AN192" s="188">
        <f t="shared" si="1159"/>
        <v>12.917808219178083</v>
      </c>
      <c r="AO192" s="188">
        <f t="shared" si="1159"/>
        <v>11.14622641509434</v>
      </c>
      <c r="AP192" s="188">
        <f t="shared" si="1159"/>
        <v>11.965779467680608</v>
      </c>
      <c r="AQ192" s="188">
        <f t="shared" si="1159"/>
        <v>12.481840193704601</v>
      </c>
      <c r="AR192" s="188">
        <f t="shared" si="1159"/>
        <v>13.144164759725399</v>
      </c>
      <c r="AS192" s="188">
        <f t="shared" si="1159"/>
        <v>12.822352941176469</v>
      </c>
      <c r="AT192" s="188">
        <f t="shared" si="1159"/>
        <v>15.763297872340425</v>
      </c>
      <c r="AU192" s="188">
        <f t="shared" si="1159"/>
        <v>13.904656319290467</v>
      </c>
      <c r="AV192" s="188">
        <f t="shared" si="1159"/>
        <v>14.749697702539303</v>
      </c>
      <c r="AW192" s="188">
        <f t="shared" si="1159"/>
        <v>22.378737541528231</v>
      </c>
      <c r="AX192" s="188">
        <f t="shared" si="1159"/>
        <v>-54.464912280701725</v>
      </c>
      <c r="AY192" s="188">
        <f t="shared" si="1159"/>
        <v>69.224598930481292</v>
      </c>
      <c r="AZ192" s="188">
        <f t="shared" si="1159"/>
        <v>40.514150943396224</v>
      </c>
      <c r="BA192" s="188">
        <f t="shared" si="1159"/>
        <v>41.984924623115582</v>
      </c>
      <c r="BB192" s="188">
        <f t="shared" si="1159"/>
        <v>41.226277372262778</v>
      </c>
      <c r="BC192" s="188">
        <f t="shared" si="1159"/>
        <v>133.46478873239434</v>
      </c>
      <c r="BD192" s="188">
        <f t="shared" si="1159"/>
        <v>37.617424242424242</v>
      </c>
      <c r="BE192" s="188">
        <f t="shared" si="1159"/>
        <v>57.931343283582088</v>
      </c>
      <c r="BF192" s="188">
        <f t="shared" si="1159"/>
        <v>34.42178770949721</v>
      </c>
      <c r="BG192" s="188">
        <f t="shared" si="1159"/>
        <v>45.695454545454552</v>
      </c>
      <c r="BH192" s="188">
        <f t="shared" si="1159"/>
        <v>38.712802768166092</v>
      </c>
      <c r="BI192" s="188">
        <f>BI148/-BI31</f>
        <v>51.877551020408148</v>
      </c>
      <c r="BJ192" s="188">
        <f t="shared" si="1159"/>
        <v>50.076271186440664</v>
      </c>
      <c r="BK192" s="188">
        <f t="shared" si="1159"/>
        <v>50.993762993762978</v>
      </c>
      <c r="BL192" s="188">
        <f t="shared" ref="BL192:BN192" si="1160">BL148/-BL31</f>
        <v>142.76829268292704</v>
      </c>
      <c r="BM192" s="188">
        <f t="shared" ca="1" si="1160"/>
        <v>-154.857385986765</v>
      </c>
      <c r="BN192" s="188">
        <f t="shared" ca="1" si="1160"/>
        <v>-1524.5189535015693</v>
      </c>
      <c r="BO192" s="188">
        <f t="shared" ref="BO192:BQ192" ca="1" si="1161">BO148/-BO31</f>
        <v>-200.69001569742767</v>
      </c>
      <c r="BP192" s="188">
        <f t="shared" ca="1" si="1161"/>
        <v>-403.37471070779304</v>
      </c>
      <c r="BQ192" s="188">
        <f t="shared" ca="1" si="1161"/>
        <v>-268.33354834355532</v>
      </c>
      <c r="BR192" s="188">
        <f t="shared" ref="BR192:BT192" ca="1" si="1162">BR148/-BR31</f>
        <v>-2773.6585561876245</v>
      </c>
      <c r="BS192" s="188">
        <f t="shared" ca="1" si="1162"/>
        <v>706.02689765147761</v>
      </c>
      <c r="BT192" s="188">
        <f t="shared" ca="1" si="1162"/>
        <v>1877.9638880133318</v>
      </c>
      <c r="BU192" s="188">
        <f t="shared" ref="BU192:BZ192" ca="1" si="1163">BU148/-BU31</f>
        <v>280.68856065062124</v>
      </c>
      <c r="BV192" s="188">
        <f t="shared" ca="1" si="1163"/>
        <v>192.90842168725629</v>
      </c>
      <c r="BW192" s="188">
        <f t="shared" ca="1" si="1163"/>
        <v>228.43201345708741</v>
      </c>
      <c r="BX192" s="188">
        <f t="shared" ca="1" si="1163"/>
        <v>50.743443553815361</v>
      </c>
      <c r="BY192" s="188">
        <f t="shared" ca="1" si="1163"/>
        <v>48.821733204025833</v>
      </c>
      <c r="BZ192" s="188">
        <f t="shared" ca="1" si="1163"/>
        <v>49.762161275651138</v>
      </c>
      <c r="CA192" s="188">
        <f t="shared" ref="CA192:CC192" ca="1" si="1164">CA148/-CA31</f>
        <v>44.886794587083614</v>
      </c>
      <c r="CB192" s="188">
        <f t="shared" ca="1" si="1164"/>
        <v>43.472469683767564</v>
      </c>
      <c r="CC192" s="188">
        <f t="shared" ca="1" si="1164"/>
        <v>44.166519894149801</v>
      </c>
      <c r="CD192" s="186"/>
      <c r="CE192" s="187"/>
      <c r="CF192" s="187"/>
      <c r="CG192" s="187"/>
      <c r="CH192" s="187"/>
      <c r="CI192" s="187"/>
      <c r="CJ192" s="187"/>
      <c r="CK192" s="188"/>
      <c r="CL192" s="192">
        <f>X192</f>
        <v>32.532051282051292</v>
      </c>
      <c r="CM192" s="188">
        <f>AA192</f>
        <v>5.1860465116279055</v>
      </c>
      <c r="CN192" s="188">
        <f>AD192</f>
        <v>20.530158730158725</v>
      </c>
      <c r="CO192" s="188">
        <f>AG192</f>
        <v>28.212851405622484</v>
      </c>
      <c r="CP192" s="188">
        <f>AJ192</f>
        <v>8.9125514403292172</v>
      </c>
      <c r="CQ192" s="188">
        <f>AM192</f>
        <v>11.620418848167541</v>
      </c>
      <c r="CR192" s="188">
        <f>AP192</f>
        <v>11.965779467680608</v>
      </c>
      <c r="CS192" s="188">
        <f>AS192</f>
        <v>12.822352941176469</v>
      </c>
      <c r="CT192" s="188">
        <f>AV192</f>
        <v>14.749697702539303</v>
      </c>
      <c r="CU192" s="188">
        <f>AY192</f>
        <v>69.224598930481292</v>
      </c>
      <c r="CV192" s="188">
        <f>BB192</f>
        <v>41.226277372262778</v>
      </c>
      <c r="CW192" s="188">
        <f>BE192</f>
        <v>57.931343283582088</v>
      </c>
      <c r="CX192" s="188">
        <f>BH192</f>
        <v>38.712802768166092</v>
      </c>
      <c r="CY192" s="188">
        <f>BK192</f>
        <v>50.993762993762978</v>
      </c>
      <c r="CZ192" s="188">
        <f ca="1">BN192</f>
        <v>-1524.5189535015693</v>
      </c>
      <c r="DA192" s="188">
        <f ca="1">BQ192</f>
        <v>-268.33354834355532</v>
      </c>
      <c r="DB192" s="188">
        <f ca="1">BT192</f>
        <v>1877.9638880133318</v>
      </c>
      <c r="DC192" s="188">
        <f ca="1">BW192</f>
        <v>228.43201345708741</v>
      </c>
      <c r="DD192" s="188">
        <f ca="1">BZ192</f>
        <v>49.762161275651138</v>
      </c>
      <c r="DE192" s="188">
        <f ca="1">CC192</f>
        <v>44.166519894149801</v>
      </c>
    </row>
    <row r="193" spans="1:137" ht="12.75" customHeight="1">
      <c r="A193" s="1"/>
      <c r="B193" s="13"/>
      <c r="C193" s="1"/>
      <c r="D193" s="1"/>
      <c r="E193" s="1"/>
      <c r="F193" s="188"/>
      <c r="G193" s="188"/>
      <c r="H193" s="188"/>
      <c r="I193" s="188"/>
      <c r="J193" s="188"/>
      <c r="K193" s="188"/>
      <c r="L193" s="188"/>
      <c r="M193" s="188"/>
      <c r="N193" s="188"/>
      <c r="O193" s="188"/>
      <c r="P193" s="188"/>
      <c r="Q193" s="188"/>
      <c r="R193" s="188"/>
      <c r="S193" s="188"/>
      <c r="T193" s="188"/>
      <c r="U193" s="188"/>
      <c r="V193" s="188"/>
      <c r="W193" s="188"/>
      <c r="X193" s="188"/>
      <c r="Y193" s="188"/>
      <c r="Z193" s="188"/>
      <c r="AA193" s="188"/>
      <c r="AB193" s="188"/>
      <c r="AC193" s="188"/>
      <c r="AD193" s="188"/>
      <c r="AE193" s="188"/>
      <c r="AF193" s="188"/>
      <c r="AG193" s="188"/>
      <c r="AH193" s="188"/>
      <c r="AI193" s="188"/>
      <c r="AJ193" s="188"/>
      <c r="AK193" s="188"/>
      <c r="AL193" s="188"/>
      <c r="AM193" s="188"/>
      <c r="AN193" s="188"/>
      <c r="AO193" s="188"/>
      <c r="AP193" s="188"/>
      <c r="AQ193" s="188"/>
      <c r="AR193" s="188"/>
      <c r="AS193" s="188"/>
      <c r="AT193" s="188"/>
      <c r="AU193" s="188"/>
      <c r="AV193" s="188"/>
      <c r="AW193" s="188"/>
      <c r="AX193" s="188"/>
      <c r="AY193" s="188"/>
      <c r="AZ193" s="188"/>
      <c r="BA193" s="188"/>
      <c r="BB193" s="188"/>
      <c r="BC193" s="188"/>
      <c r="BD193" s="188"/>
      <c r="BE193" s="188"/>
      <c r="BF193" s="188"/>
      <c r="BG193" s="188"/>
      <c r="BH193" s="188"/>
      <c r="BI193" s="188"/>
      <c r="BJ193" s="188"/>
      <c r="BK193" s="188"/>
      <c r="BL193" s="188"/>
      <c r="BM193" s="188"/>
      <c r="BN193" s="188"/>
      <c r="BO193" s="188"/>
      <c r="BP193" s="188"/>
      <c r="BQ193" s="188"/>
      <c r="BR193" s="188"/>
      <c r="BS193" s="188"/>
      <c r="BT193" s="188"/>
      <c r="BU193" s="188"/>
      <c r="BV193" s="188"/>
      <c r="BW193" s="188"/>
      <c r="BX193" s="188"/>
      <c r="BY193" s="188"/>
      <c r="BZ193" s="188"/>
      <c r="CA193" s="188"/>
      <c r="CB193" s="188"/>
      <c r="CC193" s="188"/>
      <c r="CD193" s="186"/>
      <c r="CE193" s="187"/>
      <c r="CF193" s="187"/>
      <c r="CG193" s="187"/>
      <c r="CH193" s="187"/>
      <c r="CI193" s="187"/>
      <c r="CJ193" s="187"/>
      <c r="CK193" s="188"/>
      <c r="CL193" s="192"/>
      <c r="CM193" s="188"/>
      <c r="CN193" s="188"/>
      <c r="CO193" s="188"/>
      <c r="CP193" s="188"/>
      <c r="CQ193" s="188"/>
      <c r="CR193" s="188"/>
      <c r="CS193" s="188"/>
      <c r="CT193" s="188"/>
      <c r="CU193" s="188"/>
      <c r="CV193" s="188"/>
      <c r="CW193" s="188"/>
      <c r="CX193" s="188"/>
      <c r="CY193" s="188"/>
      <c r="CZ193" s="188"/>
      <c r="DA193" s="188"/>
      <c r="DB193" s="188"/>
      <c r="DC193" s="188"/>
      <c r="DD193" s="188"/>
      <c r="DE193" s="188"/>
    </row>
    <row r="194" spans="1:137" s="47" customFormat="1" ht="12.75" customHeight="1">
      <c r="A194" s="42"/>
      <c r="B194" s="241" t="s">
        <v>168</v>
      </c>
      <c r="C194" s="42"/>
      <c r="D194" s="42"/>
      <c r="E194" s="42"/>
      <c r="F194" s="242"/>
      <c r="G194" s="242"/>
      <c r="H194" s="242"/>
      <c r="I194" s="242"/>
      <c r="J194" s="242"/>
      <c r="K194" s="242"/>
      <c r="L194" s="242"/>
      <c r="M194" s="242"/>
      <c r="N194" s="242"/>
      <c r="O194" s="242"/>
      <c r="P194" s="242"/>
      <c r="Q194" s="242"/>
      <c r="R194" s="242"/>
      <c r="S194" s="242"/>
      <c r="T194" s="242"/>
      <c r="U194" s="242"/>
      <c r="V194" s="242"/>
      <c r="W194" s="242"/>
      <c r="X194" s="242"/>
      <c r="Y194" s="242"/>
      <c r="Z194" s="242"/>
      <c r="AA194" s="242"/>
      <c r="AB194" s="242"/>
      <c r="AC194" s="242"/>
      <c r="AD194" s="242"/>
      <c r="AE194" s="242"/>
      <c r="AF194" s="242"/>
      <c r="AG194" s="242"/>
      <c r="AH194" s="242"/>
      <c r="AI194" s="242"/>
      <c r="AJ194" s="242" t="s">
        <v>169</v>
      </c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42"/>
      <c r="BU194" s="242"/>
      <c r="BV194" s="242"/>
      <c r="BW194" s="242"/>
      <c r="BX194" s="242"/>
      <c r="BY194" s="242"/>
      <c r="BZ194" s="242"/>
      <c r="CA194" s="242"/>
      <c r="CB194" s="242"/>
      <c r="CC194" s="242"/>
      <c r="CD194" s="243"/>
      <c r="CE194" s="242"/>
      <c r="CF194" s="242"/>
      <c r="CG194" s="242"/>
      <c r="CH194" s="242"/>
      <c r="CI194" s="242"/>
      <c r="CJ194" s="242"/>
      <c r="CK194" s="244"/>
      <c r="CL194" s="245"/>
      <c r="CM194" s="242"/>
      <c r="CN194" s="242"/>
      <c r="CO194" s="242"/>
      <c r="CP194" s="242"/>
      <c r="CQ194" s="242"/>
      <c r="CR194" s="242"/>
      <c r="CS194" s="242"/>
      <c r="CT194" s="242"/>
      <c r="CU194" s="242"/>
      <c r="CV194" s="242"/>
      <c r="CW194" s="242"/>
      <c r="CX194" s="242"/>
      <c r="CY194" s="242"/>
      <c r="CZ194" s="242"/>
      <c r="DA194" s="242"/>
      <c r="DB194" s="242"/>
      <c r="DC194" s="242"/>
      <c r="DD194" s="242"/>
      <c r="DE194" s="242"/>
      <c r="DF194" s="45"/>
      <c r="DG194" s="45"/>
      <c r="DH194" s="45"/>
      <c r="DI194" s="45"/>
      <c r="DJ194" s="45"/>
      <c r="DK194" s="45"/>
      <c r="EB194"/>
      <c r="EC194"/>
      <c r="ED194"/>
      <c r="EE194"/>
      <c r="EF194"/>
      <c r="EG194"/>
    </row>
    <row r="195" spans="1:137" ht="12.75" customHeight="1">
      <c r="A195" s="1"/>
      <c r="B195" s="49"/>
      <c r="C195" s="1"/>
      <c r="D195" s="1"/>
      <c r="E195" s="1"/>
      <c r="F195" s="188"/>
      <c r="G195" s="188"/>
      <c r="H195" s="188"/>
      <c r="I195" s="188"/>
      <c r="J195" s="188"/>
      <c r="K195" s="188"/>
      <c r="L195" s="188"/>
      <c r="M195" s="188"/>
      <c r="N195" s="188"/>
      <c r="O195" s="188"/>
      <c r="P195" s="188"/>
      <c r="Q195" s="188"/>
      <c r="R195" s="188"/>
      <c r="S195" s="188"/>
      <c r="T195" s="188"/>
      <c r="U195" s="188"/>
      <c r="V195" s="188"/>
      <c r="W195" s="188"/>
      <c r="X195" s="188"/>
      <c r="Y195" s="188"/>
      <c r="Z195" s="188"/>
      <c r="AA195" s="188"/>
      <c r="AB195" s="188"/>
      <c r="AC195" s="188"/>
      <c r="AD195" s="188"/>
      <c r="AE195" s="188"/>
      <c r="AF195" s="188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  <c r="AQ195" s="188"/>
      <c r="AR195" s="188"/>
      <c r="AS195" s="188"/>
      <c r="AT195" s="188"/>
      <c r="AU195" s="188"/>
      <c r="AV195" s="188"/>
      <c r="AW195" s="188"/>
      <c r="AX195" s="188"/>
      <c r="AY195" s="188"/>
      <c r="AZ195" s="188"/>
      <c r="BA195" s="188"/>
      <c r="BB195" s="188"/>
      <c r="BC195" s="188"/>
      <c r="BD195" s="188"/>
      <c r="BE195" s="188"/>
      <c r="BF195" s="188"/>
      <c r="BG195" s="188"/>
      <c r="BH195" s="188"/>
      <c r="BI195" s="188"/>
      <c r="BJ195" s="188"/>
      <c r="BK195" s="188"/>
      <c r="BL195" s="188"/>
      <c r="BM195" s="188"/>
      <c r="BN195" s="188"/>
      <c r="BO195" s="188"/>
      <c r="BP195" s="188"/>
      <c r="BQ195" s="188"/>
      <c r="BR195" s="188"/>
      <c r="BS195" s="188"/>
      <c r="BT195" s="188"/>
      <c r="BU195" s="188"/>
      <c r="BV195" s="188"/>
      <c r="BW195" s="188"/>
      <c r="BX195" s="188"/>
      <c r="BY195" s="188"/>
      <c r="BZ195" s="188"/>
      <c r="CA195" s="188"/>
      <c r="CB195" s="188"/>
      <c r="CC195" s="188"/>
      <c r="CD195" s="186"/>
      <c r="CE195" s="187"/>
      <c r="CF195" s="187"/>
      <c r="CG195" s="187"/>
      <c r="CH195" s="187"/>
      <c r="CI195" s="187"/>
      <c r="CJ195" s="187"/>
      <c r="CK195" s="188"/>
      <c r="CL195" s="192"/>
      <c r="CM195" s="188"/>
      <c r="CN195" s="188"/>
      <c r="CO195" s="188"/>
      <c r="CP195" s="188"/>
      <c r="CQ195" s="188"/>
      <c r="CR195" s="188"/>
      <c r="CS195" s="188"/>
      <c r="CT195" s="188"/>
      <c r="CU195" s="188"/>
      <c r="CV195" s="188"/>
      <c r="CW195" s="188"/>
      <c r="CX195" s="188"/>
      <c r="CY195" s="188"/>
      <c r="CZ195" s="188"/>
      <c r="DA195" s="188"/>
      <c r="DB195" s="188"/>
      <c r="DC195" s="188"/>
      <c r="DD195" s="188"/>
      <c r="DE195" s="188"/>
    </row>
    <row r="196" spans="1:137" s="65" customFormat="1" ht="12.75" customHeight="1">
      <c r="A196" s="19"/>
      <c r="B196" s="14" t="s">
        <v>170</v>
      </c>
      <c r="C196" s="1"/>
      <c r="D196" s="1"/>
      <c r="E196" s="1"/>
      <c r="F196" s="188"/>
      <c r="G196" s="188"/>
      <c r="H196" s="188"/>
      <c r="I196" s="188"/>
      <c r="J196" s="188"/>
      <c r="K196" s="188"/>
      <c r="L196" s="188"/>
      <c r="M196" s="188"/>
      <c r="N196" s="188"/>
      <c r="O196" s="188"/>
      <c r="P196" s="188"/>
      <c r="Q196" s="188"/>
      <c r="R196" s="188"/>
      <c r="S196" s="188"/>
      <c r="T196" s="188"/>
      <c r="U196" s="188"/>
      <c r="V196" s="188"/>
      <c r="W196" s="188"/>
      <c r="X196" s="188"/>
      <c r="Y196" s="188"/>
      <c r="Z196" s="188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  <c r="AQ196" s="188"/>
      <c r="AR196" s="188"/>
      <c r="AS196" s="188"/>
      <c r="AT196" s="188"/>
      <c r="AU196" s="188"/>
      <c r="AV196" s="188"/>
      <c r="AW196" s="188"/>
      <c r="AX196" s="188"/>
      <c r="AY196" s="188"/>
      <c r="AZ196" s="188"/>
      <c r="BA196" s="188"/>
      <c r="BB196" s="188"/>
      <c r="BC196" s="188"/>
      <c r="BD196" s="188"/>
      <c r="BE196" s="188"/>
      <c r="BF196" s="188"/>
      <c r="BG196" s="188"/>
      <c r="BH196" s="188"/>
      <c r="BI196" s="188"/>
      <c r="BJ196" s="188"/>
      <c r="BK196" s="188"/>
      <c r="BL196" s="188"/>
      <c r="BM196" s="188"/>
      <c r="BN196" s="188"/>
      <c r="BO196" s="188"/>
      <c r="BP196" s="188"/>
      <c r="BQ196" s="188"/>
      <c r="BR196" s="188"/>
      <c r="BS196" s="188"/>
      <c r="BT196" s="188"/>
      <c r="BU196" s="188"/>
      <c r="BV196" s="188"/>
      <c r="BW196" s="188"/>
      <c r="BX196" s="188"/>
      <c r="BY196" s="188"/>
      <c r="BZ196" s="188"/>
      <c r="CA196" s="188"/>
      <c r="CB196" s="188"/>
      <c r="CC196" s="188"/>
      <c r="CD196" s="186"/>
      <c r="CE196" s="187"/>
      <c r="CF196" s="187"/>
      <c r="CG196" s="187"/>
      <c r="CH196" s="187"/>
      <c r="CI196" s="187"/>
      <c r="CJ196" s="187"/>
      <c r="CK196" s="188"/>
      <c r="CL196" s="192"/>
      <c r="CM196" s="188"/>
      <c r="CN196" s="188"/>
      <c r="CO196" s="188"/>
      <c r="CP196" s="188"/>
      <c r="CQ196" s="188"/>
      <c r="CR196" s="188"/>
      <c r="CS196" s="188"/>
      <c r="CT196" s="188"/>
      <c r="CU196" s="188"/>
      <c r="CV196" s="188"/>
      <c r="CW196" s="188"/>
      <c r="CX196" s="188"/>
      <c r="CY196" s="188"/>
      <c r="CZ196" s="188"/>
      <c r="DA196" s="188"/>
      <c r="DB196" s="188"/>
      <c r="DC196" s="188"/>
      <c r="DD196" s="188"/>
      <c r="DE196" s="188"/>
      <c r="DF196" s="19"/>
      <c r="DG196" s="19"/>
      <c r="DH196" s="19"/>
      <c r="DI196" s="19"/>
      <c r="DJ196" s="19"/>
      <c r="DK196" s="19"/>
      <c r="EB196"/>
      <c r="EC196"/>
      <c r="ED196"/>
      <c r="EE196"/>
      <c r="EF196"/>
      <c r="EG196"/>
    </row>
    <row r="197" spans="1:137" s="65" customFormat="1" ht="12.75" customHeight="1">
      <c r="A197" s="19"/>
      <c r="B197" s="13" t="s">
        <v>171</v>
      </c>
      <c r="C197" s="1"/>
      <c r="D197" s="19"/>
      <c r="E197" s="19"/>
      <c r="F197" s="188"/>
      <c r="G197" s="19"/>
      <c r="H197" s="19"/>
      <c r="I197" s="188">
        <f t="shared" ref="I197:BH198" si="1165">I207</f>
        <v>324.85894680000001</v>
      </c>
      <c r="J197" s="19">
        <f t="shared" si="1165"/>
        <v>340.72752400000002</v>
      </c>
      <c r="K197" s="19">
        <f t="shared" si="1165"/>
        <v>340.72752400000002</v>
      </c>
      <c r="L197" s="188">
        <f t="shared" si="1165"/>
        <v>343.161001</v>
      </c>
      <c r="M197" s="19">
        <f t="shared" si="1165"/>
        <v>343.161001</v>
      </c>
      <c r="N197" s="19">
        <f t="shared" si="1165"/>
        <v>555.93034320000004</v>
      </c>
      <c r="O197" s="188">
        <f t="shared" si="1165"/>
        <v>343.161001</v>
      </c>
      <c r="P197" s="19">
        <f t="shared" si="1165"/>
        <v>547.62</v>
      </c>
      <c r="Q197" s="19">
        <f t="shared" si="1165"/>
        <v>1233.8800000000001</v>
      </c>
      <c r="R197" s="188">
        <f t="shared" si="1165"/>
        <v>547.62</v>
      </c>
      <c r="S197" s="19">
        <f t="shared" si="1165"/>
        <v>1266.6857835999999</v>
      </c>
      <c r="T197" s="19">
        <f t="shared" si="1165"/>
        <v>1366.9677064</v>
      </c>
      <c r="U197" s="188">
        <f t="shared" si="1165"/>
        <v>1266.6857835999999</v>
      </c>
      <c r="V197" s="19">
        <f t="shared" si="1165"/>
        <v>1471.6277064000001</v>
      </c>
      <c r="W197" s="19">
        <f t="shared" si="1165"/>
        <v>1471.6277064000001</v>
      </c>
      <c r="X197" s="188">
        <f t="shared" si="1165"/>
        <v>1471.6277064000001</v>
      </c>
      <c r="Y197" s="19">
        <f t="shared" si="1165"/>
        <v>1605.0773773999999</v>
      </c>
      <c r="Z197" s="19">
        <f t="shared" si="1165"/>
        <v>1713.2339469999999</v>
      </c>
      <c r="AA197" s="188">
        <f t="shared" si="1165"/>
        <v>1605.0773773999999</v>
      </c>
      <c r="AB197" s="188">
        <f t="shared" si="1165"/>
        <v>1718.7428090000001</v>
      </c>
      <c r="AC197" s="188">
        <f t="shared" si="1165"/>
        <v>1722.8979667632441</v>
      </c>
      <c r="AD197" s="188">
        <f t="shared" si="1165"/>
        <v>1718.7428090000001</v>
      </c>
      <c r="AE197" s="188">
        <f t="shared" si="1165"/>
        <v>1727.7</v>
      </c>
      <c r="AF197" s="188">
        <f t="shared" si="1165"/>
        <v>1736.64</v>
      </c>
      <c r="AG197" s="188">
        <f t="shared" si="1165"/>
        <v>1727.7</v>
      </c>
      <c r="AH197" s="188">
        <f t="shared" si="1165"/>
        <v>1832.5187699999999</v>
      </c>
      <c r="AI197" s="188">
        <f t="shared" si="1165"/>
        <v>1775.6</v>
      </c>
      <c r="AJ197" s="188">
        <f t="shared" si="1165"/>
        <v>1832.5187699999999</v>
      </c>
      <c r="AK197" s="188">
        <f t="shared" si="1165"/>
        <v>1788.3</v>
      </c>
      <c r="AL197" s="188">
        <f t="shared" si="1165"/>
        <v>1796</v>
      </c>
      <c r="AM197" s="188">
        <f t="shared" si="1165"/>
        <v>1788.3</v>
      </c>
      <c r="AN197" s="188">
        <f t="shared" si="1165"/>
        <v>1798.4</v>
      </c>
      <c r="AO197" s="188">
        <f t="shared" si="1165"/>
        <v>1809.2</v>
      </c>
      <c r="AP197" s="188">
        <f t="shared" si="1165"/>
        <v>1798.4</v>
      </c>
      <c r="AQ197" s="188">
        <f t="shared" si="1165"/>
        <v>1811.1712967511887</v>
      </c>
      <c r="AR197" s="188">
        <f t="shared" si="1165"/>
        <v>1813.8820000000001</v>
      </c>
      <c r="AS197" s="188">
        <f t="shared" si="1165"/>
        <v>1811.1712967511887</v>
      </c>
      <c r="AT197" s="188">
        <f t="shared" si="1165"/>
        <v>1813.8820000000001</v>
      </c>
      <c r="AU197" s="188">
        <f>AT199</f>
        <v>1823.674788</v>
      </c>
      <c r="AV197" s="188">
        <f t="shared" si="1165"/>
        <v>1813.8820000000001</v>
      </c>
      <c r="AW197" s="188">
        <f t="shared" si="1165"/>
        <v>1846.2248811410459</v>
      </c>
      <c r="AX197" s="188">
        <f t="shared" si="1165"/>
        <v>1861.2248811410459</v>
      </c>
      <c r="AY197" s="188">
        <f t="shared" si="1165"/>
        <v>1846.2248811410459</v>
      </c>
      <c r="AZ197" s="188">
        <f>AY199</f>
        <v>1859.7</v>
      </c>
      <c r="BA197" s="188">
        <f>AZ199</f>
        <v>1876</v>
      </c>
      <c r="BB197" s="188">
        <f>AY199</f>
        <v>1859.7</v>
      </c>
      <c r="BC197" s="188">
        <f>BB199</f>
        <v>1879</v>
      </c>
      <c r="BD197" s="188">
        <f>BC199</f>
        <v>1888.1</v>
      </c>
      <c r="BE197" s="188">
        <f>BB199</f>
        <v>1879</v>
      </c>
      <c r="BF197" s="188">
        <f t="shared" si="1165"/>
        <v>1890.7</v>
      </c>
      <c r="BG197" s="188">
        <f>BF199</f>
        <v>1904.8</v>
      </c>
      <c r="BH197" s="188">
        <f t="shared" si="1165"/>
        <v>1883.8</v>
      </c>
      <c r="BI197" s="188">
        <f>BH199</f>
        <v>1907.2</v>
      </c>
      <c r="BJ197" s="188">
        <f>BI199</f>
        <v>1916</v>
      </c>
      <c r="BK197" s="188">
        <f>BH199</f>
        <v>1907.2</v>
      </c>
      <c r="BL197" s="188">
        <f>BK211</f>
        <v>2031.2</v>
      </c>
      <c r="BM197" s="188">
        <f t="shared" ref="BM197" si="1166">BL199</f>
        <v>2056.8000000000002</v>
      </c>
      <c r="BN197" s="188">
        <f>BL197</f>
        <v>2031.2</v>
      </c>
      <c r="BO197" s="188">
        <f t="shared" ref="BO197:BP197" si="1167">BN199</f>
        <v>2056.8000000000002</v>
      </c>
      <c r="BP197" s="188">
        <f t="shared" si="1167"/>
        <v>2056.8000000000002</v>
      </c>
      <c r="BQ197" s="188">
        <f t="shared" ref="BQ197" si="1168">BN199</f>
        <v>2056.8000000000002</v>
      </c>
      <c r="BR197" s="188">
        <f t="shared" ref="BR197:BS197" si="1169">BQ199</f>
        <v>2056.8000000000002</v>
      </c>
      <c r="BS197" s="188">
        <f t="shared" si="1169"/>
        <v>2056.8000000000002</v>
      </c>
      <c r="BT197" s="188">
        <f t="shared" ref="BT197" si="1170">BQ199</f>
        <v>2056.8000000000002</v>
      </c>
      <c r="BU197" s="188">
        <f t="shared" ref="BU197:BV197" si="1171">BT199</f>
        <v>2056.8000000000002</v>
      </c>
      <c r="BV197" s="188">
        <f t="shared" si="1171"/>
        <v>2056.8000000000002</v>
      </c>
      <c r="BW197" s="188">
        <f t="shared" ref="BW197" si="1172">BT199</f>
        <v>2056.8000000000002</v>
      </c>
      <c r="BX197" s="188">
        <f t="shared" ref="BX197:BY197" si="1173">BW199</f>
        <v>2056.8000000000002</v>
      </c>
      <c r="BY197" s="188">
        <f t="shared" si="1173"/>
        <v>2056.8000000000002</v>
      </c>
      <c r="BZ197" s="188">
        <f t="shared" ref="BZ197" si="1174">BW199</f>
        <v>2056.8000000000002</v>
      </c>
      <c r="CA197" s="188">
        <f t="shared" ref="CA197" si="1175">BZ199</f>
        <v>2056.8000000000002</v>
      </c>
      <c r="CB197" s="188">
        <f t="shared" ref="CB197" si="1176">CA199</f>
        <v>2056.8000000000002</v>
      </c>
      <c r="CC197" s="188">
        <f t="shared" ref="CC197" si="1177">BZ199</f>
        <v>2056.8000000000002</v>
      </c>
      <c r="CD197" s="186"/>
      <c r="CE197" s="187"/>
      <c r="CF197" s="187"/>
      <c r="CG197" s="187"/>
      <c r="CH197" s="187"/>
      <c r="CI197" s="187"/>
      <c r="CJ197" s="187"/>
      <c r="CK197" s="188"/>
      <c r="CL197" s="192">
        <f t="shared" ref="CL197:CL208" si="1178">X197</f>
        <v>1471.6277064000001</v>
      </c>
      <c r="CM197" s="188">
        <f t="shared" ref="CM197:CM208" si="1179">AA197</f>
        <v>1605.0773773999999</v>
      </c>
      <c r="CN197" s="188">
        <f t="shared" ref="CN197:CN208" si="1180">AD197</f>
        <v>1718.7428090000001</v>
      </c>
      <c r="CO197" s="188">
        <f t="shared" ref="CO197:CO208" si="1181">AG197</f>
        <v>1727.7</v>
      </c>
      <c r="CP197" s="188">
        <f t="shared" ref="CP197:CP208" si="1182">AJ197</f>
        <v>1832.5187699999999</v>
      </c>
      <c r="CQ197" s="188">
        <f t="shared" ref="CQ197:CQ208" si="1183">AM197</f>
        <v>1788.3</v>
      </c>
      <c r="CR197" s="188">
        <f t="shared" ref="CR197:CR208" si="1184">AP197</f>
        <v>1798.4</v>
      </c>
      <c r="CS197" s="188">
        <f t="shared" ref="CS197:CS208" si="1185">AS197</f>
        <v>1811.1712967511887</v>
      </c>
      <c r="CT197" s="188">
        <f t="shared" ref="CT197:CT208" si="1186">AV197</f>
        <v>1813.8820000000001</v>
      </c>
      <c r="CU197" s="188">
        <f t="shared" ref="CU197:CU208" si="1187">AY197</f>
        <v>1846.2248811410459</v>
      </c>
      <c r="CV197" s="188">
        <f t="shared" ref="CV197:CV208" si="1188">BB197</f>
        <v>1859.7</v>
      </c>
      <c r="CW197" s="188">
        <f t="shared" ref="CW197:CW208" si="1189">BE197</f>
        <v>1879</v>
      </c>
      <c r="CX197" s="188">
        <f t="shared" ref="CX197:CX208" si="1190">BH197</f>
        <v>1883.8</v>
      </c>
      <c r="CY197" s="188">
        <f t="shared" ref="CY197:CY208" si="1191">BK197</f>
        <v>1907.2</v>
      </c>
      <c r="CZ197" s="188">
        <f t="shared" ref="CZ197:CZ208" si="1192">BN197</f>
        <v>2031.2</v>
      </c>
      <c r="DA197" s="188">
        <f t="shared" ref="DA197:DA208" si="1193">BQ197</f>
        <v>2056.8000000000002</v>
      </c>
      <c r="DB197" s="188">
        <f t="shared" ref="DB197:DB208" si="1194">BT197</f>
        <v>2056.8000000000002</v>
      </c>
      <c r="DC197" s="188">
        <f t="shared" ref="DC197:DC208" si="1195">BW197</f>
        <v>2056.8000000000002</v>
      </c>
      <c r="DD197" s="188">
        <f t="shared" ref="DD197:DD208" si="1196">BZ197</f>
        <v>2056.8000000000002</v>
      </c>
      <c r="DE197" s="188">
        <f t="shared" ref="DE197:DE208" si="1197">CC197</f>
        <v>2056.8000000000002</v>
      </c>
      <c r="DF197" s="19"/>
      <c r="DG197" s="19"/>
      <c r="DH197" s="19"/>
      <c r="DI197" s="19"/>
      <c r="DJ197" s="19"/>
      <c r="DK197" s="19"/>
      <c r="EB197"/>
      <c r="EC197"/>
      <c r="ED197"/>
      <c r="EE197"/>
      <c r="EF197"/>
      <c r="EG197"/>
    </row>
    <row r="198" spans="1:137" s="65" customFormat="1" ht="12.75" customHeight="1">
      <c r="A198" s="19"/>
      <c r="B198" s="13" t="s">
        <v>172</v>
      </c>
      <c r="C198" s="1"/>
      <c r="D198" s="19"/>
      <c r="E198" s="1"/>
      <c r="F198" s="188"/>
      <c r="G198" s="19"/>
      <c r="H198" s="1"/>
      <c r="I198" s="188">
        <f t="shared" si="1165"/>
        <v>0</v>
      </c>
      <c r="J198" s="19">
        <f t="shared" si="1165"/>
        <v>0</v>
      </c>
      <c r="K198" s="1">
        <f t="shared" si="1165"/>
        <v>0</v>
      </c>
      <c r="L198" s="188">
        <f t="shared" si="1165"/>
        <v>0</v>
      </c>
      <c r="M198" s="19">
        <f t="shared" si="1165"/>
        <v>212.76934220000001</v>
      </c>
      <c r="N198" s="1">
        <f t="shared" si="1165"/>
        <v>0</v>
      </c>
      <c r="O198" s="188">
        <f t="shared" si="1165"/>
        <v>204.43948</v>
      </c>
      <c r="P198" s="19">
        <f t="shared" si="1165"/>
        <v>686.26</v>
      </c>
      <c r="Q198" s="1">
        <f t="shared" si="1165"/>
        <v>32.825302599999986</v>
      </c>
      <c r="R198" s="188">
        <f t="shared" si="1165"/>
        <v>719.08530259999998</v>
      </c>
      <c r="S198" s="19">
        <f t="shared" si="1165"/>
        <v>100.28192279999999</v>
      </c>
      <c r="T198" s="1">
        <f t="shared" si="1165"/>
        <v>104.66</v>
      </c>
      <c r="U198" s="188">
        <f t="shared" si="1165"/>
        <v>204.94192279999999</v>
      </c>
      <c r="V198" s="19">
        <f t="shared" si="1165"/>
        <v>0</v>
      </c>
      <c r="W198" s="1">
        <f t="shared" si="1165"/>
        <v>133.44967099999997</v>
      </c>
      <c r="X198" s="188">
        <f t="shared" si="1165"/>
        <v>133.44967099999997</v>
      </c>
      <c r="Y198" s="19">
        <f t="shared" si="1165"/>
        <v>108.15656960000001</v>
      </c>
      <c r="Z198" s="1">
        <f t="shared" si="1165"/>
        <v>5.5088620000001356</v>
      </c>
      <c r="AA198" s="188">
        <f t="shared" si="1165"/>
        <v>113.66543160000015</v>
      </c>
      <c r="AB198" s="188">
        <f t="shared" si="1165"/>
        <v>9.4882558699569959</v>
      </c>
      <c r="AC198" s="188">
        <f t="shared" si="1165"/>
        <v>8.9400000000000013</v>
      </c>
      <c r="AD198" s="188">
        <f t="shared" si="1165"/>
        <v>18.428255869956999</v>
      </c>
      <c r="AE198" s="188">
        <f t="shared" si="1165"/>
        <v>8.9400000000000013</v>
      </c>
      <c r="AF198" s="188">
        <f t="shared" si="1165"/>
        <v>9.7083502483499995</v>
      </c>
      <c r="AG198" s="188">
        <f t="shared" si="1165"/>
        <v>18.648350248349999</v>
      </c>
      <c r="AH198" s="188">
        <f t="shared" si="1165"/>
        <v>7.0907942947702063</v>
      </c>
      <c r="AI198" s="188">
        <f t="shared" si="1165"/>
        <v>12.700000000000045</v>
      </c>
      <c r="AJ198" s="188">
        <f t="shared" si="1165"/>
        <v>19.790794294770251</v>
      </c>
      <c r="AK198" s="188">
        <f t="shared" si="1165"/>
        <v>11</v>
      </c>
      <c r="AL198" s="188">
        <f t="shared" si="1165"/>
        <v>1.807190966719493</v>
      </c>
      <c r="AM198" s="188">
        <f t="shared" si="1165"/>
        <v>12.807190966719492</v>
      </c>
      <c r="AN198" s="188">
        <f t="shared" si="1165"/>
        <v>1.8806148969889067</v>
      </c>
      <c r="AO198" s="188">
        <f t="shared" si="1165"/>
        <v>1.9712967511885899</v>
      </c>
      <c r="AP198" s="188">
        <f t="shared" si="1165"/>
        <v>3.8519116481774969</v>
      </c>
      <c r="AQ198" s="188">
        <f t="shared" si="1165"/>
        <v>0</v>
      </c>
      <c r="AR198" s="188">
        <f t="shared" si="1165"/>
        <v>0</v>
      </c>
      <c r="AS198" s="188">
        <f t="shared" si="1165"/>
        <v>0</v>
      </c>
      <c r="AT198" s="188">
        <f t="shared" si="1165"/>
        <v>0</v>
      </c>
      <c r="AU198" s="188">
        <f t="shared" si="1165"/>
        <v>20</v>
      </c>
      <c r="AV198" s="188">
        <f t="shared" si="1165"/>
        <v>20</v>
      </c>
      <c r="AW198" s="188">
        <f>AW199-AW197</f>
        <v>11.475118858954147</v>
      </c>
      <c r="AX198" s="188">
        <f t="shared" si="1165"/>
        <v>10</v>
      </c>
      <c r="AY198" s="188">
        <f t="shared" si="1165"/>
        <v>25</v>
      </c>
      <c r="AZ198" s="188">
        <f>AZ199-AZ197</f>
        <v>16.299999999999955</v>
      </c>
      <c r="BA198" s="188">
        <v>5</v>
      </c>
      <c r="BB198" s="188">
        <f>SUM(AZ198:BA198)</f>
        <v>21.299999999999955</v>
      </c>
      <c r="BC198" s="188">
        <v>5</v>
      </c>
      <c r="BD198" s="188">
        <f t="shared" si="1165"/>
        <v>10</v>
      </c>
      <c r="BE198" s="188">
        <f>SUM(BC198:BD198)</f>
        <v>15</v>
      </c>
      <c r="BF198" s="188">
        <f t="shared" si="1165"/>
        <v>5</v>
      </c>
      <c r="BG198" s="188">
        <v>5</v>
      </c>
      <c r="BH198" s="188">
        <f t="shared" si="1165"/>
        <v>15</v>
      </c>
      <c r="BI198" s="188">
        <v>5</v>
      </c>
      <c r="BJ198" s="188">
        <f>+BJ235+5</f>
        <v>91.418735054011719</v>
      </c>
      <c r="BK198" s="188">
        <f>+BK236+7</f>
        <v>49.854222040482526</v>
      </c>
      <c r="BL198" s="188">
        <f>BL199-BL197</f>
        <v>25.600000000000136</v>
      </c>
      <c r="BM198" s="188">
        <f t="shared" ref="BM198" si="1198">BM208</f>
        <v>0</v>
      </c>
      <c r="BN198" s="188">
        <f t="shared" ref="BN198" si="1199">SUM(BL198:BM198)</f>
        <v>25.600000000000136</v>
      </c>
      <c r="BO198" s="188">
        <f t="shared" ref="BO198:BP198" si="1200">BO208</f>
        <v>0</v>
      </c>
      <c r="BP198" s="188">
        <f t="shared" si="1200"/>
        <v>0</v>
      </c>
      <c r="BQ198" s="188">
        <f t="shared" ref="BQ198" si="1201">SUM(BO198:BP198)</f>
        <v>0</v>
      </c>
      <c r="BR198" s="188">
        <f t="shared" ref="BR198:BS198" si="1202">BR208</f>
        <v>0</v>
      </c>
      <c r="BS198" s="188">
        <f t="shared" si="1202"/>
        <v>0</v>
      </c>
      <c r="BT198" s="188">
        <f t="shared" ref="BT198" si="1203">SUM(BR198:BS198)</f>
        <v>0</v>
      </c>
      <c r="BU198" s="188">
        <f t="shared" ref="BU198:BV198" si="1204">BU208</f>
        <v>0</v>
      </c>
      <c r="BV198" s="188">
        <f t="shared" si="1204"/>
        <v>0</v>
      </c>
      <c r="BW198" s="188">
        <f t="shared" ref="BW198" si="1205">SUM(BU198:BV198)</f>
        <v>0</v>
      </c>
      <c r="BX198" s="188">
        <f t="shared" ref="BX198:BY198" si="1206">BX208</f>
        <v>0</v>
      </c>
      <c r="BY198" s="188">
        <f t="shared" si="1206"/>
        <v>0</v>
      </c>
      <c r="BZ198" s="188">
        <f t="shared" ref="BZ198" si="1207">SUM(BX198:BY198)</f>
        <v>0</v>
      </c>
      <c r="CA198" s="188">
        <f t="shared" ref="CA198:CB198" si="1208">CA208</f>
        <v>0</v>
      </c>
      <c r="CB198" s="188">
        <f t="shared" si="1208"/>
        <v>0</v>
      </c>
      <c r="CC198" s="188">
        <f t="shared" ref="CC198" si="1209">SUM(CA198:CB198)</f>
        <v>0</v>
      </c>
      <c r="CD198" s="186"/>
      <c r="CE198" s="187"/>
      <c r="CF198" s="187"/>
      <c r="CG198" s="187"/>
      <c r="CH198" s="187"/>
      <c r="CI198" s="187"/>
      <c r="CJ198" s="187"/>
      <c r="CK198" s="188"/>
      <c r="CL198" s="192">
        <f t="shared" si="1178"/>
        <v>133.44967099999997</v>
      </c>
      <c r="CM198" s="188">
        <f t="shared" si="1179"/>
        <v>113.66543160000015</v>
      </c>
      <c r="CN198" s="188">
        <f t="shared" si="1180"/>
        <v>18.428255869956999</v>
      </c>
      <c r="CO198" s="188">
        <f t="shared" si="1181"/>
        <v>18.648350248349999</v>
      </c>
      <c r="CP198" s="188">
        <f t="shared" si="1182"/>
        <v>19.790794294770251</v>
      </c>
      <c r="CQ198" s="188">
        <f t="shared" si="1183"/>
        <v>12.807190966719492</v>
      </c>
      <c r="CR198" s="188">
        <f t="shared" si="1184"/>
        <v>3.8519116481774969</v>
      </c>
      <c r="CS198" s="188">
        <f t="shared" si="1185"/>
        <v>0</v>
      </c>
      <c r="CT198" s="188">
        <f t="shared" si="1186"/>
        <v>20</v>
      </c>
      <c r="CU198" s="188">
        <f t="shared" si="1187"/>
        <v>25</v>
      </c>
      <c r="CV198" s="188">
        <f t="shared" si="1188"/>
        <v>21.299999999999955</v>
      </c>
      <c r="CW198" s="188">
        <f t="shared" si="1189"/>
        <v>15</v>
      </c>
      <c r="CX198" s="188">
        <f t="shared" si="1190"/>
        <v>15</v>
      </c>
      <c r="CY198" s="188">
        <f t="shared" si="1191"/>
        <v>49.854222040482526</v>
      </c>
      <c r="CZ198" s="188">
        <f t="shared" si="1192"/>
        <v>25.600000000000136</v>
      </c>
      <c r="DA198" s="188">
        <f t="shared" si="1193"/>
        <v>0</v>
      </c>
      <c r="DB198" s="188">
        <f t="shared" si="1194"/>
        <v>0</v>
      </c>
      <c r="DC198" s="188">
        <f t="shared" si="1195"/>
        <v>0</v>
      </c>
      <c r="DD198" s="188">
        <f t="shared" si="1196"/>
        <v>0</v>
      </c>
      <c r="DE198" s="188">
        <f t="shared" si="1197"/>
        <v>0</v>
      </c>
      <c r="DF198" s="19"/>
      <c r="DG198" s="19"/>
      <c r="DH198" s="19"/>
      <c r="DI198" s="19"/>
      <c r="DJ198" s="19"/>
      <c r="DK198" s="19"/>
      <c r="EB198"/>
      <c r="EC198"/>
      <c r="ED198"/>
      <c r="EE198"/>
      <c r="EF198"/>
      <c r="EG198"/>
    </row>
    <row r="199" spans="1:137" s="262" customFormat="1" ht="12.75" customHeight="1">
      <c r="A199" s="255"/>
      <c r="B199" s="256" t="s">
        <v>173</v>
      </c>
      <c r="C199" s="257"/>
      <c r="D199" s="255"/>
      <c r="E199" s="255"/>
      <c r="F199" s="258"/>
      <c r="G199" s="255"/>
      <c r="H199" s="255"/>
      <c r="I199" s="258">
        <f t="shared" ref="I199:AU199" si="1210">I210</f>
        <v>310.53445740000001</v>
      </c>
      <c r="J199" s="255">
        <f t="shared" si="1210"/>
        <v>334.70551740000002</v>
      </c>
      <c r="K199" s="255">
        <f t="shared" si="1210"/>
        <v>332.61099580000001</v>
      </c>
      <c r="L199" s="258">
        <f t="shared" si="1210"/>
        <v>335.04447279999999</v>
      </c>
      <c r="M199" s="255">
        <f t="shared" si="1210"/>
        <v>547.60048100000006</v>
      </c>
      <c r="N199" s="255">
        <f t="shared" si="1210"/>
        <v>547.60048100000006</v>
      </c>
      <c r="O199" s="258">
        <f t="shared" si="1210"/>
        <v>539.27061879999997</v>
      </c>
      <c r="P199" s="255">
        <f t="shared" si="1210"/>
        <v>1469.4549022831059</v>
      </c>
      <c r="Q199" s="255">
        <f t="shared" si="1210"/>
        <v>1602.5621276831057</v>
      </c>
      <c r="R199" s="258">
        <f t="shared" si="1210"/>
        <v>1602.5426086831058</v>
      </c>
      <c r="S199" s="255">
        <f t="shared" si="1210"/>
        <v>1596.8782086831059</v>
      </c>
      <c r="T199" s="255">
        <f t="shared" si="1210"/>
        <v>1603.6782086831063</v>
      </c>
      <c r="U199" s="258">
        <f t="shared" si="1210"/>
        <v>1603.6782086831063</v>
      </c>
      <c r="V199" s="255">
        <f t="shared" si="1210"/>
        <v>1474.7</v>
      </c>
      <c r="W199" s="255">
        <f t="shared" si="1210"/>
        <v>1566</v>
      </c>
      <c r="X199" s="258">
        <f t="shared" si="1210"/>
        <v>1615.0773773999999</v>
      </c>
      <c r="Y199" s="255">
        <f t="shared" si="1210"/>
        <v>1736.8339469999999</v>
      </c>
      <c r="Z199" s="255">
        <f t="shared" si="1210"/>
        <v>1742.342809</v>
      </c>
      <c r="AA199" s="258">
        <f t="shared" si="1210"/>
        <v>1742.342809</v>
      </c>
      <c r="AB199" s="258">
        <f t="shared" si="1210"/>
        <v>1722.8979667632441</v>
      </c>
      <c r="AC199" s="258">
        <f t="shared" si="1210"/>
        <v>1727.7</v>
      </c>
      <c r="AD199" s="258">
        <f t="shared" si="1210"/>
        <v>1727.7</v>
      </c>
      <c r="AE199" s="258">
        <f t="shared" si="1210"/>
        <v>1736.64</v>
      </c>
      <c r="AF199" s="258">
        <f t="shared" si="1210"/>
        <v>1832.5187699999999</v>
      </c>
      <c r="AG199" s="258">
        <f t="shared" si="1210"/>
        <v>1832.5187699999999</v>
      </c>
      <c r="AH199" s="258">
        <f t="shared" si="1210"/>
        <v>1775.6</v>
      </c>
      <c r="AI199" s="258">
        <f t="shared" si="1210"/>
        <v>1788.3</v>
      </c>
      <c r="AJ199" s="258">
        <f t="shared" si="1210"/>
        <v>1788.3</v>
      </c>
      <c r="AK199" s="258">
        <f t="shared" si="1210"/>
        <v>1796</v>
      </c>
      <c r="AL199" s="258">
        <f t="shared" si="1210"/>
        <v>1797.8071909667194</v>
      </c>
      <c r="AM199" s="258">
        <f t="shared" si="1210"/>
        <v>1798.4</v>
      </c>
      <c r="AN199" s="258">
        <f t="shared" si="1210"/>
        <v>1809.2</v>
      </c>
      <c r="AO199" s="258">
        <f t="shared" si="1210"/>
        <v>1811.1712967511887</v>
      </c>
      <c r="AP199" s="258">
        <f t="shared" si="1210"/>
        <v>1811.1712967511887</v>
      </c>
      <c r="AQ199" s="258">
        <f t="shared" si="1210"/>
        <v>1813.8820000000001</v>
      </c>
      <c r="AR199" s="258">
        <f t="shared" si="1210"/>
        <v>1813.8820000000001</v>
      </c>
      <c r="AS199" s="258">
        <f t="shared" si="1210"/>
        <v>1813.8820000000001</v>
      </c>
      <c r="AT199" s="258">
        <v>1823.674788</v>
      </c>
      <c r="AU199" s="258">
        <f t="shared" si="1210"/>
        <v>1846.2248811410459</v>
      </c>
      <c r="AV199" s="258">
        <f>AV211</f>
        <v>1843.8</v>
      </c>
      <c r="AW199" s="258">
        <v>1857.7</v>
      </c>
      <c r="AX199" s="258">
        <f>AVERAGE(AW199,AY199)</f>
        <v>1858.7</v>
      </c>
      <c r="AY199" s="258">
        <v>1859.7</v>
      </c>
      <c r="AZ199" s="258">
        <v>1876</v>
      </c>
      <c r="BA199" s="258">
        <f>AVERAGE(AZ199,BB199)</f>
        <v>1877.5</v>
      </c>
      <c r="BB199" s="258">
        <v>1879</v>
      </c>
      <c r="BC199" s="258">
        <v>1888.1</v>
      </c>
      <c r="BD199" s="258">
        <f>SUM(BD197:BD198)</f>
        <v>1898.1</v>
      </c>
      <c r="BE199" s="258">
        <f>BE211</f>
        <v>1890.7</v>
      </c>
      <c r="BF199" s="258">
        <v>1904.8</v>
      </c>
      <c r="BG199" s="258">
        <f>BG197+BG198</f>
        <v>1909.8</v>
      </c>
      <c r="BH199" s="258">
        <v>1907.2</v>
      </c>
      <c r="BI199" s="258">
        <v>1916</v>
      </c>
      <c r="BJ199" s="258">
        <f t="shared" ref="BJ199:BZ199" si="1211">SUM(BJ197:BJ198)</f>
        <v>2007.4187350540117</v>
      </c>
      <c r="BK199" s="258">
        <v>1959.2</v>
      </c>
      <c r="BL199" s="258">
        <v>2056.8000000000002</v>
      </c>
      <c r="BM199" s="258">
        <f t="shared" si="1211"/>
        <v>2056.8000000000002</v>
      </c>
      <c r="BN199" s="258">
        <f t="shared" si="1211"/>
        <v>2056.8000000000002</v>
      </c>
      <c r="BO199" s="258">
        <f t="shared" si="1211"/>
        <v>2056.8000000000002</v>
      </c>
      <c r="BP199" s="258">
        <f t="shared" si="1211"/>
        <v>2056.8000000000002</v>
      </c>
      <c r="BQ199" s="258">
        <f t="shared" si="1211"/>
        <v>2056.8000000000002</v>
      </c>
      <c r="BR199" s="258">
        <f t="shared" si="1211"/>
        <v>2056.8000000000002</v>
      </c>
      <c r="BS199" s="258">
        <f t="shared" si="1211"/>
        <v>2056.8000000000002</v>
      </c>
      <c r="BT199" s="258">
        <f t="shared" si="1211"/>
        <v>2056.8000000000002</v>
      </c>
      <c r="BU199" s="258">
        <f t="shared" si="1211"/>
        <v>2056.8000000000002</v>
      </c>
      <c r="BV199" s="258">
        <f t="shared" si="1211"/>
        <v>2056.8000000000002</v>
      </c>
      <c r="BW199" s="258">
        <f t="shared" si="1211"/>
        <v>2056.8000000000002</v>
      </c>
      <c r="BX199" s="258">
        <f t="shared" si="1211"/>
        <v>2056.8000000000002</v>
      </c>
      <c r="BY199" s="258">
        <f t="shared" si="1211"/>
        <v>2056.8000000000002</v>
      </c>
      <c r="BZ199" s="258">
        <f t="shared" si="1211"/>
        <v>2056.8000000000002</v>
      </c>
      <c r="CA199" s="258">
        <f t="shared" ref="CA199:CC199" si="1212">SUM(CA197:CA198)</f>
        <v>2056.8000000000002</v>
      </c>
      <c r="CB199" s="258">
        <f t="shared" si="1212"/>
        <v>2056.8000000000002</v>
      </c>
      <c r="CC199" s="258">
        <f t="shared" si="1212"/>
        <v>2056.8000000000002</v>
      </c>
      <c r="CD199" s="259"/>
      <c r="CE199" s="260"/>
      <c r="CF199" s="260"/>
      <c r="CG199" s="260"/>
      <c r="CH199" s="260"/>
      <c r="CI199" s="260"/>
      <c r="CJ199" s="260"/>
      <c r="CK199" s="188"/>
      <c r="CL199" s="261">
        <f t="shared" si="1178"/>
        <v>1615.0773773999999</v>
      </c>
      <c r="CM199" s="258">
        <f t="shared" si="1179"/>
        <v>1742.342809</v>
      </c>
      <c r="CN199" s="258">
        <f t="shared" si="1180"/>
        <v>1727.7</v>
      </c>
      <c r="CO199" s="258">
        <f t="shared" si="1181"/>
        <v>1832.5187699999999</v>
      </c>
      <c r="CP199" s="258">
        <f t="shared" si="1182"/>
        <v>1788.3</v>
      </c>
      <c r="CQ199" s="258">
        <f t="shared" si="1183"/>
        <v>1798.4</v>
      </c>
      <c r="CR199" s="258">
        <f t="shared" si="1184"/>
        <v>1811.1712967511887</v>
      </c>
      <c r="CS199" s="258">
        <f t="shared" si="1185"/>
        <v>1813.8820000000001</v>
      </c>
      <c r="CT199" s="258">
        <f t="shared" si="1186"/>
        <v>1843.8</v>
      </c>
      <c r="CU199" s="258">
        <f t="shared" si="1187"/>
        <v>1859.7</v>
      </c>
      <c r="CV199" s="258">
        <f t="shared" si="1188"/>
        <v>1879</v>
      </c>
      <c r="CW199" s="258">
        <f t="shared" si="1189"/>
        <v>1890.7</v>
      </c>
      <c r="CX199" s="258">
        <f t="shared" si="1190"/>
        <v>1907.2</v>
      </c>
      <c r="CY199" s="258">
        <f t="shared" si="1191"/>
        <v>1959.2</v>
      </c>
      <c r="CZ199" s="258">
        <f t="shared" si="1192"/>
        <v>2056.8000000000002</v>
      </c>
      <c r="DA199" s="258">
        <f t="shared" si="1193"/>
        <v>2056.8000000000002</v>
      </c>
      <c r="DB199" s="258">
        <f t="shared" si="1194"/>
        <v>2056.8000000000002</v>
      </c>
      <c r="DC199" s="258">
        <f t="shared" si="1195"/>
        <v>2056.8000000000002</v>
      </c>
      <c r="DD199" s="258">
        <f t="shared" si="1196"/>
        <v>2056.8000000000002</v>
      </c>
      <c r="DE199" s="258">
        <f t="shared" si="1197"/>
        <v>2056.8000000000002</v>
      </c>
      <c r="DF199" s="19"/>
      <c r="DG199" s="19"/>
      <c r="DH199" s="19"/>
      <c r="DI199" s="19"/>
      <c r="DJ199" s="19"/>
      <c r="DK199" s="19"/>
      <c r="EB199"/>
      <c r="EC199"/>
      <c r="ED199"/>
      <c r="EE199"/>
      <c r="EF199"/>
      <c r="EG199"/>
    </row>
    <row r="200" spans="1:137" s="65" customFormat="1" ht="12.75" customHeight="1">
      <c r="A200" s="19"/>
      <c r="B200" s="13"/>
      <c r="C200" s="1"/>
      <c r="D200" s="19"/>
      <c r="E200" s="1"/>
      <c r="F200" s="188"/>
      <c r="G200" s="19"/>
      <c r="H200" s="1"/>
      <c r="I200" s="188"/>
      <c r="J200" s="188"/>
      <c r="K200" s="188"/>
      <c r="L200" s="188"/>
      <c r="M200" s="188"/>
      <c r="N200" s="188"/>
      <c r="O200" s="188"/>
      <c r="P200" s="188"/>
      <c r="Q200" s="188"/>
      <c r="R200" s="188"/>
      <c r="S200" s="188"/>
      <c r="T200" s="188"/>
      <c r="U200" s="188"/>
      <c r="V200" s="188"/>
      <c r="W200" s="188"/>
      <c r="X200" s="188"/>
      <c r="Y200" s="188"/>
      <c r="Z200" s="188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8"/>
      <c r="AR200" s="188"/>
      <c r="AS200" s="188"/>
      <c r="AT200" s="188"/>
      <c r="AU200" s="188"/>
      <c r="AV200" s="188"/>
      <c r="AW200" s="188"/>
      <c r="AX200" s="188"/>
      <c r="AY200" s="188"/>
      <c r="AZ200" s="188"/>
      <c r="BA200" s="188"/>
      <c r="BB200" s="188"/>
      <c r="BC200" s="188"/>
      <c r="BD200" s="188"/>
      <c r="BE200" s="188"/>
      <c r="BF200" s="188"/>
      <c r="BG200" s="188"/>
      <c r="BH200" s="188"/>
      <c r="BI200" s="188"/>
      <c r="BJ200" s="188"/>
      <c r="BK200" s="188"/>
      <c r="BL200" s="188"/>
      <c r="BM200" s="188"/>
      <c r="BN200" s="188"/>
      <c r="BO200" s="188"/>
      <c r="BP200" s="188"/>
      <c r="BQ200" s="188"/>
      <c r="BR200" s="188"/>
      <c r="BS200" s="188"/>
      <c r="BT200" s="188"/>
      <c r="BU200" s="188"/>
      <c r="BV200" s="188"/>
      <c r="BW200" s="188"/>
      <c r="BX200" s="188"/>
      <c r="BY200" s="188"/>
      <c r="BZ200" s="188"/>
      <c r="CA200" s="188"/>
      <c r="CB200" s="188"/>
      <c r="CC200" s="188"/>
      <c r="CD200" s="186"/>
      <c r="CE200" s="187"/>
      <c r="CF200" s="187"/>
      <c r="CG200" s="187"/>
      <c r="CH200" s="187"/>
      <c r="CI200" s="187"/>
      <c r="CJ200" s="187"/>
      <c r="CK200" s="188"/>
      <c r="CL200" s="192">
        <f t="shared" si="1178"/>
        <v>0</v>
      </c>
      <c r="CM200" s="188">
        <f t="shared" si="1179"/>
        <v>0</v>
      </c>
      <c r="CN200" s="188">
        <f t="shared" si="1180"/>
        <v>0</v>
      </c>
      <c r="CO200" s="188">
        <f t="shared" si="1181"/>
        <v>0</v>
      </c>
      <c r="CP200" s="188">
        <f t="shared" si="1182"/>
        <v>0</v>
      </c>
      <c r="CQ200" s="188">
        <f t="shared" si="1183"/>
        <v>0</v>
      </c>
      <c r="CR200" s="188">
        <f t="shared" si="1184"/>
        <v>0</v>
      </c>
      <c r="CS200" s="188">
        <f t="shared" si="1185"/>
        <v>0</v>
      </c>
      <c r="CT200" s="188">
        <f t="shared" si="1186"/>
        <v>0</v>
      </c>
      <c r="CU200" s="188">
        <f t="shared" si="1187"/>
        <v>0</v>
      </c>
      <c r="CV200" s="188">
        <f t="shared" si="1188"/>
        <v>0</v>
      </c>
      <c r="CW200" s="188">
        <f t="shared" si="1189"/>
        <v>0</v>
      </c>
      <c r="CX200" s="188">
        <f t="shared" si="1190"/>
        <v>0</v>
      </c>
      <c r="CY200" s="188">
        <f t="shared" si="1191"/>
        <v>0</v>
      </c>
      <c r="CZ200" s="188">
        <f t="shared" si="1192"/>
        <v>0</v>
      </c>
      <c r="DA200" s="188">
        <f t="shared" si="1193"/>
        <v>0</v>
      </c>
      <c r="DB200" s="188">
        <f t="shared" si="1194"/>
        <v>0</v>
      </c>
      <c r="DC200" s="188">
        <f t="shared" si="1195"/>
        <v>0</v>
      </c>
      <c r="DD200" s="188">
        <f t="shared" si="1196"/>
        <v>0</v>
      </c>
      <c r="DE200" s="188">
        <f t="shared" si="1197"/>
        <v>0</v>
      </c>
      <c r="DF200" s="19"/>
      <c r="DG200" s="19"/>
      <c r="DH200" s="19"/>
      <c r="DI200" s="19"/>
      <c r="DJ200" s="19"/>
      <c r="DK200" s="19"/>
      <c r="EB200"/>
      <c r="EC200"/>
      <c r="ED200"/>
      <c r="EE200"/>
      <c r="EF200"/>
      <c r="EG200"/>
    </row>
    <row r="201" spans="1:137" s="65" customFormat="1" ht="12.75" customHeight="1">
      <c r="A201" s="19"/>
      <c r="B201" s="14" t="s">
        <v>174</v>
      </c>
      <c r="C201" s="1"/>
      <c r="D201" s="19"/>
      <c r="E201" s="1"/>
      <c r="F201" s="188"/>
      <c r="G201" s="19"/>
      <c r="H201" s="1"/>
      <c r="I201" s="188"/>
      <c r="J201" s="188"/>
      <c r="K201" s="188"/>
      <c r="L201" s="188"/>
      <c r="M201" s="188"/>
      <c r="N201" s="188"/>
      <c r="O201" s="188"/>
      <c r="P201" s="188"/>
      <c r="Q201" s="188"/>
      <c r="R201" s="188"/>
      <c r="S201" s="188"/>
      <c r="T201" s="188"/>
      <c r="U201" s="188"/>
      <c r="V201" s="188"/>
      <c r="W201" s="188"/>
      <c r="X201" s="188"/>
      <c r="Y201" s="188"/>
      <c r="Z201" s="188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8"/>
      <c r="AR201" s="188"/>
      <c r="AS201" s="188"/>
      <c r="AT201" s="188"/>
      <c r="AU201" s="188"/>
      <c r="AV201" s="188"/>
      <c r="AW201" s="188"/>
      <c r="AX201" s="188"/>
      <c r="AY201" s="188"/>
      <c r="AZ201" s="188"/>
      <c r="BA201" s="188"/>
      <c r="BB201" s="188"/>
      <c r="BC201" s="188"/>
      <c r="BD201" s="188"/>
      <c r="BE201" s="188"/>
      <c r="BF201" s="188"/>
      <c r="BG201" s="188"/>
      <c r="BH201" s="188"/>
      <c r="BI201" s="188"/>
      <c r="BJ201" s="188"/>
      <c r="BK201" s="188"/>
      <c r="BL201" s="188"/>
      <c r="BM201" s="188"/>
      <c r="BN201" s="188"/>
      <c r="BO201" s="188"/>
      <c r="BP201" s="188"/>
      <c r="BQ201" s="188"/>
      <c r="BR201" s="188"/>
      <c r="BS201" s="188"/>
      <c r="BT201" s="188"/>
      <c r="BU201" s="188"/>
      <c r="BV201" s="188"/>
      <c r="BW201" s="188"/>
      <c r="BX201" s="188"/>
      <c r="BY201" s="188"/>
      <c r="BZ201" s="188"/>
      <c r="CA201" s="188"/>
      <c r="CB201" s="188"/>
      <c r="CC201" s="188"/>
      <c r="CD201" s="186"/>
      <c r="CE201" s="187"/>
      <c r="CF201" s="187"/>
      <c r="CG201" s="187"/>
      <c r="CH201" s="187"/>
      <c r="CI201" s="187"/>
      <c r="CJ201" s="187"/>
      <c r="CK201" s="188"/>
      <c r="CL201" s="192">
        <f t="shared" si="1178"/>
        <v>0</v>
      </c>
      <c r="CM201" s="188">
        <f t="shared" si="1179"/>
        <v>0</v>
      </c>
      <c r="CN201" s="188">
        <f t="shared" si="1180"/>
        <v>0</v>
      </c>
      <c r="CO201" s="188">
        <f t="shared" si="1181"/>
        <v>0</v>
      </c>
      <c r="CP201" s="188">
        <f t="shared" si="1182"/>
        <v>0</v>
      </c>
      <c r="CQ201" s="188">
        <f t="shared" si="1183"/>
        <v>0</v>
      </c>
      <c r="CR201" s="188">
        <f t="shared" si="1184"/>
        <v>0</v>
      </c>
      <c r="CS201" s="188">
        <f t="shared" si="1185"/>
        <v>0</v>
      </c>
      <c r="CT201" s="188">
        <f t="shared" si="1186"/>
        <v>0</v>
      </c>
      <c r="CU201" s="188">
        <f t="shared" si="1187"/>
        <v>0</v>
      </c>
      <c r="CV201" s="188">
        <f t="shared" si="1188"/>
        <v>0</v>
      </c>
      <c r="CW201" s="188">
        <f t="shared" si="1189"/>
        <v>0</v>
      </c>
      <c r="CX201" s="188">
        <f t="shared" si="1190"/>
        <v>0</v>
      </c>
      <c r="CY201" s="188">
        <f t="shared" si="1191"/>
        <v>0</v>
      </c>
      <c r="CZ201" s="188">
        <f t="shared" si="1192"/>
        <v>0</v>
      </c>
      <c r="DA201" s="188">
        <f t="shared" si="1193"/>
        <v>0</v>
      </c>
      <c r="DB201" s="188">
        <f t="shared" si="1194"/>
        <v>0</v>
      </c>
      <c r="DC201" s="188">
        <f t="shared" si="1195"/>
        <v>0</v>
      </c>
      <c r="DD201" s="188">
        <f t="shared" si="1196"/>
        <v>0</v>
      </c>
      <c r="DE201" s="188">
        <f t="shared" si="1197"/>
        <v>0</v>
      </c>
      <c r="DF201" s="19"/>
      <c r="DG201" s="19"/>
      <c r="DH201" s="19"/>
      <c r="DI201" s="19"/>
      <c r="DJ201" s="19"/>
      <c r="DK201" s="19"/>
      <c r="EB201"/>
      <c r="EC201"/>
      <c r="ED201"/>
      <c r="EE201"/>
      <c r="EF201"/>
      <c r="EG201"/>
    </row>
    <row r="202" spans="1:137" s="65" customFormat="1" ht="12.75" customHeight="1">
      <c r="A202" s="19"/>
      <c r="B202" s="13" t="s">
        <v>171</v>
      </c>
      <c r="C202" s="1"/>
      <c r="D202" s="19"/>
      <c r="E202" s="19"/>
      <c r="F202" s="188"/>
      <c r="G202" s="19"/>
      <c r="H202" s="19"/>
      <c r="I202" s="188">
        <f t="shared" ref="I202:AA203" si="1213">I207</f>
        <v>324.85894680000001</v>
      </c>
      <c r="J202" s="19">
        <f t="shared" si="1213"/>
        <v>340.72752400000002</v>
      </c>
      <c r="K202" s="19">
        <f t="shared" si="1213"/>
        <v>340.72752400000002</v>
      </c>
      <c r="L202" s="188">
        <f t="shared" si="1213"/>
        <v>343.161001</v>
      </c>
      <c r="M202" s="19">
        <f t="shared" si="1213"/>
        <v>343.161001</v>
      </c>
      <c r="N202" s="19">
        <f t="shared" si="1213"/>
        <v>555.93034320000004</v>
      </c>
      <c r="O202" s="188">
        <f t="shared" si="1213"/>
        <v>343.161001</v>
      </c>
      <c r="P202" s="19">
        <f t="shared" si="1213"/>
        <v>547.62</v>
      </c>
      <c r="Q202" s="19">
        <f t="shared" si="1213"/>
        <v>1233.8800000000001</v>
      </c>
      <c r="R202" s="188">
        <f t="shared" si="1213"/>
        <v>547.62</v>
      </c>
      <c r="S202" s="19">
        <f t="shared" si="1213"/>
        <v>1266.6857835999999</v>
      </c>
      <c r="T202" s="19">
        <f t="shared" si="1213"/>
        <v>1366.9677064</v>
      </c>
      <c r="U202" s="188">
        <f t="shared" si="1213"/>
        <v>1266.6857835999999</v>
      </c>
      <c r="V202" s="19">
        <f t="shared" si="1213"/>
        <v>1471.6277064000001</v>
      </c>
      <c r="W202" s="19">
        <f t="shared" si="1213"/>
        <v>1471.6277064000001</v>
      </c>
      <c r="X202" s="188">
        <f t="shared" si="1213"/>
        <v>1471.6277064000001</v>
      </c>
      <c r="Y202" s="19">
        <f t="shared" si="1213"/>
        <v>1605.0773773999999</v>
      </c>
      <c r="Z202" s="19">
        <f t="shared" si="1213"/>
        <v>1713.2339469999999</v>
      </c>
      <c r="AA202" s="188">
        <f t="shared" si="1213"/>
        <v>1605.0773773999999</v>
      </c>
      <c r="AB202" s="184"/>
      <c r="AC202" s="188">
        <f>AB204</f>
        <v>0</v>
      </c>
      <c r="AD202" s="188">
        <f>AB202</f>
        <v>0</v>
      </c>
      <c r="AE202" s="188">
        <f>AD204</f>
        <v>0</v>
      </c>
      <c r="AF202" s="188">
        <f>AE204</f>
        <v>0</v>
      </c>
      <c r="AG202" s="188">
        <f>AD204</f>
        <v>0</v>
      </c>
      <c r="AH202" s="188">
        <f>AG204</f>
        <v>0</v>
      </c>
      <c r="AI202" s="188">
        <f>AH204</f>
        <v>0</v>
      </c>
      <c r="AJ202" s="188">
        <f>AG204</f>
        <v>0</v>
      </c>
      <c r="AK202" s="188">
        <f>AJ204</f>
        <v>0</v>
      </c>
      <c r="AL202" s="188">
        <f>AK204</f>
        <v>0</v>
      </c>
      <c r="AM202" s="188">
        <f>AJ204</f>
        <v>0</v>
      </c>
      <c r="AN202" s="188">
        <f>AM204</f>
        <v>0</v>
      </c>
      <c r="AO202" s="188">
        <f>AN204</f>
        <v>0</v>
      </c>
      <c r="AP202" s="188">
        <f>AM204</f>
        <v>0</v>
      </c>
      <c r="AQ202" s="188">
        <f>AP204</f>
        <v>0</v>
      </c>
      <c r="AR202" s="188">
        <f>AQ204</f>
        <v>0</v>
      </c>
      <c r="AS202" s="188">
        <f>AP204</f>
        <v>0</v>
      </c>
      <c r="AT202" s="188">
        <f>AS204</f>
        <v>0</v>
      </c>
      <c r="AU202" s="188">
        <f>AT204</f>
        <v>0</v>
      </c>
      <c r="AV202" s="188">
        <f>AS204</f>
        <v>0</v>
      </c>
      <c r="AW202" s="188">
        <f>AV204</f>
        <v>0</v>
      </c>
      <c r="AX202" s="188">
        <f>AW204</f>
        <v>0</v>
      </c>
      <c r="AY202" s="188">
        <f>AV204</f>
        <v>0</v>
      </c>
      <c r="AZ202" s="188">
        <f>AY204</f>
        <v>0</v>
      </c>
      <c r="BA202" s="188">
        <f>AZ204</f>
        <v>0</v>
      </c>
      <c r="BB202" s="188">
        <f>AY204</f>
        <v>0</v>
      </c>
      <c r="BC202" s="188">
        <f>BB204</f>
        <v>0</v>
      </c>
      <c r="BD202" s="188">
        <f>BC204</f>
        <v>0</v>
      </c>
      <c r="BE202" s="188">
        <f>BB204</f>
        <v>0</v>
      </c>
      <c r="BF202" s="188">
        <f>BE204</f>
        <v>0</v>
      </c>
      <c r="BG202" s="188">
        <f>BF204</f>
        <v>0</v>
      </c>
      <c r="BH202" s="188">
        <f>BE204</f>
        <v>0</v>
      </c>
      <c r="BI202" s="188">
        <f>BH204</f>
        <v>0</v>
      </c>
      <c r="BJ202" s="188">
        <f>BI204</f>
        <v>0</v>
      </c>
      <c r="BK202" s="188">
        <f>BH204</f>
        <v>0</v>
      </c>
      <c r="BL202" s="188">
        <f>BK204</f>
        <v>0</v>
      </c>
      <c r="BM202" s="188">
        <f>BL204</f>
        <v>0</v>
      </c>
      <c r="BN202" s="188">
        <f>BK204</f>
        <v>0</v>
      </c>
      <c r="BO202" s="188">
        <f>BN204</f>
        <v>0</v>
      </c>
      <c r="BP202" s="188">
        <f>BO204</f>
        <v>0</v>
      </c>
      <c r="BQ202" s="188">
        <f>BN204</f>
        <v>0</v>
      </c>
      <c r="BR202" s="188">
        <f>BQ204</f>
        <v>0</v>
      </c>
      <c r="BS202" s="188">
        <f>BR204</f>
        <v>0</v>
      </c>
      <c r="BT202" s="188">
        <f>BQ204</f>
        <v>0</v>
      </c>
      <c r="BU202" s="188">
        <f>BT204</f>
        <v>0</v>
      </c>
      <c r="BV202" s="188">
        <f>BU204</f>
        <v>0</v>
      </c>
      <c r="BW202" s="188">
        <f>BT204</f>
        <v>0</v>
      </c>
      <c r="BX202" s="188">
        <f>BW204</f>
        <v>0</v>
      </c>
      <c r="BY202" s="188">
        <f>BX204</f>
        <v>0</v>
      </c>
      <c r="BZ202" s="188">
        <f>BW204</f>
        <v>0</v>
      </c>
      <c r="CA202" s="188">
        <f>BZ204</f>
        <v>0</v>
      </c>
      <c r="CB202" s="188">
        <f>CA204</f>
        <v>0</v>
      </c>
      <c r="CC202" s="188">
        <f>BZ204</f>
        <v>0</v>
      </c>
      <c r="CD202" s="186"/>
      <c r="CE202" s="187"/>
      <c r="CF202" s="187"/>
      <c r="CG202" s="187"/>
      <c r="CH202" s="187"/>
      <c r="CI202" s="187"/>
      <c r="CJ202" s="187"/>
      <c r="CK202" s="188"/>
      <c r="CL202" s="192">
        <f t="shared" si="1178"/>
        <v>1471.6277064000001</v>
      </c>
      <c r="CM202" s="188">
        <f t="shared" si="1179"/>
        <v>1605.0773773999999</v>
      </c>
      <c r="CN202" s="188">
        <f t="shared" si="1180"/>
        <v>0</v>
      </c>
      <c r="CO202" s="188">
        <f t="shared" si="1181"/>
        <v>0</v>
      </c>
      <c r="CP202" s="188">
        <f t="shared" si="1182"/>
        <v>0</v>
      </c>
      <c r="CQ202" s="188">
        <f t="shared" si="1183"/>
        <v>0</v>
      </c>
      <c r="CR202" s="188">
        <f t="shared" si="1184"/>
        <v>0</v>
      </c>
      <c r="CS202" s="188">
        <f t="shared" si="1185"/>
        <v>0</v>
      </c>
      <c r="CT202" s="188">
        <f t="shared" si="1186"/>
        <v>0</v>
      </c>
      <c r="CU202" s="188">
        <f t="shared" si="1187"/>
        <v>0</v>
      </c>
      <c r="CV202" s="188">
        <f t="shared" si="1188"/>
        <v>0</v>
      </c>
      <c r="CW202" s="188">
        <f t="shared" si="1189"/>
        <v>0</v>
      </c>
      <c r="CX202" s="188">
        <f t="shared" si="1190"/>
        <v>0</v>
      </c>
      <c r="CY202" s="188">
        <f t="shared" si="1191"/>
        <v>0</v>
      </c>
      <c r="CZ202" s="188">
        <f t="shared" si="1192"/>
        <v>0</v>
      </c>
      <c r="DA202" s="188">
        <f t="shared" si="1193"/>
        <v>0</v>
      </c>
      <c r="DB202" s="188">
        <f t="shared" si="1194"/>
        <v>0</v>
      </c>
      <c r="DC202" s="188">
        <f t="shared" si="1195"/>
        <v>0</v>
      </c>
      <c r="DD202" s="188">
        <f t="shared" si="1196"/>
        <v>0</v>
      </c>
      <c r="DE202" s="188">
        <f t="shared" si="1197"/>
        <v>0</v>
      </c>
      <c r="DF202" s="19"/>
      <c r="DG202" s="19"/>
      <c r="DH202" s="19"/>
      <c r="DI202" s="19"/>
      <c r="DJ202" s="19"/>
      <c r="DK202" s="19"/>
      <c r="EB202"/>
      <c r="EC202"/>
      <c r="ED202"/>
      <c r="EE202"/>
      <c r="EF202"/>
      <c r="EG202"/>
    </row>
    <row r="203" spans="1:137" s="65" customFormat="1" ht="12.75" customHeight="1">
      <c r="A203" s="19"/>
      <c r="B203" s="13" t="s">
        <v>175</v>
      </c>
      <c r="C203" s="1"/>
      <c r="D203" s="19"/>
      <c r="E203" s="1"/>
      <c r="F203" s="188"/>
      <c r="G203" s="19"/>
      <c r="H203" s="1"/>
      <c r="I203" s="188">
        <f t="shared" si="1213"/>
        <v>0</v>
      </c>
      <c r="J203" s="19">
        <f t="shared" si="1213"/>
        <v>0</v>
      </c>
      <c r="K203" s="1">
        <f t="shared" si="1213"/>
        <v>0</v>
      </c>
      <c r="L203" s="188">
        <f t="shared" si="1213"/>
        <v>0</v>
      </c>
      <c r="M203" s="19">
        <f t="shared" si="1213"/>
        <v>212.76934220000001</v>
      </c>
      <c r="N203" s="19">
        <f t="shared" si="1213"/>
        <v>0</v>
      </c>
      <c r="O203" s="188">
        <f t="shared" si="1213"/>
        <v>204.43948</v>
      </c>
      <c r="P203" s="19">
        <f t="shared" si="1213"/>
        <v>686.26</v>
      </c>
      <c r="Q203" s="19">
        <f t="shared" si="1213"/>
        <v>32.825302599999986</v>
      </c>
      <c r="R203" s="188">
        <f t="shared" si="1213"/>
        <v>719.08530259999998</v>
      </c>
      <c r="S203" s="19">
        <f t="shared" si="1213"/>
        <v>100.28192279999999</v>
      </c>
      <c r="T203" s="19">
        <f t="shared" si="1213"/>
        <v>104.66</v>
      </c>
      <c r="U203" s="188">
        <f t="shared" si="1213"/>
        <v>204.94192279999999</v>
      </c>
      <c r="V203" s="19">
        <f t="shared" si="1213"/>
        <v>0</v>
      </c>
      <c r="W203" s="19">
        <f t="shared" si="1213"/>
        <v>133.44967099999997</v>
      </c>
      <c r="X203" s="188">
        <f t="shared" si="1213"/>
        <v>133.44967099999997</v>
      </c>
      <c r="Y203" s="19">
        <f t="shared" si="1213"/>
        <v>108.15656960000001</v>
      </c>
      <c r="Z203" s="19">
        <f t="shared" si="1213"/>
        <v>5.5088620000001356</v>
      </c>
      <c r="AA203" s="188">
        <f t="shared" si="1213"/>
        <v>113.66543160000015</v>
      </c>
      <c r="AB203" s="184"/>
      <c r="AC203" s="188"/>
      <c r="AD203" s="188">
        <f>SUM(AB203:AC203)</f>
        <v>0</v>
      </c>
      <c r="AE203" s="188"/>
      <c r="AF203" s="188"/>
      <c r="AG203" s="188">
        <f>SUM(AE203:AF203)</f>
        <v>0</v>
      </c>
      <c r="AH203" s="188"/>
      <c r="AI203" s="188"/>
      <c r="AJ203" s="188">
        <f>SUM(AH203:AI203)</f>
        <v>0</v>
      </c>
      <c r="AK203" s="188"/>
      <c r="AL203" s="188"/>
      <c r="AM203" s="188">
        <f>SUM(AK203:AL203)</f>
        <v>0</v>
      </c>
      <c r="AN203" s="188"/>
      <c r="AO203" s="188"/>
      <c r="AP203" s="188">
        <f>SUM(AN203:AO203)</f>
        <v>0</v>
      </c>
      <c r="AQ203" s="188"/>
      <c r="AR203" s="188"/>
      <c r="AS203" s="188">
        <f>SUM(AQ203:AR203)</f>
        <v>0</v>
      </c>
      <c r="AT203" s="188"/>
      <c r="AU203" s="188"/>
      <c r="AV203" s="188">
        <f>SUM(AT203:AU203)</f>
        <v>0</v>
      </c>
      <c r="AW203" s="188"/>
      <c r="AX203" s="188"/>
      <c r="AY203" s="188">
        <f>SUM(AW203:AX203)</f>
        <v>0</v>
      </c>
      <c r="AZ203" s="188"/>
      <c r="BA203" s="188"/>
      <c r="BB203" s="188">
        <f>SUM(AZ203:BA203)</f>
        <v>0</v>
      </c>
      <c r="BC203" s="188"/>
      <c r="BD203" s="188"/>
      <c r="BE203" s="188">
        <f>SUM(BC203:BD203)</f>
        <v>0</v>
      </c>
      <c r="BF203" s="188"/>
      <c r="BG203" s="188"/>
      <c r="BH203" s="188">
        <f>SUM(BF203:BG203)</f>
        <v>0</v>
      </c>
      <c r="BI203" s="188"/>
      <c r="BJ203" s="188"/>
      <c r="BK203" s="188">
        <f>SUM(BI203:BJ203)</f>
        <v>0</v>
      </c>
      <c r="BL203" s="188"/>
      <c r="BM203" s="188"/>
      <c r="BN203" s="188">
        <f>SUM(BL203:BM203)</f>
        <v>0</v>
      </c>
      <c r="BO203" s="188"/>
      <c r="BP203" s="188"/>
      <c r="BQ203" s="188">
        <f>SUM(BO203:BP203)</f>
        <v>0</v>
      </c>
      <c r="BR203" s="188"/>
      <c r="BS203" s="188"/>
      <c r="BT203" s="188">
        <f>SUM(BR203:BS203)</f>
        <v>0</v>
      </c>
      <c r="BU203" s="188"/>
      <c r="BV203" s="188"/>
      <c r="BW203" s="188">
        <f>SUM(BU203:BV203)</f>
        <v>0</v>
      </c>
      <c r="BX203" s="188"/>
      <c r="BY203" s="188"/>
      <c r="BZ203" s="188">
        <f>SUM(BX203:BY203)</f>
        <v>0</v>
      </c>
      <c r="CA203" s="188"/>
      <c r="CB203" s="188"/>
      <c r="CC203" s="188">
        <f>SUM(CA203:CB203)</f>
        <v>0</v>
      </c>
      <c r="CD203" s="186"/>
      <c r="CE203" s="187"/>
      <c r="CF203" s="187"/>
      <c r="CG203" s="187"/>
      <c r="CH203" s="187"/>
      <c r="CI203" s="187"/>
      <c r="CJ203" s="187"/>
      <c r="CK203" s="188"/>
      <c r="CL203" s="192">
        <f t="shared" si="1178"/>
        <v>133.44967099999997</v>
      </c>
      <c r="CM203" s="188">
        <f t="shared" si="1179"/>
        <v>113.66543160000015</v>
      </c>
      <c r="CN203" s="188">
        <f t="shared" si="1180"/>
        <v>0</v>
      </c>
      <c r="CO203" s="188">
        <f t="shared" si="1181"/>
        <v>0</v>
      </c>
      <c r="CP203" s="188">
        <f t="shared" si="1182"/>
        <v>0</v>
      </c>
      <c r="CQ203" s="188">
        <f t="shared" si="1183"/>
        <v>0</v>
      </c>
      <c r="CR203" s="188">
        <f t="shared" si="1184"/>
        <v>0</v>
      </c>
      <c r="CS203" s="188">
        <f t="shared" si="1185"/>
        <v>0</v>
      </c>
      <c r="CT203" s="188">
        <f t="shared" si="1186"/>
        <v>0</v>
      </c>
      <c r="CU203" s="188">
        <f t="shared" si="1187"/>
        <v>0</v>
      </c>
      <c r="CV203" s="188">
        <f t="shared" si="1188"/>
        <v>0</v>
      </c>
      <c r="CW203" s="188">
        <f t="shared" si="1189"/>
        <v>0</v>
      </c>
      <c r="CX203" s="188">
        <f t="shared" si="1190"/>
        <v>0</v>
      </c>
      <c r="CY203" s="188">
        <f t="shared" si="1191"/>
        <v>0</v>
      </c>
      <c r="CZ203" s="188">
        <f t="shared" si="1192"/>
        <v>0</v>
      </c>
      <c r="DA203" s="188">
        <f t="shared" si="1193"/>
        <v>0</v>
      </c>
      <c r="DB203" s="188">
        <f t="shared" si="1194"/>
        <v>0</v>
      </c>
      <c r="DC203" s="188">
        <f t="shared" si="1195"/>
        <v>0</v>
      </c>
      <c r="DD203" s="188">
        <f t="shared" si="1196"/>
        <v>0</v>
      </c>
      <c r="DE203" s="188">
        <f t="shared" si="1197"/>
        <v>0</v>
      </c>
      <c r="DF203" s="19"/>
      <c r="DG203" s="19"/>
      <c r="DH203" s="19"/>
      <c r="DI203" s="19"/>
      <c r="DJ203" s="19"/>
      <c r="DK203" s="19"/>
      <c r="EB203"/>
      <c r="EC203"/>
      <c r="ED203"/>
      <c r="EE203"/>
      <c r="EF203"/>
      <c r="EG203"/>
    </row>
    <row r="204" spans="1:137" s="262" customFormat="1" ht="12.75" customHeight="1">
      <c r="A204" s="255"/>
      <c r="B204" s="256" t="s">
        <v>176</v>
      </c>
      <c r="C204" s="257"/>
      <c r="D204" s="255"/>
      <c r="E204" s="255"/>
      <c r="F204" s="258"/>
      <c r="G204" s="255"/>
      <c r="H204" s="255"/>
      <c r="I204" s="258">
        <f t="shared" ref="I204:AA204" si="1214">I210</f>
        <v>310.53445740000001</v>
      </c>
      <c r="J204" s="255">
        <f t="shared" si="1214"/>
        <v>334.70551740000002</v>
      </c>
      <c r="K204" s="255">
        <f t="shared" si="1214"/>
        <v>332.61099580000001</v>
      </c>
      <c r="L204" s="258">
        <f t="shared" si="1214"/>
        <v>335.04447279999999</v>
      </c>
      <c r="M204" s="255">
        <f t="shared" si="1214"/>
        <v>547.60048100000006</v>
      </c>
      <c r="N204" s="255">
        <f t="shared" si="1214"/>
        <v>547.60048100000006</v>
      </c>
      <c r="O204" s="258">
        <f t="shared" si="1214"/>
        <v>539.27061879999997</v>
      </c>
      <c r="P204" s="255">
        <f t="shared" si="1214"/>
        <v>1469.4549022831059</v>
      </c>
      <c r="Q204" s="255">
        <f t="shared" si="1214"/>
        <v>1602.5621276831057</v>
      </c>
      <c r="R204" s="258">
        <f t="shared" si="1214"/>
        <v>1602.5426086831058</v>
      </c>
      <c r="S204" s="255">
        <f t="shared" si="1214"/>
        <v>1596.8782086831059</v>
      </c>
      <c r="T204" s="255">
        <f t="shared" si="1214"/>
        <v>1603.6782086831063</v>
      </c>
      <c r="U204" s="258">
        <f t="shared" si="1214"/>
        <v>1603.6782086831063</v>
      </c>
      <c r="V204" s="255">
        <f t="shared" si="1214"/>
        <v>1474.7</v>
      </c>
      <c r="W204" s="255">
        <f t="shared" si="1214"/>
        <v>1566</v>
      </c>
      <c r="X204" s="258">
        <f t="shared" si="1214"/>
        <v>1615.0773773999999</v>
      </c>
      <c r="Y204" s="255">
        <f t="shared" si="1214"/>
        <v>1736.8339469999999</v>
      </c>
      <c r="Z204" s="255">
        <f t="shared" si="1214"/>
        <v>1742.342809</v>
      </c>
      <c r="AA204" s="258">
        <f t="shared" si="1214"/>
        <v>1742.342809</v>
      </c>
      <c r="AB204" s="263"/>
      <c r="AC204" s="258">
        <f>SUM(AC202:AC203)</f>
        <v>0</v>
      </c>
      <c r="AD204" s="258">
        <f>AC204</f>
        <v>0</v>
      </c>
      <c r="AE204" s="258">
        <f>SUM(AE202:AE203)</f>
        <v>0</v>
      </c>
      <c r="AF204" s="258">
        <f>SUM(AF202:AF203)</f>
        <v>0</v>
      </c>
      <c r="AG204" s="258">
        <f>AF204</f>
        <v>0</v>
      </c>
      <c r="AH204" s="258">
        <f>SUM(AH202:AH203)</f>
        <v>0</v>
      </c>
      <c r="AI204" s="258">
        <f>SUM(AI202:AI203)</f>
        <v>0</v>
      </c>
      <c r="AJ204" s="258">
        <f>AI204</f>
        <v>0</v>
      </c>
      <c r="AK204" s="258">
        <f>SUM(AK202:AK203)</f>
        <v>0</v>
      </c>
      <c r="AL204" s="258">
        <f>SUM(AL202:AL203)</f>
        <v>0</v>
      </c>
      <c r="AM204" s="258">
        <f>AL204</f>
        <v>0</v>
      </c>
      <c r="AN204" s="258">
        <f>SUM(AN202:AN203)</f>
        <v>0</v>
      </c>
      <c r="AO204" s="258">
        <f>SUM(AO202:AO203)</f>
        <v>0</v>
      </c>
      <c r="AP204" s="258">
        <f>AO204</f>
        <v>0</v>
      </c>
      <c r="AQ204" s="258">
        <f>SUM(AQ202:AQ203)</f>
        <v>0</v>
      </c>
      <c r="AR204" s="258">
        <f>SUM(AR202:AR203)</f>
        <v>0</v>
      </c>
      <c r="AS204" s="258">
        <f>AR204</f>
        <v>0</v>
      </c>
      <c r="AT204" s="258">
        <f>SUM(AT202:AT203)</f>
        <v>0</v>
      </c>
      <c r="AU204" s="258">
        <f>SUM(AU202:AU203)</f>
        <v>0</v>
      </c>
      <c r="AV204" s="258">
        <f>AU204</f>
        <v>0</v>
      </c>
      <c r="AW204" s="258">
        <f>SUM(AW202:AW203)</f>
        <v>0</v>
      </c>
      <c r="AX204" s="258">
        <f>SUM(AX202:AX203)</f>
        <v>0</v>
      </c>
      <c r="AY204" s="258">
        <f>AX204</f>
        <v>0</v>
      </c>
      <c r="AZ204" s="258">
        <f>SUM(AZ202:AZ203)</f>
        <v>0</v>
      </c>
      <c r="BA204" s="258">
        <f>SUM(BA202:BA203)</f>
        <v>0</v>
      </c>
      <c r="BB204" s="258">
        <f>BA204</f>
        <v>0</v>
      </c>
      <c r="BC204" s="258">
        <f>SUM(BC202:BC203)</f>
        <v>0</v>
      </c>
      <c r="BD204" s="258">
        <f>SUM(BD202:BD203)</f>
        <v>0</v>
      </c>
      <c r="BE204" s="258">
        <f>BD204</f>
        <v>0</v>
      </c>
      <c r="BF204" s="258">
        <f>SUM(BF202:BF203)</f>
        <v>0</v>
      </c>
      <c r="BG204" s="258">
        <f>SUM(BG202:BG203)</f>
        <v>0</v>
      </c>
      <c r="BH204" s="258">
        <f>BG204</f>
        <v>0</v>
      </c>
      <c r="BI204" s="258">
        <f>SUM(BI202:BI203)</f>
        <v>0</v>
      </c>
      <c r="BJ204" s="258">
        <f>SUM(BJ202:BJ203)</f>
        <v>0</v>
      </c>
      <c r="BK204" s="258">
        <f>BJ204</f>
        <v>0</v>
      </c>
      <c r="BL204" s="258">
        <f>SUM(BL202:BL203)</f>
        <v>0</v>
      </c>
      <c r="BM204" s="258">
        <f>SUM(BM202:BM203)</f>
        <v>0</v>
      </c>
      <c r="BN204" s="258">
        <f>BM204</f>
        <v>0</v>
      </c>
      <c r="BO204" s="258">
        <f>SUM(BO202:BO203)</f>
        <v>0</v>
      </c>
      <c r="BP204" s="258">
        <f>SUM(BP202:BP203)</f>
        <v>0</v>
      </c>
      <c r="BQ204" s="258">
        <f>BP204</f>
        <v>0</v>
      </c>
      <c r="BR204" s="258">
        <f>SUM(BR202:BR203)</f>
        <v>0</v>
      </c>
      <c r="BS204" s="258">
        <f>SUM(BS202:BS203)</f>
        <v>0</v>
      </c>
      <c r="BT204" s="258">
        <f>BS204</f>
        <v>0</v>
      </c>
      <c r="BU204" s="258">
        <f>SUM(BU202:BU203)</f>
        <v>0</v>
      </c>
      <c r="BV204" s="258">
        <f>SUM(BV202:BV203)</f>
        <v>0</v>
      </c>
      <c r="BW204" s="258">
        <f>BV204</f>
        <v>0</v>
      </c>
      <c r="BX204" s="258">
        <f>SUM(BX202:BX203)</f>
        <v>0</v>
      </c>
      <c r="BY204" s="258">
        <f>SUM(BY202:BY203)</f>
        <v>0</v>
      </c>
      <c r="BZ204" s="258">
        <f>BY204</f>
        <v>0</v>
      </c>
      <c r="CA204" s="258">
        <f>SUM(CA202:CA203)</f>
        <v>0</v>
      </c>
      <c r="CB204" s="258">
        <f>SUM(CB202:CB203)</f>
        <v>0</v>
      </c>
      <c r="CC204" s="258">
        <f>CB204</f>
        <v>0</v>
      </c>
      <c r="CD204" s="259"/>
      <c r="CE204" s="260"/>
      <c r="CF204" s="260"/>
      <c r="CG204" s="260"/>
      <c r="CH204" s="260"/>
      <c r="CI204" s="260"/>
      <c r="CJ204" s="260"/>
      <c r="CK204" s="188"/>
      <c r="CL204" s="261">
        <f t="shared" si="1178"/>
        <v>1615.0773773999999</v>
      </c>
      <c r="CM204" s="258">
        <f t="shared" si="1179"/>
        <v>1742.342809</v>
      </c>
      <c r="CN204" s="258">
        <f t="shared" si="1180"/>
        <v>0</v>
      </c>
      <c r="CO204" s="258">
        <f t="shared" si="1181"/>
        <v>0</v>
      </c>
      <c r="CP204" s="258">
        <f t="shared" si="1182"/>
        <v>0</v>
      </c>
      <c r="CQ204" s="258">
        <f t="shared" si="1183"/>
        <v>0</v>
      </c>
      <c r="CR204" s="258">
        <f t="shared" si="1184"/>
        <v>0</v>
      </c>
      <c r="CS204" s="258">
        <f t="shared" si="1185"/>
        <v>0</v>
      </c>
      <c r="CT204" s="258">
        <f t="shared" si="1186"/>
        <v>0</v>
      </c>
      <c r="CU204" s="258">
        <f t="shared" si="1187"/>
        <v>0</v>
      </c>
      <c r="CV204" s="258">
        <f t="shared" si="1188"/>
        <v>0</v>
      </c>
      <c r="CW204" s="258">
        <f t="shared" si="1189"/>
        <v>0</v>
      </c>
      <c r="CX204" s="258">
        <f t="shared" si="1190"/>
        <v>0</v>
      </c>
      <c r="CY204" s="258">
        <f t="shared" si="1191"/>
        <v>0</v>
      </c>
      <c r="CZ204" s="258">
        <f t="shared" si="1192"/>
        <v>0</v>
      </c>
      <c r="DA204" s="258">
        <f t="shared" si="1193"/>
        <v>0</v>
      </c>
      <c r="DB204" s="258">
        <f t="shared" si="1194"/>
        <v>0</v>
      </c>
      <c r="DC204" s="258">
        <f t="shared" si="1195"/>
        <v>0</v>
      </c>
      <c r="DD204" s="258">
        <f t="shared" si="1196"/>
        <v>0</v>
      </c>
      <c r="DE204" s="258">
        <f t="shared" si="1197"/>
        <v>0</v>
      </c>
      <c r="DF204" s="19"/>
      <c r="DG204" s="19"/>
      <c r="DH204" s="19"/>
      <c r="DI204" s="19"/>
      <c r="DJ204" s="19"/>
      <c r="DK204" s="19"/>
      <c r="EB204"/>
      <c r="EC204"/>
      <c r="ED204"/>
      <c r="EE204"/>
      <c r="EF204"/>
      <c r="EG204"/>
    </row>
    <row r="205" spans="1:137" s="65" customFormat="1" ht="12.75" customHeight="1">
      <c r="A205" s="19"/>
      <c r="B205" s="13"/>
      <c r="C205" s="1"/>
      <c r="D205" s="19"/>
      <c r="E205" s="1"/>
      <c r="F205" s="188"/>
      <c r="G205" s="19"/>
      <c r="H205" s="1"/>
      <c r="I205" s="188"/>
      <c r="J205" s="188"/>
      <c r="K205" s="188"/>
      <c r="L205" s="188"/>
      <c r="M205" s="188"/>
      <c r="N205" s="188"/>
      <c r="O205" s="188"/>
      <c r="P205" s="188"/>
      <c r="Q205" s="188"/>
      <c r="R205" s="188"/>
      <c r="S205" s="188"/>
      <c r="T205" s="188"/>
      <c r="U205" s="188"/>
      <c r="V205" s="188"/>
      <c r="W205" s="188"/>
      <c r="X205" s="188"/>
      <c r="Y205" s="188"/>
      <c r="Z205" s="188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8"/>
      <c r="AR205" s="188"/>
      <c r="AS205" s="188"/>
      <c r="AT205" s="188"/>
      <c r="AU205" s="188"/>
      <c r="AV205" s="188"/>
      <c r="AW205" s="188"/>
      <c r="AX205" s="188"/>
      <c r="AY205" s="188"/>
      <c r="AZ205" s="188"/>
      <c r="BA205" s="188"/>
      <c r="BB205" s="188"/>
      <c r="BC205" s="188"/>
      <c r="BD205" s="188"/>
      <c r="BE205" s="188"/>
      <c r="BF205" s="188"/>
      <c r="BG205" s="188"/>
      <c r="BH205" s="188"/>
      <c r="BI205" s="188"/>
      <c r="BJ205" s="188"/>
      <c r="BK205" s="188"/>
      <c r="BL205" s="188"/>
      <c r="BM205" s="188"/>
      <c r="BN205" s="188"/>
      <c r="BO205" s="188"/>
      <c r="BP205" s="188"/>
      <c r="BQ205" s="188"/>
      <c r="BR205" s="188"/>
      <c r="BS205" s="188"/>
      <c r="BT205" s="188"/>
      <c r="BU205" s="188"/>
      <c r="BV205" s="188"/>
      <c r="BW205" s="188"/>
      <c r="BX205" s="188"/>
      <c r="BY205" s="188"/>
      <c r="BZ205" s="188"/>
      <c r="CA205" s="188"/>
      <c r="CB205" s="188"/>
      <c r="CC205" s="188"/>
      <c r="CD205" s="186"/>
      <c r="CE205" s="187"/>
      <c r="CF205" s="187"/>
      <c r="CG205" s="187"/>
      <c r="CH205" s="187"/>
      <c r="CI205" s="187"/>
      <c r="CJ205" s="187"/>
      <c r="CK205" s="188"/>
      <c r="CL205" s="192">
        <f t="shared" si="1178"/>
        <v>0</v>
      </c>
      <c r="CM205" s="188">
        <f t="shared" si="1179"/>
        <v>0</v>
      </c>
      <c r="CN205" s="188">
        <f t="shared" si="1180"/>
        <v>0</v>
      </c>
      <c r="CO205" s="188">
        <f t="shared" si="1181"/>
        <v>0</v>
      </c>
      <c r="CP205" s="188">
        <f t="shared" si="1182"/>
        <v>0</v>
      </c>
      <c r="CQ205" s="188">
        <f t="shared" si="1183"/>
        <v>0</v>
      </c>
      <c r="CR205" s="188">
        <f t="shared" si="1184"/>
        <v>0</v>
      </c>
      <c r="CS205" s="188">
        <f t="shared" si="1185"/>
        <v>0</v>
      </c>
      <c r="CT205" s="188">
        <f t="shared" si="1186"/>
        <v>0</v>
      </c>
      <c r="CU205" s="188">
        <f t="shared" si="1187"/>
        <v>0</v>
      </c>
      <c r="CV205" s="188">
        <f t="shared" si="1188"/>
        <v>0</v>
      </c>
      <c r="CW205" s="188">
        <f t="shared" si="1189"/>
        <v>0</v>
      </c>
      <c r="CX205" s="188">
        <f t="shared" si="1190"/>
        <v>0</v>
      </c>
      <c r="CY205" s="188">
        <f t="shared" si="1191"/>
        <v>0</v>
      </c>
      <c r="CZ205" s="188">
        <f t="shared" si="1192"/>
        <v>0</v>
      </c>
      <c r="DA205" s="188">
        <f t="shared" si="1193"/>
        <v>0</v>
      </c>
      <c r="DB205" s="188">
        <f t="shared" si="1194"/>
        <v>0</v>
      </c>
      <c r="DC205" s="188">
        <f t="shared" si="1195"/>
        <v>0</v>
      </c>
      <c r="DD205" s="188">
        <f t="shared" si="1196"/>
        <v>0</v>
      </c>
      <c r="DE205" s="188">
        <f t="shared" si="1197"/>
        <v>0</v>
      </c>
      <c r="DF205" s="19"/>
      <c r="DG205" s="19"/>
      <c r="DH205" s="19"/>
      <c r="DI205" s="19"/>
      <c r="DJ205" s="19"/>
      <c r="DK205" s="19"/>
      <c r="EB205"/>
      <c r="EC205"/>
      <c r="ED205"/>
      <c r="EE205"/>
      <c r="EF205"/>
      <c r="EG205"/>
    </row>
    <row r="206" spans="1:137" s="65" customFormat="1" ht="12.75" customHeight="1">
      <c r="A206" s="19"/>
      <c r="B206" s="14" t="s">
        <v>177</v>
      </c>
      <c r="C206" s="1"/>
      <c r="D206" s="19"/>
      <c r="E206" s="1"/>
      <c r="F206" s="188"/>
      <c r="G206" s="19"/>
      <c r="H206" s="1"/>
      <c r="I206" s="188"/>
      <c r="J206" s="188"/>
      <c r="K206" s="188"/>
      <c r="L206" s="188"/>
      <c r="M206" s="188"/>
      <c r="N206" s="188"/>
      <c r="O206" s="188"/>
      <c r="P206" s="188"/>
      <c r="Q206" s="188"/>
      <c r="R206" s="188"/>
      <c r="S206" s="188"/>
      <c r="T206" s="188"/>
      <c r="U206" s="188"/>
      <c r="V206" s="188"/>
      <c r="W206" s="188"/>
      <c r="X206" s="188"/>
      <c r="Y206" s="188"/>
      <c r="Z206" s="188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8"/>
      <c r="AR206" s="188"/>
      <c r="AS206" s="188"/>
      <c r="AT206" s="188"/>
      <c r="AU206" s="188"/>
      <c r="AV206" s="188"/>
      <c r="AW206" s="188"/>
      <c r="AX206" s="188"/>
      <c r="AY206" s="188"/>
      <c r="AZ206" s="188"/>
      <c r="BA206" s="188"/>
      <c r="BB206" s="188"/>
      <c r="BC206" s="188"/>
      <c r="BD206" s="188"/>
      <c r="BE206" s="188"/>
      <c r="BF206" s="188"/>
      <c r="BG206" s="188"/>
      <c r="BH206" s="188"/>
      <c r="BI206" s="188"/>
      <c r="BJ206" s="188"/>
      <c r="BK206" s="188"/>
      <c r="BL206" s="188"/>
      <c r="BM206" s="188"/>
      <c r="BN206" s="188"/>
      <c r="BO206" s="188"/>
      <c r="BP206" s="188"/>
      <c r="BQ206" s="188"/>
      <c r="BR206" s="188"/>
      <c r="BS206" s="188"/>
      <c r="BT206" s="188"/>
      <c r="BU206" s="188"/>
      <c r="BV206" s="188"/>
      <c r="BW206" s="188"/>
      <c r="BX206" s="188"/>
      <c r="BY206" s="188"/>
      <c r="BZ206" s="188"/>
      <c r="CA206" s="188"/>
      <c r="CB206" s="188"/>
      <c r="CC206" s="188"/>
      <c r="CD206" s="186"/>
      <c r="CE206" s="187"/>
      <c r="CF206" s="187"/>
      <c r="CG206" s="187"/>
      <c r="CH206" s="187"/>
      <c r="CI206" s="187"/>
      <c r="CJ206" s="187"/>
      <c r="CK206" s="188"/>
      <c r="CL206" s="192">
        <f t="shared" si="1178"/>
        <v>0</v>
      </c>
      <c r="CM206" s="188">
        <f t="shared" si="1179"/>
        <v>0</v>
      </c>
      <c r="CN206" s="188">
        <f t="shared" si="1180"/>
        <v>0</v>
      </c>
      <c r="CO206" s="188">
        <f t="shared" si="1181"/>
        <v>0</v>
      </c>
      <c r="CP206" s="188">
        <f t="shared" si="1182"/>
        <v>0</v>
      </c>
      <c r="CQ206" s="188">
        <f t="shared" si="1183"/>
        <v>0</v>
      </c>
      <c r="CR206" s="188">
        <f t="shared" si="1184"/>
        <v>0</v>
      </c>
      <c r="CS206" s="188">
        <f t="shared" si="1185"/>
        <v>0</v>
      </c>
      <c r="CT206" s="188">
        <f t="shared" si="1186"/>
        <v>0</v>
      </c>
      <c r="CU206" s="188">
        <f t="shared" si="1187"/>
        <v>0</v>
      </c>
      <c r="CV206" s="188">
        <f t="shared" si="1188"/>
        <v>0</v>
      </c>
      <c r="CW206" s="188">
        <f t="shared" si="1189"/>
        <v>0</v>
      </c>
      <c r="CX206" s="188">
        <f t="shared" si="1190"/>
        <v>0</v>
      </c>
      <c r="CY206" s="188">
        <f t="shared" si="1191"/>
        <v>0</v>
      </c>
      <c r="CZ206" s="188">
        <f t="shared" si="1192"/>
        <v>0</v>
      </c>
      <c r="DA206" s="188">
        <f t="shared" si="1193"/>
        <v>0</v>
      </c>
      <c r="DB206" s="188">
        <f t="shared" si="1194"/>
        <v>0</v>
      </c>
      <c r="DC206" s="188">
        <f t="shared" si="1195"/>
        <v>0</v>
      </c>
      <c r="DD206" s="188">
        <f t="shared" si="1196"/>
        <v>0</v>
      </c>
      <c r="DE206" s="188">
        <f t="shared" si="1197"/>
        <v>0</v>
      </c>
      <c r="DF206" s="19"/>
      <c r="DG206" s="19"/>
      <c r="DH206" s="19"/>
      <c r="DI206" s="19"/>
      <c r="DJ206" s="19"/>
      <c r="DK206" s="19"/>
      <c r="EB206"/>
      <c r="EC206"/>
      <c r="ED206"/>
      <c r="EE206"/>
      <c r="EF206"/>
      <c r="EG206"/>
    </row>
    <row r="207" spans="1:137" s="65" customFormat="1" ht="12.75" customHeight="1">
      <c r="A207" s="19"/>
      <c r="B207" s="13" t="s">
        <v>171</v>
      </c>
      <c r="C207" s="1"/>
      <c r="D207" s="19"/>
      <c r="E207" s="19"/>
      <c r="F207" s="188"/>
      <c r="G207" s="19"/>
      <c r="H207" s="19"/>
      <c r="I207" s="184">
        <v>324.85894680000001</v>
      </c>
      <c r="J207" s="66">
        <v>340.72752400000002</v>
      </c>
      <c r="K207" s="66">
        <f>J207+J208</f>
        <v>340.72752400000002</v>
      </c>
      <c r="L207" s="184">
        <v>343.161001</v>
      </c>
      <c r="M207" s="66">
        <f>L207</f>
        <v>343.161001</v>
      </c>
      <c r="N207" s="66">
        <f>SUM(M207:M208)</f>
        <v>555.93034320000004</v>
      </c>
      <c r="O207" s="184">
        <f>M207</f>
        <v>343.161001</v>
      </c>
      <c r="P207" s="66">
        <v>547.62</v>
      </c>
      <c r="Q207" s="66">
        <f>SUM(P207:P208)</f>
        <v>1233.8800000000001</v>
      </c>
      <c r="R207" s="184">
        <f>P207</f>
        <v>547.62</v>
      </c>
      <c r="S207" s="66">
        <v>1266.6857835999999</v>
      </c>
      <c r="T207" s="66">
        <f>SUM(S207:S208)</f>
        <v>1366.9677064</v>
      </c>
      <c r="U207" s="184">
        <f>S207</f>
        <v>1266.6857835999999</v>
      </c>
      <c r="V207" s="19">
        <f>SUM(T207:T208)</f>
        <v>1471.6277064000001</v>
      </c>
      <c r="W207" s="19">
        <f>SUM(V207:V208)</f>
        <v>1471.6277064000001</v>
      </c>
      <c r="X207" s="188">
        <f>V207</f>
        <v>1471.6277064000001</v>
      </c>
      <c r="Y207" s="19">
        <v>1605.0773773999999</v>
      </c>
      <c r="Z207" s="19">
        <v>1713.2339469999999</v>
      </c>
      <c r="AA207" s="188">
        <v>1605.0773773999999</v>
      </c>
      <c r="AB207" s="184">
        <f>SUM(Z207:Z208)</f>
        <v>1718.7428090000001</v>
      </c>
      <c r="AC207" s="188">
        <f>AB210</f>
        <v>1722.8979667632441</v>
      </c>
      <c r="AD207" s="188">
        <f>AB207</f>
        <v>1718.7428090000001</v>
      </c>
      <c r="AE207" s="188">
        <f>AD210</f>
        <v>1727.7</v>
      </c>
      <c r="AF207" s="188">
        <f>AE210</f>
        <v>1736.64</v>
      </c>
      <c r="AG207" s="188">
        <f>AD210</f>
        <v>1727.7</v>
      </c>
      <c r="AH207" s="188">
        <f>AG210</f>
        <v>1832.5187699999999</v>
      </c>
      <c r="AI207" s="188">
        <f>AH210</f>
        <v>1775.6</v>
      </c>
      <c r="AJ207" s="188">
        <f>AG210</f>
        <v>1832.5187699999999</v>
      </c>
      <c r="AK207" s="188">
        <f>AJ210</f>
        <v>1788.3</v>
      </c>
      <c r="AL207" s="188">
        <f>AK210</f>
        <v>1796</v>
      </c>
      <c r="AM207" s="188">
        <f>AJ210</f>
        <v>1788.3</v>
      </c>
      <c r="AN207" s="188">
        <f>AM210</f>
        <v>1798.4</v>
      </c>
      <c r="AO207" s="188">
        <f>AN210</f>
        <v>1809.2</v>
      </c>
      <c r="AP207" s="188">
        <f>AM210</f>
        <v>1798.4</v>
      </c>
      <c r="AQ207" s="188">
        <f>AP210</f>
        <v>1811.1712967511887</v>
      </c>
      <c r="AR207" s="188">
        <f>AQ210</f>
        <v>1813.8820000000001</v>
      </c>
      <c r="AS207" s="188">
        <f>AP210</f>
        <v>1811.1712967511887</v>
      </c>
      <c r="AT207" s="188">
        <f>AS210</f>
        <v>1813.8820000000001</v>
      </c>
      <c r="AU207" s="188">
        <f>AS211</f>
        <v>1826.2248811410459</v>
      </c>
      <c r="AV207" s="188">
        <f>AS210</f>
        <v>1813.8820000000001</v>
      </c>
      <c r="AW207" s="188">
        <f>AV210</f>
        <v>1846.2248811410459</v>
      </c>
      <c r="AX207" s="188">
        <f>AW210</f>
        <v>1861.2248811410459</v>
      </c>
      <c r="AY207" s="188">
        <f>AV210</f>
        <v>1846.2248811410459</v>
      </c>
      <c r="AZ207" s="188">
        <f>AY210</f>
        <v>1847.2</v>
      </c>
      <c r="BA207" s="188">
        <f>AZ210</f>
        <v>1868.2</v>
      </c>
      <c r="BB207" s="188">
        <f>AY210</f>
        <v>1847.2</v>
      </c>
      <c r="BC207" s="188">
        <f>BB210</f>
        <v>1868.2</v>
      </c>
      <c r="BD207" s="188">
        <f>BC210</f>
        <v>1880.5</v>
      </c>
      <c r="BE207" s="188">
        <f>BB210</f>
        <v>1868.2</v>
      </c>
      <c r="BF207" s="188">
        <f>BE211</f>
        <v>1890.7</v>
      </c>
      <c r="BG207" s="188">
        <f>BF210</f>
        <v>1899.2</v>
      </c>
      <c r="BH207" s="188">
        <f>BE210</f>
        <v>1883.8</v>
      </c>
      <c r="BI207" s="188">
        <f>BH210</f>
        <v>1899.2</v>
      </c>
      <c r="BJ207" s="188">
        <f>BI210</f>
        <v>1911.6</v>
      </c>
      <c r="BK207" s="188">
        <f>BH210</f>
        <v>1899.2</v>
      </c>
      <c r="BL207" s="188">
        <f>BK210</f>
        <v>2031.2</v>
      </c>
      <c r="BM207" s="188">
        <f>BL210</f>
        <v>2044.8</v>
      </c>
      <c r="BN207" s="188">
        <f>BK210</f>
        <v>2031.2</v>
      </c>
      <c r="BO207" s="188">
        <f>BN210</f>
        <v>2044.8</v>
      </c>
      <c r="BP207" s="188">
        <f>BO210</f>
        <v>2044.8</v>
      </c>
      <c r="BQ207" s="188">
        <f>BN210</f>
        <v>2044.8</v>
      </c>
      <c r="BR207" s="188">
        <f>BQ210</f>
        <v>2044.8</v>
      </c>
      <c r="BS207" s="188">
        <f>BR210</f>
        <v>2044.8</v>
      </c>
      <c r="BT207" s="188">
        <f>BQ210</f>
        <v>2044.8</v>
      </c>
      <c r="BU207" s="188">
        <f>BT210</f>
        <v>2044.8</v>
      </c>
      <c r="BV207" s="188">
        <f>BU210</f>
        <v>2044.8</v>
      </c>
      <c r="BW207" s="188">
        <f>BT210</f>
        <v>2044.8</v>
      </c>
      <c r="BX207" s="188">
        <f>BW210</f>
        <v>2044.8</v>
      </c>
      <c r="BY207" s="188">
        <f>BX210</f>
        <v>2044.8</v>
      </c>
      <c r="BZ207" s="188">
        <f>BW210</f>
        <v>2044.8</v>
      </c>
      <c r="CA207" s="188">
        <f>BZ210</f>
        <v>2044.8</v>
      </c>
      <c r="CB207" s="188">
        <f>CA210</f>
        <v>2044.8</v>
      </c>
      <c r="CC207" s="188">
        <f>BZ210</f>
        <v>2044.8</v>
      </c>
      <c r="CD207" s="186"/>
      <c r="CE207" s="187"/>
      <c r="CF207" s="187">
        <v>1783.2</v>
      </c>
      <c r="CG207" s="187"/>
      <c r="CH207" s="187"/>
      <c r="CI207" s="187"/>
      <c r="CJ207" s="187"/>
      <c r="CK207" s="188"/>
      <c r="CL207" s="192">
        <f t="shared" si="1178"/>
        <v>1471.6277064000001</v>
      </c>
      <c r="CM207" s="188">
        <f t="shared" si="1179"/>
        <v>1605.0773773999999</v>
      </c>
      <c r="CN207" s="188">
        <f t="shared" si="1180"/>
        <v>1718.7428090000001</v>
      </c>
      <c r="CO207" s="188">
        <f t="shared" si="1181"/>
        <v>1727.7</v>
      </c>
      <c r="CP207" s="188">
        <f t="shared" si="1182"/>
        <v>1832.5187699999999</v>
      </c>
      <c r="CQ207" s="188">
        <f t="shared" si="1183"/>
        <v>1788.3</v>
      </c>
      <c r="CR207" s="188">
        <f t="shared" si="1184"/>
        <v>1798.4</v>
      </c>
      <c r="CS207" s="188">
        <f t="shared" si="1185"/>
        <v>1811.1712967511887</v>
      </c>
      <c r="CT207" s="188">
        <f t="shared" si="1186"/>
        <v>1813.8820000000001</v>
      </c>
      <c r="CU207" s="188">
        <f t="shared" si="1187"/>
        <v>1846.2248811410459</v>
      </c>
      <c r="CV207" s="188">
        <f t="shared" si="1188"/>
        <v>1847.2</v>
      </c>
      <c r="CW207" s="188">
        <f t="shared" si="1189"/>
        <v>1868.2</v>
      </c>
      <c r="CX207" s="188">
        <f t="shared" si="1190"/>
        <v>1883.8</v>
      </c>
      <c r="CY207" s="188">
        <f t="shared" si="1191"/>
        <v>1899.2</v>
      </c>
      <c r="CZ207" s="188">
        <f t="shared" si="1192"/>
        <v>2031.2</v>
      </c>
      <c r="DA207" s="188">
        <f t="shared" si="1193"/>
        <v>2044.8</v>
      </c>
      <c r="DB207" s="188">
        <f t="shared" si="1194"/>
        <v>2044.8</v>
      </c>
      <c r="DC207" s="188">
        <f t="shared" si="1195"/>
        <v>2044.8</v>
      </c>
      <c r="DD207" s="188">
        <f t="shared" si="1196"/>
        <v>2044.8</v>
      </c>
      <c r="DE207" s="188">
        <f t="shared" si="1197"/>
        <v>2044.8</v>
      </c>
      <c r="DF207" s="19"/>
      <c r="DG207" s="19"/>
      <c r="DH207" s="19"/>
      <c r="DI207" s="19"/>
      <c r="DJ207" s="19"/>
      <c r="DK207" s="19"/>
      <c r="EB207"/>
      <c r="EC207"/>
      <c r="ED207"/>
      <c r="EE207"/>
      <c r="EF207"/>
      <c r="EG207"/>
    </row>
    <row r="208" spans="1:137" s="65" customFormat="1" ht="12.75" customHeight="1">
      <c r="A208" s="19"/>
      <c r="B208" s="13" t="s">
        <v>175</v>
      </c>
      <c r="C208" s="1"/>
      <c r="D208" s="19"/>
      <c r="E208" s="1"/>
      <c r="F208" s="188"/>
      <c r="G208" s="19"/>
      <c r="H208" s="1"/>
      <c r="I208" s="184"/>
      <c r="J208" s="66"/>
      <c r="K208" s="264"/>
      <c r="L208" s="184">
        <f>SUM(J208:K208)</f>
        <v>0</v>
      </c>
      <c r="M208" s="66">
        <v>212.76934220000001</v>
      </c>
      <c r="N208" s="264"/>
      <c r="O208" s="184">
        <v>204.43948</v>
      </c>
      <c r="P208" s="66">
        <v>686.26</v>
      </c>
      <c r="Q208" s="264">
        <v>32.825302599999986</v>
      </c>
      <c r="R208" s="184">
        <v>719.08530259999998</v>
      </c>
      <c r="S208" s="66">
        <v>100.28192279999999</v>
      </c>
      <c r="T208" s="264">
        <v>104.66</v>
      </c>
      <c r="U208" s="184">
        <f>SUM(S208:T208)</f>
        <v>204.94192279999999</v>
      </c>
      <c r="V208" s="19"/>
      <c r="W208" s="1">
        <v>133.44967099999997</v>
      </c>
      <c r="X208" s="188">
        <f>SUM(V208:W208)</f>
        <v>133.44967099999997</v>
      </c>
      <c r="Y208" s="19">
        <v>108.15656960000001</v>
      </c>
      <c r="Z208" s="1">
        <v>5.5088620000001356</v>
      </c>
      <c r="AA208" s="188">
        <v>113.66543160000015</v>
      </c>
      <c r="AB208" s="184">
        <v>9.4882558699569959</v>
      </c>
      <c r="AC208" s="188">
        <f>+AC218</f>
        <v>8.9400000000000013</v>
      </c>
      <c r="AD208" s="188">
        <f>SUM(AB208:AC208)</f>
        <v>18.428255869956999</v>
      </c>
      <c r="AE208" s="188">
        <f>+AE218</f>
        <v>8.9400000000000013</v>
      </c>
      <c r="AF208" s="188">
        <f>+AF218</f>
        <v>9.7083502483499995</v>
      </c>
      <c r="AG208" s="188">
        <f>SUM(AE208:AF208)</f>
        <v>18.648350248349999</v>
      </c>
      <c r="AH208" s="188">
        <f t="shared" ref="AH208:AO208" si="1215">+AH218</f>
        <v>7.0907942947702063</v>
      </c>
      <c r="AI208" s="188">
        <f>AI210-AI207</f>
        <v>12.700000000000045</v>
      </c>
      <c r="AJ208" s="188">
        <f>SUM(AH208:AI208)</f>
        <v>19.790794294770251</v>
      </c>
      <c r="AK208" s="188">
        <v>11</v>
      </c>
      <c r="AL208" s="188">
        <f t="shared" si="1215"/>
        <v>1.807190966719493</v>
      </c>
      <c r="AM208" s="188">
        <f>SUM(AK208:AL208)</f>
        <v>12.807190966719492</v>
      </c>
      <c r="AN208" s="188">
        <f t="shared" si="1215"/>
        <v>1.8806148969889067</v>
      </c>
      <c r="AO208" s="188">
        <f t="shared" si="1215"/>
        <v>1.9712967511885899</v>
      </c>
      <c r="AP208" s="188">
        <f>SUM(AN208:AO208)</f>
        <v>3.8519116481774969</v>
      </c>
      <c r="AQ208" s="188"/>
      <c r="AR208" s="188"/>
      <c r="AS208" s="188">
        <f>SUM(AQ208:AR208)</f>
        <v>0</v>
      </c>
      <c r="AT208" s="188"/>
      <c r="AU208" s="188">
        <v>20</v>
      </c>
      <c r="AV208" s="188">
        <f>SUM(AT208:AU208)</f>
        <v>20</v>
      </c>
      <c r="AW208" s="188">
        <v>15</v>
      </c>
      <c r="AX208" s="188">
        <v>10</v>
      </c>
      <c r="AY208" s="188">
        <f>SUM(AW208:AX208)</f>
        <v>25</v>
      </c>
      <c r="AZ208" s="188">
        <f>AZ198*0.5</f>
        <v>8.1499999999999773</v>
      </c>
      <c r="BA208" s="188">
        <f>BA198*0.5</f>
        <v>2.5</v>
      </c>
      <c r="BB208" s="188">
        <f>SUM(AZ208:BA208)</f>
        <v>10.649999999999977</v>
      </c>
      <c r="BC208" s="188">
        <v>10</v>
      </c>
      <c r="BD208" s="188">
        <v>10</v>
      </c>
      <c r="BE208" s="188">
        <f>SUM(BC208:BD208)</f>
        <v>20</v>
      </c>
      <c r="BF208" s="188">
        <v>5</v>
      </c>
      <c r="BG208" s="188">
        <v>10</v>
      </c>
      <c r="BH208" s="188">
        <f>SUM(BF208:BG208)</f>
        <v>15</v>
      </c>
      <c r="BI208" s="188">
        <f>BI198</f>
        <v>5</v>
      </c>
      <c r="BJ208" s="188">
        <f>BJ232+5</f>
        <v>124.40298507462687</v>
      </c>
      <c r="BK208" s="188">
        <f>SUM(BI208:BJ208)</f>
        <v>129.40298507462688</v>
      </c>
      <c r="BL208" s="188">
        <f>BL210-BL207</f>
        <v>13.599999999999909</v>
      </c>
      <c r="BM208" s="188"/>
      <c r="BN208" s="188">
        <f>SUM(BL208:BM208)</f>
        <v>13.599999999999909</v>
      </c>
      <c r="BO208" s="188"/>
      <c r="BP208" s="188"/>
      <c r="BQ208" s="188">
        <f>SUM(BO208:BP208)</f>
        <v>0</v>
      </c>
      <c r="BR208" s="188"/>
      <c r="BS208" s="188"/>
      <c r="BT208" s="188">
        <f>SUM(BR208:BS208)</f>
        <v>0</v>
      </c>
      <c r="BU208" s="188"/>
      <c r="BV208" s="188"/>
      <c r="BW208" s="188">
        <f>SUM(BU208:BV208)</f>
        <v>0</v>
      </c>
      <c r="BX208" s="188"/>
      <c r="BY208" s="188"/>
      <c r="BZ208" s="188">
        <f>SUM(BX208:BY208)</f>
        <v>0</v>
      </c>
      <c r="CA208" s="188"/>
      <c r="CB208" s="188"/>
      <c r="CC208" s="188">
        <f>SUM(CA208:CB208)</f>
        <v>0</v>
      </c>
      <c r="CD208" s="186"/>
      <c r="CE208" s="187"/>
      <c r="CF208" s="187">
        <v>94.3</v>
      </c>
      <c r="CG208" s="187">
        <f>CF207/CF208*100</f>
        <v>1890.9862142099682</v>
      </c>
      <c r="CH208" s="187"/>
      <c r="CI208" s="187"/>
      <c r="CJ208" s="187"/>
      <c r="CK208" s="188"/>
      <c r="CL208" s="192">
        <f t="shared" si="1178"/>
        <v>133.44967099999997</v>
      </c>
      <c r="CM208" s="188">
        <f t="shared" si="1179"/>
        <v>113.66543160000015</v>
      </c>
      <c r="CN208" s="188">
        <f t="shared" si="1180"/>
        <v>18.428255869956999</v>
      </c>
      <c r="CO208" s="188">
        <f t="shared" si="1181"/>
        <v>18.648350248349999</v>
      </c>
      <c r="CP208" s="188">
        <f t="shared" si="1182"/>
        <v>19.790794294770251</v>
      </c>
      <c r="CQ208" s="188">
        <f t="shared" si="1183"/>
        <v>12.807190966719492</v>
      </c>
      <c r="CR208" s="188">
        <f t="shared" si="1184"/>
        <v>3.8519116481774969</v>
      </c>
      <c r="CS208" s="188">
        <f t="shared" si="1185"/>
        <v>0</v>
      </c>
      <c r="CT208" s="188">
        <f t="shared" si="1186"/>
        <v>20</v>
      </c>
      <c r="CU208" s="188">
        <f t="shared" si="1187"/>
        <v>25</v>
      </c>
      <c r="CV208" s="188">
        <f t="shared" si="1188"/>
        <v>10.649999999999977</v>
      </c>
      <c r="CW208" s="188">
        <f t="shared" si="1189"/>
        <v>20</v>
      </c>
      <c r="CX208" s="188">
        <f t="shared" si="1190"/>
        <v>15</v>
      </c>
      <c r="CY208" s="188">
        <f t="shared" si="1191"/>
        <v>129.40298507462688</v>
      </c>
      <c r="CZ208" s="188">
        <f t="shared" si="1192"/>
        <v>13.599999999999909</v>
      </c>
      <c r="DA208" s="188">
        <f t="shared" si="1193"/>
        <v>0</v>
      </c>
      <c r="DB208" s="188">
        <f t="shared" si="1194"/>
        <v>0</v>
      </c>
      <c r="DC208" s="188">
        <f t="shared" si="1195"/>
        <v>0</v>
      </c>
      <c r="DD208" s="188">
        <f t="shared" si="1196"/>
        <v>0</v>
      </c>
      <c r="DE208" s="188">
        <f t="shared" si="1197"/>
        <v>0</v>
      </c>
      <c r="DF208" s="19"/>
      <c r="DG208" s="19"/>
      <c r="DH208" s="19"/>
      <c r="DI208" s="19"/>
      <c r="DJ208" s="19"/>
      <c r="DK208" s="19"/>
      <c r="EB208"/>
      <c r="EC208"/>
      <c r="ED208"/>
      <c r="EE208"/>
      <c r="EF208"/>
      <c r="EG208"/>
    </row>
    <row r="209" spans="1:137" s="65" customFormat="1" ht="12.75" customHeight="1">
      <c r="A209" s="19"/>
      <c r="B209" s="13" t="s">
        <v>178</v>
      </c>
      <c r="C209" s="1"/>
      <c r="D209" s="19"/>
      <c r="E209" s="1"/>
      <c r="F209" s="188"/>
      <c r="G209" s="19"/>
      <c r="H209" s="1"/>
      <c r="I209" s="184">
        <v>14.324489399999999</v>
      </c>
      <c r="J209" s="66">
        <v>6.0220066000000001</v>
      </c>
      <c r="K209" s="264">
        <v>8.1165282000000012</v>
      </c>
      <c r="L209" s="184">
        <v>8.1165282000000012</v>
      </c>
      <c r="M209" s="66">
        <v>8.3298621999999991</v>
      </c>
      <c r="N209" s="264">
        <v>8.3298621999999991</v>
      </c>
      <c r="O209" s="184">
        <v>8.3298621999999991</v>
      </c>
      <c r="P209" s="66">
        <v>7.2644000000000002</v>
      </c>
      <c r="Q209" s="264">
        <v>107.54632279999998</v>
      </c>
      <c r="R209" s="184">
        <v>107.54632279999998</v>
      </c>
      <c r="S209" s="66">
        <v>1.6</v>
      </c>
      <c r="T209" s="264">
        <v>8.4</v>
      </c>
      <c r="U209" s="184">
        <v>8.4</v>
      </c>
      <c r="V209" s="19">
        <v>0</v>
      </c>
      <c r="W209" s="1">
        <v>10</v>
      </c>
      <c r="X209" s="188">
        <v>10</v>
      </c>
      <c r="Y209" s="19">
        <v>23.6</v>
      </c>
      <c r="Z209" s="1">
        <v>23.6</v>
      </c>
      <c r="AA209" s="188">
        <v>23.6</v>
      </c>
      <c r="AB209" s="184">
        <v>4.1551577632440058</v>
      </c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8"/>
      <c r="AR209" s="188"/>
      <c r="AS209" s="188"/>
      <c r="AT209" s="188"/>
      <c r="AU209" s="188"/>
      <c r="AV209" s="188"/>
      <c r="AW209" s="188"/>
      <c r="AX209" s="188"/>
      <c r="AY209" s="188"/>
      <c r="AZ209" s="188"/>
      <c r="BA209" s="188"/>
      <c r="BB209" s="188"/>
      <c r="BC209" s="188"/>
      <c r="BD209" s="188"/>
      <c r="BE209" s="188"/>
      <c r="BF209" s="188"/>
      <c r="BG209" s="188"/>
      <c r="BH209" s="188"/>
      <c r="BI209" s="188"/>
      <c r="BJ209" s="188"/>
      <c r="BK209" s="188"/>
      <c r="BL209" s="188"/>
      <c r="BM209" s="188"/>
      <c r="BN209" s="188"/>
      <c r="BO209" s="188"/>
      <c r="BP209" s="188"/>
      <c r="BQ209" s="188"/>
      <c r="BR209" s="188"/>
      <c r="BS209" s="188"/>
      <c r="BT209" s="188"/>
      <c r="BU209" s="188"/>
      <c r="BV209" s="188"/>
      <c r="BW209" s="188"/>
      <c r="BX209" s="188"/>
      <c r="BY209" s="188"/>
      <c r="BZ209" s="188"/>
      <c r="CA209" s="188"/>
      <c r="CB209" s="188"/>
      <c r="CC209" s="188"/>
      <c r="CD209" s="186"/>
      <c r="CE209" s="187"/>
      <c r="CF209" s="187"/>
      <c r="CG209" s="187"/>
      <c r="CH209" s="187"/>
      <c r="CI209" s="187"/>
      <c r="CJ209" s="187"/>
      <c r="CK209" s="188"/>
      <c r="CL209" s="192"/>
      <c r="CM209" s="188"/>
      <c r="CN209" s="188"/>
      <c r="CO209" s="188"/>
      <c r="CP209" s="188"/>
      <c r="CQ209" s="188"/>
      <c r="CR209" s="188"/>
      <c r="CS209" s="188"/>
      <c r="CT209" s="188"/>
      <c r="CU209" s="188"/>
      <c r="CV209" s="188"/>
      <c r="CW209" s="188"/>
      <c r="CX209" s="188"/>
      <c r="CY209" s="188"/>
      <c r="CZ209" s="188"/>
      <c r="DA209" s="188"/>
      <c r="DB209" s="188"/>
      <c r="DC209" s="188"/>
      <c r="DD209" s="188"/>
      <c r="DE209" s="188"/>
      <c r="DF209" s="19"/>
      <c r="DG209" s="19"/>
      <c r="DH209" s="19"/>
      <c r="DI209" s="19"/>
      <c r="DJ209" s="19"/>
      <c r="DK209" s="19"/>
      <c r="EB209"/>
      <c r="EC209"/>
      <c r="ED209"/>
      <c r="EE209"/>
      <c r="EF209"/>
      <c r="EG209"/>
    </row>
    <row r="210" spans="1:137" s="262" customFormat="1" ht="12.75" customHeight="1">
      <c r="A210" s="255"/>
      <c r="B210" s="256" t="s">
        <v>176</v>
      </c>
      <c r="C210" s="257"/>
      <c r="D210" s="255"/>
      <c r="E210" s="255"/>
      <c r="F210" s="258"/>
      <c r="G210" s="255"/>
      <c r="H210" s="255"/>
      <c r="I210" s="263">
        <f t="shared" ref="I210:O210" si="1216">SUM(I207:I208)-I209</f>
        <v>310.53445740000001</v>
      </c>
      <c r="J210" s="263">
        <f t="shared" si="1216"/>
        <v>334.70551740000002</v>
      </c>
      <c r="K210" s="263">
        <f t="shared" si="1216"/>
        <v>332.61099580000001</v>
      </c>
      <c r="L210" s="263">
        <f t="shared" si="1216"/>
        <v>335.04447279999999</v>
      </c>
      <c r="M210" s="263">
        <f t="shared" si="1216"/>
        <v>547.60048100000006</v>
      </c>
      <c r="N210" s="263">
        <f t="shared" si="1216"/>
        <v>547.60048100000006</v>
      </c>
      <c r="O210" s="263">
        <f t="shared" si="1216"/>
        <v>539.27061879999997</v>
      </c>
      <c r="P210" s="263">
        <v>1469.4549022831059</v>
      </c>
      <c r="Q210" s="263">
        <v>1602.5621276831057</v>
      </c>
      <c r="R210" s="263">
        <v>1602.5426086831058</v>
      </c>
      <c r="S210" s="263">
        <v>1596.8782086831059</v>
      </c>
      <c r="T210" s="263">
        <v>1603.6782086831063</v>
      </c>
      <c r="U210" s="263">
        <f>T210</f>
        <v>1603.6782086831063</v>
      </c>
      <c r="V210" s="258">
        <v>1474.7</v>
      </c>
      <c r="W210" s="258">
        <v>1566</v>
      </c>
      <c r="X210" s="258">
        <f>SUM(X207:X209)</f>
        <v>1615.0773773999999</v>
      </c>
      <c r="Y210" s="258">
        <v>1736.8339469999999</v>
      </c>
      <c r="Z210" s="258">
        <v>1742.342809</v>
      </c>
      <c r="AA210" s="258">
        <v>1742.342809</v>
      </c>
      <c r="AB210" s="263">
        <v>1722.8979667632441</v>
      </c>
      <c r="AC210" s="258">
        <v>1727.7</v>
      </c>
      <c r="AD210" s="258">
        <f>AC210</f>
        <v>1727.7</v>
      </c>
      <c r="AE210" s="258">
        <f>SUM(AE207:AE208)</f>
        <v>1736.64</v>
      </c>
      <c r="AF210" s="258">
        <v>1832.5187699999999</v>
      </c>
      <c r="AG210" s="258">
        <f>AF210</f>
        <v>1832.5187699999999</v>
      </c>
      <c r="AH210" s="258">
        <f>+AH211</f>
        <v>1775.6</v>
      </c>
      <c r="AI210" s="258">
        <v>1788.3</v>
      </c>
      <c r="AJ210" s="258">
        <f>AI210</f>
        <v>1788.3</v>
      </c>
      <c r="AK210" s="258">
        <f>AK211</f>
        <v>1796</v>
      </c>
      <c r="AL210" s="258">
        <f>SUM(AL207:AL208)</f>
        <v>1797.8071909667194</v>
      </c>
      <c r="AM210" s="258">
        <f>AM211</f>
        <v>1798.4</v>
      </c>
      <c r="AN210" s="258">
        <f>AN211</f>
        <v>1809.2</v>
      </c>
      <c r="AO210" s="258">
        <f>SUM(AO207:AO208)</f>
        <v>1811.1712967511887</v>
      </c>
      <c r="AP210" s="258">
        <f>AO210</f>
        <v>1811.1712967511887</v>
      </c>
      <c r="AQ210" s="258">
        <v>1813.8820000000001</v>
      </c>
      <c r="AR210" s="258">
        <f>SUM(AR207:AR208)</f>
        <v>1813.8820000000001</v>
      </c>
      <c r="AS210" s="258">
        <f>AR210</f>
        <v>1813.8820000000001</v>
      </c>
      <c r="AT210" s="258">
        <v>1824.674</v>
      </c>
      <c r="AU210" s="258">
        <f>SUM(AU207:AU208)</f>
        <v>1846.2248811410459</v>
      </c>
      <c r="AV210" s="258">
        <f>AU210</f>
        <v>1846.2248811410459</v>
      </c>
      <c r="AW210" s="258">
        <f>SUM(AW207:AW208)</f>
        <v>1861.2248811410459</v>
      </c>
      <c r="AX210" s="258">
        <v>1847.2</v>
      </c>
      <c r="AY210" s="258">
        <f>AX210</f>
        <v>1847.2</v>
      </c>
      <c r="AZ210" s="258">
        <f>AZ211</f>
        <v>1868.2</v>
      </c>
      <c r="BA210" s="258">
        <f>BA211</f>
        <v>1868.2</v>
      </c>
      <c r="BB210" s="258">
        <f>BA210</f>
        <v>1868.2</v>
      </c>
      <c r="BC210" s="258">
        <v>1880.5</v>
      </c>
      <c r="BD210" s="258">
        <f>SUM(BD207:BD208)</f>
        <v>1890.5</v>
      </c>
      <c r="BE210" s="258">
        <v>1883.8</v>
      </c>
      <c r="BF210" s="258">
        <v>1899.2</v>
      </c>
      <c r="BG210" s="258">
        <v>1899.2</v>
      </c>
      <c r="BH210" s="258">
        <f>BG210</f>
        <v>1899.2</v>
      </c>
      <c r="BI210" s="258">
        <v>1911.6</v>
      </c>
      <c r="BJ210" s="263">
        <v>2031.2</v>
      </c>
      <c r="BK210" s="263">
        <f>BJ210</f>
        <v>2031.2</v>
      </c>
      <c r="BL210" s="258">
        <v>2044.8</v>
      </c>
      <c r="BM210" s="258">
        <f>SUM(BM207:BM208)</f>
        <v>2044.8</v>
      </c>
      <c r="BN210" s="258">
        <f>BM210</f>
        <v>2044.8</v>
      </c>
      <c r="BO210" s="258">
        <f>SUM(BO207:BO208)</f>
        <v>2044.8</v>
      </c>
      <c r="BP210" s="258">
        <f>SUM(BP207:BP208)</f>
        <v>2044.8</v>
      </c>
      <c r="BQ210" s="258">
        <f>BP210</f>
        <v>2044.8</v>
      </c>
      <c r="BR210" s="258">
        <f>SUM(BR207:BR208)</f>
        <v>2044.8</v>
      </c>
      <c r="BS210" s="258">
        <f>SUM(BS207:BS208)</f>
        <v>2044.8</v>
      </c>
      <c r="BT210" s="258">
        <f>BS210</f>
        <v>2044.8</v>
      </c>
      <c r="BU210" s="258">
        <f>SUM(BU207:BU208)</f>
        <v>2044.8</v>
      </c>
      <c r="BV210" s="258">
        <f>SUM(BV207:BV208)</f>
        <v>2044.8</v>
      </c>
      <c r="BW210" s="258">
        <f>BV210</f>
        <v>2044.8</v>
      </c>
      <c r="BX210" s="258">
        <f>SUM(BX207:BX208)</f>
        <v>2044.8</v>
      </c>
      <c r="BY210" s="258">
        <f>SUM(BY207:BY208)</f>
        <v>2044.8</v>
      </c>
      <c r="BZ210" s="258">
        <f>BY210</f>
        <v>2044.8</v>
      </c>
      <c r="CA210" s="258">
        <f>SUM(CA207:CA208)</f>
        <v>2044.8</v>
      </c>
      <c r="CB210" s="258">
        <f>SUM(CB207:CB208)</f>
        <v>2044.8</v>
      </c>
      <c r="CC210" s="258">
        <f>CB210</f>
        <v>2044.8</v>
      </c>
      <c r="CD210" s="259"/>
      <c r="CE210" s="260"/>
      <c r="CF210" s="260"/>
      <c r="CG210" s="260"/>
      <c r="CH210" s="260"/>
      <c r="CI210" s="260"/>
      <c r="CJ210" s="260"/>
      <c r="CK210" s="188"/>
      <c r="CL210" s="261">
        <f>X210</f>
        <v>1615.0773773999999</v>
      </c>
      <c r="CM210" s="258">
        <f>AA210</f>
        <v>1742.342809</v>
      </c>
      <c r="CN210" s="258">
        <f>AD210</f>
        <v>1727.7</v>
      </c>
      <c r="CO210" s="258">
        <f>AG210</f>
        <v>1832.5187699999999</v>
      </c>
      <c r="CP210" s="258">
        <f>AJ210</f>
        <v>1788.3</v>
      </c>
      <c r="CQ210" s="258">
        <f>AM210</f>
        <v>1798.4</v>
      </c>
      <c r="CR210" s="258">
        <f>AP210</f>
        <v>1811.1712967511887</v>
      </c>
      <c r="CS210" s="258">
        <f>AS210</f>
        <v>1813.8820000000001</v>
      </c>
      <c r="CT210" s="258">
        <f>AV210</f>
        <v>1846.2248811410459</v>
      </c>
      <c r="CU210" s="258">
        <f>AY210</f>
        <v>1847.2</v>
      </c>
      <c r="CV210" s="258">
        <f>BB210</f>
        <v>1868.2</v>
      </c>
      <c r="CW210" s="258">
        <f>BE210</f>
        <v>1883.8</v>
      </c>
      <c r="CX210" s="258">
        <f>BH210</f>
        <v>1899.2</v>
      </c>
      <c r="CY210" s="258">
        <f>BK210</f>
        <v>2031.2</v>
      </c>
      <c r="CZ210" s="258">
        <f>BN210</f>
        <v>2044.8</v>
      </c>
      <c r="DA210" s="258">
        <f>BQ210</f>
        <v>2044.8</v>
      </c>
      <c r="DB210" s="258">
        <f>BT210</f>
        <v>2044.8</v>
      </c>
      <c r="DC210" s="258">
        <f>BW210</f>
        <v>2044.8</v>
      </c>
      <c r="DD210" s="258">
        <f>BZ210</f>
        <v>2044.8</v>
      </c>
      <c r="DE210" s="258">
        <f>CC210</f>
        <v>2044.8</v>
      </c>
      <c r="DF210" s="19"/>
      <c r="DG210" s="19"/>
      <c r="DH210" s="19"/>
      <c r="DI210" s="19"/>
      <c r="DJ210" s="19"/>
      <c r="DK210" s="19"/>
      <c r="EB210"/>
      <c r="EC210"/>
      <c r="ED210"/>
      <c r="EE210"/>
      <c r="EF210"/>
      <c r="EG210"/>
    </row>
    <row r="211" spans="1:137" s="65" customFormat="1" ht="12.75" customHeight="1">
      <c r="A211" s="19"/>
      <c r="B211" s="256" t="s">
        <v>179</v>
      </c>
      <c r="C211" s="263"/>
      <c r="D211" s="265"/>
      <c r="E211" s="255"/>
      <c r="F211" s="263"/>
      <c r="G211" s="266"/>
      <c r="H211" s="263">
        <v>308.73045070000001</v>
      </c>
      <c r="I211" s="263">
        <v>310.53445740000001</v>
      </c>
      <c r="J211" s="263">
        <v>332.3</v>
      </c>
      <c r="K211" s="263">
        <v>335.51515151515162</v>
      </c>
      <c r="L211" s="263">
        <v>333.58823529411768</v>
      </c>
      <c r="M211" s="263">
        <v>390.14742039999999</v>
      </c>
      <c r="N211" s="263">
        <v>547.60048100000006</v>
      </c>
      <c r="O211" s="263">
        <v>571.56227460000002</v>
      </c>
      <c r="P211" s="263">
        <v>992.9</v>
      </c>
      <c r="Q211" s="263">
        <v>1602.5621276831057</v>
      </c>
      <c r="R211" s="263">
        <v>1276.1904</v>
      </c>
      <c r="S211" s="263">
        <v>1311.5</v>
      </c>
      <c r="T211" s="263">
        <v>1395</v>
      </c>
      <c r="U211" s="263">
        <v>1356.9</v>
      </c>
      <c r="V211" s="263">
        <v>1474.7</v>
      </c>
      <c r="W211" s="263">
        <v>1566</v>
      </c>
      <c r="X211" s="263">
        <v>1519.2</v>
      </c>
      <c r="Y211" s="263">
        <v>1654.6289650000001</v>
      </c>
      <c r="Z211" s="263">
        <v>1698.7</v>
      </c>
      <c r="AA211" s="263">
        <v>1677.4</v>
      </c>
      <c r="AB211" s="263">
        <v>1725</v>
      </c>
      <c r="AC211" s="263">
        <v>1727.7</v>
      </c>
      <c r="AD211" s="263">
        <f>AVERAGE(AB211:AC211)</f>
        <v>1726.35</v>
      </c>
      <c r="AE211" s="267">
        <f>1739.752297+9.5</f>
        <v>1749.252297</v>
      </c>
      <c r="AF211" s="263">
        <f>AVERAGE(AG211,AE211)</f>
        <v>1751.9761484999999</v>
      </c>
      <c r="AG211" s="263">
        <v>1754.7</v>
      </c>
      <c r="AH211" s="263">
        <v>1775.6</v>
      </c>
      <c r="AI211" s="263">
        <f>AVERAGE(AH210:AI210)</f>
        <v>1781.9499999999998</v>
      </c>
      <c r="AJ211" s="263">
        <v>1781.2</v>
      </c>
      <c r="AK211" s="263">
        <v>1796</v>
      </c>
      <c r="AL211" s="263">
        <f>1787.3+11.1</f>
        <v>1798.3999999999999</v>
      </c>
      <c r="AM211" s="263">
        <v>1798.4</v>
      </c>
      <c r="AN211" s="263">
        <v>1809.2</v>
      </c>
      <c r="AO211" s="263">
        <f>AP211</f>
        <v>1810.8</v>
      </c>
      <c r="AP211" s="263">
        <v>1810.8</v>
      </c>
      <c r="AQ211" s="268">
        <v>1824.5</v>
      </c>
      <c r="AR211" s="263">
        <f>AVERAGE(AQ210:AR210)+AQ211-AQ210+AR218</f>
        <v>1826.2248811410459</v>
      </c>
      <c r="AS211" s="263">
        <f>AR211</f>
        <v>1826.2248811410459</v>
      </c>
      <c r="AT211" s="263">
        <v>1841.6</v>
      </c>
      <c r="AU211" s="263">
        <f>AV211</f>
        <v>1843.8</v>
      </c>
      <c r="AV211" s="263">
        <v>1843.8</v>
      </c>
      <c r="AW211" s="263">
        <f t="shared" ref="AW211:BI211" si="1217">AW210</f>
        <v>1861.2248811410459</v>
      </c>
      <c r="AX211" s="263">
        <f t="shared" si="1217"/>
        <v>1847.2</v>
      </c>
      <c r="AY211" s="263">
        <f t="shared" si="1217"/>
        <v>1847.2</v>
      </c>
      <c r="AZ211" s="263">
        <v>1868.2</v>
      </c>
      <c r="BA211" s="263">
        <f>BB211</f>
        <v>1868.2</v>
      </c>
      <c r="BB211" s="263">
        <v>1868.2</v>
      </c>
      <c r="BC211" s="263">
        <f t="shared" si="1217"/>
        <v>1880.5</v>
      </c>
      <c r="BD211" s="263">
        <f t="shared" si="1217"/>
        <v>1890.5</v>
      </c>
      <c r="BE211" s="263">
        <v>1890.7</v>
      </c>
      <c r="BF211" s="263">
        <f t="shared" si="1217"/>
        <v>1899.2</v>
      </c>
      <c r="BG211" s="263">
        <f t="shared" si="1217"/>
        <v>1899.2</v>
      </c>
      <c r="BH211" s="263">
        <f t="shared" si="1217"/>
        <v>1899.2</v>
      </c>
      <c r="BI211" s="263">
        <f t="shared" si="1217"/>
        <v>1911.6</v>
      </c>
      <c r="BJ211" s="263">
        <v>2031.2</v>
      </c>
      <c r="BK211" s="263">
        <f>BJ211</f>
        <v>2031.2</v>
      </c>
      <c r="BL211" s="263">
        <f t="shared" ref="BL211:BN211" si="1218">BL210</f>
        <v>2044.8</v>
      </c>
      <c r="BM211" s="263">
        <f t="shared" si="1218"/>
        <v>2044.8</v>
      </c>
      <c r="BN211" s="263">
        <f t="shared" si="1218"/>
        <v>2044.8</v>
      </c>
      <c r="BO211" s="263">
        <f t="shared" ref="BO211:BQ211" si="1219">BO210</f>
        <v>2044.8</v>
      </c>
      <c r="BP211" s="263">
        <f t="shared" si="1219"/>
        <v>2044.8</v>
      </c>
      <c r="BQ211" s="263">
        <f t="shared" si="1219"/>
        <v>2044.8</v>
      </c>
      <c r="BR211" s="263">
        <f t="shared" ref="BR211:BT211" si="1220">BR210</f>
        <v>2044.8</v>
      </c>
      <c r="BS211" s="263">
        <f t="shared" si="1220"/>
        <v>2044.8</v>
      </c>
      <c r="BT211" s="263">
        <f t="shared" si="1220"/>
        <v>2044.8</v>
      </c>
      <c r="BU211" s="263">
        <f t="shared" ref="BU211:BZ211" si="1221">BU210</f>
        <v>2044.8</v>
      </c>
      <c r="BV211" s="263">
        <f t="shared" si="1221"/>
        <v>2044.8</v>
      </c>
      <c r="BW211" s="263">
        <f t="shared" si="1221"/>
        <v>2044.8</v>
      </c>
      <c r="BX211" s="263">
        <f t="shared" si="1221"/>
        <v>2044.8</v>
      </c>
      <c r="BY211" s="263">
        <f t="shared" si="1221"/>
        <v>2044.8</v>
      </c>
      <c r="BZ211" s="263">
        <f t="shared" si="1221"/>
        <v>2044.8</v>
      </c>
      <c r="CA211" s="263">
        <f t="shared" ref="CA211:CC211" si="1222">CA210</f>
        <v>2044.8</v>
      </c>
      <c r="CB211" s="263">
        <f t="shared" si="1222"/>
        <v>2044.8</v>
      </c>
      <c r="CC211" s="263">
        <f t="shared" si="1222"/>
        <v>2044.8</v>
      </c>
      <c r="CD211" s="186"/>
      <c r="CE211" s="187"/>
      <c r="CF211" s="187"/>
      <c r="CG211" s="187"/>
      <c r="CH211" s="187"/>
      <c r="CI211" s="187"/>
      <c r="CJ211" s="187"/>
      <c r="CK211" s="188"/>
      <c r="CL211" s="261">
        <f>X211</f>
        <v>1519.2</v>
      </c>
      <c r="CM211" s="258">
        <f>AA211</f>
        <v>1677.4</v>
      </c>
      <c r="CN211" s="258">
        <f>AD211</f>
        <v>1726.35</v>
      </c>
      <c r="CO211" s="258">
        <f>AG211</f>
        <v>1754.7</v>
      </c>
      <c r="CP211" s="258">
        <f>AJ211</f>
        <v>1781.2</v>
      </c>
      <c r="CQ211" s="258">
        <f>AM211</f>
        <v>1798.4</v>
      </c>
      <c r="CR211" s="258">
        <f>AP211</f>
        <v>1810.8</v>
      </c>
      <c r="CS211" s="258">
        <f>AS211</f>
        <v>1826.2248811410459</v>
      </c>
      <c r="CT211" s="258">
        <f>AV211</f>
        <v>1843.8</v>
      </c>
      <c r="CU211" s="258">
        <f>AY211</f>
        <v>1847.2</v>
      </c>
      <c r="CV211" s="258">
        <f>BB211</f>
        <v>1868.2</v>
      </c>
      <c r="CW211" s="258">
        <f>BE211</f>
        <v>1890.7</v>
      </c>
      <c r="CX211" s="258">
        <f>BH211</f>
        <v>1899.2</v>
      </c>
      <c r="CY211" s="258">
        <f>BK211</f>
        <v>2031.2</v>
      </c>
      <c r="CZ211" s="258">
        <f>BN211</f>
        <v>2044.8</v>
      </c>
      <c r="DA211" s="258">
        <f>BQ211</f>
        <v>2044.8</v>
      </c>
      <c r="DB211" s="258">
        <f>BT211</f>
        <v>2044.8</v>
      </c>
      <c r="DC211" s="258">
        <f>BW211</f>
        <v>2044.8</v>
      </c>
      <c r="DD211" s="258">
        <f>BZ211</f>
        <v>2044.8</v>
      </c>
      <c r="DE211" s="258">
        <f>CC211</f>
        <v>2044.8</v>
      </c>
      <c r="DF211" s="19"/>
      <c r="DG211" s="19"/>
      <c r="DH211" s="19"/>
      <c r="DI211" s="19"/>
      <c r="DJ211" s="19"/>
      <c r="DK211" s="19"/>
      <c r="EB211"/>
      <c r="EC211"/>
      <c r="ED211"/>
      <c r="EE211"/>
      <c r="EF211"/>
      <c r="EG211"/>
    </row>
    <row r="212" spans="1:137" ht="12.75" customHeight="1">
      <c r="A212" s="1"/>
      <c r="B212" s="13"/>
      <c r="C212" s="1"/>
      <c r="D212" s="1"/>
      <c r="E212" s="1"/>
      <c r="F212" s="188"/>
      <c r="G212" s="188"/>
      <c r="H212" s="188"/>
      <c r="I212" s="188"/>
      <c r="J212" s="188"/>
      <c r="K212" s="188"/>
      <c r="L212" s="188"/>
      <c r="M212" s="188"/>
      <c r="N212" s="188"/>
      <c r="O212" s="188"/>
      <c r="P212" s="188"/>
      <c r="Q212" s="188"/>
      <c r="R212" s="188"/>
      <c r="S212" s="188"/>
      <c r="T212" s="188"/>
      <c r="U212" s="188"/>
      <c r="V212" s="188"/>
      <c r="W212" s="188"/>
      <c r="X212" s="188"/>
      <c r="Y212" s="188"/>
      <c r="Z212" s="188"/>
      <c r="AA212" s="188"/>
      <c r="AB212" s="188"/>
      <c r="AC212" s="188"/>
      <c r="AD212" s="188"/>
      <c r="AE212" s="188" t="s">
        <v>180</v>
      </c>
      <c r="AF212" s="188"/>
      <c r="AG212" s="188"/>
      <c r="AH212" s="188"/>
      <c r="AI212" s="188"/>
      <c r="AJ212" s="188"/>
      <c r="AK212" s="188">
        <f t="shared" ref="AK212:AY212" si="1223">AK211-AJ211</f>
        <v>14.799999999999955</v>
      </c>
      <c r="AL212" s="188">
        <f t="shared" si="1223"/>
        <v>2.3999999999998636</v>
      </c>
      <c r="AM212" s="188">
        <f t="shared" si="1223"/>
        <v>0</v>
      </c>
      <c r="AN212" s="188">
        <f t="shared" si="1223"/>
        <v>10.799999999999955</v>
      </c>
      <c r="AO212" s="188">
        <f t="shared" si="1223"/>
        <v>1.5999999999999091</v>
      </c>
      <c r="AP212" s="188">
        <f t="shared" si="1223"/>
        <v>0</v>
      </c>
      <c r="AQ212" s="188">
        <f t="shared" si="1223"/>
        <v>13.700000000000045</v>
      </c>
      <c r="AR212" s="188">
        <f t="shared" si="1223"/>
        <v>1.7248811410458984</v>
      </c>
      <c r="AS212" s="188">
        <f t="shared" si="1223"/>
        <v>0</v>
      </c>
      <c r="AT212" s="188">
        <f t="shared" si="1223"/>
        <v>15.375118858954011</v>
      </c>
      <c r="AU212" s="188">
        <f t="shared" si="1223"/>
        <v>2.2000000000000455</v>
      </c>
      <c r="AV212" s="188">
        <f t="shared" si="1223"/>
        <v>0</v>
      </c>
      <c r="AW212" s="188">
        <f t="shared" si="1223"/>
        <v>17.424881141045944</v>
      </c>
      <c r="AX212" s="188">
        <f t="shared" si="1223"/>
        <v>-14.024881141045853</v>
      </c>
      <c r="AY212" s="188">
        <f t="shared" si="1223"/>
        <v>0</v>
      </c>
      <c r="AZ212" s="188"/>
      <c r="BA212" s="188"/>
      <c r="BB212" s="188"/>
      <c r="BC212" s="188"/>
      <c r="BD212" s="188"/>
      <c r="BE212" s="188"/>
      <c r="BF212" s="188"/>
      <c r="BG212" s="188"/>
      <c r="BH212" s="188"/>
      <c r="BI212" s="188"/>
      <c r="BJ212" s="188"/>
      <c r="BK212" s="188"/>
      <c r="BL212" s="188"/>
      <c r="BM212" s="188"/>
      <c r="BN212" s="188"/>
      <c r="BO212" s="188"/>
      <c r="BP212" s="188"/>
      <c r="BQ212" s="188"/>
      <c r="BR212" s="188"/>
      <c r="BS212" s="188"/>
      <c r="BT212" s="188"/>
      <c r="BU212" s="188"/>
      <c r="BV212" s="188"/>
      <c r="BW212" s="188"/>
      <c r="BX212" s="188"/>
      <c r="BY212" s="188"/>
      <c r="BZ212" s="188"/>
      <c r="CA212" s="188"/>
      <c r="CB212" s="188"/>
      <c r="CC212" s="188"/>
      <c r="CD212" s="186"/>
      <c r="CE212" s="187"/>
      <c r="CF212" s="187"/>
      <c r="CG212" s="187"/>
      <c r="CH212" s="187"/>
      <c r="CI212" s="187"/>
      <c r="CJ212" s="187"/>
      <c r="CK212" s="188"/>
      <c r="CL212" s="192"/>
      <c r="CM212" s="188"/>
      <c r="CN212" s="188"/>
      <c r="CO212" s="188"/>
      <c r="CP212" s="188"/>
      <c r="CQ212" s="188"/>
      <c r="CR212" s="188"/>
      <c r="CS212" s="188"/>
      <c r="CT212" s="188"/>
      <c r="CU212" s="188"/>
      <c r="CV212" s="188"/>
      <c r="CW212" s="188"/>
      <c r="CX212" s="188"/>
      <c r="CY212" s="188"/>
      <c r="CZ212" s="188"/>
      <c r="DA212" s="188"/>
      <c r="DB212" s="188"/>
      <c r="DC212" s="188"/>
      <c r="DD212" s="188"/>
      <c r="DE212" s="188"/>
    </row>
    <row r="213" spans="1:137" s="47" customFormat="1" ht="12.75" customHeight="1">
      <c r="A213" s="42"/>
      <c r="B213" s="241" t="s">
        <v>181</v>
      </c>
      <c r="C213" s="42"/>
      <c r="D213" s="42"/>
      <c r="E213" s="42"/>
      <c r="F213" s="242"/>
      <c r="G213" s="242"/>
      <c r="H213" s="242"/>
      <c r="I213" s="242"/>
      <c r="J213" s="242"/>
      <c r="K213" s="242"/>
      <c r="L213" s="242"/>
      <c r="M213" s="242"/>
      <c r="N213" s="242"/>
      <c r="O213" s="242"/>
      <c r="P213" s="242"/>
      <c r="Q213" s="242"/>
      <c r="R213" s="242"/>
      <c r="S213" s="242"/>
      <c r="T213" s="242"/>
      <c r="U213" s="242"/>
      <c r="V213" s="242"/>
      <c r="W213" s="242"/>
      <c r="X213" s="242"/>
      <c r="Y213" s="242"/>
      <c r="Z213" s="242"/>
      <c r="AA213" s="242"/>
      <c r="AB213" s="242"/>
      <c r="AC213" s="242"/>
      <c r="AD213" s="242"/>
      <c r="AE213" s="242"/>
      <c r="AF213" s="242"/>
      <c r="AG213" s="242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42"/>
      <c r="BU213" s="242"/>
      <c r="BV213" s="242"/>
      <c r="BW213" s="242"/>
      <c r="BX213" s="242"/>
      <c r="BY213" s="242"/>
      <c r="BZ213" s="242"/>
      <c r="CA213" s="242"/>
      <c r="CB213" s="242"/>
      <c r="CC213" s="242"/>
      <c r="CD213" s="243"/>
      <c r="CE213" s="242"/>
      <c r="CF213" s="242"/>
      <c r="CG213" s="242"/>
      <c r="CH213" s="242"/>
      <c r="CI213" s="242"/>
      <c r="CJ213" s="242"/>
      <c r="CK213" s="244"/>
      <c r="CL213" s="245"/>
      <c r="CM213" s="242"/>
      <c r="CN213" s="242"/>
      <c r="CO213" s="242"/>
      <c r="CP213" s="242"/>
      <c r="CQ213" s="242"/>
      <c r="CR213" s="242"/>
      <c r="CS213" s="242"/>
      <c r="CT213" s="242"/>
      <c r="CU213" s="242"/>
      <c r="CV213" s="242"/>
      <c r="CW213" s="242"/>
      <c r="CX213" s="242"/>
      <c r="CY213" s="242"/>
      <c r="CZ213" s="242"/>
      <c r="DA213" s="242"/>
      <c r="DB213" s="242"/>
      <c r="DC213" s="242"/>
      <c r="DD213" s="242"/>
      <c r="DE213" s="242"/>
      <c r="DF213" s="45"/>
      <c r="DG213" s="45"/>
      <c r="DH213" s="45"/>
      <c r="DI213" s="45"/>
      <c r="DJ213" s="45"/>
      <c r="DK213" s="45"/>
      <c r="EB213"/>
      <c r="EC213"/>
      <c r="ED213"/>
      <c r="EE213"/>
      <c r="EF213"/>
      <c r="EG213"/>
    </row>
    <row r="214" spans="1:137" ht="12.75" customHeight="1">
      <c r="A214" s="1"/>
      <c r="B214" s="49"/>
      <c r="C214" s="1"/>
      <c r="D214" s="1"/>
      <c r="E214" s="1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188"/>
      <c r="AA214" s="188"/>
      <c r="AB214" s="188"/>
      <c r="AC214" s="188"/>
      <c r="AD214" s="188"/>
      <c r="AE214" s="188"/>
      <c r="AF214" s="188"/>
      <c r="AG214" s="188"/>
      <c r="AH214" s="188"/>
      <c r="AI214" s="188"/>
      <c r="AJ214" s="188"/>
      <c r="AK214" s="188"/>
      <c r="AL214" s="188"/>
      <c r="AM214" s="188"/>
      <c r="AN214" s="188"/>
      <c r="AO214" s="188"/>
      <c r="AP214" s="188"/>
      <c r="AQ214" s="188"/>
      <c r="AR214" s="188"/>
      <c r="AS214" s="188"/>
      <c r="AT214" s="188"/>
      <c r="AU214" s="188"/>
      <c r="AV214" s="188"/>
      <c r="AW214" s="188"/>
      <c r="AX214" s="188"/>
      <c r="AY214" s="188"/>
      <c r="AZ214" s="188"/>
      <c r="BA214" s="188"/>
      <c r="BB214" s="188"/>
      <c r="BC214" s="188"/>
      <c r="BD214" s="188"/>
      <c r="BE214" s="188"/>
      <c r="BF214" s="188"/>
      <c r="BG214" s="188"/>
      <c r="BH214" s="188"/>
      <c r="BI214" s="188"/>
      <c r="BJ214" s="188"/>
      <c r="BK214" s="188"/>
      <c r="BL214" s="188"/>
      <c r="BM214" s="188"/>
      <c r="BN214" s="188"/>
      <c r="BO214" s="188"/>
      <c r="BP214" s="188"/>
      <c r="BQ214" s="188"/>
      <c r="BR214" s="188"/>
      <c r="BS214" s="188"/>
      <c r="BT214" s="188"/>
      <c r="BU214" s="188"/>
      <c r="BV214" s="188"/>
      <c r="BW214" s="188"/>
      <c r="BX214" s="188"/>
      <c r="BY214" s="188"/>
      <c r="BZ214" s="188"/>
      <c r="CA214" s="188"/>
      <c r="CB214" s="188"/>
      <c r="CC214" s="188"/>
      <c r="CD214" s="186"/>
      <c r="CE214" s="187"/>
      <c r="CF214" s="187"/>
      <c r="CG214" s="187"/>
      <c r="CH214" s="187"/>
      <c r="CI214" s="187"/>
      <c r="CJ214" s="187"/>
      <c r="CK214" s="188"/>
      <c r="CL214" s="192"/>
      <c r="CM214" s="188"/>
      <c r="CN214" s="188"/>
      <c r="CO214" s="188"/>
      <c r="CP214" s="188"/>
      <c r="CQ214" s="188"/>
      <c r="CR214" s="188"/>
      <c r="CS214" s="188"/>
      <c r="CT214" s="188"/>
      <c r="CU214" s="188"/>
      <c r="CV214" s="188"/>
      <c r="CW214" s="188"/>
      <c r="CX214" s="188"/>
      <c r="CY214" s="188"/>
      <c r="CZ214" s="188"/>
      <c r="DA214" s="188"/>
      <c r="DB214" s="188"/>
      <c r="DC214" s="188"/>
      <c r="DD214" s="188"/>
      <c r="DE214" s="188"/>
    </row>
    <row r="215" spans="1:137" ht="12.75" customHeight="1">
      <c r="A215" s="1"/>
      <c r="B215" s="49" t="s">
        <v>182</v>
      </c>
      <c r="C215" s="1"/>
      <c r="D215" s="1"/>
      <c r="E215" s="1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188"/>
      <c r="AA215" s="188"/>
      <c r="AB215" s="188"/>
      <c r="AC215" s="188"/>
      <c r="AD215" s="188"/>
      <c r="AE215" s="188"/>
      <c r="AF215" s="188"/>
      <c r="AG215" s="188"/>
      <c r="AH215" s="188"/>
      <c r="AI215" s="188"/>
      <c r="AJ215" s="188"/>
      <c r="AK215" s="188"/>
      <c r="AL215" s="188"/>
      <c r="AM215" s="188"/>
      <c r="AN215" s="188"/>
      <c r="AO215" s="188"/>
      <c r="AP215" s="188"/>
      <c r="AQ215" s="188"/>
      <c r="AR215" s="188"/>
      <c r="AS215" s="188"/>
      <c r="AT215" s="188"/>
      <c r="AU215" s="188"/>
      <c r="AV215" s="188"/>
      <c r="AW215" s="188"/>
      <c r="AX215" s="188"/>
      <c r="AY215" s="188"/>
      <c r="AZ215" s="188"/>
      <c r="BA215" s="188"/>
      <c r="BB215" s="188"/>
      <c r="BC215" s="188"/>
      <c r="BD215" s="188"/>
      <c r="BE215" s="188"/>
      <c r="BF215" s="188"/>
      <c r="BG215" s="188"/>
      <c r="BH215" s="188"/>
      <c r="BI215" s="188"/>
      <c r="BJ215" s="188"/>
      <c r="BK215" s="188"/>
      <c r="BL215" s="188"/>
      <c r="BM215" s="188"/>
      <c r="BN215" s="188"/>
      <c r="BO215" s="188"/>
      <c r="BP215" s="188"/>
      <c r="BQ215" s="188"/>
      <c r="BR215" s="188"/>
      <c r="BS215" s="188"/>
      <c r="BT215" s="188"/>
      <c r="BU215" s="188"/>
      <c r="BV215" s="188"/>
      <c r="BW215" s="188"/>
      <c r="BX215" s="188"/>
      <c r="BY215" s="188"/>
      <c r="BZ215" s="188"/>
      <c r="CA215" s="188"/>
      <c r="CB215" s="188"/>
      <c r="CC215" s="188"/>
      <c r="CD215" s="186"/>
      <c r="CE215" s="187"/>
      <c r="CF215" s="187"/>
      <c r="CG215" s="187"/>
      <c r="CH215" s="187"/>
      <c r="CI215" s="187"/>
      <c r="CJ215" s="187"/>
      <c r="CK215" s="188"/>
      <c r="CL215" s="192"/>
      <c r="CM215" s="188"/>
      <c r="CN215" s="188"/>
      <c r="CO215" s="188"/>
      <c r="CP215" s="188"/>
      <c r="CQ215" s="188"/>
      <c r="CR215" s="188"/>
      <c r="CS215" s="188"/>
      <c r="CT215" s="188"/>
      <c r="CU215" s="188"/>
      <c r="CV215" s="188"/>
      <c r="CW215" s="188"/>
      <c r="CX215" s="188"/>
      <c r="CY215" s="188"/>
      <c r="CZ215" s="188"/>
      <c r="DA215" s="188"/>
      <c r="DB215" s="188"/>
      <c r="DC215" s="188"/>
      <c r="DD215" s="188"/>
      <c r="DE215" s="188"/>
    </row>
    <row r="216" spans="1:137" ht="12.75" customHeight="1">
      <c r="A216" s="1"/>
      <c r="B216" s="49" t="s">
        <v>183</v>
      </c>
      <c r="C216" s="1"/>
      <c r="D216" s="1"/>
      <c r="E216" s="1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188"/>
      <c r="AA216" s="188"/>
      <c r="AB216" s="188"/>
      <c r="AC216" s="188"/>
      <c r="AD216" s="188"/>
      <c r="AE216" s="188"/>
      <c r="AF216" s="188"/>
      <c r="AG216" s="188"/>
      <c r="AH216" s="188"/>
      <c r="AI216" s="188"/>
      <c r="AJ216" s="188"/>
      <c r="AK216" s="188"/>
      <c r="AL216" s="188"/>
      <c r="AM216" s="188"/>
      <c r="AN216" s="188"/>
      <c r="AO216" s="188"/>
      <c r="AP216" s="188"/>
      <c r="AQ216" s="188"/>
      <c r="AR216" s="188"/>
      <c r="AS216" s="188"/>
      <c r="AT216" s="188"/>
      <c r="AU216" s="188"/>
      <c r="AV216" s="188"/>
      <c r="AW216" s="188"/>
      <c r="AX216" s="188"/>
      <c r="AY216" s="188"/>
      <c r="AZ216" s="188"/>
      <c r="BA216" s="188"/>
      <c r="BB216" s="188"/>
      <c r="BC216" s="188"/>
      <c r="BD216" s="188"/>
      <c r="BE216" s="188"/>
      <c r="BF216" s="188"/>
      <c r="BG216" s="188"/>
      <c r="BH216" s="188"/>
      <c r="BI216" s="188"/>
      <c r="BJ216" s="188"/>
      <c r="BK216" s="188"/>
      <c r="BL216" s="188"/>
      <c r="BM216" s="188"/>
      <c r="BN216" s="188"/>
      <c r="BO216" s="188"/>
      <c r="BP216" s="188"/>
      <c r="BQ216" s="188"/>
      <c r="BR216" s="188"/>
      <c r="BS216" s="188"/>
      <c r="BT216" s="188"/>
      <c r="BU216" s="188"/>
      <c r="BV216" s="188"/>
      <c r="BW216" s="188"/>
      <c r="BX216" s="188"/>
      <c r="BY216" s="188"/>
      <c r="BZ216" s="188"/>
      <c r="CA216" s="188"/>
      <c r="CB216" s="188"/>
      <c r="CC216" s="188"/>
      <c r="CD216" s="186"/>
      <c r="CE216" s="187"/>
      <c r="CF216" s="187"/>
      <c r="CG216" s="187"/>
      <c r="CH216" s="187"/>
      <c r="CI216" s="187"/>
      <c r="CJ216" s="187"/>
      <c r="CK216" s="188"/>
      <c r="CL216" s="192"/>
      <c r="CM216" s="188"/>
      <c r="CN216" s="188"/>
      <c r="CO216" s="188"/>
      <c r="CP216" s="188"/>
      <c r="CQ216" s="188"/>
      <c r="CR216" s="188"/>
      <c r="CS216" s="188"/>
      <c r="CT216" s="188"/>
      <c r="CU216" s="188"/>
      <c r="CV216" s="188"/>
      <c r="CW216" s="188"/>
      <c r="CX216" s="188"/>
      <c r="CY216" s="188"/>
      <c r="CZ216" s="188"/>
      <c r="DA216" s="188"/>
      <c r="DB216" s="188"/>
      <c r="DC216" s="188"/>
      <c r="DD216" s="188"/>
      <c r="DE216" s="188"/>
    </row>
    <row r="217" spans="1:137" ht="12.75" customHeight="1">
      <c r="A217" s="1"/>
      <c r="B217" s="13" t="s">
        <v>184</v>
      </c>
      <c r="C217" s="1"/>
      <c r="D217" s="269"/>
      <c r="E217" s="269"/>
      <c r="F217" s="270" t="str">
        <f>IFERROR(AVERAGE(D217:E217),"")</f>
        <v/>
      </c>
      <c r="G217" s="269">
        <v>0.45800000000000002</v>
      </c>
      <c r="H217" s="269">
        <v>0.4</v>
      </c>
      <c r="I217" s="270">
        <f>AVERAGE(G217:H217)</f>
        <v>0.42900000000000005</v>
      </c>
      <c r="J217" s="269">
        <v>0.3111608705416507</v>
      </c>
      <c r="K217" s="269">
        <v>0.10963527268566063</v>
      </c>
      <c r="L217" s="270">
        <f>AVERAGE(J217:K217)</f>
        <v>0.21039807161365567</v>
      </c>
      <c r="M217" s="269">
        <v>0.15366632317678086</v>
      </c>
      <c r="N217" s="269">
        <v>0.20691407163719278</v>
      </c>
      <c r="O217" s="270">
        <f>AVERAGE(M217:N217)</f>
        <v>0.18029019740698682</v>
      </c>
      <c r="P217" s="269">
        <v>0.19845847969321581</v>
      </c>
      <c r="Q217" s="269">
        <v>0.25</v>
      </c>
      <c r="R217" s="270">
        <f>AVERAGE(P217:Q217)</f>
        <v>0.22422923984660792</v>
      </c>
      <c r="S217" s="269">
        <v>0.107</v>
      </c>
      <c r="T217" s="269">
        <v>7.5898656838923884E-2</v>
      </c>
      <c r="U217" s="270">
        <f>AVERAGE(S217:T217)</f>
        <v>9.1449328419461934E-2</v>
      </c>
      <c r="V217" s="269"/>
      <c r="W217" s="269"/>
      <c r="X217" s="270" t="str">
        <f>IFERROR(AVERAGE(V217:W217),"")</f>
        <v/>
      </c>
      <c r="Y217" s="269"/>
      <c r="Z217" s="269"/>
      <c r="AA217" s="270" t="str">
        <f>IFERROR(AVERAGE(Y217:Z217),"")</f>
        <v/>
      </c>
      <c r="AB217" s="188">
        <v>0.25</v>
      </c>
      <c r="AC217" s="271">
        <v>0.25</v>
      </c>
      <c r="AD217" s="20">
        <f>+AC217</f>
        <v>0.25</v>
      </c>
      <c r="AE217" s="271">
        <v>0.25</v>
      </c>
      <c r="AF217" s="271">
        <v>0.25</v>
      </c>
      <c r="AG217" s="20">
        <f>+AF217</f>
        <v>0.25</v>
      </c>
      <c r="AH217" s="271">
        <v>0.23</v>
      </c>
      <c r="AI217" s="271">
        <v>0.25</v>
      </c>
      <c r="AJ217" s="20">
        <f>+AI217</f>
        <v>0.25</v>
      </c>
      <c r="AK217" s="271">
        <v>0.05</v>
      </c>
      <c r="AL217" s="271">
        <v>0.05</v>
      </c>
      <c r="AM217" s="271">
        <f t="shared" ref="AM217:AV217" si="1224">AL217</f>
        <v>0.05</v>
      </c>
      <c r="AN217" s="271">
        <f t="shared" si="1224"/>
        <v>0.05</v>
      </c>
      <c r="AO217" s="271">
        <f t="shared" si="1224"/>
        <v>0.05</v>
      </c>
      <c r="AP217" s="271">
        <f t="shared" si="1224"/>
        <v>0.05</v>
      </c>
      <c r="AQ217" s="271">
        <v>0.05</v>
      </c>
      <c r="AR217" s="271">
        <v>0.04</v>
      </c>
      <c r="AS217" s="271">
        <f t="shared" si="1224"/>
        <v>0.04</v>
      </c>
      <c r="AT217" s="271">
        <v>0.2</v>
      </c>
      <c r="AU217" s="271">
        <v>0.04</v>
      </c>
      <c r="AV217" s="271">
        <f t="shared" si="1224"/>
        <v>0.04</v>
      </c>
      <c r="AW217" s="271">
        <v>0</v>
      </c>
      <c r="AX217" s="271">
        <f t="shared" ref="AX217:BK217" si="1225">AW217</f>
        <v>0</v>
      </c>
      <c r="AY217" s="271">
        <f t="shared" si="1225"/>
        <v>0</v>
      </c>
      <c r="AZ217" s="271">
        <f t="shared" si="1225"/>
        <v>0</v>
      </c>
      <c r="BA217" s="271">
        <f t="shared" si="1225"/>
        <v>0</v>
      </c>
      <c r="BB217" s="271">
        <f t="shared" si="1225"/>
        <v>0</v>
      </c>
      <c r="BC217" s="271">
        <f t="shared" si="1225"/>
        <v>0</v>
      </c>
      <c r="BD217" s="271">
        <f t="shared" si="1225"/>
        <v>0</v>
      </c>
      <c r="BE217" s="271">
        <f t="shared" si="1225"/>
        <v>0</v>
      </c>
      <c r="BF217" s="271">
        <f t="shared" si="1225"/>
        <v>0</v>
      </c>
      <c r="BG217" s="271">
        <f t="shared" si="1225"/>
        <v>0</v>
      </c>
      <c r="BH217" s="271">
        <f t="shared" si="1225"/>
        <v>0</v>
      </c>
      <c r="BI217" s="271">
        <f t="shared" si="1225"/>
        <v>0</v>
      </c>
      <c r="BJ217" s="271">
        <f t="shared" si="1225"/>
        <v>0</v>
      </c>
      <c r="BK217" s="271">
        <f t="shared" si="1225"/>
        <v>0</v>
      </c>
      <c r="BL217" s="271">
        <f t="shared" ref="BL217" si="1226">BK217</f>
        <v>0</v>
      </c>
      <c r="BM217" s="271">
        <f t="shared" ref="BM217" si="1227">BL217</f>
        <v>0</v>
      </c>
      <c r="BN217" s="271">
        <f t="shared" ref="BN217" si="1228">BM217</f>
        <v>0</v>
      </c>
      <c r="BO217" s="271">
        <f t="shared" ref="BO217" si="1229">BN217</f>
        <v>0</v>
      </c>
      <c r="BP217" s="271">
        <f t="shared" ref="BP217" si="1230">BO217</f>
        <v>0</v>
      </c>
      <c r="BQ217" s="271">
        <f t="shared" ref="BQ217" si="1231">BP217</f>
        <v>0</v>
      </c>
      <c r="BR217" s="271">
        <f t="shared" ref="BR217" si="1232">BQ217</f>
        <v>0</v>
      </c>
      <c r="BS217" s="271">
        <f t="shared" ref="BS217" si="1233">BR217</f>
        <v>0</v>
      </c>
      <c r="BT217" s="271">
        <f t="shared" ref="BT217" si="1234">BS217</f>
        <v>0</v>
      </c>
      <c r="BU217" s="271">
        <f t="shared" ref="BU217" si="1235">BT217</f>
        <v>0</v>
      </c>
      <c r="BV217" s="271">
        <f t="shared" ref="BV217" si="1236">BU217</f>
        <v>0</v>
      </c>
      <c r="BW217" s="271">
        <f t="shared" ref="BW217" si="1237">BV217</f>
        <v>0</v>
      </c>
      <c r="BX217" s="271">
        <f t="shared" ref="BX217" si="1238">BW217</f>
        <v>0</v>
      </c>
      <c r="BY217" s="271">
        <f t="shared" ref="BY217" si="1239">BX217</f>
        <v>0</v>
      </c>
      <c r="BZ217" s="271">
        <f t="shared" ref="BZ217" si="1240">BY217</f>
        <v>0</v>
      </c>
      <c r="CA217" s="271">
        <f t="shared" ref="CA217" si="1241">BZ217</f>
        <v>0</v>
      </c>
      <c r="CB217" s="271">
        <f t="shared" ref="CB217" si="1242">CA217</f>
        <v>0</v>
      </c>
      <c r="CC217" s="271">
        <f t="shared" ref="CC217" si="1243">CB217</f>
        <v>0</v>
      </c>
      <c r="CD217" s="186"/>
      <c r="CE217" s="187"/>
      <c r="CF217" s="187"/>
      <c r="CG217" s="187"/>
      <c r="CH217" s="187"/>
      <c r="CI217" s="187"/>
      <c r="CJ217" s="187"/>
      <c r="CK217" s="188"/>
      <c r="CL217" s="272" t="str">
        <f t="shared" ref="CL217:CL222" si="1244">X217</f>
        <v/>
      </c>
      <c r="CM217" s="270" t="str">
        <f t="shared" ref="CM217:CM222" si="1245">AA217</f>
        <v/>
      </c>
      <c r="CN217" s="270">
        <f t="shared" ref="CN217:CN222" si="1246">AD217</f>
        <v>0.25</v>
      </c>
      <c r="CO217" s="270">
        <f t="shared" ref="CO217:CO222" si="1247">AG217</f>
        <v>0.25</v>
      </c>
      <c r="CP217" s="270">
        <f t="shared" ref="CP217:CP222" si="1248">AJ217</f>
        <v>0.25</v>
      </c>
      <c r="CQ217" s="270">
        <f t="shared" ref="CQ217:CQ222" si="1249">AM217</f>
        <v>0.05</v>
      </c>
      <c r="CR217" s="270">
        <f t="shared" ref="CR217:CR222" si="1250">AP217</f>
        <v>0.05</v>
      </c>
      <c r="CS217" s="270">
        <f t="shared" ref="CS217:CS222" si="1251">AS217</f>
        <v>0.04</v>
      </c>
      <c r="CT217" s="270">
        <f t="shared" ref="CT217:CT222" si="1252">AV217</f>
        <v>0.04</v>
      </c>
      <c r="CU217" s="270">
        <f t="shared" ref="CU217:CU222" si="1253">AY217</f>
        <v>0</v>
      </c>
      <c r="CV217" s="270">
        <f t="shared" ref="CV217:CV222" si="1254">BB217</f>
        <v>0</v>
      </c>
      <c r="CW217" s="270">
        <f t="shared" ref="CW217:CW222" si="1255">BE217</f>
        <v>0</v>
      </c>
      <c r="CX217" s="270">
        <f t="shared" ref="CX217:CX222" si="1256">BH217</f>
        <v>0</v>
      </c>
      <c r="CY217" s="270">
        <f t="shared" ref="CY217:CY222" si="1257">BK217</f>
        <v>0</v>
      </c>
      <c r="CZ217" s="270">
        <f t="shared" ref="CZ217:CZ222" si="1258">BN217</f>
        <v>0</v>
      </c>
      <c r="DA217" s="270">
        <f t="shared" ref="DA217:DA222" si="1259">BQ217</f>
        <v>0</v>
      </c>
      <c r="DB217" s="270">
        <f t="shared" ref="DB217:DB222" si="1260">BT217</f>
        <v>0</v>
      </c>
      <c r="DC217" s="270">
        <f t="shared" ref="DC217:DC222" si="1261">BW217</f>
        <v>0</v>
      </c>
      <c r="DD217" s="270">
        <f t="shared" ref="DD217:DD222" si="1262">BZ217</f>
        <v>0</v>
      </c>
      <c r="DE217" s="270">
        <f t="shared" ref="DE217:DE222" si="1263">CC217</f>
        <v>0</v>
      </c>
    </row>
    <row r="218" spans="1:137" ht="12.75" customHeight="1">
      <c r="A218" s="1"/>
      <c r="B218" s="13" t="s">
        <v>185</v>
      </c>
      <c r="C218" s="1"/>
      <c r="D218" s="188">
        <f>C210*D217/100*D87</f>
        <v>0</v>
      </c>
      <c r="E218" s="188">
        <f>D210*E217/100*E87</f>
        <v>0</v>
      </c>
      <c r="F218" s="188">
        <f>SUM(D218:E218)</f>
        <v>0</v>
      </c>
      <c r="G218" s="188">
        <f>F210*G217/100*G87</f>
        <v>0</v>
      </c>
      <c r="H218" s="188">
        <f>G210*H217/100*H87</f>
        <v>0</v>
      </c>
      <c r="I218" s="188">
        <f>SUM(G218:H218)</f>
        <v>0</v>
      </c>
      <c r="J218" s="188">
        <f>I210*J217/100*J87</f>
        <v>0</v>
      </c>
      <c r="K218" s="188">
        <f>J210*K217/100*K87</f>
        <v>0</v>
      </c>
      <c r="L218" s="188">
        <f>SUM(J218:K218)</f>
        <v>0</v>
      </c>
      <c r="M218" s="188">
        <f>L210*M217/100*M87</f>
        <v>0</v>
      </c>
      <c r="N218" s="188">
        <f>M210*N217/100*N87</f>
        <v>0</v>
      </c>
      <c r="O218" s="188">
        <f>SUM(M218:N218)</f>
        <v>0</v>
      </c>
      <c r="P218" s="188">
        <f>O210*P217/100*P87</f>
        <v>-0.90387154536236469</v>
      </c>
      <c r="Q218" s="188" t="e">
        <f>P210*Q217/100*Q87</f>
        <v>#DIV/0!</v>
      </c>
      <c r="R218" s="188" t="e">
        <f>SUM(P218:Q218)</f>
        <v>#DIV/0!</v>
      </c>
      <c r="S218" s="188">
        <f>R210*S217/100*S87</f>
        <v>-2.3016660886336547E-2</v>
      </c>
      <c r="T218" s="188">
        <f>S210*T217/100*T87</f>
        <v>0.58761187580596774</v>
      </c>
      <c r="U218" s="188">
        <f>SUM(S218:T218)</f>
        <v>0.56459521491963116</v>
      </c>
      <c r="V218" s="188">
        <f>U210*V217/100*V87</f>
        <v>0</v>
      </c>
      <c r="W218" s="188">
        <f>V210*W217/100*W87</f>
        <v>0</v>
      </c>
      <c r="X218" s="188">
        <f>SUM(V218:W218)</f>
        <v>0</v>
      </c>
      <c r="Y218" s="188">
        <f>X210*Y217/100*Y87</f>
        <v>0</v>
      </c>
      <c r="Z218" s="188">
        <f>Y210*Z217/100*Z87</f>
        <v>0</v>
      </c>
      <c r="AA218" s="188">
        <f>SUM(Y218:Z218)</f>
        <v>0</v>
      </c>
      <c r="AB218" s="188">
        <f>+AB84*AB217/AB219</f>
        <v>8.916999999999998</v>
      </c>
      <c r="AC218" s="188">
        <f>+AC84*AC217/AC219</f>
        <v>8.9400000000000013</v>
      </c>
      <c r="AD218" s="188">
        <f>SUM(AB218:AC218)</f>
        <v>17.856999999999999</v>
      </c>
      <c r="AE218" s="188">
        <f>+AC84*AE217/AE219</f>
        <v>8.9400000000000013</v>
      </c>
      <c r="AF218" s="188">
        <f>+AE84*AF217/AF219</f>
        <v>9.7083502483499995</v>
      </c>
      <c r="AG218" s="188">
        <f>+AF218+AE218</f>
        <v>18.648350248349999</v>
      </c>
      <c r="AH218" s="188">
        <f>+AF84*AH217/AH219</f>
        <v>7.0907942947702063</v>
      </c>
      <c r="AI218" s="188">
        <f>+AH84*AI217/AI219</f>
        <v>8.3557844690966725</v>
      </c>
      <c r="AJ218" s="188">
        <f>+AI218+AH218</f>
        <v>15.446578763866878</v>
      </c>
      <c r="AK218" s="188">
        <f>+AI84*AK217/AK219</f>
        <v>1.7086747226624408</v>
      </c>
      <c r="AL218" s="188">
        <f>+AK84*AL217/AL219</f>
        <v>1.807190966719493</v>
      </c>
      <c r="AM218" s="188">
        <f>+AL218+AK218</f>
        <v>3.5158656893819336</v>
      </c>
      <c r="AN218" s="188">
        <f>+AL84*AN217/AN219</f>
        <v>1.8806148969889067</v>
      </c>
      <c r="AO218" s="188">
        <f>+AN84*AO217/AO219</f>
        <v>1.9712967511885899</v>
      </c>
      <c r="AP218" s="188">
        <f>+AO218+AN218</f>
        <v>3.8519116481774969</v>
      </c>
      <c r="AQ218" s="188">
        <f>+AO84*AQ217/AQ219</f>
        <v>2.0456164817749607</v>
      </c>
      <c r="AR218" s="188">
        <f>+AQ84*AR217/AR219</f>
        <v>1.724881141045959</v>
      </c>
      <c r="AS218" s="188">
        <f>+AR218+AQ218</f>
        <v>3.7704976228209199</v>
      </c>
      <c r="AT218" s="188">
        <f>+AR84*AT217/AT219</f>
        <v>8.6238446909667203</v>
      </c>
      <c r="AU218" s="188">
        <f>+AT84*AU217/AU219</f>
        <v>1.7388272583201272</v>
      </c>
      <c r="AV218" s="188">
        <f>+AU218+AT218</f>
        <v>10.362671949286847</v>
      </c>
      <c r="AW218" s="188">
        <f>+AU84*AW217/AW219</f>
        <v>0</v>
      </c>
      <c r="AX218" s="188">
        <f>+AW84*AX217/AX219</f>
        <v>0</v>
      </c>
      <c r="AY218" s="188">
        <f>+AX218+AW218</f>
        <v>0</v>
      </c>
      <c r="AZ218" s="188">
        <f>+AX84*AZ217/AZ219</f>
        <v>0</v>
      </c>
      <c r="BA218" s="188">
        <f>+AZ84*BA217/BA219</f>
        <v>0</v>
      </c>
      <c r="BB218" s="188">
        <f>+BA218+AZ218</f>
        <v>0</v>
      </c>
      <c r="BC218" s="188">
        <f>+BA84*BC217/BC219</f>
        <v>0</v>
      </c>
      <c r="BD218" s="188">
        <f>+BC84*BD217/BD219</f>
        <v>0</v>
      </c>
      <c r="BE218" s="188">
        <f>+BD218+BC218</f>
        <v>0</v>
      </c>
      <c r="BF218" s="188">
        <f>+BD84*BF217/BF219</f>
        <v>0</v>
      </c>
      <c r="BG218" s="188">
        <f>+BF84*BG217/BG219</f>
        <v>0</v>
      </c>
      <c r="BH218" s="188">
        <f>+BG218+BF218</f>
        <v>0</v>
      </c>
      <c r="BI218" s="188">
        <f>+BG84*BI217/BI219</f>
        <v>0</v>
      </c>
      <c r="BJ218" s="188">
        <f>+BI84*BJ217/BJ219</f>
        <v>0</v>
      </c>
      <c r="BK218" s="188">
        <f>+BJ218+BI218</f>
        <v>0</v>
      </c>
      <c r="BL218" s="188">
        <f>+BJ84*BL217/BL219</f>
        <v>0</v>
      </c>
      <c r="BM218" s="188">
        <f>+BL84*BM217/BM219</f>
        <v>0</v>
      </c>
      <c r="BN218" s="188">
        <f>+BM218+BL218</f>
        <v>0</v>
      </c>
      <c r="BO218" s="188">
        <f>+BM84*BO217/BO219</f>
        <v>0</v>
      </c>
      <c r="BP218" s="188">
        <f>+BO84*BP217/BP219</f>
        <v>0</v>
      </c>
      <c r="BQ218" s="188">
        <f>+BP218+BO218</f>
        <v>0</v>
      </c>
      <c r="BR218" s="188">
        <f>+BP84*BR217/BR219</f>
        <v>0</v>
      </c>
      <c r="BS218" s="188">
        <f>+BR84*BS217/BS219</f>
        <v>0</v>
      </c>
      <c r="BT218" s="188">
        <f>+BS218+BR218</f>
        <v>0</v>
      </c>
      <c r="BU218" s="188">
        <f>+BS84*BU217/BU219</f>
        <v>0</v>
      </c>
      <c r="BV218" s="188">
        <f>+BU84*BV217/BV219</f>
        <v>0</v>
      </c>
      <c r="BW218" s="188">
        <f>+BV218+BU218</f>
        <v>0</v>
      </c>
      <c r="BX218" s="188">
        <f>+BV84*BX217/BX219</f>
        <v>0</v>
      </c>
      <c r="BY218" s="188">
        <f>+BX84*BY217/BY219</f>
        <v>0</v>
      </c>
      <c r="BZ218" s="188">
        <f>+BY218+BX218</f>
        <v>0</v>
      </c>
      <c r="CA218" s="188">
        <f>+BY84*CA217/CA219</f>
        <v>0</v>
      </c>
      <c r="CB218" s="188">
        <f>+CA84*CB217/CB219</f>
        <v>0</v>
      </c>
      <c r="CC218" s="188">
        <f>+CB218+CA218</f>
        <v>0</v>
      </c>
      <c r="CD218" s="186"/>
      <c r="CE218" s="187"/>
      <c r="CF218" s="187"/>
      <c r="CG218" s="187"/>
      <c r="CH218" s="187"/>
      <c r="CI218" s="187"/>
      <c r="CJ218" s="187"/>
      <c r="CK218" s="188"/>
      <c r="CL218" s="192">
        <f t="shared" si="1244"/>
        <v>0</v>
      </c>
      <c r="CM218" s="188">
        <f t="shared" si="1245"/>
        <v>0</v>
      </c>
      <c r="CN218" s="188">
        <f t="shared" si="1246"/>
        <v>17.856999999999999</v>
      </c>
      <c r="CO218" s="188">
        <f t="shared" si="1247"/>
        <v>18.648350248349999</v>
      </c>
      <c r="CP218" s="188">
        <f t="shared" si="1248"/>
        <v>15.446578763866878</v>
      </c>
      <c r="CQ218" s="188">
        <f t="shared" si="1249"/>
        <v>3.5158656893819336</v>
      </c>
      <c r="CR218" s="188">
        <f t="shared" si="1250"/>
        <v>3.8519116481774969</v>
      </c>
      <c r="CS218" s="188">
        <f t="shared" si="1251"/>
        <v>3.7704976228209199</v>
      </c>
      <c r="CT218" s="188">
        <f t="shared" si="1252"/>
        <v>10.362671949286847</v>
      </c>
      <c r="CU218" s="188">
        <f t="shared" si="1253"/>
        <v>0</v>
      </c>
      <c r="CV218" s="188">
        <f t="shared" si="1254"/>
        <v>0</v>
      </c>
      <c r="CW218" s="188">
        <f t="shared" si="1255"/>
        <v>0</v>
      </c>
      <c r="CX218" s="188">
        <f t="shared" si="1256"/>
        <v>0</v>
      </c>
      <c r="CY218" s="188">
        <f t="shared" si="1257"/>
        <v>0</v>
      </c>
      <c r="CZ218" s="188">
        <f t="shared" si="1258"/>
        <v>0</v>
      </c>
      <c r="DA218" s="188">
        <f t="shared" si="1259"/>
        <v>0</v>
      </c>
      <c r="DB218" s="188">
        <f t="shared" si="1260"/>
        <v>0</v>
      </c>
      <c r="DC218" s="188">
        <f t="shared" si="1261"/>
        <v>0</v>
      </c>
      <c r="DD218" s="188">
        <f t="shared" si="1262"/>
        <v>0</v>
      </c>
      <c r="DE218" s="188">
        <f t="shared" si="1263"/>
        <v>0</v>
      </c>
    </row>
    <row r="219" spans="1:137" ht="12.75" customHeight="1">
      <c r="A219" s="1"/>
      <c r="B219" s="13" t="s">
        <v>186</v>
      </c>
      <c r="C219" s="1"/>
      <c r="D219" s="184"/>
      <c r="E219" s="184"/>
      <c r="F219" s="188">
        <f>E219</f>
        <v>0</v>
      </c>
      <c r="G219" s="184">
        <v>1.8206290733918957</v>
      </c>
      <c r="H219" s="184">
        <v>2.17</v>
      </c>
      <c r="I219" s="188">
        <f>H219</f>
        <v>2.17</v>
      </c>
      <c r="J219" s="184">
        <v>2.2200000000000002</v>
      </c>
      <c r="K219" s="184">
        <v>2.36</v>
      </c>
      <c r="L219" s="188">
        <f>K219</f>
        <v>2.36</v>
      </c>
      <c r="M219" s="184">
        <v>1.84</v>
      </c>
      <c r="N219" s="184">
        <v>1.78</v>
      </c>
      <c r="O219" s="188">
        <f>N219</f>
        <v>1.78</v>
      </c>
      <c r="P219" s="184">
        <v>1.63</v>
      </c>
      <c r="Q219" s="184">
        <v>1.87</v>
      </c>
      <c r="R219" s="188">
        <f>Q219</f>
        <v>1.87</v>
      </c>
      <c r="S219" s="184">
        <v>1.86</v>
      </c>
      <c r="T219" s="184">
        <v>1.86</v>
      </c>
      <c r="U219" s="188">
        <f>T219</f>
        <v>1.86</v>
      </c>
      <c r="V219" s="184"/>
      <c r="W219" s="184"/>
      <c r="X219" s="188">
        <f>W219</f>
        <v>0</v>
      </c>
      <c r="Y219" s="184"/>
      <c r="Z219" s="184"/>
      <c r="AA219" s="188">
        <f>Z219</f>
        <v>0</v>
      </c>
      <c r="AB219" s="188">
        <v>5</v>
      </c>
      <c r="AC219" s="184">
        <v>5</v>
      </c>
      <c r="AD219" s="188">
        <f>AC219</f>
        <v>5</v>
      </c>
      <c r="AE219" s="188">
        <f>+AD219</f>
        <v>5</v>
      </c>
      <c r="AF219" s="188">
        <f>+AE219</f>
        <v>5</v>
      </c>
      <c r="AG219" s="188">
        <f>AF219</f>
        <v>5</v>
      </c>
      <c r="AH219" s="188">
        <v>6.31</v>
      </c>
      <c r="AI219" s="188">
        <f>+AH219</f>
        <v>6.31</v>
      </c>
      <c r="AJ219" s="188">
        <f>AI219</f>
        <v>6.31</v>
      </c>
      <c r="AK219" s="188">
        <f>+AJ219</f>
        <v>6.31</v>
      </c>
      <c r="AL219" s="188">
        <f>+AK219</f>
        <v>6.31</v>
      </c>
      <c r="AM219" s="188">
        <f>AL219</f>
        <v>6.31</v>
      </c>
      <c r="AN219" s="188">
        <f>+AM219</f>
        <v>6.31</v>
      </c>
      <c r="AO219" s="188">
        <f>+AN219</f>
        <v>6.31</v>
      </c>
      <c r="AP219" s="188">
        <f>AO219</f>
        <v>6.31</v>
      </c>
      <c r="AQ219" s="188">
        <f>+AP219</f>
        <v>6.31</v>
      </c>
      <c r="AR219" s="188">
        <f>+AQ219</f>
        <v>6.31</v>
      </c>
      <c r="AS219" s="188">
        <f>AR219</f>
        <v>6.31</v>
      </c>
      <c r="AT219" s="188">
        <f>+AS219</f>
        <v>6.31</v>
      </c>
      <c r="AU219" s="188">
        <f>+AT219</f>
        <v>6.31</v>
      </c>
      <c r="AV219" s="188">
        <f>AU219</f>
        <v>6.31</v>
      </c>
      <c r="AW219" s="188">
        <f>+AV219</f>
        <v>6.31</v>
      </c>
      <c r="AX219" s="188">
        <f>+AW219</f>
        <v>6.31</v>
      </c>
      <c r="AY219" s="188">
        <f>AX219</f>
        <v>6.31</v>
      </c>
      <c r="AZ219" s="188">
        <f>+AY219</f>
        <v>6.31</v>
      </c>
      <c r="BA219" s="188">
        <f>+AZ219</f>
        <v>6.31</v>
      </c>
      <c r="BB219" s="188">
        <f>BA219</f>
        <v>6.31</v>
      </c>
      <c r="BC219" s="188">
        <f>+BB219</f>
        <v>6.31</v>
      </c>
      <c r="BD219" s="188">
        <f>+BC219</f>
        <v>6.31</v>
      </c>
      <c r="BE219" s="188">
        <f>BD219</f>
        <v>6.31</v>
      </c>
      <c r="BF219" s="188">
        <f>+BE219</f>
        <v>6.31</v>
      </c>
      <c r="BG219" s="188">
        <f>+BF219</f>
        <v>6.31</v>
      </c>
      <c r="BH219" s="188">
        <f>BG219</f>
        <v>6.31</v>
      </c>
      <c r="BI219" s="188">
        <f>+BH219</f>
        <v>6.31</v>
      </c>
      <c r="BJ219" s="188">
        <f>+BI219</f>
        <v>6.31</v>
      </c>
      <c r="BK219" s="188">
        <f>BJ219</f>
        <v>6.31</v>
      </c>
      <c r="BL219" s="188">
        <f>+BK219</f>
        <v>6.31</v>
      </c>
      <c r="BM219" s="188">
        <f>+BL219</f>
        <v>6.31</v>
      </c>
      <c r="BN219" s="188">
        <f>BM219</f>
        <v>6.31</v>
      </c>
      <c r="BO219" s="188">
        <f>+BN219</f>
        <v>6.31</v>
      </c>
      <c r="BP219" s="188">
        <f>+BO219</f>
        <v>6.31</v>
      </c>
      <c r="BQ219" s="188">
        <f>BP219</f>
        <v>6.31</v>
      </c>
      <c r="BR219" s="188">
        <f>+BQ219</f>
        <v>6.31</v>
      </c>
      <c r="BS219" s="188">
        <f>+BR219</f>
        <v>6.31</v>
      </c>
      <c r="BT219" s="188">
        <f>BS219</f>
        <v>6.31</v>
      </c>
      <c r="BU219" s="188">
        <f>+BT219</f>
        <v>6.31</v>
      </c>
      <c r="BV219" s="188">
        <f>+BU219</f>
        <v>6.31</v>
      </c>
      <c r="BW219" s="188">
        <f>BV219</f>
        <v>6.31</v>
      </c>
      <c r="BX219" s="188">
        <f>+BW219</f>
        <v>6.31</v>
      </c>
      <c r="BY219" s="188">
        <f>+BX219</f>
        <v>6.31</v>
      </c>
      <c r="BZ219" s="188">
        <f>BY219</f>
        <v>6.31</v>
      </c>
      <c r="CA219" s="188">
        <f>+BZ219</f>
        <v>6.31</v>
      </c>
      <c r="CB219" s="188">
        <f>+CA219</f>
        <v>6.31</v>
      </c>
      <c r="CC219" s="188">
        <f>CB219</f>
        <v>6.31</v>
      </c>
      <c r="CD219" s="186"/>
      <c r="CE219" s="187"/>
      <c r="CF219" s="187"/>
      <c r="CG219" s="187"/>
      <c r="CH219" s="187"/>
      <c r="CI219" s="187"/>
      <c r="CJ219" s="187"/>
      <c r="CK219" s="188"/>
      <c r="CL219" s="192">
        <f t="shared" si="1244"/>
        <v>0</v>
      </c>
      <c r="CM219" s="188">
        <f t="shared" si="1245"/>
        <v>0</v>
      </c>
      <c r="CN219" s="188">
        <f t="shared" si="1246"/>
        <v>5</v>
      </c>
      <c r="CO219" s="188">
        <f t="shared" si="1247"/>
        <v>5</v>
      </c>
      <c r="CP219" s="188">
        <f t="shared" si="1248"/>
        <v>6.31</v>
      </c>
      <c r="CQ219" s="188">
        <f t="shared" si="1249"/>
        <v>6.31</v>
      </c>
      <c r="CR219" s="188">
        <f t="shared" si="1250"/>
        <v>6.31</v>
      </c>
      <c r="CS219" s="188">
        <f t="shared" si="1251"/>
        <v>6.31</v>
      </c>
      <c r="CT219" s="188">
        <f t="shared" si="1252"/>
        <v>6.31</v>
      </c>
      <c r="CU219" s="188">
        <f t="shared" si="1253"/>
        <v>6.31</v>
      </c>
      <c r="CV219" s="188">
        <f t="shared" si="1254"/>
        <v>6.31</v>
      </c>
      <c r="CW219" s="188">
        <f t="shared" si="1255"/>
        <v>6.31</v>
      </c>
      <c r="CX219" s="188">
        <f t="shared" si="1256"/>
        <v>6.31</v>
      </c>
      <c r="CY219" s="188">
        <f t="shared" si="1257"/>
        <v>6.31</v>
      </c>
      <c r="CZ219" s="188">
        <f t="shared" si="1258"/>
        <v>6.31</v>
      </c>
      <c r="DA219" s="188">
        <f t="shared" si="1259"/>
        <v>6.31</v>
      </c>
      <c r="DB219" s="188">
        <f t="shared" si="1260"/>
        <v>6.31</v>
      </c>
      <c r="DC219" s="188">
        <f t="shared" si="1261"/>
        <v>6.31</v>
      </c>
      <c r="DD219" s="188">
        <f t="shared" si="1262"/>
        <v>6.31</v>
      </c>
      <c r="DE219" s="188">
        <f t="shared" si="1263"/>
        <v>6.31</v>
      </c>
    </row>
    <row r="220" spans="1:137" ht="12.75" customHeight="1">
      <c r="A220" s="1"/>
      <c r="B220" s="13" t="s">
        <v>187</v>
      </c>
      <c r="C220" s="1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188"/>
      <c r="AA220" s="188"/>
      <c r="AB220" s="188"/>
      <c r="AC220" s="188"/>
      <c r="AD220" s="188"/>
      <c r="AE220" s="188"/>
      <c r="AF220" s="188"/>
      <c r="AG220" s="188"/>
      <c r="AH220" s="188"/>
      <c r="AI220" s="188"/>
      <c r="AJ220" s="188"/>
      <c r="AK220" s="188"/>
      <c r="AL220" s="188"/>
      <c r="AM220" s="188"/>
      <c r="AN220" s="188"/>
      <c r="AO220" s="188"/>
      <c r="AP220" s="188"/>
      <c r="AQ220" s="188"/>
      <c r="AR220" s="188"/>
      <c r="AS220" s="188"/>
      <c r="AT220" s="188"/>
      <c r="AU220" s="188"/>
      <c r="AV220" s="188"/>
      <c r="AW220" s="188"/>
      <c r="AX220" s="188"/>
      <c r="AY220" s="188"/>
      <c r="AZ220" s="188"/>
      <c r="BA220" s="188"/>
      <c r="BB220" s="188"/>
      <c r="BC220" s="188"/>
      <c r="BD220" s="188"/>
      <c r="BE220" s="188"/>
      <c r="BF220" s="188"/>
      <c r="BG220" s="188"/>
      <c r="BH220" s="188"/>
      <c r="BI220" s="188"/>
      <c r="BJ220" s="188"/>
      <c r="BK220" s="188"/>
      <c r="BL220" s="188"/>
      <c r="BM220" s="188"/>
      <c r="BN220" s="188"/>
      <c r="BO220" s="188"/>
      <c r="BP220" s="188"/>
      <c r="BQ220" s="188"/>
      <c r="BR220" s="188"/>
      <c r="BS220" s="188"/>
      <c r="BT220" s="188"/>
      <c r="BU220" s="188"/>
      <c r="BV220" s="188"/>
      <c r="BW220" s="188"/>
      <c r="BX220" s="188"/>
      <c r="BY220" s="188"/>
      <c r="BZ220" s="188"/>
      <c r="CA220" s="188"/>
      <c r="CB220" s="188"/>
      <c r="CC220" s="188"/>
      <c r="CD220" s="186"/>
      <c r="CE220" s="187"/>
      <c r="CF220" s="187"/>
      <c r="CG220" s="187"/>
      <c r="CH220" s="187"/>
      <c r="CI220" s="187"/>
      <c r="CJ220" s="187"/>
      <c r="CK220" s="188"/>
      <c r="CL220" s="192">
        <f t="shared" si="1244"/>
        <v>0</v>
      </c>
      <c r="CM220" s="188">
        <f t="shared" si="1245"/>
        <v>0</v>
      </c>
      <c r="CN220" s="188">
        <f t="shared" si="1246"/>
        <v>0</v>
      </c>
      <c r="CO220" s="188">
        <f t="shared" si="1247"/>
        <v>0</v>
      </c>
      <c r="CP220" s="188">
        <f t="shared" si="1248"/>
        <v>0</v>
      </c>
      <c r="CQ220" s="188">
        <f t="shared" si="1249"/>
        <v>0</v>
      </c>
      <c r="CR220" s="188">
        <f t="shared" si="1250"/>
        <v>0</v>
      </c>
      <c r="CS220" s="188">
        <f t="shared" si="1251"/>
        <v>0</v>
      </c>
      <c r="CT220" s="188">
        <f t="shared" si="1252"/>
        <v>0</v>
      </c>
      <c r="CU220" s="188">
        <f t="shared" si="1253"/>
        <v>0</v>
      </c>
      <c r="CV220" s="188">
        <f t="shared" si="1254"/>
        <v>0</v>
      </c>
      <c r="CW220" s="188">
        <f t="shared" si="1255"/>
        <v>0</v>
      </c>
      <c r="CX220" s="188">
        <f t="shared" si="1256"/>
        <v>0</v>
      </c>
      <c r="CY220" s="188">
        <f t="shared" si="1257"/>
        <v>0</v>
      </c>
      <c r="CZ220" s="188">
        <f t="shared" si="1258"/>
        <v>0</v>
      </c>
      <c r="DA220" s="188">
        <f t="shared" si="1259"/>
        <v>0</v>
      </c>
      <c r="DB220" s="188">
        <f t="shared" si="1260"/>
        <v>0</v>
      </c>
      <c r="DC220" s="188">
        <f t="shared" si="1261"/>
        <v>0</v>
      </c>
      <c r="DD220" s="188">
        <f t="shared" si="1262"/>
        <v>0</v>
      </c>
      <c r="DE220" s="188">
        <f t="shared" si="1263"/>
        <v>0</v>
      </c>
    </row>
    <row r="221" spans="1:137" ht="12.75" customHeight="1">
      <c r="A221" s="1"/>
      <c r="B221" s="13" t="s">
        <v>188</v>
      </c>
      <c r="C221" s="1"/>
      <c r="D221" s="188" t="str">
        <f>IFERROR(D218/(D219*(1-D220)),"")</f>
        <v/>
      </c>
      <c r="E221" s="188" t="str">
        <f>IFERROR(E218/(E219*(1-E220)),"")</f>
        <v/>
      </c>
      <c r="F221" s="188" t="str">
        <f>IFERROR(F218/(F219*(1-F220)),"")</f>
        <v/>
      </c>
      <c r="G221" s="188">
        <f t="shared" ref="G221:U221" si="1264">G218/(G219*(1-G220))</f>
        <v>0</v>
      </c>
      <c r="H221" s="188">
        <f t="shared" si="1264"/>
        <v>0</v>
      </c>
      <c r="I221" s="188">
        <f t="shared" si="1264"/>
        <v>0</v>
      </c>
      <c r="J221" s="188">
        <f t="shared" si="1264"/>
        <v>0</v>
      </c>
      <c r="K221" s="188">
        <f t="shared" si="1264"/>
        <v>0</v>
      </c>
      <c r="L221" s="188">
        <f t="shared" si="1264"/>
        <v>0</v>
      </c>
      <c r="M221" s="188">
        <f t="shared" si="1264"/>
        <v>0</v>
      </c>
      <c r="N221" s="188">
        <f t="shared" si="1264"/>
        <v>0</v>
      </c>
      <c r="O221" s="188">
        <f t="shared" si="1264"/>
        <v>0</v>
      </c>
      <c r="P221" s="188">
        <f t="shared" si="1264"/>
        <v>-0.55452242046770839</v>
      </c>
      <c r="Q221" s="188" t="e">
        <f t="shared" si="1264"/>
        <v>#DIV/0!</v>
      </c>
      <c r="R221" s="188" t="e">
        <f t="shared" si="1264"/>
        <v>#DIV/0!</v>
      </c>
      <c r="S221" s="188">
        <f t="shared" si="1264"/>
        <v>-1.2374548863621798E-2</v>
      </c>
      <c r="T221" s="188">
        <f t="shared" si="1264"/>
        <v>0.31592036333654178</v>
      </c>
      <c r="U221" s="188">
        <f t="shared" si="1264"/>
        <v>0.30354581447291995</v>
      </c>
      <c r="V221" s="188" t="str">
        <f t="shared" ref="V221:AA221" si="1265">IFERROR(V218/(V219*(1-V220)),"")</f>
        <v/>
      </c>
      <c r="W221" s="188" t="str">
        <f t="shared" si="1265"/>
        <v/>
      </c>
      <c r="X221" s="188" t="str">
        <f t="shared" si="1265"/>
        <v/>
      </c>
      <c r="Y221" s="188" t="str">
        <f t="shared" si="1265"/>
        <v/>
      </c>
      <c r="Z221" s="188" t="str">
        <f t="shared" si="1265"/>
        <v/>
      </c>
      <c r="AA221" s="188" t="str">
        <f t="shared" si="1265"/>
        <v/>
      </c>
      <c r="AB221" s="188"/>
      <c r="AC221" s="188">
        <f t="shared" ref="AC221:BK221" si="1266">AC218/(AC219*(1-AC220))</f>
        <v>1.7880000000000003</v>
      </c>
      <c r="AD221" s="188">
        <f t="shared" si="1266"/>
        <v>3.5713999999999997</v>
      </c>
      <c r="AE221" s="188">
        <f>AE218/(AE219*(1-AE220))</f>
        <v>1.7880000000000003</v>
      </c>
      <c r="AF221" s="188">
        <f t="shared" si="1266"/>
        <v>1.9416700496699999</v>
      </c>
      <c r="AG221" s="188">
        <f t="shared" si="1266"/>
        <v>3.7296700496699997</v>
      </c>
      <c r="AH221" s="188">
        <f t="shared" si="1266"/>
        <v>1.1237391909303023</v>
      </c>
      <c r="AI221" s="188">
        <f t="shared" si="1266"/>
        <v>1.3242130695874283</v>
      </c>
      <c r="AJ221" s="188">
        <f t="shared" si="1266"/>
        <v>2.4479522605177304</v>
      </c>
      <c r="AK221" s="188">
        <f t="shared" si="1266"/>
        <v>0.27078838710973707</v>
      </c>
      <c r="AL221" s="188">
        <f t="shared" si="1266"/>
        <v>0.2864011040759894</v>
      </c>
      <c r="AM221" s="188">
        <f t="shared" si="1266"/>
        <v>0.55718949118572647</v>
      </c>
      <c r="AN221" s="188">
        <f t="shared" si="1266"/>
        <v>0.29803722614721184</v>
      </c>
      <c r="AO221" s="188">
        <f t="shared" si="1266"/>
        <v>0.31240835993480032</v>
      </c>
      <c r="AP221" s="188">
        <f t="shared" si="1266"/>
        <v>0.61044558608201227</v>
      </c>
      <c r="AQ221" s="188">
        <f t="shared" si="1266"/>
        <v>0.32418644719096051</v>
      </c>
      <c r="AR221" s="188">
        <f t="shared" si="1266"/>
        <v>0.27335675769349588</v>
      </c>
      <c r="AS221" s="188">
        <f t="shared" si="1266"/>
        <v>0.59754320488445645</v>
      </c>
      <c r="AT221" s="188">
        <f t="shared" si="1266"/>
        <v>1.3666948797094645</v>
      </c>
      <c r="AU221" s="188">
        <f t="shared" si="1266"/>
        <v>0.27556691890968738</v>
      </c>
      <c r="AV221" s="188">
        <f t="shared" si="1266"/>
        <v>1.6422617986191519</v>
      </c>
      <c r="AW221" s="188">
        <f t="shared" si="1266"/>
        <v>0</v>
      </c>
      <c r="AX221" s="188">
        <f t="shared" si="1266"/>
        <v>0</v>
      </c>
      <c r="AY221" s="188">
        <f t="shared" si="1266"/>
        <v>0</v>
      </c>
      <c r="AZ221" s="188">
        <f t="shared" si="1266"/>
        <v>0</v>
      </c>
      <c r="BA221" s="188">
        <f t="shared" si="1266"/>
        <v>0</v>
      </c>
      <c r="BB221" s="188">
        <f t="shared" si="1266"/>
        <v>0</v>
      </c>
      <c r="BC221" s="188">
        <f t="shared" si="1266"/>
        <v>0</v>
      </c>
      <c r="BD221" s="188">
        <f t="shared" si="1266"/>
        <v>0</v>
      </c>
      <c r="BE221" s="188">
        <f t="shared" si="1266"/>
        <v>0</v>
      </c>
      <c r="BF221" s="188">
        <f t="shared" si="1266"/>
        <v>0</v>
      </c>
      <c r="BG221" s="188">
        <f t="shared" si="1266"/>
        <v>0</v>
      </c>
      <c r="BH221" s="188">
        <f t="shared" si="1266"/>
        <v>0</v>
      </c>
      <c r="BI221" s="188">
        <f t="shared" si="1266"/>
        <v>0</v>
      </c>
      <c r="BJ221" s="188">
        <f t="shared" si="1266"/>
        <v>0</v>
      </c>
      <c r="BK221" s="188">
        <f t="shared" si="1266"/>
        <v>0</v>
      </c>
      <c r="BL221" s="188">
        <f t="shared" ref="BL221:BN221" si="1267">BL218/(BL219*(1-BL220))</f>
        <v>0</v>
      </c>
      <c r="BM221" s="188">
        <f t="shared" si="1267"/>
        <v>0</v>
      </c>
      <c r="BN221" s="188">
        <f t="shared" si="1267"/>
        <v>0</v>
      </c>
      <c r="BO221" s="188">
        <f t="shared" ref="BO221:BQ221" si="1268">BO218/(BO219*(1-BO220))</f>
        <v>0</v>
      </c>
      <c r="BP221" s="188">
        <f t="shared" si="1268"/>
        <v>0</v>
      </c>
      <c r="BQ221" s="188">
        <f t="shared" si="1268"/>
        <v>0</v>
      </c>
      <c r="BR221" s="188">
        <f t="shared" ref="BR221:BT221" si="1269">BR218/(BR219*(1-BR220))</f>
        <v>0</v>
      </c>
      <c r="BS221" s="188">
        <f t="shared" si="1269"/>
        <v>0</v>
      </c>
      <c r="BT221" s="188">
        <f t="shared" si="1269"/>
        <v>0</v>
      </c>
      <c r="BU221" s="188">
        <f t="shared" ref="BU221:BZ221" si="1270">BU218/(BU219*(1-BU220))</f>
        <v>0</v>
      </c>
      <c r="BV221" s="188">
        <f t="shared" si="1270"/>
        <v>0</v>
      </c>
      <c r="BW221" s="188">
        <f t="shared" si="1270"/>
        <v>0</v>
      </c>
      <c r="BX221" s="188">
        <f t="shared" si="1270"/>
        <v>0</v>
      </c>
      <c r="BY221" s="188">
        <f t="shared" si="1270"/>
        <v>0</v>
      </c>
      <c r="BZ221" s="188">
        <f t="shared" si="1270"/>
        <v>0</v>
      </c>
      <c r="CA221" s="188">
        <f t="shared" ref="CA221:CC221" si="1271">CA218/(CA219*(1-CA220))</f>
        <v>0</v>
      </c>
      <c r="CB221" s="188">
        <f t="shared" si="1271"/>
        <v>0</v>
      </c>
      <c r="CC221" s="188">
        <f t="shared" si="1271"/>
        <v>0</v>
      </c>
      <c r="CD221" s="186"/>
      <c r="CE221" s="187"/>
      <c r="CF221" s="187"/>
      <c r="CG221" s="187"/>
      <c r="CH221" s="187"/>
      <c r="CI221" s="187"/>
      <c r="CJ221" s="187"/>
      <c r="CK221" s="188"/>
      <c r="CL221" s="192" t="str">
        <f t="shared" si="1244"/>
        <v/>
      </c>
      <c r="CM221" s="188" t="str">
        <f t="shared" si="1245"/>
        <v/>
      </c>
      <c r="CN221" s="188">
        <f t="shared" si="1246"/>
        <v>3.5713999999999997</v>
      </c>
      <c r="CO221" s="188">
        <f t="shared" si="1247"/>
        <v>3.7296700496699997</v>
      </c>
      <c r="CP221" s="188">
        <f t="shared" si="1248"/>
        <v>2.4479522605177304</v>
      </c>
      <c r="CQ221" s="188">
        <f t="shared" si="1249"/>
        <v>0.55718949118572647</v>
      </c>
      <c r="CR221" s="188">
        <f t="shared" si="1250"/>
        <v>0.61044558608201227</v>
      </c>
      <c r="CS221" s="188">
        <f t="shared" si="1251"/>
        <v>0.59754320488445645</v>
      </c>
      <c r="CT221" s="188">
        <f t="shared" si="1252"/>
        <v>1.6422617986191519</v>
      </c>
      <c r="CU221" s="188">
        <f t="shared" si="1253"/>
        <v>0</v>
      </c>
      <c r="CV221" s="188">
        <f t="shared" si="1254"/>
        <v>0</v>
      </c>
      <c r="CW221" s="188">
        <f t="shared" si="1255"/>
        <v>0</v>
      </c>
      <c r="CX221" s="188">
        <f t="shared" si="1256"/>
        <v>0</v>
      </c>
      <c r="CY221" s="188">
        <f t="shared" si="1257"/>
        <v>0</v>
      </c>
      <c r="CZ221" s="188">
        <f t="shared" si="1258"/>
        <v>0</v>
      </c>
      <c r="DA221" s="188">
        <f t="shared" si="1259"/>
        <v>0</v>
      </c>
      <c r="DB221" s="188">
        <f t="shared" si="1260"/>
        <v>0</v>
      </c>
      <c r="DC221" s="188">
        <f t="shared" si="1261"/>
        <v>0</v>
      </c>
      <c r="DD221" s="188">
        <f t="shared" si="1262"/>
        <v>0</v>
      </c>
      <c r="DE221" s="188">
        <f t="shared" si="1263"/>
        <v>0</v>
      </c>
    </row>
    <row r="222" spans="1:137" ht="12.75" customHeight="1">
      <c r="A222" s="1"/>
      <c r="B222" s="13" t="s">
        <v>189</v>
      </c>
      <c r="C222" s="1"/>
      <c r="D222" s="1"/>
      <c r="E222" s="1"/>
      <c r="F222" s="188">
        <f>SUM(D222:E222)</f>
        <v>0</v>
      </c>
      <c r="G222" s="188"/>
      <c r="H222" s="188"/>
      <c r="I222" s="188">
        <f>SUM(G222:H222)</f>
        <v>0</v>
      </c>
      <c r="J222" s="188"/>
      <c r="K222" s="188"/>
      <c r="L222" s="188">
        <f>SUM(J222:K222)</f>
        <v>0</v>
      </c>
      <c r="M222" s="188"/>
      <c r="N222" s="188"/>
      <c r="O222" s="188">
        <f>SUM(M222:N222)</f>
        <v>0</v>
      </c>
      <c r="P222" s="188"/>
      <c r="Q222" s="188"/>
      <c r="R222" s="188">
        <f>SUM(P222:Q222)</f>
        <v>0</v>
      </c>
      <c r="S222" s="188"/>
      <c r="T222" s="188"/>
      <c r="U222" s="188">
        <f>SUM(S222:T222)</f>
        <v>0</v>
      </c>
      <c r="V222" s="188"/>
      <c r="W222" s="188"/>
      <c r="X222" s="188">
        <f>SUM(V222:W222)</f>
        <v>0</v>
      </c>
      <c r="Y222" s="188"/>
      <c r="Z222" s="188"/>
      <c r="AA222" s="188">
        <f>SUM(Y222:Z222)</f>
        <v>0</v>
      </c>
      <c r="AB222" s="188"/>
      <c r="AC222" s="188"/>
      <c r="AD222" s="188">
        <f>SUM(AB222:AC222)</f>
        <v>0</v>
      </c>
      <c r="AE222" s="188"/>
      <c r="AF222" s="188"/>
      <c r="AG222" s="188">
        <f>SUM(AE222:AF222)</f>
        <v>0</v>
      </c>
      <c r="AH222" s="188"/>
      <c r="AI222" s="188"/>
      <c r="AJ222" s="188">
        <f>SUM(AH222:AI222)</f>
        <v>0</v>
      </c>
      <c r="AK222" s="188"/>
      <c r="AL222" s="188"/>
      <c r="AM222" s="188">
        <f>SUM(AK222:AL222)</f>
        <v>0</v>
      </c>
      <c r="AN222" s="188"/>
      <c r="AO222" s="188"/>
      <c r="AP222" s="188">
        <f>SUM(AN222:AO222)</f>
        <v>0</v>
      </c>
      <c r="AQ222" s="188"/>
      <c r="AR222" s="188"/>
      <c r="AS222" s="188">
        <f>SUM(AQ222:AR222)</f>
        <v>0</v>
      </c>
      <c r="AT222" s="188"/>
      <c r="AU222" s="188"/>
      <c r="AV222" s="188">
        <f>SUM(AT222:AU222)</f>
        <v>0</v>
      </c>
      <c r="AW222" s="188"/>
      <c r="AX222" s="188"/>
      <c r="AY222" s="188">
        <f>SUM(AW222:AX222)</f>
        <v>0</v>
      </c>
      <c r="AZ222" s="188"/>
      <c r="BA222" s="188"/>
      <c r="BB222" s="188">
        <f>SUM(AZ222:BA222)</f>
        <v>0</v>
      </c>
      <c r="BC222" s="188"/>
      <c r="BD222" s="188"/>
      <c r="BE222" s="188">
        <f>SUM(BC222:BD222)</f>
        <v>0</v>
      </c>
      <c r="BF222" s="188"/>
      <c r="BG222" s="188"/>
      <c r="BH222" s="188">
        <f>SUM(BF222:BG222)</f>
        <v>0</v>
      </c>
      <c r="BI222" s="188"/>
      <c r="BJ222" s="188"/>
      <c r="BK222" s="188">
        <f>SUM(BI222:BJ222)</f>
        <v>0</v>
      </c>
      <c r="BL222" s="188"/>
      <c r="BM222" s="188"/>
      <c r="BN222" s="188">
        <f>SUM(BL222:BM222)</f>
        <v>0</v>
      </c>
      <c r="BO222" s="188"/>
      <c r="BP222" s="188"/>
      <c r="BQ222" s="188">
        <f>SUM(BO222:BP222)</f>
        <v>0</v>
      </c>
      <c r="BR222" s="188"/>
      <c r="BS222" s="188"/>
      <c r="BT222" s="188">
        <f>SUM(BR222:BS222)</f>
        <v>0</v>
      </c>
      <c r="BU222" s="188"/>
      <c r="BV222" s="188"/>
      <c r="BW222" s="188">
        <f>SUM(BU222:BV222)</f>
        <v>0</v>
      </c>
      <c r="BX222" s="188"/>
      <c r="BY222" s="188"/>
      <c r="BZ222" s="188">
        <f>SUM(BX222:BY222)</f>
        <v>0</v>
      </c>
      <c r="CA222" s="188"/>
      <c r="CB222" s="188"/>
      <c r="CC222" s="188">
        <f>SUM(CA222:CB222)</f>
        <v>0</v>
      </c>
      <c r="CD222" s="186"/>
      <c r="CE222" s="187"/>
      <c r="CF222" s="187"/>
      <c r="CG222" s="187"/>
      <c r="CH222" s="187"/>
      <c r="CI222" s="187"/>
      <c r="CJ222" s="187"/>
      <c r="CK222" s="188"/>
      <c r="CL222" s="192">
        <f t="shared" si="1244"/>
        <v>0</v>
      </c>
      <c r="CM222" s="188">
        <f t="shared" si="1245"/>
        <v>0</v>
      </c>
      <c r="CN222" s="188">
        <f t="shared" si="1246"/>
        <v>0</v>
      </c>
      <c r="CO222" s="188">
        <f t="shared" si="1247"/>
        <v>0</v>
      </c>
      <c r="CP222" s="188">
        <f t="shared" si="1248"/>
        <v>0</v>
      </c>
      <c r="CQ222" s="188">
        <f t="shared" si="1249"/>
        <v>0</v>
      </c>
      <c r="CR222" s="188">
        <f t="shared" si="1250"/>
        <v>0</v>
      </c>
      <c r="CS222" s="188">
        <f t="shared" si="1251"/>
        <v>0</v>
      </c>
      <c r="CT222" s="188">
        <f t="shared" si="1252"/>
        <v>0</v>
      </c>
      <c r="CU222" s="188">
        <f t="shared" si="1253"/>
        <v>0</v>
      </c>
      <c r="CV222" s="188">
        <f t="shared" si="1254"/>
        <v>0</v>
      </c>
      <c r="CW222" s="188">
        <f t="shared" si="1255"/>
        <v>0</v>
      </c>
      <c r="CX222" s="188">
        <f t="shared" si="1256"/>
        <v>0</v>
      </c>
      <c r="CY222" s="188">
        <f t="shared" si="1257"/>
        <v>0</v>
      </c>
      <c r="CZ222" s="188">
        <f t="shared" si="1258"/>
        <v>0</v>
      </c>
      <c r="DA222" s="188">
        <f t="shared" si="1259"/>
        <v>0</v>
      </c>
      <c r="DB222" s="188">
        <f t="shared" si="1260"/>
        <v>0</v>
      </c>
      <c r="DC222" s="188">
        <f t="shared" si="1261"/>
        <v>0</v>
      </c>
      <c r="DD222" s="188">
        <f t="shared" si="1262"/>
        <v>0</v>
      </c>
      <c r="DE222" s="188">
        <f t="shared" si="1263"/>
        <v>0</v>
      </c>
    </row>
    <row r="223" spans="1:137" ht="12.75" customHeight="1" thickBot="1">
      <c r="A223" s="1"/>
      <c r="B223" s="273"/>
      <c r="C223" s="22"/>
      <c r="D223" s="22"/>
      <c r="E223" s="22"/>
      <c r="F223" s="274"/>
      <c r="G223" s="274"/>
      <c r="H223" s="274"/>
      <c r="I223" s="274"/>
      <c r="J223" s="274"/>
      <c r="K223" s="274"/>
      <c r="L223" s="274"/>
      <c r="M223" s="274"/>
      <c r="N223" s="274"/>
      <c r="O223" s="274"/>
      <c r="P223" s="274"/>
      <c r="Q223" s="274"/>
      <c r="R223" s="274"/>
      <c r="S223" s="274"/>
      <c r="T223" s="274"/>
      <c r="U223" s="274"/>
      <c r="V223" s="274"/>
      <c r="W223" s="274"/>
      <c r="X223" s="274"/>
      <c r="Y223" s="274"/>
      <c r="Z223" s="274"/>
      <c r="AA223" s="274"/>
      <c r="AB223" s="274"/>
      <c r="AC223" s="274"/>
      <c r="AD223" s="274"/>
      <c r="AE223" s="274"/>
      <c r="AF223" s="274"/>
      <c r="AG223" s="274"/>
      <c r="AH223" s="274"/>
      <c r="AI223" s="274"/>
      <c r="AJ223" s="274"/>
      <c r="AK223" s="274"/>
      <c r="AL223" s="274"/>
      <c r="AM223" s="274"/>
      <c r="AN223" s="274"/>
      <c r="AO223" s="274"/>
      <c r="AP223" s="274"/>
      <c r="AQ223" s="274"/>
      <c r="AR223" s="274"/>
      <c r="AS223" s="274"/>
      <c r="AT223" s="274"/>
      <c r="AU223" s="274"/>
      <c r="AV223" s="274"/>
      <c r="AW223" s="274"/>
      <c r="AX223" s="274"/>
      <c r="AY223" s="274"/>
      <c r="AZ223" s="274"/>
      <c r="BA223" s="274"/>
      <c r="BB223" s="274"/>
      <c r="BC223" s="274"/>
      <c r="BD223" s="274"/>
      <c r="BE223" s="274"/>
      <c r="BF223" s="274"/>
      <c r="BG223" s="274"/>
      <c r="BH223" s="274"/>
      <c r="BI223" s="274"/>
      <c r="BJ223" s="274"/>
      <c r="BK223" s="274"/>
      <c r="BL223" s="274"/>
      <c r="BM223" s="274"/>
      <c r="BN223" s="274"/>
      <c r="BO223" s="274"/>
      <c r="BP223" s="274"/>
      <c r="BQ223" s="274"/>
      <c r="BR223" s="274"/>
      <c r="BS223" s="274"/>
      <c r="BT223" s="274"/>
      <c r="BU223" s="274"/>
      <c r="BV223" s="274"/>
      <c r="BW223" s="274"/>
      <c r="BX223" s="274"/>
      <c r="BY223" s="274"/>
      <c r="BZ223" s="274"/>
      <c r="CA223" s="274"/>
      <c r="CB223" s="274"/>
      <c r="CC223" s="274"/>
      <c r="CD223" s="275"/>
      <c r="CE223" s="187"/>
      <c r="CF223" s="187"/>
      <c r="CG223" s="187"/>
      <c r="CH223" s="187"/>
      <c r="CI223" s="187"/>
      <c r="CJ223" s="187"/>
      <c r="CK223" s="188"/>
      <c r="CL223" s="276"/>
      <c r="CM223" s="274"/>
      <c r="CN223" s="274"/>
      <c r="CO223" s="274"/>
      <c r="CP223" s="274"/>
      <c r="CQ223" s="274"/>
      <c r="CR223" s="274"/>
      <c r="CS223" s="274"/>
      <c r="CT223" s="274"/>
      <c r="CU223" s="274"/>
      <c r="CV223" s="274"/>
      <c r="CW223" s="274"/>
      <c r="CX223" s="274"/>
      <c r="CY223" s="274"/>
      <c r="CZ223" s="274"/>
      <c r="DA223" s="274"/>
      <c r="DB223" s="274"/>
      <c r="DC223" s="274"/>
      <c r="DD223" s="274"/>
      <c r="DE223" s="274"/>
    </row>
    <row r="224" spans="1:137" ht="12.75" customHeight="1" outlineLevel="1">
      <c r="A224" s="1"/>
      <c r="B224" s="49" t="s">
        <v>190</v>
      </c>
      <c r="C224" s="1"/>
      <c r="D224" s="1"/>
      <c r="E224" s="1"/>
      <c r="F224" s="188">
        <f t="shared" ref="F224:F229" si="1272">SUM(D224:E224)</f>
        <v>0</v>
      </c>
      <c r="G224" s="188"/>
      <c r="H224" s="188"/>
      <c r="I224" s="188">
        <f t="shared" ref="I224:I229" si="1273">SUM(G224:H224)</f>
        <v>0</v>
      </c>
      <c r="J224" s="188"/>
      <c r="K224" s="188"/>
      <c r="L224" s="188">
        <f t="shared" ref="L224:L229" si="1274">SUM(J224:K224)</f>
        <v>0</v>
      </c>
      <c r="M224" s="188"/>
      <c r="N224" s="188"/>
      <c r="O224" s="188">
        <f t="shared" ref="O224:O229" si="1275">SUM(M224:N224)</f>
        <v>0</v>
      </c>
      <c r="P224" s="188"/>
      <c r="Q224" s="188"/>
      <c r="R224" s="188">
        <f t="shared" ref="R224:R229" si="1276">SUM(P224:Q224)</f>
        <v>0</v>
      </c>
      <c r="S224" s="188"/>
      <c r="T224" s="188"/>
      <c r="U224" s="188">
        <f t="shared" ref="U224:U229" si="1277">SUM(S224:T224)</f>
        <v>0</v>
      </c>
      <c r="V224" s="188"/>
      <c r="W224" s="188"/>
      <c r="X224" s="188">
        <f t="shared" ref="X224:X229" si="1278">SUM(V224:W224)</f>
        <v>0</v>
      </c>
      <c r="Y224" s="188"/>
      <c r="Z224" s="188"/>
      <c r="AA224" s="188">
        <f t="shared" ref="AA224:AA229" si="1279">SUM(Y224:Z224)</f>
        <v>0</v>
      </c>
      <c r="AB224" s="188"/>
      <c r="AC224" s="269">
        <v>0</v>
      </c>
      <c r="AD224" s="269">
        <v>0</v>
      </c>
      <c r="AE224" s="269">
        <v>0</v>
      </c>
      <c r="AF224" s="269">
        <v>0</v>
      </c>
      <c r="AG224" s="269">
        <v>0</v>
      </c>
      <c r="AH224" s="269">
        <v>0</v>
      </c>
      <c r="AI224" s="269">
        <v>0</v>
      </c>
      <c r="AJ224" s="269">
        <v>0</v>
      </c>
      <c r="AK224" s="269">
        <v>0</v>
      </c>
      <c r="AL224" s="269">
        <v>0</v>
      </c>
      <c r="AM224" s="269">
        <v>0</v>
      </c>
      <c r="AN224" s="269">
        <v>0</v>
      </c>
      <c r="AO224" s="269">
        <v>0</v>
      </c>
      <c r="AP224" s="269">
        <v>0</v>
      </c>
      <c r="AQ224" s="269">
        <v>0</v>
      </c>
      <c r="AR224" s="269">
        <v>0</v>
      </c>
      <c r="AS224" s="269">
        <v>0</v>
      </c>
      <c r="AT224" s="269">
        <v>0</v>
      </c>
      <c r="AU224" s="269">
        <v>0</v>
      </c>
      <c r="AV224" s="269">
        <v>0</v>
      </c>
      <c r="AW224" s="269">
        <v>0</v>
      </c>
      <c r="AX224" s="269">
        <v>0</v>
      </c>
      <c r="AY224" s="269">
        <v>0</v>
      </c>
      <c r="AZ224" s="269">
        <v>0</v>
      </c>
      <c r="BA224" s="269">
        <v>0</v>
      </c>
      <c r="BB224" s="269">
        <v>0</v>
      </c>
      <c r="BC224" s="269">
        <v>0</v>
      </c>
      <c r="BD224" s="269">
        <v>0</v>
      </c>
      <c r="BE224" s="269">
        <v>0</v>
      </c>
      <c r="BF224" s="269">
        <v>0</v>
      </c>
      <c r="BG224" s="269">
        <v>0</v>
      </c>
      <c r="BH224" s="269">
        <v>0</v>
      </c>
      <c r="BI224" s="269">
        <v>0</v>
      </c>
      <c r="BJ224" s="269">
        <v>0</v>
      </c>
      <c r="BK224" s="269">
        <v>0</v>
      </c>
      <c r="BL224" s="269">
        <v>0</v>
      </c>
      <c r="BM224" s="269">
        <v>0</v>
      </c>
      <c r="BN224" s="269">
        <v>0</v>
      </c>
      <c r="BO224" s="269">
        <v>0</v>
      </c>
      <c r="BP224" s="269">
        <v>0</v>
      </c>
      <c r="BQ224" s="269">
        <v>0</v>
      </c>
      <c r="BR224" s="269">
        <v>0</v>
      </c>
      <c r="BS224" s="269">
        <v>0</v>
      </c>
      <c r="BT224" s="269">
        <v>0</v>
      </c>
      <c r="BU224" s="269">
        <v>0</v>
      </c>
      <c r="BV224" s="269">
        <v>0</v>
      </c>
      <c r="BW224" s="269">
        <v>0</v>
      </c>
      <c r="BX224" s="269">
        <v>0</v>
      </c>
      <c r="BY224" s="269">
        <v>0</v>
      </c>
      <c r="BZ224" s="269">
        <v>0</v>
      </c>
      <c r="CA224" s="269">
        <v>0</v>
      </c>
      <c r="CB224" s="269">
        <v>0</v>
      </c>
      <c r="CC224" s="269">
        <v>0</v>
      </c>
      <c r="CD224" s="186"/>
      <c r="CE224" s="187"/>
      <c r="CF224" s="187"/>
      <c r="CG224" s="187"/>
      <c r="CH224" s="187"/>
      <c r="CI224" s="187"/>
      <c r="CJ224" s="187"/>
      <c r="CK224" s="188"/>
      <c r="CL224" s="277">
        <f t="shared" ref="CL224:CL229" si="1280">X224</f>
        <v>0</v>
      </c>
      <c r="CM224" s="277">
        <f t="shared" ref="CM224:CM229" si="1281">AA224</f>
        <v>0</v>
      </c>
      <c r="CN224" s="277">
        <f t="shared" ref="CN224:CN229" si="1282">AD224</f>
        <v>0</v>
      </c>
      <c r="CO224" s="277">
        <f t="shared" ref="CO224:CO229" si="1283">AG224</f>
        <v>0</v>
      </c>
      <c r="CP224" s="277">
        <f t="shared" ref="CP224:CP229" si="1284">AJ224</f>
        <v>0</v>
      </c>
      <c r="CQ224" s="277">
        <f t="shared" ref="CQ224:CQ229" si="1285">AM224</f>
        <v>0</v>
      </c>
      <c r="CR224" s="277">
        <f t="shared" ref="CR224:CR229" si="1286">AP224</f>
        <v>0</v>
      </c>
      <c r="CS224" s="277">
        <f t="shared" ref="CS224:CS229" si="1287">AS224</f>
        <v>0</v>
      </c>
      <c r="CT224" s="277">
        <f t="shared" ref="CT224:CT229" si="1288">AV224</f>
        <v>0</v>
      </c>
      <c r="CU224" s="277">
        <f t="shared" ref="CU224:CU229" si="1289">AY224</f>
        <v>0</v>
      </c>
      <c r="CV224" s="277">
        <f t="shared" ref="CV224:CV229" si="1290">BB224</f>
        <v>0</v>
      </c>
      <c r="CW224" s="277">
        <f t="shared" ref="CW224:CW229" si="1291">BE224</f>
        <v>0</v>
      </c>
      <c r="CX224" s="277">
        <f t="shared" ref="CX224:CX229" si="1292">BH224</f>
        <v>0</v>
      </c>
      <c r="CY224" s="277">
        <f t="shared" ref="CY224:CY229" si="1293">BK224</f>
        <v>0</v>
      </c>
      <c r="CZ224" s="277">
        <f t="shared" ref="CZ224:CZ229" si="1294">BN224</f>
        <v>0</v>
      </c>
      <c r="DA224" s="277">
        <f t="shared" ref="DA224:DA229" si="1295">BQ224</f>
        <v>0</v>
      </c>
      <c r="DB224" s="277">
        <f t="shared" ref="DB224:DB229" si="1296">BT224</f>
        <v>0</v>
      </c>
      <c r="DC224" s="277">
        <f t="shared" ref="DC224:DC229" si="1297">BW224</f>
        <v>0</v>
      </c>
      <c r="DD224" s="277">
        <f t="shared" ref="DD224:DD229" si="1298">BZ224</f>
        <v>0</v>
      </c>
      <c r="DE224" s="277">
        <f t="shared" ref="DE224:DE229" si="1299">CC224</f>
        <v>0</v>
      </c>
    </row>
    <row r="225" spans="1:109" ht="12.75" customHeight="1" outlineLevel="1">
      <c r="A225" s="1"/>
      <c r="B225" s="13" t="s">
        <v>185</v>
      </c>
      <c r="C225" s="1"/>
      <c r="D225" s="1"/>
      <c r="E225" s="1"/>
      <c r="F225" s="188">
        <f t="shared" si="1272"/>
        <v>0</v>
      </c>
      <c r="G225" s="188"/>
      <c r="H225" s="188"/>
      <c r="I225" s="188">
        <f t="shared" si="1273"/>
        <v>0</v>
      </c>
      <c r="J225" s="188"/>
      <c r="K225" s="188"/>
      <c r="L225" s="188">
        <f t="shared" si="1274"/>
        <v>0</v>
      </c>
      <c r="M225" s="188"/>
      <c r="N225" s="188"/>
      <c r="O225" s="188">
        <f t="shared" si="1275"/>
        <v>0</v>
      </c>
      <c r="P225" s="188"/>
      <c r="Q225" s="188"/>
      <c r="R225" s="188">
        <f t="shared" si="1276"/>
        <v>0</v>
      </c>
      <c r="S225" s="188"/>
      <c r="T225" s="188"/>
      <c r="U225" s="188">
        <f t="shared" si="1277"/>
        <v>0</v>
      </c>
      <c r="V225" s="188"/>
      <c r="W225" s="188"/>
      <c r="X225" s="188">
        <f t="shared" si="1278"/>
        <v>0</v>
      </c>
      <c r="Y225" s="188"/>
      <c r="Z225" s="188"/>
      <c r="AA225" s="188">
        <f t="shared" si="1279"/>
        <v>0</v>
      </c>
      <c r="AB225" s="188"/>
      <c r="AC225" s="188"/>
      <c r="AD225" s="188">
        <f>SUM(AB225:AC225)</f>
        <v>0</v>
      </c>
      <c r="AE225" s="188"/>
      <c r="AF225" s="188"/>
      <c r="AG225" s="188">
        <f>SUM(AE225:AF225)</f>
        <v>0</v>
      </c>
      <c r="AH225" s="188"/>
      <c r="AI225" s="188"/>
      <c r="AJ225" s="188">
        <f>SUM(AH225:AI225)</f>
        <v>0</v>
      </c>
      <c r="AK225" s="188"/>
      <c r="AL225" s="188"/>
      <c r="AM225" s="188">
        <f>SUM(AK225:AL225)</f>
        <v>0</v>
      </c>
      <c r="AN225" s="188"/>
      <c r="AO225" s="188"/>
      <c r="AP225" s="188">
        <f>SUM(AN225:AO225)</f>
        <v>0</v>
      </c>
      <c r="AQ225" s="188"/>
      <c r="AR225" s="188"/>
      <c r="AS225" s="188">
        <f>SUM(AQ225:AR225)</f>
        <v>0</v>
      </c>
      <c r="AT225" s="188"/>
      <c r="AU225" s="188"/>
      <c r="AV225" s="188">
        <f>SUM(AT225:AU225)</f>
        <v>0</v>
      </c>
      <c r="AW225" s="188"/>
      <c r="AX225" s="188"/>
      <c r="AY225" s="188">
        <f>SUM(AW225:AX225)</f>
        <v>0</v>
      </c>
      <c r="AZ225" s="188"/>
      <c r="BA225" s="188"/>
      <c r="BB225" s="188">
        <f>SUM(AZ225:BA225)</f>
        <v>0</v>
      </c>
      <c r="BC225" s="188"/>
      <c r="BD225" s="188"/>
      <c r="BE225" s="188">
        <f>SUM(BC225:BD225)</f>
        <v>0</v>
      </c>
      <c r="BF225" s="188"/>
      <c r="BG225" s="188"/>
      <c r="BH225" s="188">
        <f>SUM(BF225:BG225)</f>
        <v>0</v>
      </c>
      <c r="BI225" s="188"/>
      <c r="BJ225" s="188"/>
      <c r="BK225" s="188">
        <f>SUM(BI225:BJ225)</f>
        <v>0</v>
      </c>
      <c r="BL225" s="188"/>
      <c r="BM225" s="188"/>
      <c r="BN225" s="188">
        <f>SUM(BL225:BM225)</f>
        <v>0</v>
      </c>
      <c r="BO225" s="188"/>
      <c r="BP225" s="188"/>
      <c r="BQ225" s="188">
        <f>SUM(BO225:BP225)</f>
        <v>0</v>
      </c>
      <c r="BR225" s="188"/>
      <c r="BS225" s="188"/>
      <c r="BT225" s="188">
        <f>SUM(BR225:BS225)</f>
        <v>0</v>
      </c>
      <c r="BU225" s="188"/>
      <c r="BV225" s="188"/>
      <c r="BW225" s="188">
        <f>SUM(BU225:BV225)</f>
        <v>0</v>
      </c>
      <c r="BX225" s="188"/>
      <c r="BY225" s="188"/>
      <c r="BZ225" s="188">
        <f>SUM(BX225:BY225)</f>
        <v>0</v>
      </c>
      <c r="CA225" s="188"/>
      <c r="CB225" s="188"/>
      <c r="CC225" s="188">
        <f>SUM(CA225:CB225)</f>
        <v>0</v>
      </c>
      <c r="CD225" s="186"/>
      <c r="CE225" s="187"/>
      <c r="CF225" s="187"/>
      <c r="CG225" s="187"/>
      <c r="CH225" s="187"/>
      <c r="CI225" s="187"/>
      <c r="CJ225" s="187"/>
      <c r="CK225" s="188"/>
      <c r="CL225" s="188">
        <f t="shared" si="1280"/>
        <v>0</v>
      </c>
      <c r="CM225" s="188">
        <f t="shared" si="1281"/>
        <v>0</v>
      </c>
      <c r="CN225" s="188">
        <f t="shared" si="1282"/>
        <v>0</v>
      </c>
      <c r="CO225" s="188">
        <f t="shared" si="1283"/>
        <v>0</v>
      </c>
      <c r="CP225" s="188">
        <f t="shared" si="1284"/>
        <v>0</v>
      </c>
      <c r="CQ225" s="188">
        <f t="shared" si="1285"/>
        <v>0</v>
      </c>
      <c r="CR225" s="188">
        <f t="shared" si="1286"/>
        <v>0</v>
      </c>
      <c r="CS225" s="188">
        <f t="shared" si="1287"/>
        <v>0</v>
      </c>
      <c r="CT225" s="188">
        <f t="shared" si="1288"/>
        <v>0</v>
      </c>
      <c r="CU225" s="188">
        <f t="shared" si="1289"/>
        <v>0</v>
      </c>
      <c r="CV225" s="188">
        <f t="shared" si="1290"/>
        <v>0</v>
      </c>
      <c r="CW225" s="188">
        <f t="shared" si="1291"/>
        <v>0</v>
      </c>
      <c r="CX225" s="188">
        <f t="shared" si="1292"/>
        <v>0</v>
      </c>
      <c r="CY225" s="188">
        <f t="shared" si="1293"/>
        <v>0</v>
      </c>
      <c r="CZ225" s="188">
        <f t="shared" si="1294"/>
        <v>0</v>
      </c>
      <c r="DA225" s="188">
        <f t="shared" si="1295"/>
        <v>0</v>
      </c>
      <c r="DB225" s="188">
        <f t="shared" si="1296"/>
        <v>0</v>
      </c>
      <c r="DC225" s="188">
        <f t="shared" si="1297"/>
        <v>0</v>
      </c>
      <c r="DD225" s="188">
        <f t="shared" si="1298"/>
        <v>0</v>
      </c>
      <c r="DE225" s="188">
        <f t="shared" si="1299"/>
        <v>0</v>
      </c>
    </row>
    <row r="226" spans="1:109" ht="12.75" customHeight="1" outlineLevel="1">
      <c r="A226" s="1"/>
      <c r="B226" s="13" t="s">
        <v>186</v>
      </c>
      <c r="C226" s="1"/>
      <c r="D226" s="1"/>
      <c r="E226" s="1"/>
      <c r="F226" s="188">
        <f t="shared" si="1272"/>
        <v>0</v>
      </c>
      <c r="G226" s="188"/>
      <c r="H226" s="188"/>
      <c r="I226" s="188">
        <f t="shared" si="1273"/>
        <v>0</v>
      </c>
      <c r="J226" s="188"/>
      <c r="K226" s="188"/>
      <c r="L226" s="188">
        <f t="shared" si="1274"/>
        <v>0</v>
      </c>
      <c r="M226" s="188"/>
      <c r="N226" s="188"/>
      <c r="O226" s="188">
        <f t="shared" si="1275"/>
        <v>0</v>
      </c>
      <c r="P226" s="188"/>
      <c r="Q226" s="188"/>
      <c r="R226" s="188">
        <f t="shared" si="1276"/>
        <v>0</v>
      </c>
      <c r="S226" s="188"/>
      <c r="T226" s="188"/>
      <c r="U226" s="188">
        <f t="shared" si="1277"/>
        <v>0</v>
      </c>
      <c r="V226" s="188"/>
      <c r="W226" s="188"/>
      <c r="X226" s="188">
        <f t="shared" si="1278"/>
        <v>0</v>
      </c>
      <c r="Y226" s="188"/>
      <c r="Z226" s="188"/>
      <c r="AA226" s="188">
        <f t="shared" si="1279"/>
        <v>0</v>
      </c>
      <c r="AB226" s="188"/>
      <c r="AC226" s="184">
        <v>0</v>
      </c>
      <c r="AD226" s="188">
        <f>SUM(AB226:AC226)</f>
        <v>0</v>
      </c>
      <c r="AE226" s="188"/>
      <c r="AF226" s="188"/>
      <c r="AG226" s="188">
        <f>SUM(AE226:AF226)</f>
        <v>0</v>
      </c>
      <c r="AH226" s="188"/>
      <c r="AI226" s="188"/>
      <c r="AJ226" s="188">
        <f>SUM(AH226:AI226)</f>
        <v>0</v>
      </c>
      <c r="AK226" s="188"/>
      <c r="AL226" s="188"/>
      <c r="AM226" s="188">
        <f>SUM(AK226:AL226)</f>
        <v>0</v>
      </c>
      <c r="AN226" s="188"/>
      <c r="AO226" s="188"/>
      <c r="AP226" s="188">
        <f>SUM(AN226:AO226)</f>
        <v>0</v>
      </c>
      <c r="AQ226" s="188"/>
      <c r="AR226" s="188"/>
      <c r="AS226" s="188">
        <f>SUM(AQ226:AR226)</f>
        <v>0</v>
      </c>
      <c r="AT226" s="188"/>
      <c r="AU226" s="188"/>
      <c r="AV226" s="188">
        <f>SUM(AT226:AU226)</f>
        <v>0</v>
      </c>
      <c r="AW226" s="188"/>
      <c r="AX226" s="188"/>
      <c r="AY226" s="188">
        <f>SUM(AW226:AX226)</f>
        <v>0</v>
      </c>
      <c r="AZ226" s="188"/>
      <c r="BA226" s="188"/>
      <c r="BB226" s="188">
        <f>SUM(AZ226:BA226)</f>
        <v>0</v>
      </c>
      <c r="BC226" s="188"/>
      <c r="BD226" s="188"/>
      <c r="BE226" s="188">
        <f>SUM(BC226:BD226)</f>
        <v>0</v>
      </c>
      <c r="BF226" s="188"/>
      <c r="BG226" s="188"/>
      <c r="BH226" s="188">
        <f>SUM(BF226:BG226)</f>
        <v>0</v>
      </c>
      <c r="BI226" s="188"/>
      <c r="BJ226" s="188"/>
      <c r="BK226" s="188">
        <f>SUM(BI226:BJ226)</f>
        <v>0</v>
      </c>
      <c r="BL226" s="188"/>
      <c r="BM226" s="188"/>
      <c r="BN226" s="188">
        <f>SUM(BL226:BM226)</f>
        <v>0</v>
      </c>
      <c r="BO226" s="188"/>
      <c r="BP226" s="188"/>
      <c r="BQ226" s="188">
        <f>SUM(BO226:BP226)</f>
        <v>0</v>
      </c>
      <c r="BR226" s="188"/>
      <c r="BS226" s="188"/>
      <c r="BT226" s="188">
        <f>SUM(BR226:BS226)</f>
        <v>0</v>
      </c>
      <c r="BU226" s="188"/>
      <c r="BV226" s="188"/>
      <c r="BW226" s="188">
        <f>SUM(BU226:BV226)</f>
        <v>0</v>
      </c>
      <c r="BX226" s="188"/>
      <c r="BY226" s="188"/>
      <c r="BZ226" s="188">
        <f>SUM(BX226:BY226)</f>
        <v>0</v>
      </c>
      <c r="CA226" s="188"/>
      <c r="CB226" s="188"/>
      <c r="CC226" s="188">
        <f>SUM(CA226:CB226)</f>
        <v>0</v>
      </c>
      <c r="CD226" s="186"/>
      <c r="CE226" s="187"/>
      <c r="CF226" s="187"/>
      <c r="CG226" s="187"/>
      <c r="CH226" s="187"/>
      <c r="CI226" s="187"/>
      <c r="CJ226" s="187"/>
      <c r="CK226" s="188"/>
      <c r="CL226" s="188">
        <f t="shared" si="1280"/>
        <v>0</v>
      </c>
      <c r="CM226" s="188">
        <f t="shared" si="1281"/>
        <v>0</v>
      </c>
      <c r="CN226" s="188">
        <f t="shared" si="1282"/>
        <v>0</v>
      </c>
      <c r="CO226" s="188">
        <f t="shared" si="1283"/>
        <v>0</v>
      </c>
      <c r="CP226" s="188">
        <f t="shared" si="1284"/>
        <v>0</v>
      </c>
      <c r="CQ226" s="188">
        <f t="shared" si="1285"/>
        <v>0</v>
      </c>
      <c r="CR226" s="188">
        <f t="shared" si="1286"/>
        <v>0</v>
      </c>
      <c r="CS226" s="188">
        <f t="shared" si="1287"/>
        <v>0</v>
      </c>
      <c r="CT226" s="188">
        <f t="shared" si="1288"/>
        <v>0</v>
      </c>
      <c r="CU226" s="188">
        <f t="shared" si="1289"/>
        <v>0</v>
      </c>
      <c r="CV226" s="188">
        <f t="shared" si="1290"/>
        <v>0</v>
      </c>
      <c r="CW226" s="188">
        <f t="shared" si="1291"/>
        <v>0</v>
      </c>
      <c r="CX226" s="188">
        <f t="shared" si="1292"/>
        <v>0</v>
      </c>
      <c r="CY226" s="188">
        <f t="shared" si="1293"/>
        <v>0</v>
      </c>
      <c r="CZ226" s="188">
        <f t="shared" si="1294"/>
        <v>0</v>
      </c>
      <c r="DA226" s="188">
        <f t="shared" si="1295"/>
        <v>0</v>
      </c>
      <c r="DB226" s="188">
        <f t="shared" si="1296"/>
        <v>0</v>
      </c>
      <c r="DC226" s="188">
        <f t="shared" si="1297"/>
        <v>0</v>
      </c>
      <c r="DD226" s="188">
        <f t="shared" si="1298"/>
        <v>0</v>
      </c>
      <c r="DE226" s="188">
        <f t="shared" si="1299"/>
        <v>0</v>
      </c>
    </row>
    <row r="227" spans="1:109" ht="12.75" customHeight="1" outlineLevel="1">
      <c r="A227" s="1"/>
      <c r="B227" s="13" t="s">
        <v>191</v>
      </c>
      <c r="C227" s="1"/>
      <c r="D227" s="1"/>
      <c r="E227" s="1"/>
      <c r="F227" s="188">
        <f t="shared" si="1272"/>
        <v>0</v>
      </c>
      <c r="G227" s="188"/>
      <c r="H227" s="188"/>
      <c r="I227" s="188">
        <f t="shared" si="1273"/>
        <v>0</v>
      </c>
      <c r="J227" s="188"/>
      <c r="K227" s="188"/>
      <c r="L227" s="188">
        <f t="shared" si="1274"/>
        <v>0</v>
      </c>
      <c r="M227" s="188"/>
      <c r="N227" s="188"/>
      <c r="O227" s="188">
        <f t="shared" si="1275"/>
        <v>0</v>
      </c>
      <c r="P227" s="188"/>
      <c r="Q227" s="188"/>
      <c r="R227" s="188">
        <f t="shared" si="1276"/>
        <v>0</v>
      </c>
      <c r="S227" s="188"/>
      <c r="T227" s="188"/>
      <c r="U227" s="188">
        <f t="shared" si="1277"/>
        <v>0</v>
      </c>
      <c r="V227" s="188"/>
      <c r="W227" s="188"/>
      <c r="X227" s="188">
        <f t="shared" si="1278"/>
        <v>0</v>
      </c>
      <c r="Y227" s="188"/>
      <c r="Z227" s="188"/>
      <c r="AA227" s="188">
        <f t="shared" si="1279"/>
        <v>0</v>
      </c>
      <c r="AB227" s="188"/>
      <c r="AC227" s="188"/>
      <c r="AD227" s="188">
        <f>SUM(AB227:AC227)</f>
        <v>0</v>
      </c>
      <c r="AE227" s="188"/>
      <c r="AF227" s="188"/>
      <c r="AG227" s="188">
        <f>SUM(AE227:AF227)</f>
        <v>0</v>
      </c>
      <c r="AH227" s="188"/>
      <c r="AI227" s="188"/>
      <c r="AJ227" s="188">
        <f>SUM(AH227:AI227)</f>
        <v>0</v>
      </c>
      <c r="AK227" s="188"/>
      <c r="AL227" s="188"/>
      <c r="AM227" s="188">
        <f>SUM(AK227:AL227)</f>
        <v>0</v>
      </c>
      <c r="AN227" s="188"/>
      <c r="AO227" s="188"/>
      <c r="AP227" s="188">
        <f>SUM(AN227:AO227)</f>
        <v>0</v>
      </c>
      <c r="AQ227" s="188"/>
      <c r="AR227" s="188"/>
      <c r="AS227" s="188">
        <f>SUM(AQ227:AR227)</f>
        <v>0</v>
      </c>
      <c r="AT227" s="188"/>
      <c r="AU227" s="188"/>
      <c r="AV227" s="188">
        <f>SUM(AT227:AU227)</f>
        <v>0</v>
      </c>
      <c r="AW227" s="188"/>
      <c r="AX227" s="188"/>
      <c r="AY227" s="188">
        <f>SUM(AW227:AX227)</f>
        <v>0</v>
      </c>
      <c r="AZ227" s="188"/>
      <c r="BA227" s="188"/>
      <c r="BB227" s="188">
        <f>SUM(AZ227:BA227)</f>
        <v>0</v>
      </c>
      <c r="BC227" s="188"/>
      <c r="BD227" s="188"/>
      <c r="BE227" s="188">
        <f>SUM(BC227:BD227)</f>
        <v>0</v>
      </c>
      <c r="BF227" s="188"/>
      <c r="BG227" s="188"/>
      <c r="BH227" s="188">
        <f>SUM(BF227:BG227)</f>
        <v>0</v>
      </c>
      <c r="BI227" s="188"/>
      <c r="BJ227" s="188"/>
      <c r="BK227" s="188">
        <f>SUM(BI227:BJ227)</f>
        <v>0</v>
      </c>
      <c r="BL227" s="188"/>
      <c r="BM227" s="188"/>
      <c r="BN227" s="188">
        <f>SUM(BL227:BM227)</f>
        <v>0</v>
      </c>
      <c r="BO227" s="188"/>
      <c r="BP227" s="188"/>
      <c r="BQ227" s="188">
        <f>SUM(BO227:BP227)</f>
        <v>0</v>
      </c>
      <c r="BR227" s="188"/>
      <c r="BS227" s="188"/>
      <c r="BT227" s="188">
        <f>SUM(BR227:BS227)</f>
        <v>0</v>
      </c>
      <c r="BU227" s="188"/>
      <c r="BV227" s="188"/>
      <c r="BW227" s="188">
        <f>SUM(BU227:BV227)</f>
        <v>0</v>
      </c>
      <c r="BX227" s="188"/>
      <c r="BY227" s="188"/>
      <c r="BZ227" s="188">
        <f>SUM(BX227:BY227)</f>
        <v>0</v>
      </c>
      <c r="CA227" s="188"/>
      <c r="CB227" s="188"/>
      <c r="CC227" s="188">
        <f>SUM(CA227:CB227)</f>
        <v>0</v>
      </c>
      <c r="CD227" s="186"/>
      <c r="CE227" s="187"/>
      <c r="CF227" s="187"/>
      <c r="CG227" s="187"/>
      <c r="CH227" s="187"/>
      <c r="CI227" s="187"/>
      <c r="CJ227" s="187"/>
      <c r="CK227" s="188"/>
      <c r="CL227" s="188">
        <f t="shared" si="1280"/>
        <v>0</v>
      </c>
      <c r="CM227" s="188">
        <f t="shared" si="1281"/>
        <v>0</v>
      </c>
      <c r="CN227" s="188">
        <f t="shared" si="1282"/>
        <v>0</v>
      </c>
      <c r="CO227" s="188">
        <f t="shared" si="1283"/>
        <v>0</v>
      </c>
      <c r="CP227" s="188">
        <f t="shared" si="1284"/>
        <v>0</v>
      </c>
      <c r="CQ227" s="188">
        <f t="shared" si="1285"/>
        <v>0</v>
      </c>
      <c r="CR227" s="188">
        <f t="shared" si="1286"/>
        <v>0</v>
      </c>
      <c r="CS227" s="188">
        <f t="shared" si="1287"/>
        <v>0</v>
      </c>
      <c r="CT227" s="188">
        <f t="shared" si="1288"/>
        <v>0</v>
      </c>
      <c r="CU227" s="188">
        <f t="shared" si="1289"/>
        <v>0</v>
      </c>
      <c r="CV227" s="188">
        <f t="shared" si="1290"/>
        <v>0</v>
      </c>
      <c r="CW227" s="188">
        <f t="shared" si="1291"/>
        <v>0</v>
      </c>
      <c r="CX227" s="188">
        <f t="shared" si="1292"/>
        <v>0</v>
      </c>
      <c r="CY227" s="188">
        <f t="shared" si="1293"/>
        <v>0</v>
      </c>
      <c r="CZ227" s="188">
        <f t="shared" si="1294"/>
        <v>0</v>
      </c>
      <c r="DA227" s="188">
        <f t="shared" si="1295"/>
        <v>0</v>
      </c>
      <c r="DB227" s="188">
        <f t="shared" si="1296"/>
        <v>0</v>
      </c>
      <c r="DC227" s="188">
        <f t="shared" si="1297"/>
        <v>0</v>
      </c>
      <c r="DD227" s="188">
        <f t="shared" si="1298"/>
        <v>0</v>
      </c>
      <c r="DE227" s="188">
        <f t="shared" si="1299"/>
        <v>0</v>
      </c>
    </row>
    <row r="228" spans="1:109" ht="12.75" customHeight="1" outlineLevel="1">
      <c r="A228" s="1"/>
      <c r="B228" s="13" t="s">
        <v>192</v>
      </c>
      <c r="C228" s="1"/>
      <c r="D228" s="1"/>
      <c r="E228" s="1"/>
      <c r="F228" s="188">
        <f t="shared" si="1272"/>
        <v>0</v>
      </c>
      <c r="G228" s="188"/>
      <c r="H228" s="188"/>
      <c r="I228" s="188">
        <f t="shared" si="1273"/>
        <v>0</v>
      </c>
      <c r="J228" s="188"/>
      <c r="K228" s="188"/>
      <c r="L228" s="188">
        <f t="shared" si="1274"/>
        <v>0</v>
      </c>
      <c r="M228" s="188"/>
      <c r="N228" s="188"/>
      <c r="O228" s="188">
        <f t="shared" si="1275"/>
        <v>0</v>
      </c>
      <c r="P228" s="188"/>
      <c r="Q228" s="188"/>
      <c r="R228" s="188">
        <f t="shared" si="1276"/>
        <v>0</v>
      </c>
      <c r="S228" s="188"/>
      <c r="T228" s="188"/>
      <c r="U228" s="188">
        <f t="shared" si="1277"/>
        <v>0</v>
      </c>
      <c r="V228" s="188"/>
      <c r="W228" s="188"/>
      <c r="X228" s="188">
        <f t="shared" si="1278"/>
        <v>0</v>
      </c>
      <c r="Y228" s="188"/>
      <c r="Z228" s="188"/>
      <c r="AA228" s="188">
        <f t="shared" si="1279"/>
        <v>0</v>
      </c>
      <c r="AB228" s="188"/>
      <c r="AC228" s="188"/>
      <c r="AD228" s="188">
        <f>SUM(AB228:AC228)</f>
        <v>0</v>
      </c>
      <c r="AE228" s="188"/>
      <c r="AF228" s="188"/>
      <c r="AG228" s="188">
        <f>SUM(AE228:AF228)</f>
        <v>0</v>
      </c>
      <c r="AH228" s="188"/>
      <c r="AI228" s="188"/>
      <c r="AJ228" s="188">
        <f>SUM(AH228:AI228)</f>
        <v>0</v>
      </c>
      <c r="AK228" s="188"/>
      <c r="AL228" s="188"/>
      <c r="AM228" s="188">
        <f>SUM(AK228:AL228)</f>
        <v>0</v>
      </c>
      <c r="AN228" s="188"/>
      <c r="AO228" s="188"/>
      <c r="AP228" s="188">
        <f>SUM(AN228:AO228)</f>
        <v>0</v>
      </c>
      <c r="AQ228" s="188"/>
      <c r="AR228" s="188"/>
      <c r="AS228" s="188">
        <f>SUM(AQ228:AR228)</f>
        <v>0</v>
      </c>
      <c r="AT228" s="188"/>
      <c r="AU228" s="188"/>
      <c r="AV228" s="188">
        <f>SUM(AT228:AU228)</f>
        <v>0</v>
      </c>
      <c r="AW228" s="188"/>
      <c r="AX228" s="188"/>
      <c r="AY228" s="188">
        <f>SUM(AW228:AX228)</f>
        <v>0</v>
      </c>
      <c r="AZ228" s="188"/>
      <c r="BA228" s="188"/>
      <c r="BB228" s="188">
        <f>SUM(AZ228:BA228)</f>
        <v>0</v>
      </c>
      <c r="BC228" s="188"/>
      <c r="BD228" s="188"/>
      <c r="BE228" s="188">
        <f>SUM(BC228:BD228)</f>
        <v>0</v>
      </c>
      <c r="BF228" s="188"/>
      <c r="BG228" s="188"/>
      <c r="BH228" s="188">
        <f>SUM(BF228:BG228)</f>
        <v>0</v>
      </c>
      <c r="BI228" s="188"/>
      <c r="BJ228" s="188"/>
      <c r="BK228" s="188">
        <f>SUM(BI228:BJ228)</f>
        <v>0</v>
      </c>
      <c r="BL228" s="188"/>
      <c r="BM228" s="188"/>
      <c r="BN228" s="188">
        <f>SUM(BL228:BM228)</f>
        <v>0</v>
      </c>
      <c r="BO228" s="188"/>
      <c r="BP228" s="188"/>
      <c r="BQ228" s="188">
        <f>SUM(BO228:BP228)</f>
        <v>0</v>
      </c>
      <c r="BR228" s="188"/>
      <c r="BS228" s="188"/>
      <c r="BT228" s="188">
        <f>SUM(BR228:BS228)</f>
        <v>0</v>
      </c>
      <c r="BU228" s="188"/>
      <c r="BV228" s="188"/>
      <c r="BW228" s="188">
        <f>SUM(BU228:BV228)</f>
        <v>0</v>
      </c>
      <c r="BX228" s="188"/>
      <c r="BY228" s="188"/>
      <c r="BZ228" s="188">
        <f>SUM(BX228:BY228)</f>
        <v>0</v>
      </c>
      <c r="CA228" s="188"/>
      <c r="CB228" s="188"/>
      <c r="CC228" s="188">
        <f>SUM(CA228:CB228)</f>
        <v>0</v>
      </c>
      <c r="CD228" s="186"/>
      <c r="CE228" s="187"/>
      <c r="CF228" s="187"/>
      <c r="CG228" s="187"/>
      <c r="CH228" s="187"/>
      <c r="CI228" s="187"/>
      <c r="CJ228" s="187"/>
      <c r="CK228" s="188"/>
      <c r="CL228" s="188">
        <f t="shared" si="1280"/>
        <v>0</v>
      </c>
      <c r="CM228" s="188">
        <f t="shared" si="1281"/>
        <v>0</v>
      </c>
      <c r="CN228" s="188">
        <f t="shared" si="1282"/>
        <v>0</v>
      </c>
      <c r="CO228" s="188">
        <f t="shared" si="1283"/>
        <v>0</v>
      </c>
      <c r="CP228" s="188">
        <f t="shared" si="1284"/>
        <v>0</v>
      </c>
      <c r="CQ228" s="188">
        <f t="shared" si="1285"/>
        <v>0</v>
      </c>
      <c r="CR228" s="188">
        <f t="shared" si="1286"/>
        <v>0</v>
      </c>
      <c r="CS228" s="188">
        <f t="shared" si="1287"/>
        <v>0</v>
      </c>
      <c r="CT228" s="188">
        <f t="shared" si="1288"/>
        <v>0</v>
      </c>
      <c r="CU228" s="188">
        <f t="shared" si="1289"/>
        <v>0</v>
      </c>
      <c r="CV228" s="188">
        <f t="shared" si="1290"/>
        <v>0</v>
      </c>
      <c r="CW228" s="188">
        <f t="shared" si="1291"/>
        <v>0</v>
      </c>
      <c r="CX228" s="188">
        <f t="shared" si="1292"/>
        <v>0</v>
      </c>
      <c r="CY228" s="188">
        <f t="shared" si="1293"/>
        <v>0</v>
      </c>
      <c r="CZ228" s="188">
        <f t="shared" si="1294"/>
        <v>0</v>
      </c>
      <c r="DA228" s="188">
        <f t="shared" si="1295"/>
        <v>0</v>
      </c>
      <c r="DB228" s="188">
        <f t="shared" si="1296"/>
        <v>0</v>
      </c>
      <c r="DC228" s="188">
        <f t="shared" si="1297"/>
        <v>0</v>
      </c>
      <c r="DD228" s="188">
        <f t="shared" si="1298"/>
        <v>0</v>
      </c>
      <c r="DE228" s="188">
        <f t="shared" si="1299"/>
        <v>0</v>
      </c>
    </row>
    <row r="229" spans="1:109" ht="12.75" customHeight="1" outlineLevel="1">
      <c r="A229" s="1"/>
      <c r="B229" s="13" t="s">
        <v>189</v>
      </c>
      <c r="C229" s="1"/>
      <c r="D229" s="1"/>
      <c r="E229" s="1"/>
      <c r="F229" s="188">
        <f t="shared" si="1272"/>
        <v>0</v>
      </c>
      <c r="G229" s="188"/>
      <c r="H229" s="188"/>
      <c r="I229" s="188">
        <f t="shared" si="1273"/>
        <v>0</v>
      </c>
      <c r="J229" s="188"/>
      <c r="K229" s="188"/>
      <c r="L229" s="188">
        <f t="shared" si="1274"/>
        <v>0</v>
      </c>
      <c r="M229" s="188"/>
      <c r="N229" s="188"/>
      <c r="O229" s="188">
        <f t="shared" si="1275"/>
        <v>0</v>
      </c>
      <c r="P229" s="188"/>
      <c r="Q229" s="188"/>
      <c r="R229" s="188">
        <f t="shared" si="1276"/>
        <v>0</v>
      </c>
      <c r="S229" s="188"/>
      <c r="T229" s="188"/>
      <c r="U229" s="188">
        <f t="shared" si="1277"/>
        <v>0</v>
      </c>
      <c r="V229" s="188"/>
      <c r="W229" s="188"/>
      <c r="X229" s="188">
        <f t="shared" si="1278"/>
        <v>0</v>
      </c>
      <c r="Y229" s="188"/>
      <c r="Z229" s="188"/>
      <c r="AA229" s="188">
        <f t="shared" si="1279"/>
        <v>0</v>
      </c>
      <c r="AB229" s="188"/>
      <c r="AC229" s="188"/>
      <c r="AD229" s="188">
        <f>SUM(AB229:AC229)</f>
        <v>0</v>
      </c>
      <c r="AE229" s="188"/>
      <c r="AF229" s="188"/>
      <c r="AG229" s="188">
        <f>SUM(AE229:AF229)</f>
        <v>0</v>
      </c>
      <c r="AH229" s="188"/>
      <c r="AI229" s="188"/>
      <c r="AJ229" s="188">
        <f>SUM(AH229:AI229)</f>
        <v>0</v>
      </c>
      <c r="AK229" s="188"/>
      <c r="AL229" s="188"/>
      <c r="AM229" s="188">
        <f>SUM(AK229:AL229)</f>
        <v>0</v>
      </c>
      <c r="AN229" s="188"/>
      <c r="AO229" s="188"/>
      <c r="AP229" s="188">
        <f>SUM(AN229:AO229)</f>
        <v>0</v>
      </c>
      <c r="AQ229" s="188"/>
      <c r="AR229" s="188"/>
      <c r="AS229" s="188">
        <f>SUM(AQ229:AR229)</f>
        <v>0</v>
      </c>
      <c r="AT229" s="188"/>
      <c r="AU229" s="188"/>
      <c r="AV229" s="188">
        <f>SUM(AT229:AU229)</f>
        <v>0</v>
      </c>
      <c r="AW229" s="188"/>
      <c r="AX229" s="188"/>
      <c r="AY229" s="188">
        <f>SUM(AW229:AX229)</f>
        <v>0</v>
      </c>
      <c r="AZ229" s="188"/>
      <c r="BA229" s="188"/>
      <c r="BB229" s="188">
        <f>SUM(AZ229:BA229)</f>
        <v>0</v>
      </c>
      <c r="BC229" s="188"/>
      <c r="BD229" s="188"/>
      <c r="BE229" s="188">
        <f>SUM(BC229:BD229)</f>
        <v>0</v>
      </c>
      <c r="BF229" s="188"/>
      <c r="BG229" s="188"/>
      <c r="BH229" s="188">
        <f>SUM(BF229:BG229)</f>
        <v>0</v>
      </c>
      <c r="BI229" s="188"/>
      <c r="BJ229" s="188"/>
      <c r="BK229" s="188">
        <f>SUM(BI229:BJ229)</f>
        <v>0</v>
      </c>
      <c r="BL229" s="188"/>
      <c r="BM229" s="188"/>
      <c r="BN229" s="188">
        <f>SUM(BL229:BM229)</f>
        <v>0</v>
      </c>
      <c r="BO229" s="188"/>
      <c r="BP229" s="188"/>
      <c r="BQ229" s="188">
        <f>SUM(BO229:BP229)</f>
        <v>0</v>
      </c>
      <c r="BR229" s="188"/>
      <c r="BS229" s="188"/>
      <c r="BT229" s="188">
        <f>SUM(BR229:BS229)</f>
        <v>0</v>
      </c>
      <c r="BU229" s="188"/>
      <c r="BV229" s="188"/>
      <c r="BW229" s="188">
        <f>SUM(BU229:BV229)</f>
        <v>0</v>
      </c>
      <c r="BX229" s="188"/>
      <c r="BY229" s="188"/>
      <c r="BZ229" s="188">
        <f>SUM(BX229:BY229)</f>
        <v>0</v>
      </c>
      <c r="CA229" s="188"/>
      <c r="CB229" s="188"/>
      <c r="CC229" s="188">
        <f>SUM(CA229:CB229)</f>
        <v>0</v>
      </c>
      <c r="CD229" s="186"/>
      <c r="CE229" s="187"/>
      <c r="CF229" s="187"/>
      <c r="CG229" s="187"/>
      <c r="CH229" s="187"/>
      <c r="CI229" s="187"/>
      <c r="CJ229" s="187"/>
      <c r="CK229" s="188"/>
      <c r="CL229" s="188">
        <f t="shared" si="1280"/>
        <v>0</v>
      </c>
      <c r="CM229" s="188">
        <f t="shared" si="1281"/>
        <v>0</v>
      </c>
      <c r="CN229" s="188">
        <f t="shared" si="1282"/>
        <v>0</v>
      </c>
      <c r="CO229" s="188">
        <f t="shared" si="1283"/>
        <v>0</v>
      </c>
      <c r="CP229" s="188">
        <f t="shared" si="1284"/>
        <v>0</v>
      </c>
      <c r="CQ229" s="188">
        <f t="shared" si="1285"/>
        <v>0</v>
      </c>
      <c r="CR229" s="188">
        <f t="shared" si="1286"/>
        <v>0</v>
      </c>
      <c r="CS229" s="188">
        <f t="shared" si="1287"/>
        <v>0</v>
      </c>
      <c r="CT229" s="188">
        <f t="shared" si="1288"/>
        <v>0</v>
      </c>
      <c r="CU229" s="188">
        <f t="shared" si="1289"/>
        <v>0</v>
      </c>
      <c r="CV229" s="188">
        <f t="shared" si="1290"/>
        <v>0</v>
      </c>
      <c r="CW229" s="188">
        <f t="shared" si="1291"/>
        <v>0</v>
      </c>
      <c r="CX229" s="188">
        <f t="shared" si="1292"/>
        <v>0</v>
      </c>
      <c r="CY229" s="188">
        <f t="shared" si="1293"/>
        <v>0</v>
      </c>
      <c r="CZ229" s="188">
        <f t="shared" si="1294"/>
        <v>0</v>
      </c>
      <c r="DA229" s="188">
        <f t="shared" si="1295"/>
        <v>0</v>
      </c>
      <c r="DB229" s="188">
        <f t="shared" si="1296"/>
        <v>0</v>
      </c>
      <c r="DC229" s="188">
        <f t="shared" si="1297"/>
        <v>0</v>
      </c>
      <c r="DD229" s="188">
        <f t="shared" si="1298"/>
        <v>0</v>
      </c>
      <c r="DE229" s="188">
        <f t="shared" si="1299"/>
        <v>0</v>
      </c>
    </row>
    <row r="230" spans="1:109" ht="12.75" customHeight="1" outlineLevel="1">
      <c r="A230" s="1"/>
      <c r="B230" s="13"/>
      <c r="C230" s="1"/>
      <c r="D230" s="1"/>
      <c r="E230" s="1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188"/>
      <c r="AA230" s="188"/>
      <c r="AB230" s="188"/>
      <c r="AC230" s="188"/>
      <c r="AD230" s="188"/>
      <c r="AE230" s="188"/>
      <c r="AF230" s="188"/>
      <c r="AG230" s="188"/>
      <c r="AH230" s="188"/>
      <c r="AI230" s="188"/>
      <c r="AJ230" s="188"/>
      <c r="AK230" s="188"/>
      <c r="AL230" s="188"/>
      <c r="AM230" s="188"/>
      <c r="AN230" s="188"/>
      <c r="AO230" s="188"/>
      <c r="AP230" s="188"/>
      <c r="AQ230" s="188"/>
      <c r="AR230" s="188"/>
      <c r="AS230" s="188"/>
      <c r="AT230" s="188"/>
      <c r="AU230" s="188"/>
      <c r="AV230" s="188"/>
      <c r="AW230" s="188"/>
      <c r="AX230" s="188"/>
      <c r="AY230" s="188"/>
      <c r="AZ230" s="188"/>
      <c r="BA230" s="188"/>
      <c r="BB230" s="188"/>
      <c r="BC230" s="188"/>
      <c r="BD230" s="188"/>
      <c r="BE230" s="188"/>
      <c r="BF230" s="188"/>
      <c r="BG230" s="188"/>
      <c r="BH230" s="188"/>
      <c r="BI230" s="188"/>
      <c r="BJ230" s="188"/>
      <c r="BK230" s="188"/>
      <c r="BL230" s="188"/>
      <c r="BM230" s="188"/>
      <c r="BN230" s="188"/>
      <c r="BO230" s="188"/>
      <c r="BP230" s="188"/>
      <c r="BQ230" s="188"/>
      <c r="BR230" s="188"/>
      <c r="BS230" s="188"/>
      <c r="BT230" s="188"/>
      <c r="BU230" s="188"/>
      <c r="BV230" s="188"/>
      <c r="BW230" s="188"/>
      <c r="BX230" s="188"/>
      <c r="BY230" s="188"/>
      <c r="BZ230" s="188"/>
      <c r="CA230" s="188"/>
      <c r="CB230" s="188"/>
      <c r="CC230" s="188"/>
      <c r="CD230" s="186"/>
      <c r="CE230" s="187"/>
      <c r="CF230" s="187"/>
      <c r="CG230" s="187"/>
      <c r="CH230" s="187"/>
      <c r="CI230" s="187"/>
      <c r="CJ230" s="187"/>
      <c r="CK230" s="188"/>
      <c r="CL230" s="188"/>
      <c r="CM230" s="188"/>
      <c r="CN230" s="188"/>
      <c r="CO230" s="188"/>
      <c r="CP230" s="188"/>
      <c r="CQ230" s="188"/>
      <c r="CR230" s="188"/>
      <c r="CS230" s="188"/>
      <c r="CT230" s="188"/>
      <c r="CU230" s="188"/>
      <c r="CV230" s="188"/>
      <c r="CW230" s="188"/>
      <c r="CX230" s="188"/>
      <c r="CY230" s="188"/>
      <c r="CZ230" s="188"/>
      <c r="DA230" s="188"/>
      <c r="DB230" s="188"/>
      <c r="DC230" s="188"/>
      <c r="DD230" s="188"/>
      <c r="DE230" s="188"/>
    </row>
    <row r="231" spans="1:109" ht="12.75" customHeight="1" outlineLevel="1">
      <c r="A231" s="1"/>
      <c r="B231" s="49" t="s">
        <v>193</v>
      </c>
      <c r="C231" s="1"/>
      <c r="D231" s="1"/>
      <c r="E231" s="1"/>
      <c r="F231" s="188">
        <f t="shared" ref="F231:F236" si="1300">SUM(D231:E231)</f>
        <v>0</v>
      </c>
      <c r="G231" s="188"/>
      <c r="H231" s="188"/>
      <c r="I231" s="188">
        <f t="shared" ref="I231:I236" si="1301">SUM(G231:H231)</f>
        <v>0</v>
      </c>
      <c r="J231" s="188"/>
      <c r="K231" s="188"/>
      <c r="L231" s="188">
        <f t="shared" ref="L231:L236" si="1302">SUM(J231:K231)</f>
        <v>0</v>
      </c>
      <c r="M231" s="188"/>
      <c r="N231" s="188"/>
      <c r="O231" s="188">
        <f t="shared" ref="O231:O236" si="1303">SUM(M231:N231)</f>
        <v>0</v>
      </c>
      <c r="P231" s="188"/>
      <c r="Q231" s="188"/>
      <c r="R231" s="188">
        <f t="shared" ref="R231:R236" si="1304">SUM(P231:Q231)</f>
        <v>0</v>
      </c>
      <c r="S231" s="188"/>
      <c r="T231" s="188"/>
      <c r="U231" s="188">
        <f t="shared" ref="U231:U236" si="1305">SUM(S231:T231)</f>
        <v>0</v>
      </c>
      <c r="V231" s="188"/>
      <c r="W231" s="188"/>
      <c r="X231" s="188">
        <f t="shared" ref="X231:X236" si="1306">SUM(V231:W231)</f>
        <v>0</v>
      </c>
      <c r="Y231" s="188"/>
      <c r="Z231" s="188"/>
      <c r="AA231" s="188">
        <f t="shared" ref="AA231:AA236" si="1307">SUM(Y231:Z231)</f>
        <v>0</v>
      </c>
      <c r="AB231" s="188"/>
      <c r="AC231" s="188"/>
      <c r="AD231" s="188">
        <f t="shared" ref="AD231:AD236" si="1308">SUM(AB231:AC231)</f>
        <v>0</v>
      </c>
      <c r="AE231" s="188"/>
      <c r="AF231" s="188"/>
      <c r="AG231" s="188">
        <f t="shared" ref="AG231:AG236" si="1309">SUM(AE231:AF231)</f>
        <v>0</v>
      </c>
      <c r="AH231" s="188"/>
      <c r="AI231" s="188"/>
      <c r="AJ231" s="188">
        <f t="shared" ref="AJ231:AJ236" si="1310">SUM(AH231:AI231)</f>
        <v>0</v>
      </c>
      <c r="AK231" s="188"/>
      <c r="AL231" s="188"/>
      <c r="AM231" s="188">
        <f t="shared" ref="AM231:AM236" si="1311">SUM(AK231:AL231)</f>
        <v>0</v>
      </c>
      <c r="AN231" s="188"/>
      <c r="AO231" s="188"/>
      <c r="AP231" s="188">
        <f t="shared" ref="AP231:AP236" si="1312">SUM(AN231:AO231)</f>
        <v>0</v>
      </c>
      <c r="AQ231" s="188"/>
      <c r="AR231" s="188"/>
      <c r="AS231" s="188">
        <f t="shared" ref="AS231:AS236" si="1313">SUM(AQ231:AR231)</f>
        <v>0</v>
      </c>
      <c r="AT231" s="188"/>
      <c r="AU231" s="188"/>
      <c r="AV231" s="188">
        <f t="shared" ref="AV231:AV236" si="1314">SUM(AT231:AU231)</f>
        <v>0</v>
      </c>
      <c r="AW231" s="188"/>
      <c r="AX231" s="188"/>
      <c r="AY231" s="188">
        <f t="shared" ref="AY231:AY236" si="1315">SUM(AW231:AX231)</f>
        <v>0</v>
      </c>
      <c r="AZ231" s="188"/>
      <c r="BA231" s="188"/>
      <c r="BB231" s="188">
        <f t="shared" ref="BB231:BB236" si="1316">SUM(AZ231:BA231)</f>
        <v>0</v>
      </c>
      <c r="BC231" s="188"/>
      <c r="BD231" s="188"/>
      <c r="BE231" s="188">
        <f t="shared" ref="BE231:BE236" si="1317">SUM(BC231:BD231)</f>
        <v>0</v>
      </c>
      <c r="BF231" s="188"/>
      <c r="BG231" s="188"/>
      <c r="BH231" s="188">
        <f t="shared" ref="BH231:BH236" si="1318">SUM(BF231:BG231)</f>
        <v>0</v>
      </c>
      <c r="BI231" s="188"/>
      <c r="BJ231" s="188">
        <v>4000</v>
      </c>
      <c r="BK231" s="188">
        <f t="shared" ref="BK231:BK236" si="1319">SUM(BI231:BJ231)</f>
        <v>4000</v>
      </c>
      <c r="BL231" s="188"/>
      <c r="BM231" s="188"/>
      <c r="BN231" s="188">
        <f t="shared" ref="BN231:BN236" si="1320">SUM(BL231:BM231)</f>
        <v>0</v>
      </c>
      <c r="BO231" s="188"/>
      <c r="BP231" s="188"/>
      <c r="BQ231" s="188">
        <f t="shared" ref="BQ231:BQ236" si="1321">SUM(BO231:BP231)</f>
        <v>0</v>
      </c>
      <c r="BR231" s="188"/>
      <c r="BS231" s="188"/>
      <c r="BT231" s="188">
        <f t="shared" ref="BT231:BT236" si="1322">SUM(BR231:BS231)</f>
        <v>0</v>
      </c>
      <c r="BU231" s="188"/>
      <c r="BV231" s="188"/>
      <c r="BW231" s="188">
        <f t="shared" ref="BW231:BW236" si="1323">SUM(BU231:BV231)</f>
        <v>0</v>
      </c>
      <c r="BX231" s="188"/>
      <c r="BY231" s="188"/>
      <c r="BZ231" s="188">
        <f t="shared" ref="BZ231:BZ236" si="1324">SUM(BX231:BY231)</f>
        <v>0</v>
      </c>
      <c r="CA231" s="188"/>
      <c r="CB231" s="188"/>
      <c r="CC231" s="188">
        <f t="shared" ref="CC231:CC236" si="1325">SUM(CA231:CB231)</f>
        <v>0</v>
      </c>
      <c r="CD231" s="186"/>
      <c r="CE231" s="187"/>
      <c r="CF231" s="187"/>
      <c r="CG231" s="187"/>
      <c r="CH231" s="187"/>
      <c r="CI231" s="187"/>
      <c r="CJ231" s="187"/>
      <c r="CK231" s="188"/>
      <c r="CL231" s="188">
        <f t="shared" ref="CL231:CL236" si="1326">X231</f>
        <v>0</v>
      </c>
      <c r="CM231" s="188">
        <f t="shared" ref="CM231:CM236" si="1327">AA231</f>
        <v>0</v>
      </c>
      <c r="CN231" s="188">
        <f t="shared" ref="CN231:CN236" si="1328">AD231</f>
        <v>0</v>
      </c>
      <c r="CO231" s="188">
        <f t="shared" ref="CO231:CO236" si="1329">AG231</f>
        <v>0</v>
      </c>
      <c r="CP231" s="188">
        <f t="shared" ref="CP231:CP236" si="1330">AJ231</f>
        <v>0</v>
      </c>
      <c r="CQ231" s="188">
        <f t="shared" ref="CQ231:CQ236" si="1331">AM231</f>
        <v>0</v>
      </c>
      <c r="CR231" s="188">
        <f t="shared" ref="CR231:CR236" si="1332">AP231</f>
        <v>0</v>
      </c>
      <c r="CS231" s="188">
        <f t="shared" ref="CS231:CS236" si="1333">AS231</f>
        <v>0</v>
      </c>
      <c r="CT231" s="188">
        <f t="shared" ref="CT231:CT236" si="1334">AV231</f>
        <v>0</v>
      </c>
      <c r="CU231" s="188">
        <f t="shared" ref="CU231:CU236" si="1335">AY231</f>
        <v>0</v>
      </c>
      <c r="CV231" s="188">
        <f t="shared" ref="CV231:CV236" si="1336">BB231</f>
        <v>0</v>
      </c>
      <c r="CW231" s="188">
        <f t="shared" ref="CW231:CW236" si="1337">BE231</f>
        <v>0</v>
      </c>
      <c r="CX231" s="188">
        <f t="shared" ref="CX231:CX236" si="1338">BH231</f>
        <v>0</v>
      </c>
      <c r="CY231" s="188">
        <f t="shared" ref="CY231:CY236" si="1339">BK231</f>
        <v>4000</v>
      </c>
      <c r="CZ231" s="188">
        <f t="shared" ref="CZ231:CZ236" si="1340">BN231</f>
        <v>0</v>
      </c>
      <c r="DA231" s="188">
        <f t="shared" ref="DA231:DA236" si="1341">BQ231</f>
        <v>0</v>
      </c>
      <c r="DB231" s="188">
        <f t="shared" ref="DB231:DB236" si="1342">BT231</f>
        <v>0</v>
      </c>
      <c r="DC231" s="188">
        <f t="shared" ref="DC231:DC236" si="1343">BW231</f>
        <v>0</v>
      </c>
      <c r="DD231" s="188">
        <f t="shared" ref="DD231:DD236" si="1344">BZ231</f>
        <v>0</v>
      </c>
      <c r="DE231" s="188">
        <f t="shared" ref="DE231:DE236" si="1345">CC231</f>
        <v>0</v>
      </c>
    </row>
    <row r="232" spans="1:109" ht="12.75" customHeight="1" outlineLevel="1">
      <c r="A232" s="1"/>
      <c r="B232" s="13" t="s">
        <v>185</v>
      </c>
      <c r="C232" s="1"/>
      <c r="D232" s="1"/>
      <c r="E232" s="1"/>
      <c r="F232" s="188">
        <f t="shared" si="1300"/>
        <v>0</v>
      </c>
      <c r="G232" s="188"/>
      <c r="H232" s="188"/>
      <c r="I232" s="188">
        <f t="shared" si="1301"/>
        <v>0</v>
      </c>
      <c r="J232" s="188"/>
      <c r="K232" s="188"/>
      <c r="L232" s="188">
        <f t="shared" si="1302"/>
        <v>0</v>
      </c>
      <c r="M232" s="188"/>
      <c r="N232" s="188"/>
      <c r="O232" s="188">
        <f t="shared" si="1303"/>
        <v>0</v>
      </c>
      <c r="P232" s="188"/>
      <c r="Q232" s="188"/>
      <c r="R232" s="188">
        <f t="shared" si="1304"/>
        <v>0</v>
      </c>
      <c r="S232" s="188"/>
      <c r="T232" s="188"/>
      <c r="U232" s="188">
        <f t="shared" si="1305"/>
        <v>0</v>
      </c>
      <c r="V232" s="188"/>
      <c r="W232" s="188"/>
      <c r="X232" s="188">
        <f t="shared" si="1306"/>
        <v>0</v>
      </c>
      <c r="Y232" s="188"/>
      <c r="Z232" s="188"/>
      <c r="AA232" s="188">
        <f t="shared" si="1307"/>
        <v>0</v>
      </c>
      <c r="AB232" s="188"/>
      <c r="AC232" s="188"/>
      <c r="AD232" s="188">
        <f t="shared" si="1308"/>
        <v>0</v>
      </c>
      <c r="AE232" s="188"/>
      <c r="AF232" s="188"/>
      <c r="AG232" s="188">
        <f t="shared" si="1309"/>
        <v>0</v>
      </c>
      <c r="AH232" s="188"/>
      <c r="AI232" s="188"/>
      <c r="AJ232" s="188">
        <f t="shared" si="1310"/>
        <v>0</v>
      </c>
      <c r="AK232" s="188"/>
      <c r="AL232" s="188"/>
      <c r="AM232" s="188">
        <f t="shared" si="1311"/>
        <v>0</v>
      </c>
      <c r="AN232" s="188"/>
      <c r="AO232" s="188"/>
      <c r="AP232" s="188">
        <f t="shared" si="1312"/>
        <v>0</v>
      </c>
      <c r="AQ232" s="188"/>
      <c r="AR232" s="188"/>
      <c r="AS232" s="188">
        <f t="shared" si="1313"/>
        <v>0</v>
      </c>
      <c r="AT232" s="188"/>
      <c r="AU232" s="188"/>
      <c r="AV232" s="188">
        <f t="shared" si="1314"/>
        <v>0</v>
      </c>
      <c r="AW232" s="188"/>
      <c r="AX232" s="188"/>
      <c r="AY232" s="188">
        <f t="shared" si="1315"/>
        <v>0</v>
      </c>
      <c r="AZ232" s="188"/>
      <c r="BA232" s="188"/>
      <c r="BB232" s="188">
        <f t="shared" si="1316"/>
        <v>0</v>
      </c>
      <c r="BC232" s="188"/>
      <c r="BD232" s="188"/>
      <c r="BE232" s="188">
        <f t="shared" si="1317"/>
        <v>0</v>
      </c>
      <c r="BF232" s="188"/>
      <c r="BG232" s="188"/>
      <c r="BH232" s="188">
        <f t="shared" si="1318"/>
        <v>0</v>
      </c>
      <c r="BI232" s="188"/>
      <c r="BJ232" s="188">
        <f>BJ231/BJ233</f>
        <v>119.40298507462687</v>
      </c>
      <c r="BK232" s="188">
        <f t="shared" si="1319"/>
        <v>119.40298507462687</v>
      </c>
      <c r="BL232" s="188"/>
      <c r="BM232" s="188"/>
      <c r="BN232" s="188">
        <f t="shared" si="1320"/>
        <v>0</v>
      </c>
      <c r="BO232" s="188"/>
      <c r="BP232" s="188"/>
      <c r="BQ232" s="188">
        <f t="shared" si="1321"/>
        <v>0</v>
      </c>
      <c r="BR232" s="188"/>
      <c r="BS232" s="188"/>
      <c r="BT232" s="188">
        <f t="shared" si="1322"/>
        <v>0</v>
      </c>
      <c r="BU232" s="188"/>
      <c r="BV232" s="188"/>
      <c r="BW232" s="188">
        <f t="shared" si="1323"/>
        <v>0</v>
      </c>
      <c r="BX232" s="188"/>
      <c r="BY232" s="188"/>
      <c r="BZ232" s="188">
        <f t="shared" si="1324"/>
        <v>0</v>
      </c>
      <c r="CA232" s="188"/>
      <c r="CB232" s="188"/>
      <c r="CC232" s="188">
        <f t="shared" si="1325"/>
        <v>0</v>
      </c>
      <c r="CD232" s="186"/>
      <c r="CE232" s="187"/>
      <c r="CF232" s="187"/>
      <c r="CG232" s="187"/>
      <c r="CH232" s="187"/>
      <c r="CI232" s="187"/>
      <c r="CJ232" s="187"/>
      <c r="CK232" s="188"/>
      <c r="CL232" s="188">
        <f t="shared" si="1326"/>
        <v>0</v>
      </c>
      <c r="CM232" s="188">
        <f t="shared" si="1327"/>
        <v>0</v>
      </c>
      <c r="CN232" s="188">
        <f t="shared" si="1328"/>
        <v>0</v>
      </c>
      <c r="CO232" s="188">
        <f t="shared" si="1329"/>
        <v>0</v>
      </c>
      <c r="CP232" s="188">
        <f t="shared" si="1330"/>
        <v>0</v>
      </c>
      <c r="CQ232" s="188">
        <f t="shared" si="1331"/>
        <v>0</v>
      </c>
      <c r="CR232" s="188">
        <f t="shared" si="1332"/>
        <v>0</v>
      </c>
      <c r="CS232" s="188">
        <f t="shared" si="1333"/>
        <v>0</v>
      </c>
      <c r="CT232" s="188">
        <f t="shared" si="1334"/>
        <v>0</v>
      </c>
      <c r="CU232" s="188">
        <f t="shared" si="1335"/>
        <v>0</v>
      </c>
      <c r="CV232" s="188">
        <f t="shared" si="1336"/>
        <v>0</v>
      </c>
      <c r="CW232" s="188">
        <f t="shared" si="1337"/>
        <v>0</v>
      </c>
      <c r="CX232" s="188">
        <f t="shared" si="1338"/>
        <v>0</v>
      </c>
      <c r="CY232" s="188">
        <f t="shared" si="1339"/>
        <v>119.40298507462687</v>
      </c>
      <c r="CZ232" s="188">
        <f t="shared" si="1340"/>
        <v>0</v>
      </c>
      <c r="DA232" s="188">
        <f t="shared" si="1341"/>
        <v>0</v>
      </c>
      <c r="DB232" s="188">
        <f t="shared" si="1342"/>
        <v>0</v>
      </c>
      <c r="DC232" s="188">
        <f t="shared" si="1343"/>
        <v>0</v>
      </c>
      <c r="DD232" s="188">
        <f t="shared" si="1344"/>
        <v>0</v>
      </c>
      <c r="DE232" s="188">
        <f t="shared" si="1345"/>
        <v>0</v>
      </c>
    </row>
    <row r="233" spans="1:109" ht="12.75" customHeight="1" outlineLevel="1">
      <c r="A233" s="1"/>
      <c r="B233" s="13" t="s">
        <v>186</v>
      </c>
      <c r="C233" s="1"/>
      <c r="D233" s="1"/>
      <c r="E233" s="1"/>
      <c r="F233" s="188">
        <f t="shared" si="1300"/>
        <v>0</v>
      </c>
      <c r="G233" s="188"/>
      <c r="H233" s="188"/>
      <c r="I233" s="188">
        <f t="shared" si="1301"/>
        <v>0</v>
      </c>
      <c r="J233" s="188"/>
      <c r="K233" s="188"/>
      <c r="L233" s="188">
        <f t="shared" si="1302"/>
        <v>0</v>
      </c>
      <c r="M233" s="188"/>
      <c r="N233" s="188"/>
      <c r="O233" s="188">
        <f t="shared" si="1303"/>
        <v>0</v>
      </c>
      <c r="P233" s="188"/>
      <c r="Q233" s="188"/>
      <c r="R233" s="188">
        <f t="shared" si="1304"/>
        <v>0</v>
      </c>
      <c r="S233" s="188"/>
      <c r="T233" s="188"/>
      <c r="U233" s="188">
        <f t="shared" si="1305"/>
        <v>0</v>
      </c>
      <c r="V233" s="188"/>
      <c r="W233" s="188"/>
      <c r="X233" s="188">
        <f t="shared" si="1306"/>
        <v>0</v>
      </c>
      <c r="Y233" s="188"/>
      <c r="Z233" s="188"/>
      <c r="AA233" s="188">
        <f t="shared" si="1307"/>
        <v>0</v>
      </c>
      <c r="AB233" s="188"/>
      <c r="AC233" s="188"/>
      <c r="AD233" s="188">
        <f t="shared" si="1308"/>
        <v>0</v>
      </c>
      <c r="AE233" s="188"/>
      <c r="AF233" s="188"/>
      <c r="AG233" s="188">
        <f t="shared" si="1309"/>
        <v>0</v>
      </c>
      <c r="AH233" s="188"/>
      <c r="AI233" s="188"/>
      <c r="AJ233" s="188">
        <f t="shared" si="1310"/>
        <v>0</v>
      </c>
      <c r="AK233" s="188"/>
      <c r="AL233" s="188"/>
      <c r="AM233" s="188">
        <f t="shared" si="1311"/>
        <v>0</v>
      </c>
      <c r="AN233" s="188"/>
      <c r="AO233" s="188"/>
      <c r="AP233" s="188">
        <f t="shared" si="1312"/>
        <v>0</v>
      </c>
      <c r="AQ233" s="188"/>
      <c r="AR233" s="188"/>
      <c r="AS233" s="188">
        <f t="shared" si="1313"/>
        <v>0</v>
      </c>
      <c r="AT233" s="188"/>
      <c r="AU233" s="188"/>
      <c r="AV233" s="188">
        <f t="shared" si="1314"/>
        <v>0</v>
      </c>
      <c r="AW233" s="188"/>
      <c r="AX233" s="188"/>
      <c r="AY233" s="188">
        <f t="shared" si="1315"/>
        <v>0</v>
      </c>
      <c r="AZ233" s="188"/>
      <c r="BA233" s="188"/>
      <c r="BB233" s="188">
        <f t="shared" si="1316"/>
        <v>0</v>
      </c>
      <c r="BC233" s="188"/>
      <c r="BD233" s="188"/>
      <c r="BE233" s="188">
        <f t="shared" si="1317"/>
        <v>0</v>
      </c>
      <c r="BF233" s="188"/>
      <c r="BG233" s="188"/>
      <c r="BH233" s="188">
        <f t="shared" si="1318"/>
        <v>0</v>
      </c>
      <c r="BI233" s="188"/>
      <c r="BJ233" s="188">
        <v>33.5</v>
      </c>
      <c r="BK233" s="188">
        <f t="shared" si="1319"/>
        <v>33.5</v>
      </c>
      <c r="BL233" s="188"/>
      <c r="BM233" s="188"/>
      <c r="BN233" s="188">
        <f t="shared" si="1320"/>
        <v>0</v>
      </c>
      <c r="BO233" s="188"/>
      <c r="BP233" s="188"/>
      <c r="BQ233" s="188">
        <f t="shared" si="1321"/>
        <v>0</v>
      </c>
      <c r="BR233" s="188"/>
      <c r="BS233" s="188"/>
      <c r="BT233" s="188">
        <f t="shared" si="1322"/>
        <v>0</v>
      </c>
      <c r="BU233" s="188"/>
      <c r="BV233" s="188"/>
      <c r="BW233" s="188">
        <f t="shared" si="1323"/>
        <v>0</v>
      </c>
      <c r="BX233" s="188"/>
      <c r="BY233" s="188"/>
      <c r="BZ233" s="188">
        <f t="shared" si="1324"/>
        <v>0</v>
      </c>
      <c r="CA233" s="188"/>
      <c r="CB233" s="188"/>
      <c r="CC233" s="188">
        <f t="shared" si="1325"/>
        <v>0</v>
      </c>
      <c r="CD233" s="186"/>
      <c r="CE233" s="187"/>
      <c r="CF233" s="187"/>
      <c r="CG233" s="187"/>
      <c r="CH233" s="187"/>
      <c r="CI233" s="187"/>
      <c r="CJ233" s="187"/>
      <c r="CK233" s="188"/>
      <c r="CL233" s="188">
        <f t="shared" si="1326"/>
        <v>0</v>
      </c>
      <c r="CM233" s="188">
        <f t="shared" si="1327"/>
        <v>0</v>
      </c>
      <c r="CN233" s="188">
        <f t="shared" si="1328"/>
        <v>0</v>
      </c>
      <c r="CO233" s="188">
        <f t="shared" si="1329"/>
        <v>0</v>
      </c>
      <c r="CP233" s="188">
        <f t="shared" si="1330"/>
        <v>0</v>
      </c>
      <c r="CQ233" s="188">
        <f t="shared" si="1331"/>
        <v>0</v>
      </c>
      <c r="CR233" s="188">
        <f t="shared" si="1332"/>
        <v>0</v>
      </c>
      <c r="CS233" s="188">
        <f t="shared" si="1333"/>
        <v>0</v>
      </c>
      <c r="CT233" s="188">
        <f t="shared" si="1334"/>
        <v>0</v>
      </c>
      <c r="CU233" s="188">
        <f t="shared" si="1335"/>
        <v>0</v>
      </c>
      <c r="CV233" s="188">
        <f t="shared" si="1336"/>
        <v>0</v>
      </c>
      <c r="CW233" s="188">
        <f t="shared" si="1337"/>
        <v>0</v>
      </c>
      <c r="CX233" s="188">
        <f t="shared" si="1338"/>
        <v>0</v>
      </c>
      <c r="CY233" s="188">
        <f t="shared" si="1339"/>
        <v>33.5</v>
      </c>
      <c r="CZ233" s="188">
        <f t="shared" si="1340"/>
        <v>0</v>
      </c>
      <c r="DA233" s="188">
        <f t="shared" si="1341"/>
        <v>0</v>
      </c>
      <c r="DB233" s="188">
        <f t="shared" si="1342"/>
        <v>0</v>
      </c>
      <c r="DC233" s="188">
        <f t="shared" si="1343"/>
        <v>0</v>
      </c>
      <c r="DD233" s="188">
        <f t="shared" si="1344"/>
        <v>0</v>
      </c>
      <c r="DE233" s="188">
        <f t="shared" si="1345"/>
        <v>0</v>
      </c>
    </row>
    <row r="234" spans="1:109" ht="12.75" customHeight="1" outlineLevel="1">
      <c r="A234" s="1"/>
      <c r="B234" s="13" t="s">
        <v>187</v>
      </c>
      <c r="C234" s="1"/>
      <c r="D234" s="1"/>
      <c r="E234" s="1"/>
      <c r="F234" s="188">
        <f t="shared" si="1300"/>
        <v>0</v>
      </c>
      <c r="G234" s="188"/>
      <c r="H234" s="188"/>
      <c r="I234" s="188">
        <f t="shared" si="1301"/>
        <v>0</v>
      </c>
      <c r="J234" s="188"/>
      <c r="K234" s="188"/>
      <c r="L234" s="188">
        <f t="shared" si="1302"/>
        <v>0</v>
      </c>
      <c r="M234" s="188"/>
      <c r="N234" s="188"/>
      <c r="O234" s="188">
        <f t="shared" si="1303"/>
        <v>0</v>
      </c>
      <c r="P234" s="188"/>
      <c r="Q234" s="188"/>
      <c r="R234" s="188">
        <f t="shared" si="1304"/>
        <v>0</v>
      </c>
      <c r="S234" s="188"/>
      <c r="T234" s="188"/>
      <c r="U234" s="188">
        <f t="shared" si="1305"/>
        <v>0</v>
      </c>
      <c r="V234" s="188"/>
      <c r="W234" s="188"/>
      <c r="X234" s="188">
        <f t="shared" si="1306"/>
        <v>0</v>
      </c>
      <c r="Y234" s="188"/>
      <c r="Z234" s="188"/>
      <c r="AA234" s="188">
        <f t="shared" si="1307"/>
        <v>0</v>
      </c>
      <c r="AB234" s="188"/>
      <c r="AC234" s="188"/>
      <c r="AD234" s="188">
        <f t="shared" si="1308"/>
        <v>0</v>
      </c>
      <c r="AE234" s="188"/>
      <c r="AF234" s="188"/>
      <c r="AG234" s="188">
        <f t="shared" si="1309"/>
        <v>0</v>
      </c>
      <c r="AH234" s="188"/>
      <c r="AI234" s="188"/>
      <c r="AJ234" s="188">
        <f t="shared" si="1310"/>
        <v>0</v>
      </c>
      <c r="AK234" s="188"/>
      <c r="AL234" s="188"/>
      <c r="AM234" s="188">
        <f t="shared" si="1311"/>
        <v>0</v>
      </c>
      <c r="AN234" s="188"/>
      <c r="AO234" s="188"/>
      <c r="AP234" s="188">
        <f t="shared" si="1312"/>
        <v>0</v>
      </c>
      <c r="AQ234" s="188"/>
      <c r="AR234" s="188"/>
      <c r="AS234" s="188">
        <f t="shared" si="1313"/>
        <v>0</v>
      </c>
      <c r="AT234" s="188"/>
      <c r="AU234" s="188"/>
      <c r="AV234" s="188">
        <f t="shared" si="1314"/>
        <v>0</v>
      </c>
      <c r="AW234" s="188"/>
      <c r="AX234" s="188"/>
      <c r="AY234" s="188">
        <f t="shared" si="1315"/>
        <v>0</v>
      </c>
      <c r="AZ234" s="188"/>
      <c r="BA234" s="188"/>
      <c r="BB234" s="188">
        <f t="shared" si="1316"/>
        <v>0</v>
      </c>
      <c r="BC234" s="188"/>
      <c r="BD234" s="188"/>
      <c r="BE234" s="188">
        <f t="shared" si="1317"/>
        <v>0</v>
      </c>
      <c r="BF234" s="188"/>
      <c r="BG234" s="188"/>
      <c r="BH234" s="188">
        <f t="shared" si="1318"/>
        <v>0</v>
      </c>
      <c r="BI234" s="188"/>
      <c r="BJ234" s="377">
        <v>45707</v>
      </c>
      <c r="BK234" s="188">
        <f t="shared" si="1319"/>
        <v>45707</v>
      </c>
      <c r="BL234" s="188"/>
      <c r="BM234" s="188"/>
      <c r="BN234" s="188">
        <f t="shared" si="1320"/>
        <v>0</v>
      </c>
      <c r="BO234" s="188"/>
      <c r="BP234" s="188"/>
      <c r="BQ234" s="188">
        <f t="shared" si="1321"/>
        <v>0</v>
      </c>
      <c r="BR234" s="188"/>
      <c r="BS234" s="188"/>
      <c r="BT234" s="188">
        <f t="shared" si="1322"/>
        <v>0</v>
      </c>
      <c r="BU234" s="188"/>
      <c r="BV234" s="188"/>
      <c r="BW234" s="188">
        <f t="shared" si="1323"/>
        <v>0</v>
      </c>
      <c r="BX234" s="188"/>
      <c r="BY234" s="188"/>
      <c r="BZ234" s="188">
        <f t="shared" si="1324"/>
        <v>0</v>
      </c>
      <c r="CA234" s="188"/>
      <c r="CB234" s="188"/>
      <c r="CC234" s="188">
        <f t="shared" si="1325"/>
        <v>0</v>
      </c>
      <c r="CD234" s="186"/>
      <c r="CE234" s="187"/>
      <c r="CF234" s="187"/>
      <c r="CG234" s="187"/>
      <c r="CH234" s="187"/>
      <c r="CI234" s="187"/>
      <c r="CJ234" s="187"/>
      <c r="CK234" s="188"/>
      <c r="CL234" s="188">
        <f t="shared" si="1326"/>
        <v>0</v>
      </c>
      <c r="CM234" s="188">
        <f t="shared" si="1327"/>
        <v>0</v>
      </c>
      <c r="CN234" s="188">
        <f t="shared" si="1328"/>
        <v>0</v>
      </c>
      <c r="CO234" s="188">
        <f t="shared" si="1329"/>
        <v>0</v>
      </c>
      <c r="CP234" s="188">
        <f t="shared" si="1330"/>
        <v>0</v>
      </c>
      <c r="CQ234" s="188">
        <f t="shared" si="1331"/>
        <v>0</v>
      </c>
      <c r="CR234" s="188">
        <f t="shared" si="1332"/>
        <v>0</v>
      </c>
      <c r="CS234" s="188">
        <f t="shared" si="1333"/>
        <v>0</v>
      </c>
      <c r="CT234" s="188">
        <f t="shared" si="1334"/>
        <v>0</v>
      </c>
      <c r="CU234" s="188">
        <f t="shared" si="1335"/>
        <v>0</v>
      </c>
      <c r="CV234" s="188">
        <f t="shared" si="1336"/>
        <v>0</v>
      </c>
      <c r="CW234" s="188">
        <f t="shared" si="1337"/>
        <v>0</v>
      </c>
      <c r="CX234" s="188">
        <f t="shared" si="1338"/>
        <v>0</v>
      </c>
      <c r="CY234" s="188">
        <f t="shared" si="1339"/>
        <v>45707</v>
      </c>
      <c r="CZ234" s="188">
        <f t="shared" si="1340"/>
        <v>0</v>
      </c>
      <c r="DA234" s="188">
        <f t="shared" si="1341"/>
        <v>0</v>
      </c>
      <c r="DB234" s="188">
        <f t="shared" si="1342"/>
        <v>0</v>
      </c>
      <c r="DC234" s="188">
        <f t="shared" si="1343"/>
        <v>0</v>
      </c>
      <c r="DD234" s="188">
        <f t="shared" si="1344"/>
        <v>0</v>
      </c>
      <c r="DE234" s="188">
        <f t="shared" si="1345"/>
        <v>0</v>
      </c>
    </row>
    <row r="235" spans="1:109" ht="12.75" customHeight="1" outlineLevel="1">
      <c r="A235" s="1"/>
      <c r="B235" s="13" t="s">
        <v>192</v>
      </c>
      <c r="C235" s="1"/>
      <c r="D235" s="1"/>
      <c r="E235" s="1"/>
      <c r="F235" s="188">
        <f t="shared" si="1300"/>
        <v>0</v>
      </c>
      <c r="G235" s="188"/>
      <c r="H235" s="188"/>
      <c r="I235" s="188">
        <f t="shared" si="1301"/>
        <v>0</v>
      </c>
      <c r="J235" s="188"/>
      <c r="K235" s="188"/>
      <c r="L235" s="188">
        <f t="shared" si="1302"/>
        <v>0</v>
      </c>
      <c r="M235" s="188"/>
      <c r="N235" s="188"/>
      <c r="O235" s="188">
        <f t="shared" si="1303"/>
        <v>0</v>
      </c>
      <c r="P235" s="188"/>
      <c r="Q235" s="188"/>
      <c r="R235" s="188">
        <f t="shared" si="1304"/>
        <v>0</v>
      </c>
      <c r="S235" s="188"/>
      <c r="T235" s="188"/>
      <c r="U235" s="188">
        <f t="shared" si="1305"/>
        <v>0</v>
      </c>
      <c r="V235" s="188"/>
      <c r="W235" s="188"/>
      <c r="X235" s="188">
        <f t="shared" si="1306"/>
        <v>0</v>
      </c>
      <c r="Y235" s="188"/>
      <c r="Z235" s="188"/>
      <c r="AA235" s="188">
        <f t="shared" si="1307"/>
        <v>0</v>
      </c>
      <c r="AB235" s="188"/>
      <c r="AC235" s="188"/>
      <c r="AD235" s="188">
        <f t="shared" si="1308"/>
        <v>0</v>
      </c>
      <c r="AE235" s="188"/>
      <c r="AF235" s="188"/>
      <c r="AG235" s="188">
        <f t="shared" si="1309"/>
        <v>0</v>
      </c>
      <c r="AH235" s="188"/>
      <c r="AI235" s="188"/>
      <c r="AJ235" s="188">
        <f t="shared" si="1310"/>
        <v>0</v>
      </c>
      <c r="AK235" s="188"/>
      <c r="AL235" s="188"/>
      <c r="AM235" s="188">
        <f t="shared" si="1311"/>
        <v>0</v>
      </c>
      <c r="AN235" s="188"/>
      <c r="AO235" s="188"/>
      <c r="AP235" s="188">
        <f t="shared" si="1312"/>
        <v>0</v>
      </c>
      <c r="AQ235" s="188"/>
      <c r="AR235" s="188"/>
      <c r="AS235" s="188">
        <f t="shared" si="1313"/>
        <v>0</v>
      </c>
      <c r="AT235" s="188"/>
      <c r="AU235" s="188"/>
      <c r="AV235" s="188">
        <f t="shared" si="1314"/>
        <v>0</v>
      </c>
      <c r="AW235" s="188"/>
      <c r="AX235" s="188"/>
      <c r="AY235" s="188">
        <f t="shared" si="1315"/>
        <v>0</v>
      </c>
      <c r="AZ235" s="188"/>
      <c r="BA235" s="188"/>
      <c r="BB235" s="188">
        <f t="shared" si="1316"/>
        <v>0</v>
      </c>
      <c r="BC235" s="188"/>
      <c r="BD235" s="188"/>
      <c r="BE235" s="188">
        <f t="shared" si="1317"/>
        <v>0</v>
      </c>
      <c r="BF235" s="188"/>
      <c r="BG235" s="188"/>
      <c r="BH235" s="188">
        <f t="shared" si="1318"/>
        <v>0</v>
      </c>
      <c r="BI235" s="188"/>
      <c r="BJ235" s="188">
        <f>(BJ3-BJ234)/(BK3-BI3)*BJ232</f>
        <v>86.418735054011719</v>
      </c>
      <c r="BK235" s="188">
        <f t="shared" si="1319"/>
        <v>86.418735054011719</v>
      </c>
      <c r="BL235" s="188"/>
      <c r="BM235" s="188"/>
      <c r="BN235" s="188">
        <f t="shared" si="1320"/>
        <v>0</v>
      </c>
      <c r="BO235" s="188"/>
      <c r="BP235" s="188"/>
      <c r="BQ235" s="188">
        <f t="shared" si="1321"/>
        <v>0</v>
      </c>
      <c r="BR235" s="188"/>
      <c r="BS235" s="188"/>
      <c r="BT235" s="188">
        <f t="shared" si="1322"/>
        <v>0</v>
      </c>
      <c r="BU235" s="188"/>
      <c r="BV235" s="188"/>
      <c r="BW235" s="188">
        <f t="shared" si="1323"/>
        <v>0</v>
      </c>
      <c r="BX235" s="188"/>
      <c r="BY235" s="188"/>
      <c r="BZ235" s="188">
        <f t="shared" si="1324"/>
        <v>0</v>
      </c>
      <c r="CA235" s="188"/>
      <c r="CB235" s="188"/>
      <c r="CC235" s="188">
        <f t="shared" si="1325"/>
        <v>0</v>
      </c>
      <c r="CD235" s="186"/>
      <c r="CE235" s="187"/>
      <c r="CF235" s="187"/>
      <c r="CG235" s="187"/>
      <c r="CH235" s="187"/>
      <c r="CI235" s="187"/>
      <c r="CJ235" s="187"/>
      <c r="CK235" s="188"/>
      <c r="CL235" s="188">
        <f t="shared" si="1326"/>
        <v>0</v>
      </c>
      <c r="CM235" s="188">
        <f t="shared" si="1327"/>
        <v>0</v>
      </c>
      <c r="CN235" s="188">
        <f t="shared" si="1328"/>
        <v>0</v>
      </c>
      <c r="CO235" s="188">
        <f t="shared" si="1329"/>
        <v>0</v>
      </c>
      <c r="CP235" s="188">
        <f t="shared" si="1330"/>
        <v>0</v>
      </c>
      <c r="CQ235" s="188">
        <f t="shared" si="1331"/>
        <v>0</v>
      </c>
      <c r="CR235" s="188">
        <f t="shared" si="1332"/>
        <v>0</v>
      </c>
      <c r="CS235" s="188">
        <f t="shared" si="1333"/>
        <v>0</v>
      </c>
      <c r="CT235" s="188">
        <f t="shared" si="1334"/>
        <v>0</v>
      </c>
      <c r="CU235" s="188">
        <f t="shared" si="1335"/>
        <v>0</v>
      </c>
      <c r="CV235" s="188">
        <f t="shared" si="1336"/>
        <v>0</v>
      </c>
      <c r="CW235" s="188">
        <f t="shared" si="1337"/>
        <v>0</v>
      </c>
      <c r="CX235" s="188">
        <f t="shared" si="1338"/>
        <v>0</v>
      </c>
      <c r="CY235" s="188">
        <f t="shared" si="1339"/>
        <v>86.418735054011719</v>
      </c>
      <c r="CZ235" s="188">
        <f t="shared" si="1340"/>
        <v>0</v>
      </c>
      <c r="DA235" s="188">
        <f t="shared" si="1341"/>
        <v>0</v>
      </c>
      <c r="DB235" s="188">
        <f t="shared" si="1342"/>
        <v>0</v>
      </c>
      <c r="DC235" s="188">
        <f t="shared" si="1343"/>
        <v>0</v>
      </c>
      <c r="DD235" s="188">
        <f t="shared" si="1344"/>
        <v>0</v>
      </c>
      <c r="DE235" s="188">
        <f t="shared" si="1345"/>
        <v>0</v>
      </c>
    </row>
    <row r="236" spans="1:109" ht="12.75" customHeight="1" outlineLevel="1">
      <c r="A236" s="1"/>
      <c r="B236" s="13" t="s">
        <v>189</v>
      </c>
      <c r="C236" s="1"/>
      <c r="D236" s="1"/>
      <c r="E236" s="1"/>
      <c r="F236" s="188">
        <f t="shared" si="1300"/>
        <v>0</v>
      </c>
      <c r="G236" s="188"/>
      <c r="H236" s="188"/>
      <c r="I236" s="188">
        <f t="shared" si="1301"/>
        <v>0</v>
      </c>
      <c r="J236" s="188"/>
      <c r="K236" s="188"/>
      <c r="L236" s="188">
        <f t="shared" si="1302"/>
        <v>0</v>
      </c>
      <c r="M236" s="188"/>
      <c r="N236" s="188"/>
      <c r="O236" s="188">
        <f t="shared" si="1303"/>
        <v>0</v>
      </c>
      <c r="P236" s="188"/>
      <c r="Q236" s="188"/>
      <c r="R236" s="188">
        <f t="shared" si="1304"/>
        <v>0</v>
      </c>
      <c r="S236" s="188"/>
      <c r="T236" s="188"/>
      <c r="U236" s="188">
        <f t="shared" si="1305"/>
        <v>0</v>
      </c>
      <c r="V236" s="188"/>
      <c r="W236" s="188"/>
      <c r="X236" s="188">
        <f t="shared" si="1306"/>
        <v>0</v>
      </c>
      <c r="Y236" s="188"/>
      <c r="Z236" s="188"/>
      <c r="AA236" s="188">
        <f t="shared" si="1307"/>
        <v>0</v>
      </c>
      <c r="AB236" s="188"/>
      <c r="AC236" s="188"/>
      <c r="AD236" s="188">
        <f t="shared" si="1308"/>
        <v>0</v>
      </c>
      <c r="AE236" s="188"/>
      <c r="AF236" s="188"/>
      <c r="AG236" s="188">
        <f t="shared" si="1309"/>
        <v>0</v>
      </c>
      <c r="AH236" s="188"/>
      <c r="AI236" s="188"/>
      <c r="AJ236" s="188">
        <f t="shared" si="1310"/>
        <v>0</v>
      </c>
      <c r="AK236" s="188"/>
      <c r="AL236" s="188"/>
      <c r="AM236" s="188">
        <f t="shared" si="1311"/>
        <v>0</v>
      </c>
      <c r="AN236" s="188"/>
      <c r="AO236" s="188"/>
      <c r="AP236" s="188">
        <f t="shared" si="1312"/>
        <v>0</v>
      </c>
      <c r="AQ236" s="188"/>
      <c r="AR236" s="188"/>
      <c r="AS236" s="188">
        <f t="shared" si="1313"/>
        <v>0</v>
      </c>
      <c r="AT236" s="188"/>
      <c r="AU236" s="188"/>
      <c r="AV236" s="188">
        <f t="shared" si="1314"/>
        <v>0</v>
      </c>
      <c r="AW236" s="188"/>
      <c r="AX236" s="188"/>
      <c r="AY236" s="188">
        <f t="shared" si="1315"/>
        <v>0</v>
      </c>
      <c r="AZ236" s="188"/>
      <c r="BA236" s="188"/>
      <c r="BB236" s="188">
        <f t="shared" si="1316"/>
        <v>0</v>
      </c>
      <c r="BC236" s="188"/>
      <c r="BD236" s="188"/>
      <c r="BE236" s="188">
        <f t="shared" si="1317"/>
        <v>0</v>
      </c>
      <c r="BF236" s="188"/>
      <c r="BG236" s="188"/>
      <c r="BH236" s="188">
        <f t="shared" si="1318"/>
        <v>0</v>
      </c>
      <c r="BI236" s="188"/>
      <c r="BJ236" s="188">
        <f>(BK3-BJ234)/365*BJ232</f>
        <v>42.854222040482526</v>
      </c>
      <c r="BK236" s="188">
        <f t="shared" si="1319"/>
        <v>42.854222040482526</v>
      </c>
      <c r="BL236" s="188"/>
      <c r="BM236" s="188"/>
      <c r="BN236" s="188">
        <f t="shared" si="1320"/>
        <v>0</v>
      </c>
      <c r="BO236" s="188"/>
      <c r="BP236" s="188"/>
      <c r="BQ236" s="188">
        <f t="shared" si="1321"/>
        <v>0</v>
      </c>
      <c r="BR236" s="188"/>
      <c r="BS236" s="188"/>
      <c r="BT236" s="188">
        <f t="shared" si="1322"/>
        <v>0</v>
      </c>
      <c r="BU236" s="188"/>
      <c r="BV236" s="188"/>
      <c r="BW236" s="188">
        <f t="shared" si="1323"/>
        <v>0</v>
      </c>
      <c r="BX236" s="188"/>
      <c r="BY236" s="188"/>
      <c r="BZ236" s="188">
        <f t="shared" si="1324"/>
        <v>0</v>
      </c>
      <c r="CA236" s="188"/>
      <c r="CB236" s="188"/>
      <c r="CC236" s="188">
        <f t="shared" si="1325"/>
        <v>0</v>
      </c>
      <c r="CD236" s="186"/>
      <c r="CE236" s="187"/>
      <c r="CF236" s="187"/>
      <c r="CG236" s="187"/>
      <c r="CH236" s="187"/>
      <c r="CI236" s="187"/>
      <c r="CJ236" s="187"/>
      <c r="CK236" s="188"/>
      <c r="CL236" s="188">
        <f t="shared" si="1326"/>
        <v>0</v>
      </c>
      <c r="CM236" s="188">
        <f t="shared" si="1327"/>
        <v>0</v>
      </c>
      <c r="CN236" s="188">
        <f t="shared" si="1328"/>
        <v>0</v>
      </c>
      <c r="CO236" s="188">
        <f t="shared" si="1329"/>
        <v>0</v>
      </c>
      <c r="CP236" s="188">
        <f t="shared" si="1330"/>
        <v>0</v>
      </c>
      <c r="CQ236" s="188">
        <f t="shared" si="1331"/>
        <v>0</v>
      </c>
      <c r="CR236" s="188">
        <f t="shared" si="1332"/>
        <v>0</v>
      </c>
      <c r="CS236" s="188">
        <f t="shared" si="1333"/>
        <v>0</v>
      </c>
      <c r="CT236" s="188">
        <f t="shared" si="1334"/>
        <v>0</v>
      </c>
      <c r="CU236" s="188">
        <f t="shared" si="1335"/>
        <v>0</v>
      </c>
      <c r="CV236" s="188">
        <f t="shared" si="1336"/>
        <v>0</v>
      </c>
      <c r="CW236" s="188">
        <f t="shared" si="1337"/>
        <v>0</v>
      </c>
      <c r="CX236" s="188">
        <f t="shared" si="1338"/>
        <v>0</v>
      </c>
      <c r="CY236" s="188">
        <f t="shared" si="1339"/>
        <v>42.854222040482526</v>
      </c>
      <c r="CZ236" s="188">
        <f t="shared" si="1340"/>
        <v>0</v>
      </c>
      <c r="DA236" s="188">
        <f t="shared" si="1341"/>
        <v>0</v>
      </c>
      <c r="DB236" s="188">
        <f t="shared" si="1342"/>
        <v>0</v>
      </c>
      <c r="DC236" s="188">
        <f t="shared" si="1343"/>
        <v>0</v>
      </c>
      <c r="DD236" s="188">
        <f t="shared" si="1344"/>
        <v>0</v>
      </c>
      <c r="DE236" s="188">
        <f t="shared" si="1345"/>
        <v>0</v>
      </c>
    </row>
    <row r="237" spans="1:109" ht="12.75" customHeight="1" outlineLevel="1">
      <c r="A237" s="1"/>
      <c r="B237" s="13"/>
      <c r="C237" s="1"/>
      <c r="D237" s="1"/>
      <c r="E237" s="1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188"/>
      <c r="AA237" s="188"/>
      <c r="AB237" s="188"/>
      <c r="AC237" s="188"/>
      <c r="AD237" s="188"/>
      <c r="AE237" s="188"/>
      <c r="AF237" s="188"/>
      <c r="AG237" s="188"/>
      <c r="AH237" s="188"/>
      <c r="AI237" s="188"/>
      <c r="AJ237" s="188"/>
      <c r="AK237" s="188"/>
      <c r="AL237" s="188"/>
      <c r="AM237" s="188"/>
      <c r="AN237" s="188"/>
      <c r="AO237" s="188"/>
      <c r="AP237" s="188"/>
      <c r="AQ237" s="188"/>
      <c r="AR237" s="188"/>
      <c r="AS237" s="188"/>
      <c r="AT237" s="188"/>
      <c r="AU237" s="188"/>
      <c r="AV237" s="188"/>
      <c r="AW237" s="188"/>
      <c r="AX237" s="188"/>
      <c r="AY237" s="188"/>
      <c r="AZ237" s="188"/>
      <c r="BA237" s="188"/>
      <c r="BB237" s="188"/>
      <c r="BC237" s="188"/>
      <c r="BD237" s="188"/>
      <c r="BE237" s="188"/>
      <c r="BF237" s="188"/>
      <c r="BG237" s="188"/>
      <c r="BH237" s="188"/>
      <c r="BI237" s="188"/>
      <c r="BJ237" s="188"/>
      <c r="BK237" s="188"/>
      <c r="BL237" s="188"/>
      <c r="BM237" s="188"/>
      <c r="BN237" s="188"/>
      <c r="BO237" s="188"/>
      <c r="BP237" s="188"/>
      <c r="BQ237" s="188"/>
      <c r="BR237" s="188"/>
      <c r="BS237" s="188"/>
      <c r="BT237" s="188"/>
      <c r="BU237" s="188"/>
      <c r="BV237" s="188"/>
      <c r="BW237" s="188"/>
      <c r="BX237" s="188"/>
      <c r="BY237" s="188"/>
      <c r="BZ237" s="188"/>
      <c r="CA237" s="188"/>
      <c r="CB237" s="188"/>
      <c r="CC237" s="188"/>
      <c r="CD237" s="186"/>
      <c r="CE237" s="187"/>
      <c r="CF237" s="187"/>
      <c r="CG237" s="187"/>
      <c r="CH237" s="187"/>
      <c r="CI237" s="187"/>
      <c r="CJ237" s="187"/>
      <c r="CK237" s="188"/>
      <c r="CL237" s="188"/>
      <c r="CM237" s="188"/>
      <c r="CN237" s="188"/>
      <c r="CO237" s="188"/>
      <c r="CP237" s="188"/>
      <c r="CQ237" s="188"/>
      <c r="CR237" s="188"/>
      <c r="CS237" s="188"/>
      <c r="CT237" s="188"/>
      <c r="CU237" s="188"/>
      <c r="CV237" s="188"/>
      <c r="CW237" s="188"/>
      <c r="CX237" s="188"/>
      <c r="CY237" s="188"/>
      <c r="CZ237" s="188"/>
      <c r="DA237" s="188"/>
      <c r="DB237" s="188"/>
      <c r="DC237" s="188"/>
      <c r="DD237" s="188"/>
      <c r="DE237" s="188"/>
    </row>
    <row r="238" spans="1:109" ht="12.75" customHeight="1" outlineLevel="1">
      <c r="A238" s="1"/>
      <c r="B238" s="49" t="s">
        <v>194</v>
      </c>
      <c r="C238" s="1"/>
      <c r="D238" s="1"/>
      <c r="E238" s="1"/>
      <c r="F238" s="188">
        <f t="shared" ref="F238:F243" si="1346">SUM(D238:E238)</f>
        <v>0</v>
      </c>
      <c r="G238" s="188"/>
      <c r="H238" s="188"/>
      <c r="I238" s="188">
        <f t="shared" ref="I238:I243" si="1347">SUM(G238:H238)</f>
        <v>0</v>
      </c>
      <c r="J238" s="188"/>
      <c r="K238" s="188"/>
      <c r="L238" s="188">
        <f t="shared" ref="L238:L243" si="1348">SUM(J238:K238)</f>
        <v>0</v>
      </c>
      <c r="M238" s="188"/>
      <c r="N238" s="188"/>
      <c r="O238" s="188">
        <f t="shared" ref="O238:O243" si="1349">SUM(M238:N238)</f>
        <v>0</v>
      </c>
      <c r="P238" s="188"/>
      <c r="Q238" s="188"/>
      <c r="R238" s="188">
        <f t="shared" ref="R238:R243" si="1350">SUM(P238:Q238)</f>
        <v>0</v>
      </c>
      <c r="S238" s="188"/>
      <c r="T238" s="188"/>
      <c r="U238" s="188">
        <f t="shared" ref="U238:U243" si="1351">SUM(S238:T238)</f>
        <v>0</v>
      </c>
      <c r="V238" s="188"/>
      <c r="W238" s="188"/>
      <c r="X238" s="188">
        <f t="shared" ref="X238:X243" si="1352">SUM(V238:W238)</f>
        <v>0</v>
      </c>
      <c r="Y238" s="188"/>
      <c r="Z238" s="188"/>
      <c r="AA238" s="188">
        <f t="shared" ref="AA238:AA243" si="1353">SUM(Y238:Z238)</f>
        <v>0</v>
      </c>
      <c r="AB238" s="188"/>
      <c r="AC238" s="188"/>
      <c r="AD238" s="188">
        <f t="shared" ref="AD238:AD243" si="1354">SUM(AB238:AC238)</f>
        <v>0</v>
      </c>
      <c r="AE238" s="188"/>
      <c r="AF238" s="188"/>
      <c r="AG238" s="188">
        <f t="shared" ref="AG238:AG243" si="1355">SUM(AE238:AF238)</f>
        <v>0</v>
      </c>
      <c r="AH238" s="188"/>
      <c r="AI238" s="188"/>
      <c r="AJ238" s="188">
        <f t="shared" ref="AJ238:AJ243" si="1356">SUM(AH238:AI238)</f>
        <v>0</v>
      </c>
      <c r="AK238" s="188"/>
      <c r="AL238" s="188"/>
      <c r="AM238" s="188">
        <f t="shared" ref="AM238:AM243" si="1357">SUM(AK238:AL238)</f>
        <v>0</v>
      </c>
      <c r="AN238" s="188"/>
      <c r="AO238" s="188"/>
      <c r="AP238" s="188">
        <f t="shared" ref="AP238:AP243" si="1358">SUM(AN238:AO238)</f>
        <v>0</v>
      </c>
      <c r="AQ238" s="188"/>
      <c r="AR238" s="188"/>
      <c r="AS238" s="188">
        <f t="shared" ref="AS238:AS243" si="1359">SUM(AQ238:AR238)</f>
        <v>0</v>
      </c>
      <c r="AT238" s="188"/>
      <c r="AU238" s="188"/>
      <c r="AV238" s="188">
        <f t="shared" ref="AV238:AV243" si="1360">SUM(AT238:AU238)</f>
        <v>0</v>
      </c>
      <c r="AW238" s="188"/>
      <c r="AX238" s="188"/>
      <c r="AY238" s="188">
        <f t="shared" ref="AY238:AY243" si="1361">SUM(AW238:AX238)</f>
        <v>0</v>
      </c>
      <c r="AZ238" s="188"/>
      <c r="BA238" s="188"/>
      <c r="BB238" s="188">
        <f t="shared" ref="BB238:BB243" si="1362">SUM(AZ238:BA238)</f>
        <v>0</v>
      </c>
      <c r="BC238" s="188"/>
      <c r="BD238" s="188"/>
      <c r="BE238" s="188">
        <f t="shared" ref="BE238:BE243" si="1363">SUM(BC238:BD238)</f>
        <v>0</v>
      </c>
      <c r="BF238" s="188"/>
      <c r="BG238" s="188"/>
      <c r="BH238" s="188">
        <f t="shared" ref="BH238:BH243" si="1364">SUM(BF238:BG238)</f>
        <v>0</v>
      </c>
      <c r="BI238" s="188"/>
      <c r="BJ238" s="188"/>
      <c r="BK238" s="188">
        <f t="shared" ref="BK238:BK243" si="1365">SUM(BI238:BJ238)</f>
        <v>0</v>
      </c>
      <c r="BL238" s="188"/>
      <c r="BM238" s="188"/>
      <c r="BN238" s="188">
        <f t="shared" ref="BN238:BN243" si="1366">SUM(BL238:BM238)</f>
        <v>0</v>
      </c>
      <c r="BO238" s="188"/>
      <c r="BP238" s="188"/>
      <c r="BQ238" s="188">
        <f t="shared" ref="BQ238:BQ243" si="1367">SUM(BO238:BP238)</f>
        <v>0</v>
      </c>
      <c r="BR238" s="188"/>
      <c r="BS238" s="188"/>
      <c r="BT238" s="188">
        <f t="shared" ref="BT238:BT243" si="1368">SUM(BR238:BS238)</f>
        <v>0</v>
      </c>
      <c r="BU238" s="188"/>
      <c r="BV238" s="188"/>
      <c r="BW238" s="188">
        <f t="shared" ref="BW238:BW243" si="1369">SUM(BU238:BV238)</f>
        <v>0</v>
      </c>
      <c r="BX238" s="188"/>
      <c r="BY238" s="188"/>
      <c r="BZ238" s="188">
        <f t="shared" ref="BZ238:BZ243" si="1370">SUM(BX238:BY238)</f>
        <v>0</v>
      </c>
      <c r="CA238" s="188"/>
      <c r="CB238" s="188"/>
      <c r="CC238" s="188">
        <f t="shared" ref="CC238:CC243" si="1371">SUM(CA238:CB238)</f>
        <v>0</v>
      </c>
      <c r="CD238" s="186"/>
      <c r="CE238" s="187"/>
      <c r="CF238" s="187"/>
      <c r="CG238" s="187"/>
      <c r="CH238" s="187"/>
      <c r="CI238" s="187"/>
      <c r="CJ238" s="187"/>
      <c r="CK238" s="188"/>
      <c r="CL238" s="188">
        <f t="shared" ref="CL238:CL243" si="1372">X238</f>
        <v>0</v>
      </c>
      <c r="CM238" s="188">
        <f t="shared" ref="CM238:CM243" si="1373">AA238</f>
        <v>0</v>
      </c>
      <c r="CN238" s="188">
        <f t="shared" ref="CN238:CN243" si="1374">AD238</f>
        <v>0</v>
      </c>
      <c r="CO238" s="188">
        <f t="shared" ref="CO238:CO243" si="1375">AG238</f>
        <v>0</v>
      </c>
      <c r="CP238" s="188">
        <f t="shared" ref="CP238:CP243" si="1376">AJ238</f>
        <v>0</v>
      </c>
      <c r="CQ238" s="188">
        <f t="shared" ref="CQ238:CQ243" si="1377">AM238</f>
        <v>0</v>
      </c>
      <c r="CR238" s="188">
        <f t="shared" ref="CR238:CR243" si="1378">AP238</f>
        <v>0</v>
      </c>
      <c r="CS238" s="188">
        <f t="shared" ref="CS238:CS243" si="1379">AS238</f>
        <v>0</v>
      </c>
      <c r="CT238" s="188">
        <f t="shared" ref="CT238:CT243" si="1380">AV238</f>
        <v>0</v>
      </c>
      <c r="CU238" s="188">
        <f t="shared" ref="CU238:CU243" si="1381">AY238</f>
        <v>0</v>
      </c>
      <c r="CV238" s="188">
        <f t="shared" ref="CV238:CV243" si="1382">BB238</f>
        <v>0</v>
      </c>
      <c r="CW238" s="188">
        <f t="shared" ref="CW238:CW243" si="1383">BE238</f>
        <v>0</v>
      </c>
      <c r="CX238" s="188">
        <f t="shared" ref="CX238:CX243" si="1384">BH238</f>
        <v>0</v>
      </c>
      <c r="CY238" s="188">
        <f t="shared" ref="CY238:CY243" si="1385">BK238</f>
        <v>0</v>
      </c>
      <c r="CZ238" s="188">
        <f t="shared" ref="CZ238:CZ243" si="1386">BN238</f>
        <v>0</v>
      </c>
      <c r="DA238" s="188">
        <f t="shared" ref="DA238:DA243" si="1387">BQ238</f>
        <v>0</v>
      </c>
      <c r="DB238" s="188">
        <f t="shared" ref="DB238:DB243" si="1388">BT238</f>
        <v>0</v>
      </c>
      <c r="DC238" s="188">
        <f t="shared" ref="DC238:DC243" si="1389">BW238</f>
        <v>0</v>
      </c>
      <c r="DD238" s="188">
        <f t="shared" ref="DD238:DD243" si="1390">BZ238</f>
        <v>0</v>
      </c>
      <c r="DE238" s="188">
        <f t="shared" ref="DE238:DE243" si="1391">CC238</f>
        <v>0</v>
      </c>
    </row>
    <row r="239" spans="1:109" ht="12.75" customHeight="1" outlineLevel="1">
      <c r="A239" s="1"/>
      <c r="B239" s="13" t="s">
        <v>185</v>
      </c>
      <c r="C239" s="1"/>
      <c r="D239" s="1"/>
      <c r="E239" s="1"/>
      <c r="F239" s="188">
        <f t="shared" si="1346"/>
        <v>0</v>
      </c>
      <c r="G239" s="188"/>
      <c r="H239" s="188"/>
      <c r="I239" s="188">
        <f t="shared" si="1347"/>
        <v>0</v>
      </c>
      <c r="J239" s="188"/>
      <c r="K239" s="188"/>
      <c r="L239" s="188">
        <f t="shared" si="1348"/>
        <v>0</v>
      </c>
      <c r="M239" s="188"/>
      <c r="N239" s="188"/>
      <c r="O239" s="188">
        <f t="shared" si="1349"/>
        <v>0</v>
      </c>
      <c r="P239" s="188"/>
      <c r="Q239" s="188"/>
      <c r="R239" s="188">
        <f t="shared" si="1350"/>
        <v>0</v>
      </c>
      <c r="S239" s="188"/>
      <c r="T239" s="188"/>
      <c r="U239" s="188">
        <f t="shared" si="1351"/>
        <v>0</v>
      </c>
      <c r="V239" s="188"/>
      <c r="W239" s="188"/>
      <c r="X239" s="188">
        <f t="shared" si="1352"/>
        <v>0</v>
      </c>
      <c r="Y239" s="188"/>
      <c r="Z239" s="188"/>
      <c r="AA239" s="188">
        <f t="shared" si="1353"/>
        <v>0</v>
      </c>
      <c r="AB239" s="188"/>
      <c r="AC239" s="188"/>
      <c r="AD239" s="188">
        <f t="shared" si="1354"/>
        <v>0</v>
      </c>
      <c r="AE239" s="188"/>
      <c r="AF239" s="188"/>
      <c r="AG239" s="188">
        <f t="shared" si="1355"/>
        <v>0</v>
      </c>
      <c r="AH239" s="188"/>
      <c r="AI239" s="188"/>
      <c r="AJ239" s="188">
        <f t="shared" si="1356"/>
        <v>0</v>
      </c>
      <c r="AK239" s="188"/>
      <c r="AL239" s="188"/>
      <c r="AM239" s="188">
        <f t="shared" si="1357"/>
        <v>0</v>
      </c>
      <c r="AN239" s="188"/>
      <c r="AO239" s="188"/>
      <c r="AP239" s="188">
        <f t="shared" si="1358"/>
        <v>0</v>
      </c>
      <c r="AQ239" s="188"/>
      <c r="AR239" s="188"/>
      <c r="AS239" s="188">
        <f t="shared" si="1359"/>
        <v>0</v>
      </c>
      <c r="AT239" s="188"/>
      <c r="AU239" s="188"/>
      <c r="AV239" s="188">
        <f t="shared" si="1360"/>
        <v>0</v>
      </c>
      <c r="AW239" s="188"/>
      <c r="AX239" s="188"/>
      <c r="AY239" s="188">
        <f t="shared" si="1361"/>
        <v>0</v>
      </c>
      <c r="AZ239" s="188"/>
      <c r="BA239" s="188"/>
      <c r="BB239" s="188">
        <f t="shared" si="1362"/>
        <v>0</v>
      </c>
      <c r="BC239" s="188"/>
      <c r="BD239" s="188"/>
      <c r="BE239" s="188">
        <f t="shared" si="1363"/>
        <v>0</v>
      </c>
      <c r="BF239" s="188"/>
      <c r="BG239" s="188"/>
      <c r="BH239" s="188">
        <f t="shared" si="1364"/>
        <v>0</v>
      </c>
      <c r="BI239" s="188"/>
      <c r="BJ239" s="188"/>
      <c r="BK239" s="188">
        <f t="shared" si="1365"/>
        <v>0</v>
      </c>
      <c r="BL239" s="188"/>
      <c r="BM239" s="188"/>
      <c r="BN239" s="188">
        <f t="shared" si="1366"/>
        <v>0</v>
      </c>
      <c r="BO239" s="188"/>
      <c r="BP239" s="188"/>
      <c r="BQ239" s="188">
        <f t="shared" si="1367"/>
        <v>0</v>
      </c>
      <c r="BR239" s="188"/>
      <c r="BS239" s="188"/>
      <c r="BT239" s="188">
        <f t="shared" si="1368"/>
        <v>0</v>
      </c>
      <c r="BU239" s="188"/>
      <c r="BV239" s="188"/>
      <c r="BW239" s="188">
        <f t="shared" si="1369"/>
        <v>0</v>
      </c>
      <c r="BX239" s="188"/>
      <c r="BY239" s="188"/>
      <c r="BZ239" s="188">
        <f t="shared" si="1370"/>
        <v>0</v>
      </c>
      <c r="CA239" s="188"/>
      <c r="CB239" s="188"/>
      <c r="CC239" s="188">
        <f t="shared" si="1371"/>
        <v>0</v>
      </c>
      <c r="CD239" s="186"/>
      <c r="CE239" s="187"/>
      <c r="CF239" s="187"/>
      <c r="CG239" s="187"/>
      <c r="CH239" s="187"/>
      <c r="CI239" s="187"/>
      <c r="CJ239" s="187"/>
      <c r="CK239" s="188"/>
      <c r="CL239" s="188">
        <f t="shared" si="1372"/>
        <v>0</v>
      </c>
      <c r="CM239" s="188">
        <f t="shared" si="1373"/>
        <v>0</v>
      </c>
      <c r="CN239" s="188">
        <f t="shared" si="1374"/>
        <v>0</v>
      </c>
      <c r="CO239" s="188">
        <f t="shared" si="1375"/>
        <v>0</v>
      </c>
      <c r="CP239" s="188">
        <f t="shared" si="1376"/>
        <v>0</v>
      </c>
      <c r="CQ239" s="188">
        <f t="shared" si="1377"/>
        <v>0</v>
      </c>
      <c r="CR239" s="188">
        <f t="shared" si="1378"/>
        <v>0</v>
      </c>
      <c r="CS239" s="188">
        <f t="shared" si="1379"/>
        <v>0</v>
      </c>
      <c r="CT239" s="188">
        <f t="shared" si="1380"/>
        <v>0</v>
      </c>
      <c r="CU239" s="188">
        <f t="shared" si="1381"/>
        <v>0</v>
      </c>
      <c r="CV239" s="188">
        <f t="shared" si="1382"/>
        <v>0</v>
      </c>
      <c r="CW239" s="188">
        <f t="shared" si="1383"/>
        <v>0</v>
      </c>
      <c r="CX239" s="188">
        <f t="shared" si="1384"/>
        <v>0</v>
      </c>
      <c r="CY239" s="188">
        <f t="shared" si="1385"/>
        <v>0</v>
      </c>
      <c r="CZ239" s="188">
        <f t="shared" si="1386"/>
        <v>0</v>
      </c>
      <c r="DA239" s="188">
        <f t="shared" si="1387"/>
        <v>0</v>
      </c>
      <c r="DB239" s="188">
        <f t="shared" si="1388"/>
        <v>0</v>
      </c>
      <c r="DC239" s="188">
        <f t="shared" si="1389"/>
        <v>0</v>
      </c>
      <c r="DD239" s="188">
        <f t="shared" si="1390"/>
        <v>0</v>
      </c>
      <c r="DE239" s="188">
        <f t="shared" si="1391"/>
        <v>0</v>
      </c>
    </row>
    <row r="240" spans="1:109" ht="12.75" customHeight="1" outlineLevel="1">
      <c r="A240" s="1"/>
      <c r="B240" s="13" t="s">
        <v>186</v>
      </c>
      <c r="C240" s="1"/>
      <c r="D240" s="1"/>
      <c r="E240" s="1"/>
      <c r="F240" s="188">
        <f t="shared" si="1346"/>
        <v>0</v>
      </c>
      <c r="G240" s="188"/>
      <c r="H240" s="188"/>
      <c r="I240" s="188">
        <f t="shared" si="1347"/>
        <v>0</v>
      </c>
      <c r="J240" s="188"/>
      <c r="K240" s="188"/>
      <c r="L240" s="188">
        <f t="shared" si="1348"/>
        <v>0</v>
      </c>
      <c r="M240" s="188"/>
      <c r="N240" s="188"/>
      <c r="O240" s="188">
        <f t="shared" si="1349"/>
        <v>0</v>
      </c>
      <c r="P240" s="188"/>
      <c r="Q240" s="188"/>
      <c r="R240" s="188">
        <f t="shared" si="1350"/>
        <v>0</v>
      </c>
      <c r="S240" s="188"/>
      <c r="T240" s="188"/>
      <c r="U240" s="188">
        <f t="shared" si="1351"/>
        <v>0</v>
      </c>
      <c r="V240" s="188"/>
      <c r="W240" s="188"/>
      <c r="X240" s="188">
        <f t="shared" si="1352"/>
        <v>0</v>
      </c>
      <c r="Y240" s="188"/>
      <c r="Z240" s="188"/>
      <c r="AA240" s="188">
        <f t="shared" si="1353"/>
        <v>0</v>
      </c>
      <c r="AB240" s="188"/>
      <c r="AC240" s="188"/>
      <c r="AD240" s="188">
        <f t="shared" si="1354"/>
        <v>0</v>
      </c>
      <c r="AE240" s="188"/>
      <c r="AF240" s="188"/>
      <c r="AG240" s="188">
        <f t="shared" si="1355"/>
        <v>0</v>
      </c>
      <c r="AH240" s="188"/>
      <c r="AI240" s="188"/>
      <c r="AJ240" s="188">
        <f t="shared" si="1356"/>
        <v>0</v>
      </c>
      <c r="AK240" s="188"/>
      <c r="AL240" s="188"/>
      <c r="AM240" s="188">
        <f t="shared" si="1357"/>
        <v>0</v>
      </c>
      <c r="AN240" s="188"/>
      <c r="AO240" s="188"/>
      <c r="AP240" s="188">
        <f t="shared" si="1358"/>
        <v>0</v>
      </c>
      <c r="AQ240" s="188"/>
      <c r="AR240" s="188"/>
      <c r="AS240" s="188">
        <f t="shared" si="1359"/>
        <v>0</v>
      </c>
      <c r="AT240" s="188"/>
      <c r="AU240" s="188"/>
      <c r="AV240" s="188">
        <f t="shared" si="1360"/>
        <v>0</v>
      </c>
      <c r="AW240" s="188"/>
      <c r="AX240" s="188"/>
      <c r="AY240" s="188">
        <f t="shared" si="1361"/>
        <v>0</v>
      </c>
      <c r="AZ240" s="188"/>
      <c r="BA240" s="188"/>
      <c r="BB240" s="188">
        <f t="shared" si="1362"/>
        <v>0</v>
      </c>
      <c r="BC240" s="188"/>
      <c r="BD240" s="188"/>
      <c r="BE240" s="188">
        <f t="shared" si="1363"/>
        <v>0</v>
      </c>
      <c r="BF240" s="188"/>
      <c r="BG240" s="188"/>
      <c r="BH240" s="188">
        <f t="shared" si="1364"/>
        <v>0</v>
      </c>
      <c r="BI240" s="188"/>
      <c r="BJ240" s="188"/>
      <c r="BK240" s="188">
        <f t="shared" si="1365"/>
        <v>0</v>
      </c>
      <c r="BL240" s="188"/>
      <c r="BM240" s="188"/>
      <c r="BN240" s="188">
        <f t="shared" si="1366"/>
        <v>0</v>
      </c>
      <c r="BO240" s="188"/>
      <c r="BP240" s="188"/>
      <c r="BQ240" s="188">
        <f t="shared" si="1367"/>
        <v>0</v>
      </c>
      <c r="BR240" s="188"/>
      <c r="BS240" s="188"/>
      <c r="BT240" s="188">
        <f t="shared" si="1368"/>
        <v>0</v>
      </c>
      <c r="BU240" s="188"/>
      <c r="BV240" s="188"/>
      <c r="BW240" s="188">
        <f t="shared" si="1369"/>
        <v>0</v>
      </c>
      <c r="BX240" s="188"/>
      <c r="BY240" s="188"/>
      <c r="BZ240" s="188">
        <f t="shared" si="1370"/>
        <v>0</v>
      </c>
      <c r="CA240" s="188"/>
      <c r="CB240" s="188"/>
      <c r="CC240" s="188">
        <f t="shared" si="1371"/>
        <v>0</v>
      </c>
      <c r="CD240" s="186"/>
      <c r="CE240" s="187"/>
      <c r="CF240" s="187"/>
      <c r="CG240" s="187"/>
      <c r="CH240" s="187"/>
      <c r="CI240" s="187"/>
      <c r="CJ240" s="187"/>
      <c r="CK240" s="188"/>
      <c r="CL240" s="188">
        <f t="shared" si="1372"/>
        <v>0</v>
      </c>
      <c r="CM240" s="188">
        <f t="shared" si="1373"/>
        <v>0</v>
      </c>
      <c r="CN240" s="188">
        <f t="shared" si="1374"/>
        <v>0</v>
      </c>
      <c r="CO240" s="188">
        <f t="shared" si="1375"/>
        <v>0</v>
      </c>
      <c r="CP240" s="188">
        <f t="shared" si="1376"/>
        <v>0</v>
      </c>
      <c r="CQ240" s="188">
        <f t="shared" si="1377"/>
        <v>0</v>
      </c>
      <c r="CR240" s="188">
        <f t="shared" si="1378"/>
        <v>0</v>
      </c>
      <c r="CS240" s="188">
        <f t="shared" si="1379"/>
        <v>0</v>
      </c>
      <c r="CT240" s="188">
        <f t="shared" si="1380"/>
        <v>0</v>
      </c>
      <c r="CU240" s="188">
        <f t="shared" si="1381"/>
        <v>0</v>
      </c>
      <c r="CV240" s="188">
        <f t="shared" si="1382"/>
        <v>0</v>
      </c>
      <c r="CW240" s="188">
        <f t="shared" si="1383"/>
        <v>0</v>
      </c>
      <c r="CX240" s="188">
        <f t="shared" si="1384"/>
        <v>0</v>
      </c>
      <c r="CY240" s="188">
        <f t="shared" si="1385"/>
        <v>0</v>
      </c>
      <c r="CZ240" s="188">
        <f t="shared" si="1386"/>
        <v>0</v>
      </c>
      <c r="DA240" s="188">
        <f t="shared" si="1387"/>
        <v>0</v>
      </c>
      <c r="DB240" s="188">
        <f t="shared" si="1388"/>
        <v>0</v>
      </c>
      <c r="DC240" s="188">
        <f t="shared" si="1389"/>
        <v>0</v>
      </c>
      <c r="DD240" s="188">
        <f t="shared" si="1390"/>
        <v>0</v>
      </c>
      <c r="DE240" s="188">
        <f t="shared" si="1391"/>
        <v>0</v>
      </c>
    </row>
    <row r="241" spans="1:109" ht="12.75" customHeight="1" outlineLevel="1">
      <c r="A241" s="1"/>
      <c r="B241" s="13" t="s">
        <v>187</v>
      </c>
      <c r="C241" s="1"/>
      <c r="D241" s="1"/>
      <c r="E241" s="1"/>
      <c r="F241" s="188">
        <f t="shared" si="1346"/>
        <v>0</v>
      </c>
      <c r="G241" s="188"/>
      <c r="H241" s="188"/>
      <c r="I241" s="188">
        <f t="shared" si="1347"/>
        <v>0</v>
      </c>
      <c r="J241" s="188"/>
      <c r="K241" s="188"/>
      <c r="L241" s="188">
        <f t="shared" si="1348"/>
        <v>0</v>
      </c>
      <c r="M241" s="188"/>
      <c r="N241" s="188"/>
      <c r="O241" s="188">
        <f t="shared" si="1349"/>
        <v>0</v>
      </c>
      <c r="P241" s="188"/>
      <c r="Q241" s="188"/>
      <c r="R241" s="188">
        <f t="shared" si="1350"/>
        <v>0</v>
      </c>
      <c r="S241" s="188"/>
      <c r="T241" s="188"/>
      <c r="U241" s="188">
        <f t="shared" si="1351"/>
        <v>0</v>
      </c>
      <c r="V241" s="188"/>
      <c r="W241" s="188"/>
      <c r="X241" s="188">
        <f t="shared" si="1352"/>
        <v>0</v>
      </c>
      <c r="Y241" s="188"/>
      <c r="Z241" s="188"/>
      <c r="AA241" s="188">
        <f t="shared" si="1353"/>
        <v>0</v>
      </c>
      <c r="AB241" s="188"/>
      <c r="AC241" s="188"/>
      <c r="AD241" s="188">
        <f t="shared" si="1354"/>
        <v>0</v>
      </c>
      <c r="AE241" s="188"/>
      <c r="AF241" s="188"/>
      <c r="AG241" s="188">
        <f t="shared" si="1355"/>
        <v>0</v>
      </c>
      <c r="AH241" s="188"/>
      <c r="AI241" s="188"/>
      <c r="AJ241" s="188">
        <f t="shared" si="1356"/>
        <v>0</v>
      </c>
      <c r="AK241" s="188"/>
      <c r="AL241" s="188"/>
      <c r="AM241" s="188">
        <f t="shared" si="1357"/>
        <v>0</v>
      </c>
      <c r="AN241" s="188"/>
      <c r="AO241" s="188"/>
      <c r="AP241" s="188">
        <f t="shared" si="1358"/>
        <v>0</v>
      </c>
      <c r="AQ241" s="188"/>
      <c r="AR241" s="188"/>
      <c r="AS241" s="188">
        <f t="shared" si="1359"/>
        <v>0</v>
      </c>
      <c r="AT241" s="188"/>
      <c r="AU241" s="188"/>
      <c r="AV241" s="188">
        <f t="shared" si="1360"/>
        <v>0</v>
      </c>
      <c r="AW241" s="188"/>
      <c r="AX241" s="188"/>
      <c r="AY241" s="188">
        <f t="shared" si="1361"/>
        <v>0</v>
      </c>
      <c r="AZ241" s="188"/>
      <c r="BA241" s="188"/>
      <c r="BB241" s="188">
        <f t="shared" si="1362"/>
        <v>0</v>
      </c>
      <c r="BC241" s="188"/>
      <c r="BD241" s="188"/>
      <c r="BE241" s="188">
        <f t="shared" si="1363"/>
        <v>0</v>
      </c>
      <c r="BF241" s="188"/>
      <c r="BG241" s="188"/>
      <c r="BH241" s="188">
        <f t="shared" si="1364"/>
        <v>0</v>
      </c>
      <c r="BI241" s="188"/>
      <c r="BJ241" s="188"/>
      <c r="BK241" s="188">
        <f t="shared" si="1365"/>
        <v>0</v>
      </c>
      <c r="BL241" s="188"/>
      <c r="BM241" s="188"/>
      <c r="BN241" s="188">
        <f t="shared" si="1366"/>
        <v>0</v>
      </c>
      <c r="BO241" s="188"/>
      <c r="BP241" s="188"/>
      <c r="BQ241" s="188">
        <f t="shared" si="1367"/>
        <v>0</v>
      </c>
      <c r="BR241" s="188"/>
      <c r="BS241" s="188"/>
      <c r="BT241" s="188">
        <f t="shared" si="1368"/>
        <v>0</v>
      </c>
      <c r="BU241" s="188"/>
      <c r="BV241" s="188"/>
      <c r="BW241" s="188">
        <f t="shared" si="1369"/>
        <v>0</v>
      </c>
      <c r="BX241" s="188"/>
      <c r="BY241" s="188"/>
      <c r="BZ241" s="188">
        <f t="shared" si="1370"/>
        <v>0</v>
      </c>
      <c r="CA241" s="188"/>
      <c r="CB241" s="188"/>
      <c r="CC241" s="188">
        <f t="shared" si="1371"/>
        <v>0</v>
      </c>
      <c r="CD241" s="186"/>
      <c r="CE241" s="187"/>
      <c r="CF241" s="187"/>
      <c r="CG241" s="187"/>
      <c r="CH241" s="187"/>
      <c r="CI241" s="187"/>
      <c r="CJ241" s="187"/>
      <c r="CK241" s="188"/>
      <c r="CL241" s="188">
        <f t="shared" si="1372"/>
        <v>0</v>
      </c>
      <c r="CM241" s="188">
        <f t="shared" si="1373"/>
        <v>0</v>
      </c>
      <c r="CN241" s="188">
        <f t="shared" si="1374"/>
        <v>0</v>
      </c>
      <c r="CO241" s="188">
        <f t="shared" si="1375"/>
        <v>0</v>
      </c>
      <c r="CP241" s="188">
        <f t="shared" si="1376"/>
        <v>0</v>
      </c>
      <c r="CQ241" s="188">
        <f t="shared" si="1377"/>
        <v>0</v>
      </c>
      <c r="CR241" s="188">
        <f t="shared" si="1378"/>
        <v>0</v>
      </c>
      <c r="CS241" s="188">
        <f t="shared" si="1379"/>
        <v>0</v>
      </c>
      <c r="CT241" s="188">
        <f t="shared" si="1380"/>
        <v>0</v>
      </c>
      <c r="CU241" s="188">
        <f t="shared" si="1381"/>
        <v>0</v>
      </c>
      <c r="CV241" s="188">
        <f t="shared" si="1382"/>
        <v>0</v>
      </c>
      <c r="CW241" s="188">
        <f t="shared" si="1383"/>
        <v>0</v>
      </c>
      <c r="CX241" s="188">
        <f t="shared" si="1384"/>
        <v>0</v>
      </c>
      <c r="CY241" s="188">
        <f t="shared" si="1385"/>
        <v>0</v>
      </c>
      <c r="CZ241" s="188">
        <f t="shared" si="1386"/>
        <v>0</v>
      </c>
      <c r="DA241" s="188">
        <f t="shared" si="1387"/>
        <v>0</v>
      </c>
      <c r="DB241" s="188">
        <f t="shared" si="1388"/>
        <v>0</v>
      </c>
      <c r="DC241" s="188">
        <f t="shared" si="1389"/>
        <v>0</v>
      </c>
      <c r="DD241" s="188">
        <f t="shared" si="1390"/>
        <v>0</v>
      </c>
      <c r="DE241" s="188">
        <f t="shared" si="1391"/>
        <v>0</v>
      </c>
    </row>
    <row r="242" spans="1:109" ht="12.75" customHeight="1" outlineLevel="1">
      <c r="A242" s="1"/>
      <c r="B242" s="13" t="s">
        <v>192</v>
      </c>
      <c r="C242" s="1"/>
      <c r="D242" s="1"/>
      <c r="E242" s="1"/>
      <c r="F242" s="188">
        <f t="shared" si="1346"/>
        <v>0</v>
      </c>
      <c r="G242" s="188"/>
      <c r="H242" s="188"/>
      <c r="I242" s="188">
        <f t="shared" si="1347"/>
        <v>0</v>
      </c>
      <c r="J242" s="188"/>
      <c r="K242" s="188"/>
      <c r="L242" s="188">
        <f t="shared" si="1348"/>
        <v>0</v>
      </c>
      <c r="M242" s="188"/>
      <c r="N242" s="188"/>
      <c r="O242" s="188">
        <f t="shared" si="1349"/>
        <v>0</v>
      </c>
      <c r="P242" s="188"/>
      <c r="Q242" s="188"/>
      <c r="R242" s="188">
        <f t="shared" si="1350"/>
        <v>0</v>
      </c>
      <c r="S242" s="188"/>
      <c r="T242" s="188"/>
      <c r="U242" s="188">
        <f t="shared" si="1351"/>
        <v>0</v>
      </c>
      <c r="V242" s="188"/>
      <c r="W242" s="188"/>
      <c r="X242" s="188">
        <f t="shared" si="1352"/>
        <v>0</v>
      </c>
      <c r="Y242" s="188"/>
      <c r="Z242" s="188"/>
      <c r="AA242" s="188">
        <f t="shared" si="1353"/>
        <v>0</v>
      </c>
      <c r="AB242" s="188"/>
      <c r="AC242" s="188"/>
      <c r="AD242" s="188">
        <f t="shared" si="1354"/>
        <v>0</v>
      </c>
      <c r="AE242" s="188"/>
      <c r="AF242" s="188"/>
      <c r="AG242" s="188">
        <f t="shared" si="1355"/>
        <v>0</v>
      </c>
      <c r="AH242" s="188"/>
      <c r="AI242" s="188"/>
      <c r="AJ242" s="188">
        <f t="shared" si="1356"/>
        <v>0</v>
      </c>
      <c r="AK242" s="188"/>
      <c r="AL242" s="188"/>
      <c r="AM242" s="188">
        <f t="shared" si="1357"/>
        <v>0</v>
      </c>
      <c r="AN242" s="188"/>
      <c r="AO242" s="188"/>
      <c r="AP242" s="188">
        <f t="shared" si="1358"/>
        <v>0</v>
      </c>
      <c r="AQ242" s="188"/>
      <c r="AR242" s="188"/>
      <c r="AS242" s="188">
        <f t="shared" si="1359"/>
        <v>0</v>
      </c>
      <c r="AT242" s="188"/>
      <c r="AU242" s="188"/>
      <c r="AV242" s="188">
        <f t="shared" si="1360"/>
        <v>0</v>
      </c>
      <c r="AW242" s="188"/>
      <c r="AX242" s="188"/>
      <c r="AY242" s="188">
        <f t="shared" si="1361"/>
        <v>0</v>
      </c>
      <c r="AZ242" s="188"/>
      <c r="BA242" s="188"/>
      <c r="BB242" s="188">
        <f t="shared" si="1362"/>
        <v>0</v>
      </c>
      <c r="BC242" s="188"/>
      <c r="BD242" s="188"/>
      <c r="BE242" s="188">
        <f t="shared" si="1363"/>
        <v>0</v>
      </c>
      <c r="BF242" s="188"/>
      <c r="BG242" s="188"/>
      <c r="BH242" s="188">
        <f t="shared" si="1364"/>
        <v>0</v>
      </c>
      <c r="BI242" s="188"/>
      <c r="BJ242" s="188"/>
      <c r="BK242" s="188">
        <f t="shared" si="1365"/>
        <v>0</v>
      </c>
      <c r="BL242" s="188"/>
      <c r="BM242" s="188"/>
      <c r="BN242" s="188">
        <f t="shared" si="1366"/>
        <v>0</v>
      </c>
      <c r="BO242" s="188"/>
      <c r="BP242" s="188"/>
      <c r="BQ242" s="188">
        <f t="shared" si="1367"/>
        <v>0</v>
      </c>
      <c r="BR242" s="188"/>
      <c r="BS242" s="188"/>
      <c r="BT242" s="188">
        <f t="shared" si="1368"/>
        <v>0</v>
      </c>
      <c r="BU242" s="188"/>
      <c r="BV242" s="188"/>
      <c r="BW242" s="188">
        <f t="shared" si="1369"/>
        <v>0</v>
      </c>
      <c r="BX242" s="188"/>
      <c r="BY242" s="188"/>
      <c r="BZ242" s="188">
        <f t="shared" si="1370"/>
        <v>0</v>
      </c>
      <c r="CA242" s="188"/>
      <c r="CB242" s="188"/>
      <c r="CC242" s="188">
        <f t="shared" si="1371"/>
        <v>0</v>
      </c>
      <c r="CD242" s="186"/>
      <c r="CE242" s="187"/>
      <c r="CF242" s="187"/>
      <c r="CG242" s="187"/>
      <c r="CH242" s="187"/>
      <c r="CI242" s="187"/>
      <c r="CJ242" s="187"/>
      <c r="CK242" s="188"/>
      <c r="CL242" s="188">
        <f t="shared" si="1372"/>
        <v>0</v>
      </c>
      <c r="CM242" s="188">
        <f t="shared" si="1373"/>
        <v>0</v>
      </c>
      <c r="CN242" s="188">
        <f t="shared" si="1374"/>
        <v>0</v>
      </c>
      <c r="CO242" s="188">
        <f t="shared" si="1375"/>
        <v>0</v>
      </c>
      <c r="CP242" s="188">
        <f t="shared" si="1376"/>
        <v>0</v>
      </c>
      <c r="CQ242" s="188">
        <f t="shared" si="1377"/>
        <v>0</v>
      </c>
      <c r="CR242" s="188">
        <f t="shared" si="1378"/>
        <v>0</v>
      </c>
      <c r="CS242" s="188">
        <f t="shared" si="1379"/>
        <v>0</v>
      </c>
      <c r="CT242" s="188">
        <f t="shared" si="1380"/>
        <v>0</v>
      </c>
      <c r="CU242" s="188">
        <f t="shared" si="1381"/>
        <v>0</v>
      </c>
      <c r="CV242" s="188">
        <f t="shared" si="1382"/>
        <v>0</v>
      </c>
      <c r="CW242" s="188">
        <f t="shared" si="1383"/>
        <v>0</v>
      </c>
      <c r="CX242" s="188">
        <f t="shared" si="1384"/>
        <v>0</v>
      </c>
      <c r="CY242" s="188">
        <f t="shared" si="1385"/>
        <v>0</v>
      </c>
      <c r="CZ242" s="188">
        <f t="shared" si="1386"/>
        <v>0</v>
      </c>
      <c r="DA242" s="188">
        <f t="shared" si="1387"/>
        <v>0</v>
      </c>
      <c r="DB242" s="188">
        <f t="shared" si="1388"/>
        <v>0</v>
      </c>
      <c r="DC242" s="188">
        <f t="shared" si="1389"/>
        <v>0</v>
      </c>
      <c r="DD242" s="188">
        <f t="shared" si="1390"/>
        <v>0</v>
      </c>
      <c r="DE242" s="188">
        <f t="shared" si="1391"/>
        <v>0</v>
      </c>
    </row>
    <row r="243" spans="1:109" ht="12.75" customHeight="1" outlineLevel="1">
      <c r="A243" s="1"/>
      <c r="B243" s="13" t="s">
        <v>189</v>
      </c>
      <c r="C243" s="1"/>
      <c r="D243" s="1"/>
      <c r="E243" s="1"/>
      <c r="F243" s="188">
        <f t="shared" si="1346"/>
        <v>0</v>
      </c>
      <c r="G243" s="188"/>
      <c r="H243" s="188"/>
      <c r="I243" s="188">
        <f t="shared" si="1347"/>
        <v>0</v>
      </c>
      <c r="J243" s="188"/>
      <c r="K243" s="188"/>
      <c r="L243" s="188">
        <f t="shared" si="1348"/>
        <v>0</v>
      </c>
      <c r="M243" s="188"/>
      <c r="N243" s="188"/>
      <c r="O243" s="188">
        <f t="shared" si="1349"/>
        <v>0</v>
      </c>
      <c r="P243" s="188"/>
      <c r="Q243" s="188"/>
      <c r="R243" s="188">
        <f t="shared" si="1350"/>
        <v>0</v>
      </c>
      <c r="S243" s="188"/>
      <c r="T243" s="188"/>
      <c r="U243" s="188">
        <f t="shared" si="1351"/>
        <v>0</v>
      </c>
      <c r="V243" s="188"/>
      <c r="W243" s="188"/>
      <c r="X243" s="188">
        <f t="shared" si="1352"/>
        <v>0</v>
      </c>
      <c r="Y243" s="188"/>
      <c r="Z243" s="188"/>
      <c r="AA243" s="188">
        <f t="shared" si="1353"/>
        <v>0</v>
      </c>
      <c r="AB243" s="188"/>
      <c r="AC243" s="188"/>
      <c r="AD243" s="188">
        <f t="shared" si="1354"/>
        <v>0</v>
      </c>
      <c r="AE243" s="188"/>
      <c r="AF243" s="188"/>
      <c r="AG243" s="188">
        <f t="shared" si="1355"/>
        <v>0</v>
      </c>
      <c r="AH243" s="188"/>
      <c r="AI243" s="188"/>
      <c r="AJ243" s="188">
        <f t="shared" si="1356"/>
        <v>0</v>
      </c>
      <c r="AK243" s="188"/>
      <c r="AL243" s="188"/>
      <c r="AM243" s="188">
        <f t="shared" si="1357"/>
        <v>0</v>
      </c>
      <c r="AN243" s="188"/>
      <c r="AO243" s="188"/>
      <c r="AP243" s="188">
        <f t="shared" si="1358"/>
        <v>0</v>
      </c>
      <c r="AQ243" s="188"/>
      <c r="AR243" s="188"/>
      <c r="AS243" s="188">
        <f t="shared" si="1359"/>
        <v>0</v>
      </c>
      <c r="AT243" s="188"/>
      <c r="AU243" s="188"/>
      <c r="AV243" s="188">
        <f t="shared" si="1360"/>
        <v>0</v>
      </c>
      <c r="AW243" s="188"/>
      <c r="AX243" s="188"/>
      <c r="AY243" s="188">
        <f t="shared" si="1361"/>
        <v>0</v>
      </c>
      <c r="AZ243" s="188"/>
      <c r="BA243" s="188"/>
      <c r="BB243" s="188">
        <f t="shared" si="1362"/>
        <v>0</v>
      </c>
      <c r="BC243" s="188"/>
      <c r="BD243" s="188"/>
      <c r="BE243" s="188">
        <f t="shared" si="1363"/>
        <v>0</v>
      </c>
      <c r="BF243" s="188"/>
      <c r="BG243" s="188"/>
      <c r="BH243" s="188">
        <f t="shared" si="1364"/>
        <v>0</v>
      </c>
      <c r="BI243" s="188"/>
      <c r="BJ243" s="188"/>
      <c r="BK243" s="188">
        <f t="shared" si="1365"/>
        <v>0</v>
      </c>
      <c r="BL243" s="188"/>
      <c r="BM243" s="188"/>
      <c r="BN243" s="188">
        <f t="shared" si="1366"/>
        <v>0</v>
      </c>
      <c r="BO243" s="188"/>
      <c r="BP243" s="188"/>
      <c r="BQ243" s="188">
        <f t="shared" si="1367"/>
        <v>0</v>
      </c>
      <c r="BR243" s="188"/>
      <c r="BS243" s="188"/>
      <c r="BT243" s="188">
        <f t="shared" si="1368"/>
        <v>0</v>
      </c>
      <c r="BU243" s="188"/>
      <c r="BV243" s="188"/>
      <c r="BW243" s="188">
        <f t="shared" si="1369"/>
        <v>0</v>
      </c>
      <c r="BX243" s="188"/>
      <c r="BY243" s="188"/>
      <c r="BZ243" s="188">
        <f t="shared" si="1370"/>
        <v>0</v>
      </c>
      <c r="CA243" s="188"/>
      <c r="CB243" s="188"/>
      <c r="CC243" s="188">
        <f t="shared" si="1371"/>
        <v>0</v>
      </c>
      <c r="CD243" s="186"/>
      <c r="CE243" s="187"/>
      <c r="CF243" s="187"/>
      <c r="CG243" s="187"/>
      <c r="CH243" s="187"/>
      <c r="CI243" s="187"/>
      <c r="CJ243" s="187"/>
      <c r="CK243" s="188"/>
      <c r="CL243" s="188">
        <f t="shared" si="1372"/>
        <v>0</v>
      </c>
      <c r="CM243" s="188">
        <f t="shared" si="1373"/>
        <v>0</v>
      </c>
      <c r="CN243" s="188">
        <f t="shared" si="1374"/>
        <v>0</v>
      </c>
      <c r="CO243" s="188">
        <f t="shared" si="1375"/>
        <v>0</v>
      </c>
      <c r="CP243" s="188">
        <f t="shared" si="1376"/>
        <v>0</v>
      </c>
      <c r="CQ243" s="188">
        <f t="shared" si="1377"/>
        <v>0</v>
      </c>
      <c r="CR243" s="188">
        <f t="shared" si="1378"/>
        <v>0</v>
      </c>
      <c r="CS243" s="188">
        <f t="shared" si="1379"/>
        <v>0</v>
      </c>
      <c r="CT243" s="188">
        <f t="shared" si="1380"/>
        <v>0</v>
      </c>
      <c r="CU243" s="188">
        <f t="shared" si="1381"/>
        <v>0</v>
      </c>
      <c r="CV243" s="188">
        <f t="shared" si="1382"/>
        <v>0</v>
      </c>
      <c r="CW243" s="188">
        <f t="shared" si="1383"/>
        <v>0</v>
      </c>
      <c r="CX243" s="188">
        <f t="shared" si="1384"/>
        <v>0</v>
      </c>
      <c r="CY243" s="188">
        <f t="shared" si="1385"/>
        <v>0</v>
      </c>
      <c r="CZ243" s="188">
        <f t="shared" si="1386"/>
        <v>0</v>
      </c>
      <c r="DA243" s="188">
        <f t="shared" si="1387"/>
        <v>0</v>
      </c>
      <c r="DB243" s="188">
        <f t="shared" si="1388"/>
        <v>0</v>
      </c>
      <c r="DC243" s="188">
        <f t="shared" si="1389"/>
        <v>0</v>
      </c>
      <c r="DD243" s="188">
        <f t="shared" si="1390"/>
        <v>0</v>
      </c>
      <c r="DE243" s="188">
        <f t="shared" si="1391"/>
        <v>0</v>
      </c>
    </row>
    <row r="244" spans="1:109" ht="12.75" customHeight="1" outlineLevel="1">
      <c r="A244" s="1"/>
      <c r="B244" s="13"/>
      <c r="C244" s="1"/>
      <c r="D244" s="1"/>
      <c r="E244" s="1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188"/>
      <c r="AA244" s="188"/>
      <c r="AB244" s="188"/>
      <c r="AC244" s="188"/>
      <c r="AD244" s="188"/>
      <c r="AE244" s="188"/>
      <c r="AF244" s="188"/>
      <c r="AG244" s="188"/>
      <c r="AH244" s="188"/>
      <c r="AI244" s="188"/>
      <c r="AJ244" s="188"/>
      <c r="AK244" s="188"/>
      <c r="AL244" s="188"/>
      <c r="AM244" s="188"/>
      <c r="AN244" s="188"/>
      <c r="AO244" s="188"/>
      <c r="AP244" s="188"/>
      <c r="AQ244" s="188"/>
      <c r="AR244" s="188"/>
      <c r="AS244" s="188"/>
      <c r="AT244" s="188"/>
      <c r="AU244" s="188"/>
      <c r="AV244" s="188"/>
      <c r="AW244" s="188"/>
      <c r="AX244" s="188"/>
      <c r="AY244" s="188"/>
      <c r="AZ244" s="188"/>
      <c r="BA244" s="188"/>
      <c r="BB244" s="188"/>
      <c r="BC244" s="188"/>
      <c r="BD244" s="188"/>
      <c r="BE244" s="188"/>
      <c r="BF244" s="188"/>
      <c r="BG244" s="188"/>
      <c r="BH244" s="188"/>
      <c r="BI244" s="188"/>
      <c r="BJ244" s="188"/>
      <c r="BK244" s="188"/>
      <c r="BL244" s="188"/>
      <c r="BM244" s="188"/>
      <c r="BN244" s="188"/>
      <c r="BO244" s="188"/>
      <c r="BP244" s="188"/>
      <c r="BQ244" s="188"/>
      <c r="BR244" s="188"/>
      <c r="BS244" s="188"/>
      <c r="BT244" s="188"/>
      <c r="BU244" s="188"/>
      <c r="BV244" s="188"/>
      <c r="BW244" s="188"/>
      <c r="BX244" s="188"/>
      <c r="BY244" s="188"/>
      <c r="BZ244" s="188"/>
      <c r="CA244" s="188"/>
      <c r="CB244" s="188"/>
      <c r="CC244" s="188"/>
      <c r="CD244" s="186"/>
      <c r="CE244" s="187"/>
      <c r="CF244" s="187"/>
      <c r="CG244" s="187"/>
      <c r="CH244" s="187"/>
      <c r="CI244" s="187"/>
      <c r="CJ244" s="187"/>
      <c r="CK244" s="188"/>
      <c r="CL244" s="188"/>
      <c r="CM244" s="188"/>
      <c r="CN244" s="188"/>
      <c r="CO244" s="188"/>
      <c r="CP244" s="188"/>
      <c r="CQ244" s="188"/>
      <c r="CR244" s="188"/>
      <c r="CS244" s="188"/>
      <c r="CT244" s="188"/>
      <c r="CU244" s="188"/>
      <c r="CV244" s="188"/>
      <c r="CW244" s="188"/>
      <c r="CX244" s="188"/>
      <c r="CY244" s="188"/>
      <c r="CZ244" s="188"/>
      <c r="DA244" s="188"/>
      <c r="DB244" s="188"/>
      <c r="DC244" s="188"/>
      <c r="DD244" s="188"/>
      <c r="DE244" s="188"/>
    </row>
    <row r="245" spans="1:109" ht="12.75" customHeight="1" outlineLevel="1">
      <c r="A245" s="1"/>
      <c r="B245" s="49" t="s">
        <v>195</v>
      </c>
      <c r="C245" s="1"/>
      <c r="D245" s="1"/>
      <c r="E245" s="1"/>
      <c r="F245" s="188">
        <f t="shared" ref="F245:F251" si="1392">SUM(D245:E245)</f>
        <v>0</v>
      </c>
      <c r="G245" s="188"/>
      <c r="H245" s="188"/>
      <c r="I245" s="188">
        <f t="shared" ref="I245:I251" si="1393">SUM(G245:H245)</f>
        <v>0</v>
      </c>
      <c r="J245" s="188"/>
      <c r="K245" s="188"/>
      <c r="L245" s="188">
        <f t="shared" ref="L245:L251" si="1394">SUM(J245:K245)</f>
        <v>0</v>
      </c>
      <c r="M245" s="188"/>
      <c r="N245" s="188"/>
      <c r="O245" s="188">
        <f t="shared" ref="O245:O251" si="1395">SUM(M245:N245)</f>
        <v>0</v>
      </c>
      <c r="P245" s="188"/>
      <c r="Q245" s="188"/>
      <c r="R245" s="188">
        <f t="shared" ref="R245:R251" si="1396">SUM(P245:Q245)</f>
        <v>0</v>
      </c>
      <c r="S245" s="188"/>
      <c r="T245" s="188"/>
      <c r="U245" s="188">
        <f t="shared" ref="U245:U251" si="1397">SUM(S245:T245)</f>
        <v>0</v>
      </c>
      <c r="V245" s="188"/>
      <c r="W245" s="188"/>
      <c r="X245" s="188">
        <f t="shared" ref="X245:X251" si="1398">SUM(V245:W245)</f>
        <v>0</v>
      </c>
      <c r="Y245" s="188"/>
      <c r="Z245" s="188"/>
      <c r="AA245" s="188">
        <f t="shared" ref="AA245:AA251" si="1399">SUM(Y245:Z245)</f>
        <v>0</v>
      </c>
      <c r="AB245" s="188"/>
      <c r="AC245" s="188"/>
      <c r="AD245" s="188">
        <f t="shared" ref="AD245:AD251" si="1400">SUM(AB245:AC245)</f>
        <v>0</v>
      </c>
      <c r="AE245" s="188"/>
      <c r="AF245" s="188"/>
      <c r="AG245" s="188">
        <f t="shared" ref="AG245:AG251" si="1401">SUM(AE245:AF245)</f>
        <v>0</v>
      </c>
      <c r="AH245" s="188"/>
      <c r="AI245" s="188"/>
      <c r="AJ245" s="188">
        <f t="shared" ref="AJ245:AJ251" si="1402">SUM(AH245:AI245)</f>
        <v>0</v>
      </c>
      <c r="AK245" s="188"/>
      <c r="AL245" s="188"/>
      <c r="AM245" s="188">
        <f t="shared" ref="AM245:AM251" si="1403">SUM(AK245:AL245)</f>
        <v>0</v>
      </c>
      <c r="AN245" s="188"/>
      <c r="AO245" s="188"/>
      <c r="AP245" s="188">
        <f t="shared" ref="AP245:AP251" si="1404">SUM(AN245:AO245)</f>
        <v>0</v>
      </c>
      <c r="AQ245" s="188"/>
      <c r="AR245" s="188"/>
      <c r="AS245" s="188">
        <f t="shared" ref="AS245:AS251" si="1405">SUM(AQ245:AR245)</f>
        <v>0</v>
      </c>
      <c r="AT245" s="188"/>
      <c r="AU245" s="188"/>
      <c r="AV245" s="188">
        <f t="shared" ref="AV245:AV251" si="1406">SUM(AT245:AU245)</f>
        <v>0</v>
      </c>
      <c r="AW245" s="188"/>
      <c r="AX245" s="188"/>
      <c r="AY245" s="188">
        <f t="shared" ref="AY245:AY251" si="1407">SUM(AW245:AX245)</f>
        <v>0</v>
      </c>
      <c r="AZ245" s="188"/>
      <c r="BA245" s="188"/>
      <c r="BB245" s="188">
        <f t="shared" ref="BB245:BB251" si="1408">SUM(AZ245:BA245)</f>
        <v>0</v>
      </c>
      <c r="BC245" s="188"/>
      <c r="BD245" s="188"/>
      <c r="BE245" s="188">
        <f t="shared" ref="BE245:BE251" si="1409">SUM(BC245:BD245)</f>
        <v>0</v>
      </c>
      <c r="BF245" s="188"/>
      <c r="BG245" s="188"/>
      <c r="BH245" s="188">
        <f t="shared" ref="BH245:BH251" si="1410">SUM(BF245:BG245)</f>
        <v>0</v>
      </c>
      <c r="BI245" s="188"/>
      <c r="BJ245" s="188"/>
      <c r="BK245" s="188">
        <f t="shared" ref="BK245:BK251" si="1411">SUM(BI245:BJ245)</f>
        <v>0</v>
      </c>
      <c r="BL245" s="188"/>
      <c r="BM245" s="188"/>
      <c r="BN245" s="188">
        <f t="shared" ref="BN245:BN251" si="1412">SUM(BL245:BM245)</f>
        <v>0</v>
      </c>
      <c r="BO245" s="188"/>
      <c r="BP245" s="188"/>
      <c r="BQ245" s="188">
        <f t="shared" ref="BQ245:BQ251" si="1413">SUM(BO245:BP245)</f>
        <v>0</v>
      </c>
      <c r="BR245" s="188"/>
      <c r="BS245" s="188"/>
      <c r="BT245" s="188">
        <f t="shared" ref="BT245:BT251" si="1414">SUM(BR245:BS245)</f>
        <v>0</v>
      </c>
      <c r="BU245" s="188"/>
      <c r="BV245" s="188"/>
      <c r="BW245" s="188">
        <f t="shared" ref="BW245:BW251" si="1415">SUM(BU245:BV245)</f>
        <v>0</v>
      </c>
      <c r="BX245" s="188"/>
      <c r="BY245" s="188"/>
      <c r="BZ245" s="188">
        <f t="shared" ref="BZ245:BZ251" si="1416">SUM(BX245:BY245)</f>
        <v>0</v>
      </c>
      <c r="CA245" s="188"/>
      <c r="CB245" s="188"/>
      <c r="CC245" s="188">
        <f t="shared" ref="CC245:CC251" si="1417">SUM(CA245:CB245)</f>
        <v>0</v>
      </c>
      <c r="CD245" s="186"/>
      <c r="CE245" s="187"/>
      <c r="CF245" s="187"/>
      <c r="CG245" s="187"/>
      <c r="CH245" s="187"/>
      <c r="CI245" s="187"/>
      <c r="CJ245" s="187"/>
      <c r="CK245" s="188"/>
      <c r="CL245" s="188">
        <f t="shared" ref="CL245:CL251" si="1418">X245</f>
        <v>0</v>
      </c>
      <c r="CM245" s="188">
        <f t="shared" ref="CM245:CM251" si="1419">AA245</f>
        <v>0</v>
      </c>
      <c r="CN245" s="188">
        <f t="shared" ref="CN245:CN251" si="1420">AD245</f>
        <v>0</v>
      </c>
      <c r="CO245" s="188">
        <f t="shared" ref="CO245:CO251" si="1421">AG245</f>
        <v>0</v>
      </c>
      <c r="CP245" s="188">
        <f t="shared" ref="CP245:CP251" si="1422">AJ245</f>
        <v>0</v>
      </c>
      <c r="CQ245" s="188">
        <f t="shared" ref="CQ245:CQ251" si="1423">AM245</f>
        <v>0</v>
      </c>
      <c r="CR245" s="188">
        <f t="shared" ref="CR245:CR251" si="1424">AP245</f>
        <v>0</v>
      </c>
      <c r="CS245" s="188">
        <f t="shared" ref="CS245:CS251" si="1425">AS245</f>
        <v>0</v>
      </c>
      <c r="CT245" s="188">
        <f t="shared" ref="CT245:CT251" si="1426">AV245</f>
        <v>0</v>
      </c>
      <c r="CU245" s="188">
        <f t="shared" ref="CU245:CU251" si="1427">AY245</f>
        <v>0</v>
      </c>
      <c r="CV245" s="188">
        <f t="shared" ref="CV245:CV251" si="1428">BB245</f>
        <v>0</v>
      </c>
      <c r="CW245" s="188">
        <f t="shared" ref="CW245:CW251" si="1429">BE245</f>
        <v>0</v>
      </c>
      <c r="CX245" s="188">
        <f t="shared" ref="CX245:CX251" si="1430">BH245</f>
        <v>0</v>
      </c>
      <c r="CY245" s="188">
        <f t="shared" ref="CY245:CY251" si="1431">BK245</f>
        <v>0</v>
      </c>
      <c r="CZ245" s="188">
        <f t="shared" ref="CZ245:CZ251" si="1432">BN245</f>
        <v>0</v>
      </c>
      <c r="DA245" s="188">
        <f t="shared" ref="DA245:DA251" si="1433">BQ245</f>
        <v>0</v>
      </c>
      <c r="DB245" s="188">
        <f t="shared" ref="DB245:DB251" si="1434">BT245</f>
        <v>0</v>
      </c>
      <c r="DC245" s="188">
        <f t="shared" ref="DC245:DC251" si="1435">BW245</f>
        <v>0</v>
      </c>
      <c r="DD245" s="188">
        <f t="shared" ref="DD245:DD251" si="1436">BZ245</f>
        <v>0</v>
      </c>
      <c r="DE245" s="188">
        <f t="shared" ref="DE245:DE251" si="1437">CC245</f>
        <v>0</v>
      </c>
    </row>
    <row r="246" spans="1:109" ht="12.75" customHeight="1" outlineLevel="1">
      <c r="A246" s="1"/>
      <c r="B246" s="49" t="s">
        <v>183</v>
      </c>
      <c r="C246" s="1"/>
      <c r="D246" s="1"/>
      <c r="E246" s="1"/>
      <c r="F246" s="188">
        <f t="shared" si="1392"/>
        <v>0</v>
      </c>
      <c r="G246" s="188"/>
      <c r="H246" s="188"/>
      <c r="I246" s="188">
        <f t="shared" si="1393"/>
        <v>0</v>
      </c>
      <c r="J246" s="188"/>
      <c r="K246" s="188"/>
      <c r="L246" s="188">
        <f t="shared" si="1394"/>
        <v>0</v>
      </c>
      <c r="M246" s="188"/>
      <c r="N246" s="188"/>
      <c r="O246" s="188">
        <f t="shared" si="1395"/>
        <v>0</v>
      </c>
      <c r="P246" s="188"/>
      <c r="Q246" s="188"/>
      <c r="R246" s="188">
        <f t="shared" si="1396"/>
        <v>0</v>
      </c>
      <c r="S246" s="188"/>
      <c r="T246" s="188"/>
      <c r="U246" s="188">
        <f t="shared" si="1397"/>
        <v>0</v>
      </c>
      <c r="V246" s="188"/>
      <c r="W246" s="188"/>
      <c r="X246" s="188">
        <f t="shared" si="1398"/>
        <v>0</v>
      </c>
      <c r="Y246" s="188"/>
      <c r="Z246" s="188"/>
      <c r="AA246" s="188">
        <f t="shared" si="1399"/>
        <v>0</v>
      </c>
      <c r="AB246" s="188"/>
      <c r="AC246" s="188"/>
      <c r="AD246" s="188">
        <f t="shared" si="1400"/>
        <v>0</v>
      </c>
      <c r="AE246" s="188"/>
      <c r="AF246" s="188"/>
      <c r="AG246" s="188">
        <f t="shared" si="1401"/>
        <v>0</v>
      </c>
      <c r="AH246" s="188"/>
      <c r="AI246" s="188"/>
      <c r="AJ246" s="188">
        <f t="shared" si="1402"/>
        <v>0</v>
      </c>
      <c r="AK246" s="188"/>
      <c r="AL246" s="188"/>
      <c r="AM246" s="188">
        <f t="shared" si="1403"/>
        <v>0</v>
      </c>
      <c r="AN246" s="188"/>
      <c r="AO246" s="188"/>
      <c r="AP246" s="188">
        <f t="shared" si="1404"/>
        <v>0</v>
      </c>
      <c r="AQ246" s="188"/>
      <c r="AR246" s="188"/>
      <c r="AS246" s="188">
        <f t="shared" si="1405"/>
        <v>0</v>
      </c>
      <c r="AT246" s="188"/>
      <c r="AU246" s="188"/>
      <c r="AV246" s="188">
        <f t="shared" si="1406"/>
        <v>0</v>
      </c>
      <c r="AW246" s="188"/>
      <c r="AX246" s="188"/>
      <c r="AY246" s="188">
        <f t="shared" si="1407"/>
        <v>0</v>
      </c>
      <c r="AZ246" s="188"/>
      <c r="BA246" s="188"/>
      <c r="BB246" s="188">
        <f t="shared" si="1408"/>
        <v>0</v>
      </c>
      <c r="BC246" s="188"/>
      <c r="BD246" s="188"/>
      <c r="BE246" s="188">
        <f t="shared" si="1409"/>
        <v>0</v>
      </c>
      <c r="BF246" s="188"/>
      <c r="BG246" s="188"/>
      <c r="BH246" s="188">
        <f t="shared" si="1410"/>
        <v>0</v>
      </c>
      <c r="BI246" s="188"/>
      <c r="BJ246" s="188"/>
      <c r="BK246" s="188">
        <f t="shared" si="1411"/>
        <v>0</v>
      </c>
      <c r="BL246" s="188"/>
      <c r="BM246" s="188"/>
      <c r="BN246" s="188">
        <f t="shared" si="1412"/>
        <v>0</v>
      </c>
      <c r="BO246" s="188"/>
      <c r="BP246" s="188"/>
      <c r="BQ246" s="188">
        <f t="shared" si="1413"/>
        <v>0</v>
      </c>
      <c r="BR246" s="188"/>
      <c r="BS246" s="188"/>
      <c r="BT246" s="188">
        <f t="shared" si="1414"/>
        <v>0</v>
      </c>
      <c r="BU246" s="188"/>
      <c r="BV246" s="188"/>
      <c r="BW246" s="188">
        <f t="shared" si="1415"/>
        <v>0</v>
      </c>
      <c r="BX246" s="188"/>
      <c r="BY246" s="188"/>
      <c r="BZ246" s="188">
        <f t="shared" si="1416"/>
        <v>0</v>
      </c>
      <c r="CA246" s="188"/>
      <c r="CB246" s="188"/>
      <c r="CC246" s="188">
        <f t="shared" si="1417"/>
        <v>0</v>
      </c>
      <c r="CD246" s="186"/>
      <c r="CE246" s="187"/>
      <c r="CF246" s="187"/>
      <c r="CG246" s="187"/>
      <c r="CH246" s="187"/>
      <c r="CI246" s="187"/>
      <c r="CJ246" s="187"/>
      <c r="CK246" s="188"/>
      <c r="CL246" s="188">
        <f t="shared" si="1418"/>
        <v>0</v>
      </c>
      <c r="CM246" s="188">
        <f t="shared" si="1419"/>
        <v>0</v>
      </c>
      <c r="CN246" s="188">
        <f t="shared" si="1420"/>
        <v>0</v>
      </c>
      <c r="CO246" s="188">
        <f t="shared" si="1421"/>
        <v>0</v>
      </c>
      <c r="CP246" s="188">
        <f t="shared" si="1422"/>
        <v>0</v>
      </c>
      <c r="CQ246" s="188">
        <f t="shared" si="1423"/>
        <v>0</v>
      </c>
      <c r="CR246" s="188">
        <f t="shared" si="1424"/>
        <v>0</v>
      </c>
      <c r="CS246" s="188">
        <f t="shared" si="1425"/>
        <v>0</v>
      </c>
      <c r="CT246" s="188">
        <f t="shared" si="1426"/>
        <v>0</v>
      </c>
      <c r="CU246" s="188">
        <f t="shared" si="1427"/>
        <v>0</v>
      </c>
      <c r="CV246" s="188">
        <f t="shared" si="1428"/>
        <v>0</v>
      </c>
      <c r="CW246" s="188">
        <f t="shared" si="1429"/>
        <v>0</v>
      </c>
      <c r="CX246" s="188">
        <f t="shared" si="1430"/>
        <v>0</v>
      </c>
      <c r="CY246" s="188">
        <f t="shared" si="1431"/>
        <v>0</v>
      </c>
      <c r="CZ246" s="188">
        <f t="shared" si="1432"/>
        <v>0</v>
      </c>
      <c r="DA246" s="188">
        <f t="shared" si="1433"/>
        <v>0</v>
      </c>
      <c r="DB246" s="188">
        <f t="shared" si="1434"/>
        <v>0</v>
      </c>
      <c r="DC246" s="188">
        <f t="shared" si="1435"/>
        <v>0</v>
      </c>
      <c r="DD246" s="188">
        <f t="shared" si="1436"/>
        <v>0</v>
      </c>
      <c r="DE246" s="188">
        <f t="shared" si="1437"/>
        <v>0</v>
      </c>
    </row>
    <row r="247" spans="1:109" ht="12.75" customHeight="1" outlineLevel="1">
      <c r="A247" s="1"/>
      <c r="B247" s="13" t="s">
        <v>185</v>
      </c>
      <c r="C247" s="1"/>
      <c r="D247" s="1"/>
      <c r="E247" s="1"/>
      <c r="F247" s="188">
        <f t="shared" si="1392"/>
        <v>0</v>
      </c>
      <c r="G247" s="188"/>
      <c r="H247" s="188"/>
      <c r="I247" s="188">
        <f t="shared" si="1393"/>
        <v>0</v>
      </c>
      <c r="J247" s="188"/>
      <c r="K247" s="188"/>
      <c r="L247" s="188">
        <f t="shared" si="1394"/>
        <v>0</v>
      </c>
      <c r="M247" s="188"/>
      <c r="N247" s="188"/>
      <c r="O247" s="188">
        <f t="shared" si="1395"/>
        <v>0</v>
      </c>
      <c r="P247" s="188"/>
      <c r="Q247" s="188"/>
      <c r="R247" s="188">
        <f t="shared" si="1396"/>
        <v>0</v>
      </c>
      <c r="S247" s="188"/>
      <c r="T247" s="188"/>
      <c r="U247" s="188">
        <f t="shared" si="1397"/>
        <v>0</v>
      </c>
      <c r="V247" s="188"/>
      <c r="W247" s="188"/>
      <c r="X247" s="188">
        <f t="shared" si="1398"/>
        <v>0</v>
      </c>
      <c r="Y247" s="188"/>
      <c r="Z247" s="188"/>
      <c r="AA247" s="188">
        <f t="shared" si="1399"/>
        <v>0</v>
      </c>
      <c r="AB247" s="188"/>
      <c r="AC247" s="188"/>
      <c r="AD247" s="188">
        <f t="shared" si="1400"/>
        <v>0</v>
      </c>
      <c r="AE247" s="188"/>
      <c r="AF247" s="188"/>
      <c r="AG247" s="188">
        <f t="shared" si="1401"/>
        <v>0</v>
      </c>
      <c r="AH247" s="188"/>
      <c r="AI247" s="188"/>
      <c r="AJ247" s="188">
        <f t="shared" si="1402"/>
        <v>0</v>
      </c>
      <c r="AK247" s="188"/>
      <c r="AL247" s="188"/>
      <c r="AM247" s="188">
        <f t="shared" si="1403"/>
        <v>0</v>
      </c>
      <c r="AN247" s="188"/>
      <c r="AO247" s="188"/>
      <c r="AP247" s="188">
        <f t="shared" si="1404"/>
        <v>0</v>
      </c>
      <c r="AQ247" s="188"/>
      <c r="AR247" s="188"/>
      <c r="AS247" s="188">
        <f t="shared" si="1405"/>
        <v>0</v>
      </c>
      <c r="AT247" s="188"/>
      <c r="AU247" s="188"/>
      <c r="AV247" s="188">
        <f t="shared" si="1406"/>
        <v>0</v>
      </c>
      <c r="AW247" s="188"/>
      <c r="AX247" s="188"/>
      <c r="AY247" s="188">
        <f t="shared" si="1407"/>
        <v>0</v>
      </c>
      <c r="AZ247" s="188"/>
      <c r="BA247" s="188"/>
      <c r="BB247" s="188">
        <f t="shared" si="1408"/>
        <v>0</v>
      </c>
      <c r="BC247" s="188"/>
      <c r="BD247" s="188"/>
      <c r="BE247" s="188">
        <f t="shared" si="1409"/>
        <v>0</v>
      </c>
      <c r="BF247" s="188"/>
      <c r="BG247" s="188"/>
      <c r="BH247" s="188">
        <f t="shared" si="1410"/>
        <v>0</v>
      </c>
      <c r="BI247" s="188"/>
      <c r="BJ247" s="188"/>
      <c r="BK247" s="188">
        <f t="shared" si="1411"/>
        <v>0</v>
      </c>
      <c r="BL247" s="188"/>
      <c r="BM247" s="188"/>
      <c r="BN247" s="188">
        <f t="shared" si="1412"/>
        <v>0</v>
      </c>
      <c r="BO247" s="188"/>
      <c r="BP247" s="188"/>
      <c r="BQ247" s="188">
        <f t="shared" si="1413"/>
        <v>0</v>
      </c>
      <c r="BR247" s="188"/>
      <c r="BS247" s="188"/>
      <c r="BT247" s="188">
        <f t="shared" si="1414"/>
        <v>0</v>
      </c>
      <c r="BU247" s="188"/>
      <c r="BV247" s="188"/>
      <c r="BW247" s="188">
        <f t="shared" si="1415"/>
        <v>0</v>
      </c>
      <c r="BX247" s="188"/>
      <c r="BY247" s="188"/>
      <c r="BZ247" s="188">
        <f t="shared" si="1416"/>
        <v>0</v>
      </c>
      <c r="CA247" s="188"/>
      <c r="CB247" s="188"/>
      <c r="CC247" s="188">
        <f t="shared" si="1417"/>
        <v>0</v>
      </c>
      <c r="CD247" s="186"/>
      <c r="CE247" s="187"/>
      <c r="CF247" s="187"/>
      <c r="CG247" s="187"/>
      <c r="CH247" s="187"/>
      <c r="CI247" s="187"/>
      <c r="CJ247" s="187"/>
      <c r="CK247" s="188"/>
      <c r="CL247" s="188">
        <f t="shared" si="1418"/>
        <v>0</v>
      </c>
      <c r="CM247" s="188">
        <f t="shared" si="1419"/>
        <v>0</v>
      </c>
      <c r="CN247" s="188">
        <f t="shared" si="1420"/>
        <v>0</v>
      </c>
      <c r="CO247" s="188">
        <f t="shared" si="1421"/>
        <v>0</v>
      </c>
      <c r="CP247" s="188">
        <f t="shared" si="1422"/>
        <v>0</v>
      </c>
      <c r="CQ247" s="188">
        <f t="shared" si="1423"/>
        <v>0</v>
      </c>
      <c r="CR247" s="188">
        <f t="shared" si="1424"/>
        <v>0</v>
      </c>
      <c r="CS247" s="188">
        <f t="shared" si="1425"/>
        <v>0</v>
      </c>
      <c r="CT247" s="188">
        <f t="shared" si="1426"/>
        <v>0</v>
      </c>
      <c r="CU247" s="188">
        <f t="shared" si="1427"/>
        <v>0</v>
      </c>
      <c r="CV247" s="188">
        <f t="shared" si="1428"/>
        <v>0</v>
      </c>
      <c r="CW247" s="188">
        <f t="shared" si="1429"/>
        <v>0</v>
      </c>
      <c r="CX247" s="188">
        <f t="shared" si="1430"/>
        <v>0</v>
      </c>
      <c r="CY247" s="188">
        <f t="shared" si="1431"/>
        <v>0</v>
      </c>
      <c r="CZ247" s="188">
        <f t="shared" si="1432"/>
        <v>0</v>
      </c>
      <c r="DA247" s="188">
        <f t="shared" si="1433"/>
        <v>0</v>
      </c>
      <c r="DB247" s="188">
        <f t="shared" si="1434"/>
        <v>0</v>
      </c>
      <c r="DC247" s="188">
        <f t="shared" si="1435"/>
        <v>0</v>
      </c>
      <c r="DD247" s="188">
        <f t="shared" si="1436"/>
        <v>0</v>
      </c>
      <c r="DE247" s="188">
        <f t="shared" si="1437"/>
        <v>0</v>
      </c>
    </row>
    <row r="248" spans="1:109" ht="12.75" customHeight="1" outlineLevel="1">
      <c r="A248" s="1"/>
      <c r="B248" s="13" t="s">
        <v>186</v>
      </c>
      <c r="C248" s="1"/>
      <c r="D248" s="1"/>
      <c r="E248" s="1"/>
      <c r="F248" s="188">
        <f t="shared" si="1392"/>
        <v>0</v>
      </c>
      <c r="G248" s="188"/>
      <c r="H248" s="188"/>
      <c r="I248" s="188">
        <f t="shared" si="1393"/>
        <v>0</v>
      </c>
      <c r="J248" s="188"/>
      <c r="K248" s="188"/>
      <c r="L248" s="188">
        <f t="shared" si="1394"/>
        <v>0</v>
      </c>
      <c r="M248" s="188"/>
      <c r="N248" s="188"/>
      <c r="O248" s="188">
        <f t="shared" si="1395"/>
        <v>0</v>
      </c>
      <c r="P248" s="188"/>
      <c r="Q248" s="188"/>
      <c r="R248" s="188">
        <f t="shared" si="1396"/>
        <v>0</v>
      </c>
      <c r="S248" s="188"/>
      <c r="T248" s="188"/>
      <c r="U248" s="188">
        <f t="shared" si="1397"/>
        <v>0</v>
      </c>
      <c r="V248" s="188"/>
      <c r="W248" s="188"/>
      <c r="X248" s="188">
        <f t="shared" si="1398"/>
        <v>0</v>
      </c>
      <c r="Y248" s="188"/>
      <c r="Z248" s="188"/>
      <c r="AA248" s="188">
        <f t="shared" si="1399"/>
        <v>0</v>
      </c>
      <c r="AB248" s="188"/>
      <c r="AC248" s="188"/>
      <c r="AD248" s="188">
        <f t="shared" si="1400"/>
        <v>0</v>
      </c>
      <c r="AE248" s="188"/>
      <c r="AF248" s="188"/>
      <c r="AG248" s="188">
        <f t="shared" si="1401"/>
        <v>0</v>
      </c>
      <c r="AH248" s="188"/>
      <c r="AI248" s="188"/>
      <c r="AJ248" s="188">
        <f t="shared" si="1402"/>
        <v>0</v>
      </c>
      <c r="AK248" s="188"/>
      <c r="AL248" s="188"/>
      <c r="AM248" s="188">
        <f t="shared" si="1403"/>
        <v>0</v>
      </c>
      <c r="AN248" s="188"/>
      <c r="AO248" s="188"/>
      <c r="AP248" s="188">
        <f t="shared" si="1404"/>
        <v>0</v>
      </c>
      <c r="AQ248" s="188"/>
      <c r="AR248" s="188"/>
      <c r="AS248" s="188">
        <f t="shared" si="1405"/>
        <v>0</v>
      </c>
      <c r="AT248" s="188"/>
      <c r="AU248" s="188"/>
      <c r="AV248" s="188">
        <f t="shared" si="1406"/>
        <v>0</v>
      </c>
      <c r="AW248" s="188"/>
      <c r="AX248" s="188"/>
      <c r="AY248" s="188">
        <f t="shared" si="1407"/>
        <v>0</v>
      </c>
      <c r="AZ248" s="188"/>
      <c r="BA248" s="188"/>
      <c r="BB248" s="188">
        <f t="shared" si="1408"/>
        <v>0</v>
      </c>
      <c r="BC248" s="188"/>
      <c r="BD248" s="188"/>
      <c r="BE248" s="188">
        <f t="shared" si="1409"/>
        <v>0</v>
      </c>
      <c r="BF248" s="188"/>
      <c r="BG248" s="188"/>
      <c r="BH248" s="188">
        <f t="shared" si="1410"/>
        <v>0</v>
      </c>
      <c r="BI248" s="188"/>
      <c r="BJ248" s="188"/>
      <c r="BK248" s="188">
        <f t="shared" si="1411"/>
        <v>0</v>
      </c>
      <c r="BL248" s="188"/>
      <c r="BM248" s="188"/>
      <c r="BN248" s="188">
        <f t="shared" si="1412"/>
        <v>0</v>
      </c>
      <c r="BO248" s="188"/>
      <c r="BP248" s="188"/>
      <c r="BQ248" s="188">
        <f t="shared" si="1413"/>
        <v>0</v>
      </c>
      <c r="BR248" s="188"/>
      <c r="BS248" s="188"/>
      <c r="BT248" s="188">
        <f t="shared" si="1414"/>
        <v>0</v>
      </c>
      <c r="BU248" s="188"/>
      <c r="BV248" s="188"/>
      <c r="BW248" s="188">
        <f t="shared" si="1415"/>
        <v>0</v>
      </c>
      <c r="BX248" s="188"/>
      <c r="BY248" s="188"/>
      <c r="BZ248" s="188">
        <f t="shared" si="1416"/>
        <v>0</v>
      </c>
      <c r="CA248" s="188"/>
      <c r="CB248" s="188"/>
      <c r="CC248" s="188">
        <f t="shared" si="1417"/>
        <v>0</v>
      </c>
      <c r="CD248" s="186"/>
      <c r="CE248" s="187"/>
      <c r="CF248" s="187"/>
      <c r="CG248" s="187"/>
      <c r="CH248" s="187"/>
      <c r="CI248" s="187"/>
      <c r="CJ248" s="187"/>
      <c r="CK248" s="188"/>
      <c r="CL248" s="188">
        <f t="shared" si="1418"/>
        <v>0</v>
      </c>
      <c r="CM248" s="188">
        <f t="shared" si="1419"/>
        <v>0</v>
      </c>
      <c r="CN248" s="188">
        <f t="shared" si="1420"/>
        <v>0</v>
      </c>
      <c r="CO248" s="188">
        <f t="shared" si="1421"/>
        <v>0</v>
      </c>
      <c r="CP248" s="188">
        <f t="shared" si="1422"/>
        <v>0</v>
      </c>
      <c r="CQ248" s="188">
        <f t="shared" si="1423"/>
        <v>0</v>
      </c>
      <c r="CR248" s="188">
        <f t="shared" si="1424"/>
        <v>0</v>
      </c>
      <c r="CS248" s="188">
        <f t="shared" si="1425"/>
        <v>0</v>
      </c>
      <c r="CT248" s="188">
        <f t="shared" si="1426"/>
        <v>0</v>
      </c>
      <c r="CU248" s="188">
        <f t="shared" si="1427"/>
        <v>0</v>
      </c>
      <c r="CV248" s="188">
        <f t="shared" si="1428"/>
        <v>0</v>
      </c>
      <c r="CW248" s="188">
        <f t="shared" si="1429"/>
        <v>0</v>
      </c>
      <c r="CX248" s="188">
        <f t="shared" si="1430"/>
        <v>0</v>
      </c>
      <c r="CY248" s="188">
        <f t="shared" si="1431"/>
        <v>0</v>
      </c>
      <c r="CZ248" s="188">
        <f t="shared" si="1432"/>
        <v>0</v>
      </c>
      <c r="DA248" s="188">
        <f t="shared" si="1433"/>
        <v>0</v>
      </c>
      <c r="DB248" s="188">
        <f t="shared" si="1434"/>
        <v>0</v>
      </c>
      <c r="DC248" s="188">
        <f t="shared" si="1435"/>
        <v>0</v>
      </c>
      <c r="DD248" s="188">
        <f t="shared" si="1436"/>
        <v>0</v>
      </c>
      <c r="DE248" s="188">
        <f t="shared" si="1437"/>
        <v>0</v>
      </c>
    </row>
    <row r="249" spans="1:109" ht="12.75" customHeight="1" outlineLevel="1">
      <c r="A249" s="1"/>
      <c r="B249" s="13" t="s">
        <v>187</v>
      </c>
      <c r="C249" s="1"/>
      <c r="D249" s="1"/>
      <c r="E249" s="1"/>
      <c r="F249" s="188">
        <f t="shared" si="1392"/>
        <v>0</v>
      </c>
      <c r="G249" s="188"/>
      <c r="H249" s="188"/>
      <c r="I249" s="188">
        <f t="shared" si="1393"/>
        <v>0</v>
      </c>
      <c r="J249" s="188"/>
      <c r="K249" s="188"/>
      <c r="L249" s="188">
        <f t="shared" si="1394"/>
        <v>0</v>
      </c>
      <c r="M249" s="188"/>
      <c r="N249" s="188"/>
      <c r="O249" s="188">
        <f t="shared" si="1395"/>
        <v>0</v>
      </c>
      <c r="P249" s="188"/>
      <c r="Q249" s="188"/>
      <c r="R249" s="188">
        <f t="shared" si="1396"/>
        <v>0</v>
      </c>
      <c r="S249" s="188"/>
      <c r="T249" s="188"/>
      <c r="U249" s="188">
        <f t="shared" si="1397"/>
        <v>0</v>
      </c>
      <c r="V249" s="188"/>
      <c r="W249" s="188"/>
      <c r="X249" s="188">
        <f t="shared" si="1398"/>
        <v>0</v>
      </c>
      <c r="Y249" s="188"/>
      <c r="Z249" s="188"/>
      <c r="AA249" s="188">
        <f t="shared" si="1399"/>
        <v>0</v>
      </c>
      <c r="AB249" s="188"/>
      <c r="AC249" s="188"/>
      <c r="AD249" s="188">
        <f t="shared" si="1400"/>
        <v>0</v>
      </c>
      <c r="AE249" s="188"/>
      <c r="AF249" s="188"/>
      <c r="AG249" s="188">
        <f t="shared" si="1401"/>
        <v>0</v>
      </c>
      <c r="AH249" s="188"/>
      <c r="AI249" s="188"/>
      <c r="AJ249" s="188">
        <f t="shared" si="1402"/>
        <v>0</v>
      </c>
      <c r="AK249" s="188"/>
      <c r="AL249" s="188"/>
      <c r="AM249" s="188">
        <f t="shared" si="1403"/>
        <v>0</v>
      </c>
      <c r="AN249" s="188"/>
      <c r="AO249" s="188"/>
      <c r="AP249" s="188">
        <f t="shared" si="1404"/>
        <v>0</v>
      </c>
      <c r="AQ249" s="188"/>
      <c r="AR249" s="188"/>
      <c r="AS249" s="188">
        <f t="shared" si="1405"/>
        <v>0</v>
      </c>
      <c r="AT249" s="188"/>
      <c r="AU249" s="188"/>
      <c r="AV249" s="188">
        <f t="shared" si="1406"/>
        <v>0</v>
      </c>
      <c r="AW249" s="188"/>
      <c r="AX249" s="188"/>
      <c r="AY249" s="188">
        <f t="shared" si="1407"/>
        <v>0</v>
      </c>
      <c r="AZ249" s="188"/>
      <c r="BA249" s="188"/>
      <c r="BB249" s="188">
        <f t="shared" si="1408"/>
        <v>0</v>
      </c>
      <c r="BC249" s="188"/>
      <c r="BD249" s="188"/>
      <c r="BE249" s="188">
        <f t="shared" si="1409"/>
        <v>0</v>
      </c>
      <c r="BF249" s="188"/>
      <c r="BG249" s="188"/>
      <c r="BH249" s="188">
        <f t="shared" si="1410"/>
        <v>0</v>
      </c>
      <c r="BI249" s="188"/>
      <c r="BJ249" s="188"/>
      <c r="BK249" s="188">
        <f t="shared" si="1411"/>
        <v>0</v>
      </c>
      <c r="BL249" s="188"/>
      <c r="BM249" s="188"/>
      <c r="BN249" s="188">
        <f t="shared" si="1412"/>
        <v>0</v>
      </c>
      <c r="BO249" s="188"/>
      <c r="BP249" s="188"/>
      <c r="BQ249" s="188">
        <f t="shared" si="1413"/>
        <v>0</v>
      </c>
      <c r="BR249" s="188"/>
      <c r="BS249" s="188"/>
      <c r="BT249" s="188">
        <f t="shared" si="1414"/>
        <v>0</v>
      </c>
      <c r="BU249" s="188"/>
      <c r="BV249" s="188"/>
      <c r="BW249" s="188">
        <f t="shared" si="1415"/>
        <v>0</v>
      </c>
      <c r="BX249" s="188"/>
      <c r="BY249" s="188"/>
      <c r="BZ249" s="188">
        <f t="shared" si="1416"/>
        <v>0</v>
      </c>
      <c r="CA249" s="188"/>
      <c r="CB249" s="188"/>
      <c r="CC249" s="188">
        <f t="shared" si="1417"/>
        <v>0</v>
      </c>
      <c r="CD249" s="186"/>
      <c r="CE249" s="187"/>
      <c r="CF249" s="187"/>
      <c r="CG249" s="187"/>
      <c r="CH249" s="187"/>
      <c r="CI249" s="187"/>
      <c r="CJ249" s="187"/>
      <c r="CK249" s="188"/>
      <c r="CL249" s="188">
        <f t="shared" si="1418"/>
        <v>0</v>
      </c>
      <c r="CM249" s="188">
        <f t="shared" si="1419"/>
        <v>0</v>
      </c>
      <c r="CN249" s="188">
        <f t="shared" si="1420"/>
        <v>0</v>
      </c>
      <c r="CO249" s="188">
        <f t="shared" si="1421"/>
        <v>0</v>
      </c>
      <c r="CP249" s="188">
        <f t="shared" si="1422"/>
        <v>0</v>
      </c>
      <c r="CQ249" s="188">
        <f t="shared" si="1423"/>
        <v>0</v>
      </c>
      <c r="CR249" s="188">
        <f t="shared" si="1424"/>
        <v>0</v>
      </c>
      <c r="CS249" s="188">
        <f t="shared" si="1425"/>
        <v>0</v>
      </c>
      <c r="CT249" s="188">
        <f t="shared" si="1426"/>
        <v>0</v>
      </c>
      <c r="CU249" s="188">
        <f t="shared" si="1427"/>
        <v>0</v>
      </c>
      <c r="CV249" s="188">
        <f t="shared" si="1428"/>
        <v>0</v>
      </c>
      <c r="CW249" s="188">
        <f t="shared" si="1429"/>
        <v>0</v>
      </c>
      <c r="CX249" s="188">
        <f t="shared" si="1430"/>
        <v>0</v>
      </c>
      <c r="CY249" s="188">
        <f t="shared" si="1431"/>
        <v>0</v>
      </c>
      <c r="CZ249" s="188">
        <f t="shared" si="1432"/>
        <v>0</v>
      </c>
      <c r="DA249" s="188">
        <f t="shared" si="1433"/>
        <v>0</v>
      </c>
      <c r="DB249" s="188">
        <f t="shared" si="1434"/>
        <v>0</v>
      </c>
      <c r="DC249" s="188">
        <f t="shared" si="1435"/>
        <v>0</v>
      </c>
      <c r="DD249" s="188">
        <f t="shared" si="1436"/>
        <v>0</v>
      </c>
      <c r="DE249" s="188">
        <f t="shared" si="1437"/>
        <v>0</v>
      </c>
    </row>
    <row r="250" spans="1:109" ht="12.75" customHeight="1" outlineLevel="1">
      <c r="A250" s="1"/>
      <c r="B250" s="13" t="s">
        <v>188</v>
      </c>
      <c r="C250" s="1"/>
      <c r="D250" s="1"/>
      <c r="E250" s="1"/>
      <c r="F250" s="188">
        <f t="shared" si="1392"/>
        <v>0</v>
      </c>
      <c r="G250" s="188"/>
      <c r="H250" s="188"/>
      <c r="I250" s="188">
        <f t="shared" si="1393"/>
        <v>0</v>
      </c>
      <c r="J250" s="188"/>
      <c r="K250" s="188"/>
      <c r="L250" s="188">
        <f t="shared" si="1394"/>
        <v>0</v>
      </c>
      <c r="M250" s="188"/>
      <c r="N250" s="188"/>
      <c r="O250" s="188">
        <f t="shared" si="1395"/>
        <v>0</v>
      </c>
      <c r="P250" s="188"/>
      <c r="Q250" s="188"/>
      <c r="R250" s="188">
        <f t="shared" si="1396"/>
        <v>0</v>
      </c>
      <c r="S250" s="188"/>
      <c r="T250" s="188"/>
      <c r="U250" s="188">
        <f t="shared" si="1397"/>
        <v>0</v>
      </c>
      <c r="V250" s="188"/>
      <c r="W250" s="188"/>
      <c r="X250" s="188">
        <f t="shared" si="1398"/>
        <v>0</v>
      </c>
      <c r="Y250" s="188"/>
      <c r="Z250" s="188"/>
      <c r="AA250" s="188">
        <f t="shared" si="1399"/>
        <v>0</v>
      </c>
      <c r="AB250" s="188"/>
      <c r="AC250" s="188"/>
      <c r="AD250" s="188">
        <f t="shared" si="1400"/>
        <v>0</v>
      </c>
      <c r="AE250" s="188"/>
      <c r="AF250" s="188"/>
      <c r="AG250" s="188">
        <f t="shared" si="1401"/>
        <v>0</v>
      </c>
      <c r="AH250" s="188"/>
      <c r="AI250" s="188"/>
      <c r="AJ250" s="188">
        <f t="shared" si="1402"/>
        <v>0</v>
      </c>
      <c r="AK250" s="188"/>
      <c r="AL250" s="188"/>
      <c r="AM250" s="188">
        <f t="shared" si="1403"/>
        <v>0</v>
      </c>
      <c r="AN250" s="188"/>
      <c r="AO250" s="188"/>
      <c r="AP250" s="188">
        <f t="shared" si="1404"/>
        <v>0</v>
      </c>
      <c r="AQ250" s="188"/>
      <c r="AR250" s="188"/>
      <c r="AS250" s="188">
        <f t="shared" si="1405"/>
        <v>0</v>
      </c>
      <c r="AT250" s="188"/>
      <c r="AU250" s="188"/>
      <c r="AV250" s="188">
        <f t="shared" si="1406"/>
        <v>0</v>
      </c>
      <c r="AW250" s="188"/>
      <c r="AX250" s="188"/>
      <c r="AY250" s="188">
        <f t="shared" si="1407"/>
        <v>0</v>
      </c>
      <c r="AZ250" s="188"/>
      <c r="BA250" s="188"/>
      <c r="BB250" s="188">
        <f t="shared" si="1408"/>
        <v>0</v>
      </c>
      <c r="BC250" s="188"/>
      <c r="BD250" s="188"/>
      <c r="BE250" s="188">
        <f t="shared" si="1409"/>
        <v>0</v>
      </c>
      <c r="BF250" s="188"/>
      <c r="BG250" s="188"/>
      <c r="BH250" s="188">
        <f t="shared" si="1410"/>
        <v>0</v>
      </c>
      <c r="BI250" s="188"/>
      <c r="BJ250" s="188"/>
      <c r="BK250" s="188">
        <f t="shared" si="1411"/>
        <v>0</v>
      </c>
      <c r="BL250" s="188"/>
      <c r="BM250" s="188"/>
      <c r="BN250" s="188">
        <f t="shared" si="1412"/>
        <v>0</v>
      </c>
      <c r="BO250" s="188"/>
      <c r="BP250" s="188"/>
      <c r="BQ250" s="188">
        <f t="shared" si="1413"/>
        <v>0</v>
      </c>
      <c r="BR250" s="188"/>
      <c r="BS250" s="188"/>
      <c r="BT250" s="188">
        <f t="shared" si="1414"/>
        <v>0</v>
      </c>
      <c r="BU250" s="188"/>
      <c r="BV250" s="188"/>
      <c r="BW250" s="188">
        <f t="shared" si="1415"/>
        <v>0</v>
      </c>
      <c r="BX250" s="188"/>
      <c r="BY250" s="188"/>
      <c r="BZ250" s="188">
        <f t="shared" si="1416"/>
        <v>0</v>
      </c>
      <c r="CA250" s="188"/>
      <c r="CB250" s="188"/>
      <c r="CC250" s="188">
        <f t="shared" si="1417"/>
        <v>0</v>
      </c>
      <c r="CD250" s="186"/>
      <c r="CE250" s="187"/>
      <c r="CF250" s="187"/>
      <c r="CG250" s="187"/>
      <c r="CH250" s="187"/>
      <c r="CI250" s="187"/>
      <c r="CJ250" s="187"/>
      <c r="CK250" s="188"/>
      <c r="CL250" s="188">
        <f t="shared" si="1418"/>
        <v>0</v>
      </c>
      <c r="CM250" s="188">
        <f t="shared" si="1419"/>
        <v>0</v>
      </c>
      <c r="CN250" s="188">
        <f t="shared" si="1420"/>
        <v>0</v>
      </c>
      <c r="CO250" s="188">
        <f t="shared" si="1421"/>
        <v>0</v>
      </c>
      <c r="CP250" s="188">
        <f t="shared" si="1422"/>
        <v>0</v>
      </c>
      <c r="CQ250" s="188">
        <f t="shared" si="1423"/>
        <v>0</v>
      </c>
      <c r="CR250" s="188">
        <f t="shared" si="1424"/>
        <v>0</v>
      </c>
      <c r="CS250" s="188">
        <f t="shared" si="1425"/>
        <v>0</v>
      </c>
      <c r="CT250" s="188">
        <f t="shared" si="1426"/>
        <v>0</v>
      </c>
      <c r="CU250" s="188">
        <f t="shared" si="1427"/>
        <v>0</v>
      </c>
      <c r="CV250" s="188">
        <f t="shared" si="1428"/>
        <v>0</v>
      </c>
      <c r="CW250" s="188">
        <f t="shared" si="1429"/>
        <v>0</v>
      </c>
      <c r="CX250" s="188">
        <f t="shared" si="1430"/>
        <v>0</v>
      </c>
      <c r="CY250" s="188">
        <f t="shared" si="1431"/>
        <v>0</v>
      </c>
      <c r="CZ250" s="188">
        <f t="shared" si="1432"/>
        <v>0</v>
      </c>
      <c r="DA250" s="188">
        <f t="shared" si="1433"/>
        <v>0</v>
      </c>
      <c r="DB250" s="188">
        <f t="shared" si="1434"/>
        <v>0</v>
      </c>
      <c r="DC250" s="188">
        <f t="shared" si="1435"/>
        <v>0</v>
      </c>
      <c r="DD250" s="188">
        <f t="shared" si="1436"/>
        <v>0</v>
      </c>
      <c r="DE250" s="188">
        <f t="shared" si="1437"/>
        <v>0</v>
      </c>
    </row>
    <row r="251" spans="1:109" ht="12.75" customHeight="1" outlineLevel="1">
      <c r="A251" s="1"/>
      <c r="B251" s="13" t="s">
        <v>189</v>
      </c>
      <c r="C251" s="1"/>
      <c r="D251" s="1"/>
      <c r="E251" s="1"/>
      <c r="F251" s="188">
        <f t="shared" si="1392"/>
        <v>0</v>
      </c>
      <c r="G251" s="188"/>
      <c r="H251" s="188"/>
      <c r="I251" s="188">
        <f t="shared" si="1393"/>
        <v>0</v>
      </c>
      <c r="J251" s="188"/>
      <c r="K251" s="188"/>
      <c r="L251" s="188">
        <f t="shared" si="1394"/>
        <v>0</v>
      </c>
      <c r="M251" s="188"/>
      <c r="N251" s="188"/>
      <c r="O251" s="188">
        <f t="shared" si="1395"/>
        <v>0</v>
      </c>
      <c r="P251" s="188"/>
      <c r="Q251" s="188"/>
      <c r="R251" s="188">
        <f t="shared" si="1396"/>
        <v>0</v>
      </c>
      <c r="S251" s="188"/>
      <c r="T251" s="188"/>
      <c r="U251" s="188">
        <f t="shared" si="1397"/>
        <v>0</v>
      </c>
      <c r="V251" s="188"/>
      <c r="W251" s="188"/>
      <c r="X251" s="188">
        <f t="shared" si="1398"/>
        <v>0</v>
      </c>
      <c r="Y251" s="188"/>
      <c r="Z251" s="188"/>
      <c r="AA251" s="188">
        <f t="shared" si="1399"/>
        <v>0</v>
      </c>
      <c r="AB251" s="188"/>
      <c r="AC251" s="188"/>
      <c r="AD251" s="188">
        <f t="shared" si="1400"/>
        <v>0</v>
      </c>
      <c r="AE251" s="188"/>
      <c r="AF251" s="188"/>
      <c r="AG251" s="188">
        <f t="shared" si="1401"/>
        <v>0</v>
      </c>
      <c r="AH251" s="188"/>
      <c r="AI251" s="188"/>
      <c r="AJ251" s="188">
        <f t="shared" si="1402"/>
        <v>0</v>
      </c>
      <c r="AK251" s="188"/>
      <c r="AL251" s="188"/>
      <c r="AM251" s="188">
        <f t="shared" si="1403"/>
        <v>0</v>
      </c>
      <c r="AN251" s="188"/>
      <c r="AO251" s="188"/>
      <c r="AP251" s="188">
        <f t="shared" si="1404"/>
        <v>0</v>
      </c>
      <c r="AQ251" s="188"/>
      <c r="AR251" s="188"/>
      <c r="AS251" s="188">
        <f t="shared" si="1405"/>
        <v>0</v>
      </c>
      <c r="AT251" s="188"/>
      <c r="AU251" s="188"/>
      <c r="AV251" s="188">
        <f t="shared" si="1406"/>
        <v>0</v>
      </c>
      <c r="AW251" s="188"/>
      <c r="AX251" s="188"/>
      <c r="AY251" s="188">
        <f t="shared" si="1407"/>
        <v>0</v>
      </c>
      <c r="AZ251" s="188"/>
      <c r="BA251" s="188"/>
      <c r="BB251" s="188">
        <f t="shared" si="1408"/>
        <v>0</v>
      </c>
      <c r="BC251" s="188"/>
      <c r="BD251" s="188"/>
      <c r="BE251" s="188">
        <f t="shared" si="1409"/>
        <v>0</v>
      </c>
      <c r="BF251" s="188"/>
      <c r="BG251" s="188"/>
      <c r="BH251" s="188">
        <f t="shared" si="1410"/>
        <v>0</v>
      </c>
      <c r="BI251" s="188"/>
      <c r="BJ251" s="188"/>
      <c r="BK251" s="188">
        <f t="shared" si="1411"/>
        <v>0</v>
      </c>
      <c r="BL251" s="188"/>
      <c r="BM251" s="188"/>
      <c r="BN251" s="188">
        <f t="shared" si="1412"/>
        <v>0</v>
      </c>
      <c r="BO251" s="188"/>
      <c r="BP251" s="188"/>
      <c r="BQ251" s="188">
        <f t="shared" si="1413"/>
        <v>0</v>
      </c>
      <c r="BR251" s="188"/>
      <c r="BS251" s="188"/>
      <c r="BT251" s="188">
        <f t="shared" si="1414"/>
        <v>0</v>
      </c>
      <c r="BU251" s="188"/>
      <c r="BV251" s="188"/>
      <c r="BW251" s="188">
        <f t="shared" si="1415"/>
        <v>0</v>
      </c>
      <c r="BX251" s="188"/>
      <c r="BY251" s="188"/>
      <c r="BZ251" s="188">
        <f t="shared" si="1416"/>
        <v>0</v>
      </c>
      <c r="CA251" s="188"/>
      <c r="CB251" s="188"/>
      <c r="CC251" s="188">
        <f t="shared" si="1417"/>
        <v>0</v>
      </c>
      <c r="CD251" s="186"/>
      <c r="CE251" s="187"/>
      <c r="CF251" s="187"/>
      <c r="CG251" s="187"/>
      <c r="CH251" s="187"/>
      <c r="CI251" s="187"/>
      <c r="CJ251" s="187"/>
      <c r="CK251" s="188"/>
      <c r="CL251" s="188">
        <f t="shared" si="1418"/>
        <v>0</v>
      </c>
      <c r="CM251" s="188">
        <f t="shared" si="1419"/>
        <v>0</v>
      </c>
      <c r="CN251" s="188">
        <f t="shared" si="1420"/>
        <v>0</v>
      </c>
      <c r="CO251" s="188">
        <f t="shared" si="1421"/>
        <v>0</v>
      </c>
      <c r="CP251" s="188">
        <f t="shared" si="1422"/>
        <v>0</v>
      </c>
      <c r="CQ251" s="188">
        <f t="shared" si="1423"/>
        <v>0</v>
      </c>
      <c r="CR251" s="188">
        <f t="shared" si="1424"/>
        <v>0</v>
      </c>
      <c r="CS251" s="188">
        <f t="shared" si="1425"/>
        <v>0</v>
      </c>
      <c r="CT251" s="188">
        <f t="shared" si="1426"/>
        <v>0</v>
      </c>
      <c r="CU251" s="188">
        <f t="shared" si="1427"/>
        <v>0</v>
      </c>
      <c r="CV251" s="188">
        <f t="shared" si="1428"/>
        <v>0</v>
      </c>
      <c r="CW251" s="188">
        <f t="shared" si="1429"/>
        <v>0</v>
      </c>
      <c r="CX251" s="188">
        <f t="shared" si="1430"/>
        <v>0</v>
      </c>
      <c r="CY251" s="188">
        <f t="shared" si="1431"/>
        <v>0</v>
      </c>
      <c r="CZ251" s="188">
        <f t="shared" si="1432"/>
        <v>0</v>
      </c>
      <c r="DA251" s="188">
        <f t="shared" si="1433"/>
        <v>0</v>
      </c>
      <c r="DB251" s="188">
        <f t="shared" si="1434"/>
        <v>0</v>
      </c>
      <c r="DC251" s="188">
        <f t="shared" si="1435"/>
        <v>0</v>
      </c>
      <c r="DD251" s="188">
        <f t="shared" si="1436"/>
        <v>0</v>
      </c>
      <c r="DE251" s="188">
        <f t="shared" si="1437"/>
        <v>0</v>
      </c>
    </row>
    <row r="252" spans="1:109" ht="12.75" customHeight="1" outlineLevel="1">
      <c r="A252" s="1"/>
      <c r="B252" s="13"/>
      <c r="C252" s="1"/>
      <c r="D252" s="1"/>
      <c r="E252" s="1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188"/>
      <c r="AA252" s="188"/>
      <c r="AB252" s="188"/>
      <c r="AC252" s="188"/>
      <c r="AD252" s="188"/>
      <c r="AE252" s="188"/>
      <c r="AF252" s="188"/>
      <c r="AG252" s="188"/>
      <c r="AH252" s="188"/>
      <c r="AI252" s="188"/>
      <c r="AJ252" s="188"/>
      <c r="AK252" s="188"/>
      <c r="AL252" s="188"/>
      <c r="AM252" s="188"/>
      <c r="AN252" s="188"/>
      <c r="AO252" s="188"/>
      <c r="AP252" s="188"/>
      <c r="AQ252" s="188"/>
      <c r="AR252" s="188"/>
      <c r="AS252" s="188"/>
      <c r="AT252" s="188"/>
      <c r="AU252" s="188"/>
      <c r="AV252" s="188"/>
      <c r="AW252" s="188"/>
      <c r="AX252" s="188"/>
      <c r="AY252" s="188"/>
      <c r="AZ252" s="188"/>
      <c r="BA252" s="188"/>
      <c r="BB252" s="188"/>
      <c r="BC252" s="188"/>
      <c r="BD252" s="188"/>
      <c r="BE252" s="188"/>
      <c r="BF252" s="188"/>
      <c r="BG252" s="188"/>
      <c r="BH252" s="188"/>
      <c r="BI252" s="188"/>
      <c r="BJ252" s="188"/>
      <c r="BK252" s="188"/>
      <c r="BL252" s="188"/>
      <c r="BM252" s="188"/>
      <c r="BN252" s="188"/>
      <c r="BO252" s="188"/>
      <c r="BP252" s="188"/>
      <c r="BQ252" s="188"/>
      <c r="BR252" s="188"/>
      <c r="BS252" s="188"/>
      <c r="BT252" s="188"/>
      <c r="BU252" s="188"/>
      <c r="BV252" s="188"/>
      <c r="BW252" s="188"/>
      <c r="BX252" s="188"/>
      <c r="BY252" s="188"/>
      <c r="BZ252" s="188"/>
      <c r="CA252" s="188"/>
      <c r="CB252" s="188"/>
      <c r="CC252" s="188"/>
      <c r="CD252" s="186"/>
      <c r="CE252" s="187"/>
      <c r="CF252" s="187"/>
      <c r="CG252" s="187"/>
      <c r="CH252" s="187"/>
      <c r="CI252" s="187"/>
      <c r="CJ252" s="187"/>
      <c r="CK252" s="188"/>
      <c r="CL252" s="188"/>
      <c r="CM252" s="188"/>
      <c r="CN252" s="188"/>
      <c r="CO252" s="188"/>
      <c r="CP252" s="188"/>
      <c r="CQ252" s="188"/>
      <c r="CR252" s="188"/>
      <c r="CS252" s="188"/>
      <c r="CT252" s="188"/>
      <c r="CU252" s="188"/>
      <c r="CV252" s="188"/>
      <c r="CW252" s="188"/>
      <c r="CX252" s="188"/>
      <c r="CY252" s="188"/>
      <c r="CZ252" s="188"/>
      <c r="DA252" s="188"/>
      <c r="DB252" s="188"/>
      <c r="DC252" s="188"/>
      <c r="DD252" s="188"/>
      <c r="DE252" s="188"/>
    </row>
    <row r="253" spans="1:109" ht="12.75" customHeight="1" outlineLevel="1">
      <c r="A253" s="1"/>
      <c r="B253" s="49" t="s">
        <v>190</v>
      </c>
      <c r="C253" s="1"/>
      <c r="D253" s="1"/>
      <c r="E253" s="1"/>
      <c r="F253" s="188">
        <f t="shared" ref="F253:F258" si="1438">SUM(D253:E253)</f>
        <v>0</v>
      </c>
      <c r="G253" s="188"/>
      <c r="H253" s="188"/>
      <c r="I253" s="188">
        <f t="shared" ref="I253:I258" si="1439">SUM(G253:H253)</f>
        <v>0</v>
      </c>
      <c r="J253" s="188"/>
      <c r="K253" s="188"/>
      <c r="L253" s="188">
        <f t="shared" ref="L253:L258" si="1440">SUM(J253:K253)</f>
        <v>0</v>
      </c>
      <c r="M253" s="188"/>
      <c r="N253" s="188"/>
      <c r="O253" s="188">
        <f t="shared" ref="O253:O258" si="1441">SUM(M253:N253)</f>
        <v>0</v>
      </c>
      <c r="P253" s="188"/>
      <c r="Q253" s="188"/>
      <c r="R253" s="188">
        <f t="shared" ref="R253:R258" si="1442">SUM(P253:Q253)</f>
        <v>0</v>
      </c>
      <c r="S253" s="188"/>
      <c r="T253" s="188"/>
      <c r="U253" s="188">
        <f t="shared" ref="U253:U258" si="1443">SUM(S253:T253)</f>
        <v>0</v>
      </c>
      <c r="V253" s="188"/>
      <c r="W253" s="188"/>
      <c r="X253" s="188">
        <f t="shared" ref="X253:X258" si="1444">SUM(V253:W253)</f>
        <v>0</v>
      </c>
      <c r="Y253" s="188"/>
      <c r="Z253" s="188"/>
      <c r="AA253" s="188">
        <f t="shared" ref="AA253:AA258" si="1445">SUM(Y253:Z253)</f>
        <v>0</v>
      </c>
      <c r="AB253" s="188"/>
      <c r="AC253" s="188"/>
      <c r="AD253" s="188">
        <f t="shared" ref="AD253:AD258" si="1446">SUM(AB253:AC253)</f>
        <v>0</v>
      </c>
      <c r="AE253" s="188"/>
      <c r="AF253" s="188"/>
      <c r="AG253" s="188">
        <f t="shared" ref="AG253:AG258" si="1447">SUM(AE253:AF253)</f>
        <v>0</v>
      </c>
      <c r="AH253" s="188"/>
      <c r="AI253" s="188"/>
      <c r="AJ253" s="188">
        <f t="shared" ref="AJ253:AJ258" si="1448">SUM(AH253:AI253)</f>
        <v>0</v>
      </c>
      <c r="AK253" s="188"/>
      <c r="AL253" s="188"/>
      <c r="AM253" s="188">
        <f t="shared" ref="AM253:AM258" si="1449">SUM(AK253:AL253)</f>
        <v>0</v>
      </c>
      <c r="AN253" s="188"/>
      <c r="AO253" s="188"/>
      <c r="AP253" s="188">
        <f t="shared" ref="AP253:AP258" si="1450">SUM(AN253:AO253)</f>
        <v>0</v>
      </c>
      <c r="AQ253" s="188"/>
      <c r="AR253" s="188"/>
      <c r="AS253" s="188">
        <f t="shared" ref="AS253:AS258" si="1451">SUM(AQ253:AR253)</f>
        <v>0</v>
      </c>
      <c r="AT253" s="188"/>
      <c r="AU253" s="188"/>
      <c r="AV253" s="188">
        <f t="shared" ref="AV253:AV258" si="1452">SUM(AT253:AU253)</f>
        <v>0</v>
      </c>
      <c r="AW253" s="188"/>
      <c r="AX253" s="188"/>
      <c r="AY253" s="188">
        <f t="shared" ref="AY253:AY258" si="1453">SUM(AW253:AX253)</f>
        <v>0</v>
      </c>
      <c r="AZ253" s="188"/>
      <c r="BA253" s="188"/>
      <c r="BB253" s="188">
        <f t="shared" ref="BB253:BB258" si="1454">SUM(AZ253:BA253)</f>
        <v>0</v>
      </c>
      <c r="BC253" s="188"/>
      <c r="BD253" s="188"/>
      <c r="BE253" s="188">
        <f t="shared" ref="BE253:BE258" si="1455">SUM(BC253:BD253)</f>
        <v>0</v>
      </c>
      <c r="BF253" s="188"/>
      <c r="BG253" s="188"/>
      <c r="BH253" s="188">
        <f t="shared" ref="BH253:BH258" si="1456">SUM(BF253:BG253)</f>
        <v>0</v>
      </c>
      <c r="BI253" s="188"/>
      <c r="BJ253" s="188"/>
      <c r="BK253" s="188">
        <f t="shared" ref="BK253:BK258" si="1457">SUM(BI253:BJ253)</f>
        <v>0</v>
      </c>
      <c r="BL253" s="188"/>
      <c r="BM253" s="188"/>
      <c r="BN253" s="188">
        <f t="shared" ref="BN253:BN258" si="1458">SUM(BL253:BM253)</f>
        <v>0</v>
      </c>
      <c r="BO253" s="188"/>
      <c r="BP253" s="188"/>
      <c r="BQ253" s="188">
        <f t="shared" ref="BQ253:BQ258" si="1459">SUM(BO253:BP253)</f>
        <v>0</v>
      </c>
      <c r="BR253" s="188"/>
      <c r="BS253" s="188"/>
      <c r="BT253" s="188">
        <f t="shared" ref="BT253:BT258" si="1460">SUM(BR253:BS253)</f>
        <v>0</v>
      </c>
      <c r="BU253" s="188"/>
      <c r="BV253" s="188"/>
      <c r="BW253" s="188">
        <f t="shared" ref="BW253:BW258" si="1461">SUM(BU253:BV253)</f>
        <v>0</v>
      </c>
      <c r="BX253" s="188"/>
      <c r="BY253" s="188"/>
      <c r="BZ253" s="188">
        <f t="shared" ref="BZ253:BZ258" si="1462">SUM(BX253:BY253)</f>
        <v>0</v>
      </c>
      <c r="CA253" s="188"/>
      <c r="CB253" s="188"/>
      <c r="CC253" s="188">
        <f t="shared" ref="CC253:CC258" si="1463">SUM(CA253:CB253)</f>
        <v>0</v>
      </c>
      <c r="CD253" s="186"/>
      <c r="CE253" s="187"/>
      <c r="CF253" s="187"/>
      <c r="CG253" s="187"/>
      <c r="CH253" s="187"/>
      <c r="CI253" s="187"/>
      <c r="CJ253" s="187"/>
      <c r="CK253" s="188"/>
      <c r="CL253" s="188">
        <f t="shared" ref="CL253:CL258" si="1464">X253</f>
        <v>0</v>
      </c>
      <c r="CM253" s="188">
        <f t="shared" ref="CM253:CM258" si="1465">AA253</f>
        <v>0</v>
      </c>
      <c r="CN253" s="188">
        <f t="shared" ref="CN253:CN258" si="1466">AD253</f>
        <v>0</v>
      </c>
      <c r="CO253" s="188">
        <f t="shared" ref="CO253:CO258" si="1467">AG253</f>
        <v>0</v>
      </c>
      <c r="CP253" s="188">
        <f t="shared" ref="CP253:CP258" si="1468">AJ253</f>
        <v>0</v>
      </c>
      <c r="CQ253" s="188">
        <f t="shared" ref="CQ253:CQ258" si="1469">AM253</f>
        <v>0</v>
      </c>
      <c r="CR253" s="188">
        <f t="shared" ref="CR253:CR258" si="1470">AP253</f>
        <v>0</v>
      </c>
      <c r="CS253" s="188">
        <f t="shared" ref="CS253:CS258" si="1471">AS253</f>
        <v>0</v>
      </c>
      <c r="CT253" s="188">
        <f t="shared" ref="CT253:CT258" si="1472">AV253</f>
        <v>0</v>
      </c>
      <c r="CU253" s="188">
        <f t="shared" ref="CU253:CU258" si="1473">AY253</f>
        <v>0</v>
      </c>
      <c r="CV253" s="188">
        <f t="shared" ref="CV253:CV258" si="1474">BB253</f>
        <v>0</v>
      </c>
      <c r="CW253" s="188">
        <f t="shared" ref="CW253:CW258" si="1475">BE253</f>
        <v>0</v>
      </c>
      <c r="CX253" s="188">
        <f t="shared" ref="CX253:CX258" si="1476">BH253</f>
        <v>0</v>
      </c>
      <c r="CY253" s="188">
        <f t="shared" ref="CY253:CY258" si="1477">BK253</f>
        <v>0</v>
      </c>
      <c r="CZ253" s="188">
        <f t="shared" ref="CZ253:CZ258" si="1478">BN253</f>
        <v>0</v>
      </c>
      <c r="DA253" s="188">
        <f t="shared" ref="DA253:DA258" si="1479">BQ253</f>
        <v>0</v>
      </c>
      <c r="DB253" s="188">
        <f t="shared" ref="DB253:DB258" si="1480">BT253</f>
        <v>0</v>
      </c>
      <c r="DC253" s="188">
        <f t="shared" ref="DC253:DC258" si="1481">BW253</f>
        <v>0</v>
      </c>
      <c r="DD253" s="188">
        <f t="shared" ref="DD253:DD258" si="1482">BZ253</f>
        <v>0</v>
      </c>
      <c r="DE253" s="188">
        <f t="shared" ref="DE253:DE258" si="1483">CC253</f>
        <v>0</v>
      </c>
    </row>
    <row r="254" spans="1:109" ht="12.75" customHeight="1" outlineLevel="1">
      <c r="A254" s="1"/>
      <c r="B254" s="13" t="s">
        <v>185</v>
      </c>
      <c r="C254" s="1"/>
      <c r="D254" s="1"/>
      <c r="E254" s="1"/>
      <c r="F254" s="188">
        <f t="shared" si="1438"/>
        <v>0</v>
      </c>
      <c r="G254" s="188"/>
      <c r="H254" s="188"/>
      <c r="I254" s="188">
        <f t="shared" si="1439"/>
        <v>0</v>
      </c>
      <c r="J254" s="188"/>
      <c r="K254" s="188"/>
      <c r="L254" s="188">
        <f t="shared" si="1440"/>
        <v>0</v>
      </c>
      <c r="M254" s="188"/>
      <c r="N254" s="188"/>
      <c r="O254" s="188">
        <f t="shared" si="1441"/>
        <v>0</v>
      </c>
      <c r="P254" s="188"/>
      <c r="Q254" s="188"/>
      <c r="R254" s="188">
        <f t="shared" si="1442"/>
        <v>0</v>
      </c>
      <c r="S254" s="188"/>
      <c r="T254" s="188"/>
      <c r="U254" s="188">
        <f t="shared" si="1443"/>
        <v>0</v>
      </c>
      <c r="V254" s="188"/>
      <c r="W254" s="188"/>
      <c r="X254" s="188">
        <f t="shared" si="1444"/>
        <v>0</v>
      </c>
      <c r="Y254" s="188"/>
      <c r="Z254" s="188"/>
      <c r="AA254" s="188">
        <f t="shared" si="1445"/>
        <v>0</v>
      </c>
      <c r="AB254" s="188"/>
      <c r="AC254" s="188"/>
      <c r="AD254" s="188">
        <f t="shared" si="1446"/>
        <v>0</v>
      </c>
      <c r="AE254" s="188"/>
      <c r="AF254" s="188"/>
      <c r="AG254" s="188">
        <f t="shared" si="1447"/>
        <v>0</v>
      </c>
      <c r="AH254" s="188"/>
      <c r="AI254" s="188"/>
      <c r="AJ254" s="188">
        <f t="shared" si="1448"/>
        <v>0</v>
      </c>
      <c r="AK254" s="188"/>
      <c r="AL254" s="188"/>
      <c r="AM254" s="188">
        <f t="shared" si="1449"/>
        <v>0</v>
      </c>
      <c r="AN254" s="188"/>
      <c r="AO254" s="188"/>
      <c r="AP254" s="188">
        <f t="shared" si="1450"/>
        <v>0</v>
      </c>
      <c r="AQ254" s="188"/>
      <c r="AR254" s="188"/>
      <c r="AS254" s="188">
        <f t="shared" si="1451"/>
        <v>0</v>
      </c>
      <c r="AT254" s="188"/>
      <c r="AU254" s="188"/>
      <c r="AV254" s="188">
        <f t="shared" si="1452"/>
        <v>0</v>
      </c>
      <c r="AW254" s="188"/>
      <c r="AX254" s="188"/>
      <c r="AY254" s="188">
        <f t="shared" si="1453"/>
        <v>0</v>
      </c>
      <c r="AZ254" s="188"/>
      <c r="BA254" s="188"/>
      <c r="BB254" s="188">
        <f t="shared" si="1454"/>
        <v>0</v>
      </c>
      <c r="BC254" s="188"/>
      <c r="BD254" s="188"/>
      <c r="BE254" s="188">
        <f t="shared" si="1455"/>
        <v>0</v>
      </c>
      <c r="BF254" s="188"/>
      <c r="BG254" s="188"/>
      <c r="BH254" s="188">
        <f t="shared" si="1456"/>
        <v>0</v>
      </c>
      <c r="BI254" s="188"/>
      <c r="BJ254" s="188"/>
      <c r="BK254" s="188">
        <f t="shared" si="1457"/>
        <v>0</v>
      </c>
      <c r="BL254" s="188"/>
      <c r="BM254" s="188"/>
      <c r="BN254" s="188">
        <f t="shared" si="1458"/>
        <v>0</v>
      </c>
      <c r="BO254" s="188"/>
      <c r="BP254" s="188"/>
      <c r="BQ254" s="188">
        <f t="shared" si="1459"/>
        <v>0</v>
      </c>
      <c r="BR254" s="188"/>
      <c r="BS254" s="188"/>
      <c r="BT254" s="188">
        <f t="shared" si="1460"/>
        <v>0</v>
      </c>
      <c r="BU254" s="188"/>
      <c r="BV254" s="188"/>
      <c r="BW254" s="188">
        <f t="shared" si="1461"/>
        <v>0</v>
      </c>
      <c r="BX254" s="188"/>
      <c r="BY254" s="188"/>
      <c r="BZ254" s="188">
        <f t="shared" si="1462"/>
        <v>0</v>
      </c>
      <c r="CA254" s="188"/>
      <c r="CB254" s="188"/>
      <c r="CC254" s="188">
        <f t="shared" si="1463"/>
        <v>0</v>
      </c>
      <c r="CD254" s="186"/>
      <c r="CE254" s="187"/>
      <c r="CF254" s="187"/>
      <c r="CG254" s="187"/>
      <c r="CH254" s="187"/>
      <c r="CI254" s="187"/>
      <c r="CJ254" s="187"/>
      <c r="CK254" s="188"/>
      <c r="CL254" s="188">
        <f t="shared" si="1464"/>
        <v>0</v>
      </c>
      <c r="CM254" s="188">
        <f t="shared" si="1465"/>
        <v>0</v>
      </c>
      <c r="CN254" s="188">
        <f t="shared" si="1466"/>
        <v>0</v>
      </c>
      <c r="CO254" s="188">
        <f t="shared" si="1467"/>
        <v>0</v>
      </c>
      <c r="CP254" s="188">
        <f t="shared" si="1468"/>
        <v>0</v>
      </c>
      <c r="CQ254" s="188">
        <f t="shared" si="1469"/>
        <v>0</v>
      </c>
      <c r="CR254" s="188">
        <f t="shared" si="1470"/>
        <v>0</v>
      </c>
      <c r="CS254" s="188">
        <f t="shared" si="1471"/>
        <v>0</v>
      </c>
      <c r="CT254" s="188">
        <f t="shared" si="1472"/>
        <v>0</v>
      </c>
      <c r="CU254" s="188">
        <f t="shared" si="1473"/>
        <v>0</v>
      </c>
      <c r="CV254" s="188">
        <f t="shared" si="1474"/>
        <v>0</v>
      </c>
      <c r="CW254" s="188">
        <f t="shared" si="1475"/>
        <v>0</v>
      </c>
      <c r="CX254" s="188">
        <f t="shared" si="1476"/>
        <v>0</v>
      </c>
      <c r="CY254" s="188">
        <f t="shared" si="1477"/>
        <v>0</v>
      </c>
      <c r="CZ254" s="188">
        <f t="shared" si="1478"/>
        <v>0</v>
      </c>
      <c r="DA254" s="188">
        <f t="shared" si="1479"/>
        <v>0</v>
      </c>
      <c r="DB254" s="188">
        <f t="shared" si="1480"/>
        <v>0</v>
      </c>
      <c r="DC254" s="188">
        <f t="shared" si="1481"/>
        <v>0</v>
      </c>
      <c r="DD254" s="188">
        <f t="shared" si="1482"/>
        <v>0</v>
      </c>
      <c r="DE254" s="188">
        <f t="shared" si="1483"/>
        <v>0</v>
      </c>
    </row>
    <row r="255" spans="1:109" ht="12.75" customHeight="1" outlineLevel="1">
      <c r="A255" s="1"/>
      <c r="B255" s="13" t="s">
        <v>186</v>
      </c>
      <c r="C255" s="1"/>
      <c r="D255" s="1"/>
      <c r="E255" s="1"/>
      <c r="F255" s="188">
        <f t="shared" si="1438"/>
        <v>0</v>
      </c>
      <c r="G255" s="188"/>
      <c r="H255" s="188"/>
      <c r="I255" s="188">
        <f t="shared" si="1439"/>
        <v>0</v>
      </c>
      <c r="J255" s="188"/>
      <c r="K255" s="188"/>
      <c r="L255" s="188">
        <f t="shared" si="1440"/>
        <v>0</v>
      </c>
      <c r="M255" s="188"/>
      <c r="N255" s="188"/>
      <c r="O255" s="188">
        <f t="shared" si="1441"/>
        <v>0</v>
      </c>
      <c r="P255" s="188"/>
      <c r="Q255" s="188"/>
      <c r="R255" s="188">
        <f t="shared" si="1442"/>
        <v>0</v>
      </c>
      <c r="S255" s="188"/>
      <c r="T255" s="188"/>
      <c r="U255" s="188">
        <f t="shared" si="1443"/>
        <v>0</v>
      </c>
      <c r="V255" s="188"/>
      <c r="W255" s="188"/>
      <c r="X255" s="188">
        <f t="shared" si="1444"/>
        <v>0</v>
      </c>
      <c r="Y255" s="188"/>
      <c r="Z255" s="188"/>
      <c r="AA255" s="188">
        <f t="shared" si="1445"/>
        <v>0</v>
      </c>
      <c r="AB255" s="188"/>
      <c r="AC255" s="188"/>
      <c r="AD255" s="188">
        <f t="shared" si="1446"/>
        <v>0</v>
      </c>
      <c r="AE255" s="188"/>
      <c r="AF255" s="188"/>
      <c r="AG255" s="188">
        <f t="shared" si="1447"/>
        <v>0</v>
      </c>
      <c r="AH255" s="188"/>
      <c r="AI255" s="188"/>
      <c r="AJ255" s="188">
        <f t="shared" si="1448"/>
        <v>0</v>
      </c>
      <c r="AK255" s="188"/>
      <c r="AL255" s="188"/>
      <c r="AM255" s="188">
        <f t="shared" si="1449"/>
        <v>0</v>
      </c>
      <c r="AN255" s="188"/>
      <c r="AO255" s="188"/>
      <c r="AP255" s="188">
        <f t="shared" si="1450"/>
        <v>0</v>
      </c>
      <c r="AQ255" s="188"/>
      <c r="AR255" s="188"/>
      <c r="AS255" s="188">
        <f t="shared" si="1451"/>
        <v>0</v>
      </c>
      <c r="AT255" s="188"/>
      <c r="AU255" s="188"/>
      <c r="AV255" s="188">
        <f t="shared" si="1452"/>
        <v>0</v>
      </c>
      <c r="AW255" s="188"/>
      <c r="AX255" s="188"/>
      <c r="AY255" s="188">
        <f t="shared" si="1453"/>
        <v>0</v>
      </c>
      <c r="AZ255" s="188"/>
      <c r="BA255" s="188"/>
      <c r="BB255" s="188">
        <f t="shared" si="1454"/>
        <v>0</v>
      </c>
      <c r="BC255" s="188"/>
      <c r="BD255" s="188"/>
      <c r="BE255" s="188">
        <f t="shared" si="1455"/>
        <v>0</v>
      </c>
      <c r="BF255" s="188"/>
      <c r="BG255" s="188"/>
      <c r="BH255" s="188">
        <f t="shared" si="1456"/>
        <v>0</v>
      </c>
      <c r="BI255" s="188"/>
      <c r="BJ255" s="188"/>
      <c r="BK255" s="188">
        <f t="shared" si="1457"/>
        <v>0</v>
      </c>
      <c r="BL255" s="188"/>
      <c r="BM255" s="188"/>
      <c r="BN255" s="188">
        <f t="shared" si="1458"/>
        <v>0</v>
      </c>
      <c r="BO255" s="188"/>
      <c r="BP255" s="188"/>
      <c r="BQ255" s="188">
        <f t="shared" si="1459"/>
        <v>0</v>
      </c>
      <c r="BR255" s="188"/>
      <c r="BS255" s="188"/>
      <c r="BT255" s="188">
        <f t="shared" si="1460"/>
        <v>0</v>
      </c>
      <c r="BU255" s="188"/>
      <c r="BV255" s="188"/>
      <c r="BW255" s="188">
        <f t="shared" si="1461"/>
        <v>0</v>
      </c>
      <c r="BX255" s="188"/>
      <c r="BY255" s="188"/>
      <c r="BZ255" s="188">
        <f t="shared" si="1462"/>
        <v>0</v>
      </c>
      <c r="CA255" s="188"/>
      <c r="CB255" s="188"/>
      <c r="CC255" s="188">
        <f t="shared" si="1463"/>
        <v>0</v>
      </c>
      <c r="CD255" s="186"/>
      <c r="CE255" s="187"/>
      <c r="CF255" s="187"/>
      <c r="CG255" s="187"/>
      <c r="CH255" s="187"/>
      <c r="CI255" s="187"/>
      <c r="CJ255" s="187"/>
      <c r="CK255" s="188"/>
      <c r="CL255" s="188">
        <f t="shared" si="1464"/>
        <v>0</v>
      </c>
      <c r="CM255" s="188">
        <f t="shared" si="1465"/>
        <v>0</v>
      </c>
      <c r="CN255" s="188">
        <f t="shared" si="1466"/>
        <v>0</v>
      </c>
      <c r="CO255" s="188">
        <f t="shared" si="1467"/>
        <v>0</v>
      </c>
      <c r="CP255" s="188">
        <f t="shared" si="1468"/>
        <v>0</v>
      </c>
      <c r="CQ255" s="188">
        <f t="shared" si="1469"/>
        <v>0</v>
      </c>
      <c r="CR255" s="188">
        <f t="shared" si="1470"/>
        <v>0</v>
      </c>
      <c r="CS255" s="188">
        <f t="shared" si="1471"/>
        <v>0</v>
      </c>
      <c r="CT255" s="188">
        <f t="shared" si="1472"/>
        <v>0</v>
      </c>
      <c r="CU255" s="188">
        <f t="shared" si="1473"/>
        <v>0</v>
      </c>
      <c r="CV255" s="188">
        <f t="shared" si="1474"/>
        <v>0</v>
      </c>
      <c r="CW255" s="188">
        <f t="shared" si="1475"/>
        <v>0</v>
      </c>
      <c r="CX255" s="188">
        <f t="shared" si="1476"/>
        <v>0</v>
      </c>
      <c r="CY255" s="188">
        <f t="shared" si="1477"/>
        <v>0</v>
      </c>
      <c r="CZ255" s="188">
        <f t="shared" si="1478"/>
        <v>0</v>
      </c>
      <c r="DA255" s="188">
        <f t="shared" si="1479"/>
        <v>0</v>
      </c>
      <c r="DB255" s="188">
        <f t="shared" si="1480"/>
        <v>0</v>
      </c>
      <c r="DC255" s="188">
        <f t="shared" si="1481"/>
        <v>0</v>
      </c>
      <c r="DD255" s="188">
        <f t="shared" si="1482"/>
        <v>0</v>
      </c>
      <c r="DE255" s="188">
        <f t="shared" si="1483"/>
        <v>0</v>
      </c>
    </row>
    <row r="256" spans="1:109" ht="12.75" customHeight="1" outlineLevel="1">
      <c r="A256" s="1"/>
      <c r="B256" s="13" t="s">
        <v>191</v>
      </c>
      <c r="C256" s="1"/>
      <c r="D256" s="1"/>
      <c r="E256" s="1"/>
      <c r="F256" s="188">
        <f t="shared" si="1438"/>
        <v>0</v>
      </c>
      <c r="G256" s="188"/>
      <c r="H256" s="188"/>
      <c r="I256" s="188">
        <f t="shared" si="1439"/>
        <v>0</v>
      </c>
      <c r="J256" s="188"/>
      <c r="K256" s="188"/>
      <c r="L256" s="188">
        <f t="shared" si="1440"/>
        <v>0</v>
      </c>
      <c r="M256" s="188"/>
      <c r="N256" s="188"/>
      <c r="O256" s="188">
        <f t="shared" si="1441"/>
        <v>0</v>
      </c>
      <c r="P256" s="188"/>
      <c r="Q256" s="188"/>
      <c r="R256" s="188">
        <f t="shared" si="1442"/>
        <v>0</v>
      </c>
      <c r="S256" s="188"/>
      <c r="T256" s="188"/>
      <c r="U256" s="188">
        <f t="shared" si="1443"/>
        <v>0</v>
      </c>
      <c r="V256" s="188"/>
      <c r="W256" s="188"/>
      <c r="X256" s="188">
        <f t="shared" si="1444"/>
        <v>0</v>
      </c>
      <c r="Y256" s="188"/>
      <c r="Z256" s="188"/>
      <c r="AA256" s="188">
        <f t="shared" si="1445"/>
        <v>0</v>
      </c>
      <c r="AB256" s="188"/>
      <c r="AC256" s="188"/>
      <c r="AD256" s="188">
        <f t="shared" si="1446"/>
        <v>0</v>
      </c>
      <c r="AE256" s="188"/>
      <c r="AF256" s="188"/>
      <c r="AG256" s="188">
        <f t="shared" si="1447"/>
        <v>0</v>
      </c>
      <c r="AH256" s="188"/>
      <c r="AI256" s="188"/>
      <c r="AJ256" s="188">
        <f t="shared" si="1448"/>
        <v>0</v>
      </c>
      <c r="AK256" s="188"/>
      <c r="AL256" s="188"/>
      <c r="AM256" s="188">
        <f t="shared" si="1449"/>
        <v>0</v>
      </c>
      <c r="AN256" s="188"/>
      <c r="AO256" s="188"/>
      <c r="AP256" s="188">
        <f t="shared" si="1450"/>
        <v>0</v>
      </c>
      <c r="AQ256" s="188"/>
      <c r="AR256" s="188"/>
      <c r="AS256" s="188">
        <f t="shared" si="1451"/>
        <v>0</v>
      </c>
      <c r="AT256" s="188"/>
      <c r="AU256" s="188"/>
      <c r="AV256" s="188">
        <f t="shared" si="1452"/>
        <v>0</v>
      </c>
      <c r="AW256" s="188"/>
      <c r="AX256" s="188"/>
      <c r="AY256" s="188">
        <f t="shared" si="1453"/>
        <v>0</v>
      </c>
      <c r="AZ256" s="188"/>
      <c r="BA256" s="188"/>
      <c r="BB256" s="188">
        <f t="shared" si="1454"/>
        <v>0</v>
      </c>
      <c r="BC256" s="188"/>
      <c r="BD256" s="188"/>
      <c r="BE256" s="188">
        <f t="shared" si="1455"/>
        <v>0</v>
      </c>
      <c r="BF256" s="188"/>
      <c r="BG256" s="188"/>
      <c r="BH256" s="188">
        <f t="shared" si="1456"/>
        <v>0</v>
      </c>
      <c r="BI256" s="188"/>
      <c r="BJ256" s="188"/>
      <c r="BK256" s="188">
        <f t="shared" si="1457"/>
        <v>0</v>
      </c>
      <c r="BL256" s="188"/>
      <c r="BM256" s="188"/>
      <c r="BN256" s="188">
        <f t="shared" si="1458"/>
        <v>0</v>
      </c>
      <c r="BO256" s="188"/>
      <c r="BP256" s="188"/>
      <c r="BQ256" s="188">
        <f t="shared" si="1459"/>
        <v>0</v>
      </c>
      <c r="BR256" s="188"/>
      <c r="BS256" s="188"/>
      <c r="BT256" s="188">
        <f t="shared" si="1460"/>
        <v>0</v>
      </c>
      <c r="BU256" s="188"/>
      <c r="BV256" s="188"/>
      <c r="BW256" s="188">
        <f t="shared" si="1461"/>
        <v>0</v>
      </c>
      <c r="BX256" s="188"/>
      <c r="BY256" s="188"/>
      <c r="BZ256" s="188">
        <f t="shared" si="1462"/>
        <v>0</v>
      </c>
      <c r="CA256" s="188"/>
      <c r="CB256" s="188"/>
      <c r="CC256" s="188">
        <f t="shared" si="1463"/>
        <v>0</v>
      </c>
      <c r="CD256" s="186"/>
      <c r="CE256" s="187"/>
      <c r="CF256" s="187"/>
      <c r="CG256" s="187"/>
      <c r="CH256" s="187"/>
      <c r="CI256" s="187"/>
      <c r="CJ256" s="187"/>
      <c r="CK256" s="188"/>
      <c r="CL256" s="188">
        <f t="shared" si="1464"/>
        <v>0</v>
      </c>
      <c r="CM256" s="188">
        <f t="shared" si="1465"/>
        <v>0</v>
      </c>
      <c r="CN256" s="188">
        <f t="shared" si="1466"/>
        <v>0</v>
      </c>
      <c r="CO256" s="188">
        <f t="shared" si="1467"/>
        <v>0</v>
      </c>
      <c r="CP256" s="188">
        <f t="shared" si="1468"/>
        <v>0</v>
      </c>
      <c r="CQ256" s="188">
        <f t="shared" si="1469"/>
        <v>0</v>
      </c>
      <c r="CR256" s="188">
        <f t="shared" si="1470"/>
        <v>0</v>
      </c>
      <c r="CS256" s="188">
        <f t="shared" si="1471"/>
        <v>0</v>
      </c>
      <c r="CT256" s="188">
        <f t="shared" si="1472"/>
        <v>0</v>
      </c>
      <c r="CU256" s="188">
        <f t="shared" si="1473"/>
        <v>0</v>
      </c>
      <c r="CV256" s="188">
        <f t="shared" si="1474"/>
        <v>0</v>
      </c>
      <c r="CW256" s="188">
        <f t="shared" si="1475"/>
        <v>0</v>
      </c>
      <c r="CX256" s="188">
        <f t="shared" si="1476"/>
        <v>0</v>
      </c>
      <c r="CY256" s="188">
        <f t="shared" si="1477"/>
        <v>0</v>
      </c>
      <c r="CZ256" s="188">
        <f t="shared" si="1478"/>
        <v>0</v>
      </c>
      <c r="DA256" s="188">
        <f t="shared" si="1479"/>
        <v>0</v>
      </c>
      <c r="DB256" s="188">
        <f t="shared" si="1480"/>
        <v>0</v>
      </c>
      <c r="DC256" s="188">
        <f t="shared" si="1481"/>
        <v>0</v>
      </c>
      <c r="DD256" s="188">
        <f t="shared" si="1482"/>
        <v>0</v>
      </c>
      <c r="DE256" s="188">
        <f t="shared" si="1483"/>
        <v>0</v>
      </c>
    </row>
    <row r="257" spans="1:109" ht="12.75" customHeight="1" outlineLevel="1">
      <c r="A257" s="1"/>
      <c r="B257" s="13" t="s">
        <v>192</v>
      </c>
      <c r="C257" s="1"/>
      <c r="D257" s="1"/>
      <c r="E257" s="1"/>
      <c r="F257" s="188">
        <f t="shared" si="1438"/>
        <v>0</v>
      </c>
      <c r="G257" s="188"/>
      <c r="H257" s="188"/>
      <c r="I257" s="188">
        <f t="shared" si="1439"/>
        <v>0</v>
      </c>
      <c r="J257" s="188"/>
      <c r="K257" s="188"/>
      <c r="L257" s="188">
        <f t="shared" si="1440"/>
        <v>0</v>
      </c>
      <c r="M257" s="188"/>
      <c r="N257" s="188"/>
      <c r="O257" s="188">
        <f t="shared" si="1441"/>
        <v>0</v>
      </c>
      <c r="P257" s="188"/>
      <c r="Q257" s="188"/>
      <c r="R257" s="188">
        <f t="shared" si="1442"/>
        <v>0</v>
      </c>
      <c r="S257" s="188"/>
      <c r="T257" s="188"/>
      <c r="U257" s="188">
        <f t="shared" si="1443"/>
        <v>0</v>
      </c>
      <c r="V257" s="188"/>
      <c r="W257" s="188"/>
      <c r="X257" s="188">
        <f t="shared" si="1444"/>
        <v>0</v>
      </c>
      <c r="Y257" s="188"/>
      <c r="Z257" s="188"/>
      <c r="AA257" s="188">
        <f t="shared" si="1445"/>
        <v>0</v>
      </c>
      <c r="AB257" s="188"/>
      <c r="AC257" s="188"/>
      <c r="AD257" s="188">
        <f t="shared" si="1446"/>
        <v>0</v>
      </c>
      <c r="AE257" s="188"/>
      <c r="AF257" s="188"/>
      <c r="AG257" s="188">
        <f t="shared" si="1447"/>
        <v>0</v>
      </c>
      <c r="AH257" s="188"/>
      <c r="AI257" s="188"/>
      <c r="AJ257" s="188">
        <f t="shared" si="1448"/>
        <v>0</v>
      </c>
      <c r="AK257" s="188"/>
      <c r="AL257" s="188"/>
      <c r="AM257" s="188">
        <f t="shared" si="1449"/>
        <v>0</v>
      </c>
      <c r="AN257" s="188"/>
      <c r="AO257" s="188"/>
      <c r="AP257" s="188">
        <f t="shared" si="1450"/>
        <v>0</v>
      </c>
      <c r="AQ257" s="188"/>
      <c r="AR257" s="188"/>
      <c r="AS257" s="188">
        <f t="shared" si="1451"/>
        <v>0</v>
      </c>
      <c r="AT257" s="188"/>
      <c r="AU257" s="188"/>
      <c r="AV257" s="188">
        <f t="shared" si="1452"/>
        <v>0</v>
      </c>
      <c r="AW257" s="188"/>
      <c r="AX257" s="188"/>
      <c r="AY257" s="188">
        <f t="shared" si="1453"/>
        <v>0</v>
      </c>
      <c r="AZ257" s="188"/>
      <c r="BA257" s="188"/>
      <c r="BB257" s="188">
        <f t="shared" si="1454"/>
        <v>0</v>
      </c>
      <c r="BC257" s="188"/>
      <c r="BD257" s="188"/>
      <c r="BE257" s="188">
        <f t="shared" si="1455"/>
        <v>0</v>
      </c>
      <c r="BF257" s="188"/>
      <c r="BG257" s="188"/>
      <c r="BH257" s="188">
        <f t="shared" si="1456"/>
        <v>0</v>
      </c>
      <c r="BI257" s="188"/>
      <c r="BJ257" s="188"/>
      <c r="BK257" s="188">
        <f t="shared" si="1457"/>
        <v>0</v>
      </c>
      <c r="BL257" s="188"/>
      <c r="BM257" s="188"/>
      <c r="BN257" s="188">
        <f t="shared" si="1458"/>
        <v>0</v>
      </c>
      <c r="BO257" s="188"/>
      <c r="BP257" s="188"/>
      <c r="BQ257" s="188">
        <f t="shared" si="1459"/>
        <v>0</v>
      </c>
      <c r="BR257" s="188"/>
      <c r="BS257" s="188"/>
      <c r="BT257" s="188">
        <f t="shared" si="1460"/>
        <v>0</v>
      </c>
      <c r="BU257" s="188"/>
      <c r="BV257" s="188"/>
      <c r="BW257" s="188">
        <f t="shared" si="1461"/>
        <v>0</v>
      </c>
      <c r="BX257" s="188"/>
      <c r="BY257" s="188"/>
      <c r="BZ257" s="188">
        <f t="shared" si="1462"/>
        <v>0</v>
      </c>
      <c r="CA257" s="188"/>
      <c r="CB257" s="188"/>
      <c r="CC257" s="188">
        <f t="shared" si="1463"/>
        <v>0</v>
      </c>
      <c r="CD257" s="186"/>
      <c r="CE257" s="187"/>
      <c r="CF257" s="187"/>
      <c r="CG257" s="187"/>
      <c r="CH257" s="187"/>
      <c r="CI257" s="187"/>
      <c r="CJ257" s="187"/>
      <c r="CK257" s="188"/>
      <c r="CL257" s="188">
        <f t="shared" si="1464"/>
        <v>0</v>
      </c>
      <c r="CM257" s="188">
        <f t="shared" si="1465"/>
        <v>0</v>
      </c>
      <c r="CN257" s="188">
        <f t="shared" si="1466"/>
        <v>0</v>
      </c>
      <c r="CO257" s="188">
        <f t="shared" si="1467"/>
        <v>0</v>
      </c>
      <c r="CP257" s="188">
        <f t="shared" si="1468"/>
        <v>0</v>
      </c>
      <c r="CQ257" s="188">
        <f t="shared" si="1469"/>
        <v>0</v>
      </c>
      <c r="CR257" s="188">
        <f t="shared" si="1470"/>
        <v>0</v>
      </c>
      <c r="CS257" s="188">
        <f t="shared" si="1471"/>
        <v>0</v>
      </c>
      <c r="CT257" s="188">
        <f t="shared" si="1472"/>
        <v>0</v>
      </c>
      <c r="CU257" s="188">
        <f t="shared" si="1473"/>
        <v>0</v>
      </c>
      <c r="CV257" s="188">
        <f t="shared" si="1474"/>
        <v>0</v>
      </c>
      <c r="CW257" s="188">
        <f t="shared" si="1475"/>
        <v>0</v>
      </c>
      <c r="CX257" s="188">
        <f t="shared" si="1476"/>
        <v>0</v>
      </c>
      <c r="CY257" s="188">
        <f t="shared" si="1477"/>
        <v>0</v>
      </c>
      <c r="CZ257" s="188">
        <f t="shared" si="1478"/>
        <v>0</v>
      </c>
      <c r="DA257" s="188">
        <f t="shared" si="1479"/>
        <v>0</v>
      </c>
      <c r="DB257" s="188">
        <f t="shared" si="1480"/>
        <v>0</v>
      </c>
      <c r="DC257" s="188">
        <f t="shared" si="1481"/>
        <v>0</v>
      </c>
      <c r="DD257" s="188">
        <f t="shared" si="1482"/>
        <v>0</v>
      </c>
      <c r="DE257" s="188">
        <f t="shared" si="1483"/>
        <v>0</v>
      </c>
    </row>
    <row r="258" spans="1:109" ht="12.75" customHeight="1" outlineLevel="1">
      <c r="A258" s="1"/>
      <c r="B258" s="13" t="s">
        <v>189</v>
      </c>
      <c r="C258" s="1"/>
      <c r="D258" s="1"/>
      <c r="E258" s="1"/>
      <c r="F258" s="188">
        <f t="shared" si="1438"/>
        <v>0</v>
      </c>
      <c r="G258" s="188"/>
      <c r="H258" s="188"/>
      <c r="I258" s="188">
        <f t="shared" si="1439"/>
        <v>0</v>
      </c>
      <c r="J258" s="188"/>
      <c r="K258" s="188"/>
      <c r="L258" s="188">
        <f t="shared" si="1440"/>
        <v>0</v>
      </c>
      <c r="M258" s="188"/>
      <c r="N258" s="188"/>
      <c r="O258" s="188">
        <f t="shared" si="1441"/>
        <v>0</v>
      </c>
      <c r="P258" s="188"/>
      <c r="Q258" s="188"/>
      <c r="R258" s="188">
        <f t="shared" si="1442"/>
        <v>0</v>
      </c>
      <c r="S258" s="188"/>
      <c r="T258" s="188"/>
      <c r="U258" s="188">
        <f t="shared" si="1443"/>
        <v>0</v>
      </c>
      <c r="V258" s="188"/>
      <c r="W258" s="188"/>
      <c r="X258" s="188">
        <f t="shared" si="1444"/>
        <v>0</v>
      </c>
      <c r="Y258" s="188"/>
      <c r="Z258" s="188"/>
      <c r="AA258" s="188">
        <f t="shared" si="1445"/>
        <v>0</v>
      </c>
      <c r="AB258" s="188"/>
      <c r="AC258" s="188"/>
      <c r="AD258" s="188">
        <f t="shared" si="1446"/>
        <v>0</v>
      </c>
      <c r="AE258" s="188"/>
      <c r="AF258" s="188"/>
      <c r="AG258" s="188">
        <f t="shared" si="1447"/>
        <v>0</v>
      </c>
      <c r="AH258" s="188"/>
      <c r="AI258" s="188"/>
      <c r="AJ258" s="188">
        <f t="shared" si="1448"/>
        <v>0</v>
      </c>
      <c r="AK258" s="188"/>
      <c r="AL258" s="188"/>
      <c r="AM258" s="188">
        <f t="shared" si="1449"/>
        <v>0</v>
      </c>
      <c r="AN258" s="188"/>
      <c r="AO258" s="188"/>
      <c r="AP258" s="188">
        <f t="shared" si="1450"/>
        <v>0</v>
      </c>
      <c r="AQ258" s="188"/>
      <c r="AR258" s="188"/>
      <c r="AS258" s="188">
        <f t="shared" si="1451"/>
        <v>0</v>
      </c>
      <c r="AT258" s="188"/>
      <c r="AU258" s="188"/>
      <c r="AV258" s="188">
        <f t="shared" si="1452"/>
        <v>0</v>
      </c>
      <c r="AW258" s="188"/>
      <c r="AX258" s="188"/>
      <c r="AY258" s="188">
        <f t="shared" si="1453"/>
        <v>0</v>
      </c>
      <c r="AZ258" s="188"/>
      <c r="BA258" s="188"/>
      <c r="BB258" s="188">
        <f t="shared" si="1454"/>
        <v>0</v>
      </c>
      <c r="BC258" s="188"/>
      <c r="BD258" s="188"/>
      <c r="BE258" s="188">
        <f t="shared" si="1455"/>
        <v>0</v>
      </c>
      <c r="BF258" s="188"/>
      <c r="BG258" s="188"/>
      <c r="BH258" s="188">
        <f t="shared" si="1456"/>
        <v>0</v>
      </c>
      <c r="BI258" s="188"/>
      <c r="BJ258" s="188"/>
      <c r="BK258" s="188">
        <f t="shared" si="1457"/>
        <v>0</v>
      </c>
      <c r="BL258" s="188"/>
      <c r="BM258" s="188"/>
      <c r="BN258" s="188">
        <f t="shared" si="1458"/>
        <v>0</v>
      </c>
      <c r="BO258" s="188"/>
      <c r="BP258" s="188"/>
      <c r="BQ258" s="188">
        <f t="shared" si="1459"/>
        <v>0</v>
      </c>
      <c r="BR258" s="188"/>
      <c r="BS258" s="188"/>
      <c r="BT258" s="188">
        <f t="shared" si="1460"/>
        <v>0</v>
      </c>
      <c r="BU258" s="188"/>
      <c r="BV258" s="188"/>
      <c r="BW258" s="188">
        <f t="shared" si="1461"/>
        <v>0</v>
      </c>
      <c r="BX258" s="188"/>
      <c r="BY258" s="188"/>
      <c r="BZ258" s="188">
        <f t="shared" si="1462"/>
        <v>0</v>
      </c>
      <c r="CA258" s="188"/>
      <c r="CB258" s="188"/>
      <c r="CC258" s="188">
        <f t="shared" si="1463"/>
        <v>0</v>
      </c>
      <c r="CD258" s="186"/>
      <c r="CE258" s="187"/>
      <c r="CF258" s="187"/>
      <c r="CG258" s="187"/>
      <c r="CH258" s="187"/>
      <c r="CI258" s="187"/>
      <c r="CJ258" s="187"/>
      <c r="CK258" s="188"/>
      <c r="CL258" s="188">
        <f t="shared" si="1464"/>
        <v>0</v>
      </c>
      <c r="CM258" s="188">
        <f t="shared" si="1465"/>
        <v>0</v>
      </c>
      <c r="CN258" s="188">
        <f t="shared" si="1466"/>
        <v>0</v>
      </c>
      <c r="CO258" s="188">
        <f t="shared" si="1467"/>
        <v>0</v>
      </c>
      <c r="CP258" s="188">
        <f t="shared" si="1468"/>
        <v>0</v>
      </c>
      <c r="CQ258" s="188">
        <f t="shared" si="1469"/>
        <v>0</v>
      </c>
      <c r="CR258" s="188">
        <f t="shared" si="1470"/>
        <v>0</v>
      </c>
      <c r="CS258" s="188">
        <f t="shared" si="1471"/>
        <v>0</v>
      </c>
      <c r="CT258" s="188">
        <f t="shared" si="1472"/>
        <v>0</v>
      </c>
      <c r="CU258" s="188">
        <f t="shared" si="1473"/>
        <v>0</v>
      </c>
      <c r="CV258" s="188">
        <f t="shared" si="1474"/>
        <v>0</v>
      </c>
      <c r="CW258" s="188">
        <f t="shared" si="1475"/>
        <v>0</v>
      </c>
      <c r="CX258" s="188">
        <f t="shared" si="1476"/>
        <v>0</v>
      </c>
      <c r="CY258" s="188">
        <f t="shared" si="1477"/>
        <v>0</v>
      </c>
      <c r="CZ258" s="188">
        <f t="shared" si="1478"/>
        <v>0</v>
      </c>
      <c r="DA258" s="188">
        <f t="shared" si="1479"/>
        <v>0</v>
      </c>
      <c r="DB258" s="188">
        <f t="shared" si="1480"/>
        <v>0</v>
      </c>
      <c r="DC258" s="188">
        <f t="shared" si="1481"/>
        <v>0</v>
      </c>
      <c r="DD258" s="188">
        <f t="shared" si="1482"/>
        <v>0</v>
      </c>
      <c r="DE258" s="188">
        <f t="shared" si="1483"/>
        <v>0</v>
      </c>
    </row>
    <row r="259" spans="1:109" ht="12.75" customHeight="1" outlineLevel="1">
      <c r="A259" s="1"/>
      <c r="B259" s="13"/>
      <c r="C259" s="1"/>
      <c r="D259" s="1"/>
      <c r="E259" s="1"/>
      <c r="F259" s="188"/>
      <c r="G259" s="188"/>
      <c r="H259" s="188"/>
      <c r="I259" s="188"/>
      <c r="J259" s="188"/>
      <c r="K259" s="188"/>
      <c r="L259" s="188"/>
      <c r="M259" s="188"/>
      <c r="N259" s="188"/>
      <c r="O259" s="188"/>
      <c r="P259" s="188"/>
      <c r="Q259" s="188"/>
      <c r="R259" s="188"/>
      <c r="S259" s="188"/>
      <c r="T259" s="188"/>
      <c r="U259" s="188"/>
      <c r="V259" s="188"/>
      <c r="W259" s="188"/>
      <c r="X259" s="188"/>
      <c r="Y259" s="188"/>
      <c r="Z259" s="188"/>
      <c r="AA259" s="188"/>
      <c r="AB259" s="188"/>
      <c r="AC259" s="188"/>
      <c r="AD259" s="188"/>
      <c r="AE259" s="188"/>
      <c r="AF259" s="188"/>
      <c r="AG259" s="188"/>
      <c r="AH259" s="188"/>
      <c r="AI259" s="188"/>
      <c r="AJ259" s="188"/>
      <c r="AK259" s="188"/>
      <c r="AL259" s="188"/>
      <c r="AM259" s="188"/>
      <c r="AN259" s="188"/>
      <c r="AO259" s="188"/>
      <c r="AP259" s="188"/>
      <c r="AQ259" s="188"/>
      <c r="AR259" s="188"/>
      <c r="AS259" s="188"/>
      <c r="AT259" s="188"/>
      <c r="AU259" s="188"/>
      <c r="AV259" s="188"/>
      <c r="AW259" s="188"/>
      <c r="AX259" s="188"/>
      <c r="AY259" s="188"/>
      <c r="AZ259" s="188"/>
      <c r="BA259" s="188"/>
      <c r="BB259" s="188"/>
      <c r="BC259" s="188"/>
      <c r="BD259" s="188"/>
      <c r="BE259" s="188"/>
      <c r="BF259" s="188"/>
      <c r="BG259" s="188"/>
      <c r="BH259" s="188"/>
      <c r="BI259" s="188"/>
      <c r="BJ259" s="188"/>
      <c r="BK259" s="188"/>
      <c r="BL259" s="188"/>
      <c r="BM259" s="188"/>
      <c r="BN259" s="188"/>
      <c r="BO259" s="188"/>
      <c r="BP259" s="188"/>
      <c r="BQ259" s="188"/>
      <c r="BR259" s="188"/>
      <c r="BS259" s="188"/>
      <c r="BT259" s="188"/>
      <c r="BU259" s="188"/>
      <c r="BV259" s="188"/>
      <c r="BW259" s="188"/>
      <c r="BX259" s="188"/>
      <c r="BY259" s="188"/>
      <c r="BZ259" s="188"/>
      <c r="CA259" s="188"/>
      <c r="CB259" s="188"/>
      <c r="CC259" s="188"/>
      <c r="CD259" s="186"/>
      <c r="CE259" s="187"/>
      <c r="CF259" s="187"/>
      <c r="CG259" s="187"/>
      <c r="CH259" s="187"/>
      <c r="CI259" s="187"/>
      <c r="CJ259" s="187"/>
      <c r="CK259" s="188"/>
      <c r="CL259" s="188"/>
      <c r="CM259" s="188"/>
      <c r="CN259" s="188"/>
      <c r="CO259" s="188"/>
      <c r="CP259" s="188"/>
      <c r="CQ259" s="188"/>
      <c r="CR259" s="188"/>
      <c r="CS259" s="188"/>
      <c r="CT259" s="188"/>
      <c r="CU259" s="188"/>
      <c r="CV259" s="188"/>
      <c r="CW259" s="188"/>
      <c r="CX259" s="188"/>
      <c r="CY259" s="188"/>
      <c r="CZ259" s="188"/>
      <c r="DA259" s="188"/>
      <c r="DB259" s="188"/>
      <c r="DC259" s="188"/>
      <c r="DD259" s="188"/>
      <c r="DE259" s="188"/>
    </row>
    <row r="260" spans="1:109" ht="12.75" customHeight="1" outlineLevel="1">
      <c r="A260" s="1"/>
      <c r="B260" s="49" t="s">
        <v>193</v>
      </c>
      <c r="C260" s="1"/>
      <c r="D260" s="1"/>
      <c r="E260" s="1"/>
      <c r="F260" s="188">
        <f t="shared" ref="F260:F265" si="1484">SUM(D260:E260)</f>
        <v>0</v>
      </c>
      <c r="G260" s="188"/>
      <c r="H260" s="188"/>
      <c r="I260" s="188">
        <f t="shared" ref="I260:I265" si="1485">SUM(G260:H260)</f>
        <v>0</v>
      </c>
      <c r="J260" s="188"/>
      <c r="K260" s="188"/>
      <c r="L260" s="188">
        <f t="shared" ref="L260:L265" si="1486">SUM(J260:K260)</f>
        <v>0</v>
      </c>
      <c r="M260" s="188"/>
      <c r="N260" s="188"/>
      <c r="O260" s="188">
        <f t="shared" ref="O260:O265" si="1487">SUM(M260:N260)</f>
        <v>0</v>
      </c>
      <c r="P260" s="188"/>
      <c r="Q260" s="188"/>
      <c r="R260" s="188">
        <f t="shared" ref="R260:R265" si="1488">SUM(P260:Q260)</f>
        <v>0</v>
      </c>
      <c r="S260" s="188"/>
      <c r="T260" s="188"/>
      <c r="U260" s="188">
        <f t="shared" ref="U260:U265" si="1489">SUM(S260:T260)</f>
        <v>0</v>
      </c>
      <c r="V260" s="188"/>
      <c r="W260" s="188"/>
      <c r="X260" s="188">
        <f t="shared" ref="X260:X265" si="1490">SUM(V260:W260)</f>
        <v>0</v>
      </c>
      <c r="Y260" s="188"/>
      <c r="Z260" s="188"/>
      <c r="AA260" s="188">
        <f t="shared" ref="AA260:AA265" si="1491">SUM(Y260:Z260)</f>
        <v>0</v>
      </c>
      <c r="AB260" s="188"/>
      <c r="AC260" s="188"/>
      <c r="AD260" s="188">
        <f t="shared" ref="AD260:AD265" si="1492">SUM(AB260:AC260)</f>
        <v>0</v>
      </c>
      <c r="AE260" s="188"/>
      <c r="AF260" s="188"/>
      <c r="AG260" s="188">
        <f t="shared" ref="AG260:AG265" si="1493">SUM(AE260:AF260)</f>
        <v>0</v>
      </c>
      <c r="AH260" s="188"/>
      <c r="AI260" s="188"/>
      <c r="AJ260" s="188">
        <f t="shared" ref="AJ260:AJ265" si="1494">SUM(AH260:AI260)</f>
        <v>0</v>
      </c>
      <c r="AK260" s="188"/>
      <c r="AL260" s="188"/>
      <c r="AM260" s="188">
        <f t="shared" ref="AM260:AM265" si="1495">SUM(AK260:AL260)</f>
        <v>0</v>
      </c>
      <c r="AN260" s="188"/>
      <c r="AO260" s="188"/>
      <c r="AP260" s="188">
        <f t="shared" ref="AP260:AP265" si="1496">SUM(AN260:AO260)</f>
        <v>0</v>
      </c>
      <c r="AQ260" s="188"/>
      <c r="AR260" s="188"/>
      <c r="AS260" s="188">
        <f t="shared" ref="AS260:AS265" si="1497">SUM(AQ260:AR260)</f>
        <v>0</v>
      </c>
      <c r="AT260" s="188"/>
      <c r="AU260" s="188"/>
      <c r="AV260" s="188">
        <f t="shared" ref="AV260:AV265" si="1498">SUM(AT260:AU260)</f>
        <v>0</v>
      </c>
      <c r="AW260" s="188"/>
      <c r="AX260" s="188"/>
      <c r="AY260" s="188">
        <f t="shared" ref="AY260:AY265" si="1499">SUM(AW260:AX260)</f>
        <v>0</v>
      </c>
      <c r="AZ260" s="188"/>
      <c r="BA260" s="188"/>
      <c r="BB260" s="188">
        <f t="shared" ref="BB260:BB265" si="1500">SUM(AZ260:BA260)</f>
        <v>0</v>
      </c>
      <c r="BC260" s="188"/>
      <c r="BD260" s="188"/>
      <c r="BE260" s="188">
        <f t="shared" ref="BE260:BE265" si="1501">SUM(BC260:BD260)</f>
        <v>0</v>
      </c>
      <c r="BF260" s="188"/>
      <c r="BG260" s="188"/>
      <c r="BH260" s="188">
        <f t="shared" ref="BH260:BH265" si="1502">SUM(BF260:BG260)</f>
        <v>0</v>
      </c>
      <c r="BI260" s="188"/>
      <c r="BJ260" s="188"/>
      <c r="BK260" s="188">
        <f t="shared" ref="BK260:BK265" si="1503">SUM(BI260:BJ260)</f>
        <v>0</v>
      </c>
      <c r="BL260" s="188"/>
      <c r="BM260" s="188"/>
      <c r="BN260" s="188">
        <f t="shared" ref="BN260:BN265" si="1504">SUM(BL260:BM260)</f>
        <v>0</v>
      </c>
      <c r="BO260" s="188"/>
      <c r="BP260" s="188"/>
      <c r="BQ260" s="188">
        <f t="shared" ref="BQ260:BQ265" si="1505">SUM(BO260:BP260)</f>
        <v>0</v>
      </c>
      <c r="BR260" s="188"/>
      <c r="BS260" s="188"/>
      <c r="BT260" s="188">
        <f t="shared" ref="BT260:BT265" si="1506">SUM(BR260:BS260)</f>
        <v>0</v>
      </c>
      <c r="BU260" s="188"/>
      <c r="BV260" s="188"/>
      <c r="BW260" s="188">
        <f t="shared" ref="BW260:BW265" si="1507">SUM(BU260:BV260)</f>
        <v>0</v>
      </c>
      <c r="BX260" s="188"/>
      <c r="BY260" s="188"/>
      <c r="BZ260" s="188">
        <f t="shared" ref="BZ260:BZ265" si="1508">SUM(BX260:BY260)</f>
        <v>0</v>
      </c>
      <c r="CA260" s="188"/>
      <c r="CB260" s="188"/>
      <c r="CC260" s="188">
        <f t="shared" ref="CC260:CC265" si="1509">SUM(CA260:CB260)</f>
        <v>0</v>
      </c>
      <c r="CD260" s="186"/>
      <c r="CE260" s="187"/>
      <c r="CF260" s="187"/>
      <c r="CG260" s="187"/>
      <c r="CH260" s="187"/>
      <c r="CI260" s="187"/>
      <c r="CJ260" s="187"/>
      <c r="CK260" s="188"/>
      <c r="CL260" s="188">
        <f t="shared" ref="CL260:CL265" si="1510">X260</f>
        <v>0</v>
      </c>
      <c r="CM260" s="188">
        <f t="shared" ref="CM260:CM265" si="1511">AA260</f>
        <v>0</v>
      </c>
      <c r="CN260" s="188">
        <f t="shared" ref="CN260:CN265" si="1512">AD260</f>
        <v>0</v>
      </c>
      <c r="CO260" s="188">
        <f t="shared" ref="CO260:CO265" si="1513">AG260</f>
        <v>0</v>
      </c>
      <c r="CP260" s="188">
        <f t="shared" ref="CP260:CP265" si="1514">AJ260</f>
        <v>0</v>
      </c>
      <c r="CQ260" s="188">
        <f t="shared" ref="CQ260:CQ265" si="1515">AM260</f>
        <v>0</v>
      </c>
      <c r="CR260" s="188">
        <f t="shared" ref="CR260:CR265" si="1516">AP260</f>
        <v>0</v>
      </c>
      <c r="CS260" s="188">
        <f t="shared" ref="CS260:CS265" si="1517">AS260</f>
        <v>0</v>
      </c>
      <c r="CT260" s="188">
        <f t="shared" ref="CT260:CT265" si="1518">AV260</f>
        <v>0</v>
      </c>
      <c r="CU260" s="188">
        <f t="shared" ref="CU260:CU265" si="1519">AY260</f>
        <v>0</v>
      </c>
      <c r="CV260" s="188">
        <f t="shared" ref="CV260:CV265" si="1520">BB260</f>
        <v>0</v>
      </c>
      <c r="CW260" s="188">
        <f t="shared" ref="CW260:CW265" si="1521">BE260</f>
        <v>0</v>
      </c>
      <c r="CX260" s="188">
        <f t="shared" ref="CX260:CX265" si="1522">BH260</f>
        <v>0</v>
      </c>
      <c r="CY260" s="188">
        <f t="shared" ref="CY260:CY265" si="1523">BK260</f>
        <v>0</v>
      </c>
      <c r="CZ260" s="188">
        <f t="shared" ref="CZ260:CZ265" si="1524">BN260</f>
        <v>0</v>
      </c>
      <c r="DA260" s="188">
        <f t="shared" ref="DA260:DA265" si="1525">BQ260</f>
        <v>0</v>
      </c>
      <c r="DB260" s="188">
        <f t="shared" ref="DB260:DB265" si="1526">BT260</f>
        <v>0</v>
      </c>
      <c r="DC260" s="188">
        <f t="shared" ref="DC260:DC265" si="1527">BW260</f>
        <v>0</v>
      </c>
      <c r="DD260" s="188">
        <f t="shared" ref="DD260:DD265" si="1528">BZ260</f>
        <v>0</v>
      </c>
      <c r="DE260" s="188">
        <f t="shared" ref="DE260:DE265" si="1529">CC260</f>
        <v>0</v>
      </c>
    </row>
    <row r="261" spans="1:109" ht="12.75" customHeight="1" outlineLevel="1">
      <c r="A261" s="1"/>
      <c r="B261" s="13" t="s">
        <v>185</v>
      </c>
      <c r="C261" s="1"/>
      <c r="D261" s="1"/>
      <c r="E261" s="1"/>
      <c r="F261" s="188">
        <f t="shared" si="1484"/>
        <v>0</v>
      </c>
      <c r="G261" s="188"/>
      <c r="H261" s="188"/>
      <c r="I261" s="188">
        <f t="shared" si="1485"/>
        <v>0</v>
      </c>
      <c r="J261" s="188"/>
      <c r="K261" s="188"/>
      <c r="L261" s="188">
        <f t="shared" si="1486"/>
        <v>0</v>
      </c>
      <c r="M261" s="188"/>
      <c r="N261" s="188"/>
      <c r="O261" s="188">
        <f t="shared" si="1487"/>
        <v>0</v>
      </c>
      <c r="P261" s="188"/>
      <c r="Q261" s="188"/>
      <c r="R261" s="188">
        <f t="shared" si="1488"/>
        <v>0</v>
      </c>
      <c r="S261" s="188"/>
      <c r="T261" s="188"/>
      <c r="U261" s="188">
        <f t="shared" si="1489"/>
        <v>0</v>
      </c>
      <c r="V261" s="188"/>
      <c r="W261" s="188"/>
      <c r="X261" s="188">
        <f t="shared" si="1490"/>
        <v>0</v>
      </c>
      <c r="Y261" s="188"/>
      <c r="Z261" s="188"/>
      <c r="AA261" s="188">
        <f t="shared" si="1491"/>
        <v>0</v>
      </c>
      <c r="AB261" s="188"/>
      <c r="AC261" s="188"/>
      <c r="AD261" s="188">
        <f t="shared" si="1492"/>
        <v>0</v>
      </c>
      <c r="AE261" s="188"/>
      <c r="AF261" s="188"/>
      <c r="AG261" s="188">
        <f t="shared" si="1493"/>
        <v>0</v>
      </c>
      <c r="AH261" s="188"/>
      <c r="AI261" s="188"/>
      <c r="AJ261" s="188">
        <f t="shared" si="1494"/>
        <v>0</v>
      </c>
      <c r="AK261" s="188"/>
      <c r="AL261" s="188"/>
      <c r="AM261" s="188">
        <f t="shared" si="1495"/>
        <v>0</v>
      </c>
      <c r="AN261" s="188"/>
      <c r="AO261" s="188"/>
      <c r="AP261" s="188">
        <f t="shared" si="1496"/>
        <v>0</v>
      </c>
      <c r="AQ261" s="188"/>
      <c r="AR261" s="188"/>
      <c r="AS261" s="188">
        <f t="shared" si="1497"/>
        <v>0</v>
      </c>
      <c r="AT261" s="188"/>
      <c r="AU261" s="188"/>
      <c r="AV261" s="188">
        <f t="shared" si="1498"/>
        <v>0</v>
      </c>
      <c r="AW261" s="188"/>
      <c r="AX261" s="188"/>
      <c r="AY261" s="188">
        <f t="shared" si="1499"/>
        <v>0</v>
      </c>
      <c r="AZ261" s="188"/>
      <c r="BA261" s="188"/>
      <c r="BB261" s="188">
        <f t="shared" si="1500"/>
        <v>0</v>
      </c>
      <c r="BC261" s="188"/>
      <c r="BD261" s="188"/>
      <c r="BE261" s="188">
        <f t="shared" si="1501"/>
        <v>0</v>
      </c>
      <c r="BF261" s="188"/>
      <c r="BG261" s="188"/>
      <c r="BH261" s="188">
        <f t="shared" si="1502"/>
        <v>0</v>
      </c>
      <c r="BI261" s="188"/>
      <c r="BJ261" s="188"/>
      <c r="BK261" s="188">
        <f t="shared" si="1503"/>
        <v>0</v>
      </c>
      <c r="BL261" s="188"/>
      <c r="BM261" s="188"/>
      <c r="BN261" s="188">
        <f t="shared" si="1504"/>
        <v>0</v>
      </c>
      <c r="BO261" s="188"/>
      <c r="BP261" s="188"/>
      <c r="BQ261" s="188">
        <f t="shared" si="1505"/>
        <v>0</v>
      </c>
      <c r="BR261" s="188"/>
      <c r="BS261" s="188"/>
      <c r="BT261" s="188">
        <f t="shared" si="1506"/>
        <v>0</v>
      </c>
      <c r="BU261" s="188"/>
      <c r="BV261" s="188"/>
      <c r="BW261" s="188">
        <f t="shared" si="1507"/>
        <v>0</v>
      </c>
      <c r="BX261" s="188"/>
      <c r="BY261" s="188"/>
      <c r="BZ261" s="188">
        <f t="shared" si="1508"/>
        <v>0</v>
      </c>
      <c r="CA261" s="188"/>
      <c r="CB261" s="188"/>
      <c r="CC261" s="188">
        <f t="shared" si="1509"/>
        <v>0</v>
      </c>
      <c r="CD261" s="186"/>
      <c r="CE261" s="187"/>
      <c r="CF261" s="187"/>
      <c r="CG261" s="187"/>
      <c r="CH261" s="187"/>
      <c r="CI261" s="187"/>
      <c r="CJ261" s="187"/>
      <c r="CK261" s="188"/>
      <c r="CL261" s="188">
        <f t="shared" si="1510"/>
        <v>0</v>
      </c>
      <c r="CM261" s="188">
        <f t="shared" si="1511"/>
        <v>0</v>
      </c>
      <c r="CN261" s="188">
        <f t="shared" si="1512"/>
        <v>0</v>
      </c>
      <c r="CO261" s="188">
        <f t="shared" si="1513"/>
        <v>0</v>
      </c>
      <c r="CP261" s="188">
        <f t="shared" si="1514"/>
        <v>0</v>
      </c>
      <c r="CQ261" s="188">
        <f t="shared" si="1515"/>
        <v>0</v>
      </c>
      <c r="CR261" s="188">
        <f t="shared" si="1516"/>
        <v>0</v>
      </c>
      <c r="CS261" s="188">
        <f t="shared" si="1517"/>
        <v>0</v>
      </c>
      <c r="CT261" s="188">
        <f t="shared" si="1518"/>
        <v>0</v>
      </c>
      <c r="CU261" s="188">
        <f t="shared" si="1519"/>
        <v>0</v>
      </c>
      <c r="CV261" s="188">
        <f t="shared" si="1520"/>
        <v>0</v>
      </c>
      <c r="CW261" s="188">
        <f t="shared" si="1521"/>
        <v>0</v>
      </c>
      <c r="CX261" s="188">
        <f t="shared" si="1522"/>
        <v>0</v>
      </c>
      <c r="CY261" s="188">
        <f t="shared" si="1523"/>
        <v>0</v>
      </c>
      <c r="CZ261" s="188">
        <f t="shared" si="1524"/>
        <v>0</v>
      </c>
      <c r="DA261" s="188">
        <f t="shared" si="1525"/>
        <v>0</v>
      </c>
      <c r="DB261" s="188">
        <f t="shared" si="1526"/>
        <v>0</v>
      </c>
      <c r="DC261" s="188">
        <f t="shared" si="1527"/>
        <v>0</v>
      </c>
      <c r="DD261" s="188">
        <f t="shared" si="1528"/>
        <v>0</v>
      </c>
      <c r="DE261" s="188">
        <f t="shared" si="1529"/>
        <v>0</v>
      </c>
    </row>
    <row r="262" spans="1:109" ht="12.75" customHeight="1" outlineLevel="1">
      <c r="A262" s="1"/>
      <c r="B262" s="13" t="s">
        <v>186</v>
      </c>
      <c r="C262" s="1"/>
      <c r="D262" s="1"/>
      <c r="E262" s="1"/>
      <c r="F262" s="188">
        <f t="shared" si="1484"/>
        <v>0</v>
      </c>
      <c r="G262" s="188"/>
      <c r="H262" s="188"/>
      <c r="I262" s="188">
        <f t="shared" si="1485"/>
        <v>0</v>
      </c>
      <c r="J262" s="188"/>
      <c r="K262" s="188"/>
      <c r="L262" s="188">
        <f t="shared" si="1486"/>
        <v>0</v>
      </c>
      <c r="M262" s="188"/>
      <c r="N262" s="188"/>
      <c r="O262" s="188">
        <f t="shared" si="1487"/>
        <v>0</v>
      </c>
      <c r="P262" s="188"/>
      <c r="Q262" s="188"/>
      <c r="R262" s="188">
        <f t="shared" si="1488"/>
        <v>0</v>
      </c>
      <c r="S262" s="188"/>
      <c r="T262" s="188"/>
      <c r="U262" s="188">
        <f t="shared" si="1489"/>
        <v>0</v>
      </c>
      <c r="V262" s="188"/>
      <c r="W262" s="188"/>
      <c r="X262" s="188">
        <f t="shared" si="1490"/>
        <v>0</v>
      </c>
      <c r="Y262" s="188"/>
      <c r="Z262" s="188"/>
      <c r="AA262" s="188">
        <f t="shared" si="1491"/>
        <v>0</v>
      </c>
      <c r="AB262" s="188"/>
      <c r="AC262" s="188"/>
      <c r="AD262" s="188">
        <f t="shared" si="1492"/>
        <v>0</v>
      </c>
      <c r="AE262" s="188"/>
      <c r="AF262" s="188"/>
      <c r="AG262" s="188">
        <f t="shared" si="1493"/>
        <v>0</v>
      </c>
      <c r="AH262" s="188"/>
      <c r="AI262" s="188"/>
      <c r="AJ262" s="188">
        <f t="shared" si="1494"/>
        <v>0</v>
      </c>
      <c r="AK262" s="188"/>
      <c r="AL262" s="188"/>
      <c r="AM262" s="188">
        <f t="shared" si="1495"/>
        <v>0</v>
      </c>
      <c r="AN262" s="188"/>
      <c r="AO262" s="188"/>
      <c r="AP262" s="188">
        <f t="shared" si="1496"/>
        <v>0</v>
      </c>
      <c r="AQ262" s="188"/>
      <c r="AR262" s="188"/>
      <c r="AS262" s="188">
        <f t="shared" si="1497"/>
        <v>0</v>
      </c>
      <c r="AT262" s="188"/>
      <c r="AU262" s="188"/>
      <c r="AV262" s="188">
        <f t="shared" si="1498"/>
        <v>0</v>
      </c>
      <c r="AW262" s="188"/>
      <c r="AX262" s="188"/>
      <c r="AY262" s="188">
        <f t="shared" si="1499"/>
        <v>0</v>
      </c>
      <c r="AZ262" s="188"/>
      <c r="BA262" s="188"/>
      <c r="BB262" s="188">
        <f t="shared" si="1500"/>
        <v>0</v>
      </c>
      <c r="BC262" s="188"/>
      <c r="BD262" s="188"/>
      <c r="BE262" s="188">
        <f t="shared" si="1501"/>
        <v>0</v>
      </c>
      <c r="BF262" s="188"/>
      <c r="BG262" s="188"/>
      <c r="BH262" s="188">
        <f t="shared" si="1502"/>
        <v>0</v>
      </c>
      <c r="BI262" s="188"/>
      <c r="BJ262" s="188"/>
      <c r="BK262" s="188">
        <f t="shared" si="1503"/>
        <v>0</v>
      </c>
      <c r="BL262" s="188"/>
      <c r="BM262" s="188"/>
      <c r="BN262" s="188">
        <f t="shared" si="1504"/>
        <v>0</v>
      </c>
      <c r="BO262" s="188"/>
      <c r="BP262" s="188"/>
      <c r="BQ262" s="188">
        <f t="shared" si="1505"/>
        <v>0</v>
      </c>
      <c r="BR262" s="188"/>
      <c r="BS262" s="188"/>
      <c r="BT262" s="188">
        <f t="shared" si="1506"/>
        <v>0</v>
      </c>
      <c r="BU262" s="188"/>
      <c r="BV262" s="188"/>
      <c r="BW262" s="188">
        <f t="shared" si="1507"/>
        <v>0</v>
      </c>
      <c r="BX262" s="188"/>
      <c r="BY262" s="188"/>
      <c r="BZ262" s="188">
        <f t="shared" si="1508"/>
        <v>0</v>
      </c>
      <c r="CA262" s="188"/>
      <c r="CB262" s="188"/>
      <c r="CC262" s="188">
        <f t="shared" si="1509"/>
        <v>0</v>
      </c>
      <c r="CD262" s="186"/>
      <c r="CE262" s="187"/>
      <c r="CF262" s="187"/>
      <c r="CG262" s="187"/>
      <c r="CH262" s="187"/>
      <c r="CI262" s="187"/>
      <c r="CJ262" s="187"/>
      <c r="CK262" s="188"/>
      <c r="CL262" s="188">
        <f t="shared" si="1510"/>
        <v>0</v>
      </c>
      <c r="CM262" s="188">
        <f t="shared" si="1511"/>
        <v>0</v>
      </c>
      <c r="CN262" s="188">
        <f t="shared" si="1512"/>
        <v>0</v>
      </c>
      <c r="CO262" s="188">
        <f t="shared" si="1513"/>
        <v>0</v>
      </c>
      <c r="CP262" s="188">
        <f t="shared" si="1514"/>
        <v>0</v>
      </c>
      <c r="CQ262" s="188">
        <f t="shared" si="1515"/>
        <v>0</v>
      </c>
      <c r="CR262" s="188">
        <f t="shared" si="1516"/>
        <v>0</v>
      </c>
      <c r="CS262" s="188">
        <f t="shared" si="1517"/>
        <v>0</v>
      </c>
      <c r="CT262" s="188">
        <f t="shared" si="1518"/>
        <v>0</v>
      </c>
      <c r="CU262" s="188">
        <f t="shared" si="1519"/>
        <v>0</v>
      </c>
      <c r="CV262" s="188">
        <f t="shared" si="1520"/>
        <v>0</v>
      </c>
      <c r="CW262" s="188">
        <f t="shared" si="1521"/>
        <v>0</v>
      </c>
      <c r="CX262" s="188">
        <f t="shared" si="1522"/>
        <v>0</v>
      </c>
      <c r="CY262" s="188">
        <f t="shared" si="1523"/>
        <v>0</v>
      </c>
      <c r="CZ262" s="188">
        <f t="shared" si="1524"/>
        <v>0</v>
      </c>
      <c r="DA262" s="188">
        <f t="shared" si="1525"/>
        <v>0</v>
      </c>
      <c r="DB262" s="188">
        <f t="shared" si="1526"/>
        <v>0</v>
      </c>
      <c r="DC262" s="188">
        <f t="shared" si="1527"/>
        <v>0</v>
      </c>
      <c r="DD262" s="188">
        <f t="shared" si="1528"/>
        <v>0</v>
      </c>
      <c r="DE262" s="188">
        <f t="shared" si="1529"/>
        <v>0</v>
      </c>
    </row>
    <row r="263" spans="1:109" ht="12.75" customHeight="1" outlineLevel="1">
      <c r="A263" s="1"/>
      <c r="B263" s="13" t="s">
        <v>187</v>
      </c>
      <c r="C263" s="1"/>
      <c r="D263" s="1"/>
      <c r="E263" s="1"/>
      <c r="F263" s="188">
        <f t="shared" si="1484"/>
        <v>0</v>
      </c>
      <c r="G263" s="188"/>
      <c r="H263" s="188"/>
      <c r="I263" s="188">
        <f t="shared" si="1485"/>
        <v>0</v>
      </c>
      <c r="J263" s="188"/>
      <c r="K263" s="188"/>
      <c r="L263" s="188">
        <f t="shared" si="1486"/>
        <v>0</v>
      </c>
      <c r="M263" s="188"/>
      <c r="N263" s="188"/>
      <c r="O263" s="188">
        <f t="shared" si="1487"/>
        <v>0</v>
      </c>
      <c r="P263" s="188"/>
      <c r="Q263" s="188"/>
      <c r="R263" s="188">
        <f t="shared" si="1488"/>
        <v>0</v>
      </c>
      <c r="S263" s="188"/>
      <c r="T263" s="188"/>
      <c r="U263" s="188">
        <f t="shared" si="1489"/>
        <v>0</v>
      </c>
      <c r="V263" s="188"/>
      <c r="W263" s="188"/>
      <c r="X263" s="188">
        <f t="shared" si="1490"/>
        <v>0</v>
      </c>
      <c r="Y263" s="188"/>
      <c r="Z263" s="188"/>
      <c r="AA263" s="188">
        <f t="shared" si="1491"/>
        <v>0</v>
      </c>
      <c r="AB263" s="188"/>
      <c r="AC263" s="188"/>
      <c r="AD263" s="188">
        <f t="shared" si="1492"/>
        <v>0</v>
      </c>
      <c r="AE263" s="188"/>
      <c r="AF263" s="188"/>
      <c r="AG263" s="188">
        <f t="shared" si="1493"/>
        <v>0</v>
      </c>
      <c r="AH263" s="188"/>
      <c r="AI263" s="188"/>
      <c r="AJ263" s="188">
        <f t="shared" si="1494"/>
        <v>0</v>
      </c>
      <c r="AK263" s="188"/>
      <c r="AL263" s="188"/>
      <c r="AM263" s="188">
        <f t="shared" si="1495"/>
        <v>0</v>
      </c>
      <c r="AN263" s="188"/>
      <c r="AO263" s="188"/>
      <c r="AP263" s="188">
        <f t="shared" si="1496"/>
        <v>0</v>
      </c>
      <c r="AQ263" s="188"/>
      <c r="AR263" s="188"/>
      <c r="AS263" s="188">
        <f t="shared" si="1497"/>
        <v>0</v>
      </c>
      <c r="AT263" s="188"/>
      <c r="AU263" s="188"/>
      <c r="AV263" s="188">
        <f t="shared" si="1498"/>
        <v>0</v>
      </c>
      <c r="AW263" s="188"/>
      <c r="AX263" s="188"/>
      <c r="AY263" s="188">
        <f t="shared" si="1499"/>
        <v>0</v>
      </c>
      <c r="AZ263" s="188"/>
      <c r="BA263" s="188"/>
      <c r="BB263" s="188">
        <f t="shared" si="1500"/>
        <v>0</v>
      </c>
      <c r="BC263" s="188"/>
      <c r="BD263" s="188"/>
      <c r="BE263" s="188">
        <f t="shared" si="1501"/>
        <v>0</v>
      </c>
      <c r="BF263" s="188"/>
      <c r="BG263" s="188"/>
      <c r="BH263" s="188">
        <f t="shared" si="1502"/>
        <v>0</v>
      </c>
      <c r="BI263" s="188"/>
      <c r="BJ263" s="188"/>
      <c r="BK263" s="188">
        <f t="shared" si="1503"/>
        <v>0</v>
      </c>
      <c r="BL263" s="188"/>
      <c r="BM263" s="188"/>
      <c r="BN263" s="188">
        <f t="shared" si="1504"/>
        <v>0</v>
      </c>
      <c r="BO263" s="188"/>
      <c r="BP263" s="188"/>
      <c r="BQ263" s="188">
        <f t="shared" si="1505"/>
        <v>0</v>
      </c>
      <c r="BR263" s="188"/>
      <c r="BS263" s="188"/>
      <c r="BT263" s="188">
        <f t="shared" si="1506"/>
        <v>0</v>
      </c>
      <c r="BU263" s="188"/>
      <c r="BV263" s="188"/>
      <c r="BW263" s="188">
        <f t="shared" si="1507"/>
        <v>0</v>
      </c>
      <c r="BX263" s="188"/>
      <c r="BY263" s="188"/>
      <c r="BZ263" s="188">
        <f t="shared" si="1508"/>
        <v>0</v>
      </c>
      <c r="CA263" s="188"/>
      <c r="CB263" s="188"/>
      <c r="CC263" s="188">
        <f t="shared" si="1509"/>
        <v>0</v>
      </c>
      <c r="CD263" s="186"/>
      <c r="CE263" s="187"/>
      <c r="CF263" s="187"/>
      <c r="CG263" s="187"/>
      <c r="CH263" s="187"/>
      <c r="CI263" s="187"/>
      <c r="CJ263" s="187"/>
      <c r="CK263" s="188"/>
      <c r="CL263" s="188">
        <f t="shared" si="1510"/>
        <v>0</v>
      </c>
      <c r="CM263" s="188">
        <f t="shared" si="1511"/>
        <v>0</v>
      </c>
      <c r="CN263" s="188">
        <f t="shared" si="1512"/>
        <v>0</v>
      </c>
      <c r="CO263" s="188">
        <f t="shared" si="1513"/>
        <v>0</v>
      </c>
      <c r="CP263" s="188">
        <f t="shared" si="1514"/>
        <v>0</v>
      </c>
      <c r="CQ263" s="188">
        <f t="shared" si="1515"/>
        <v>0</v>
      </c>
      <c r="CR263" s="188">
        <f t="shared" si="1516"/>
        <v>0</v>
      </c>
      <c r="CS263" s="188">
        <f t="shared" si="1517"/>
        <v>0</v>
      </c>
      <c r="CT263" s="188">
        <f t="shared" si="1518"/>
        <v>0</v>
      </c>
      <c r="CU263" s="188">
        <f t="shared" si="1519"/>
        <v>0</v>
      </c>
      <c r="CV263" s="188">
        <f t="shared" si="1520"/>
        <v>0</v>
      </c>
      <c r="CW263" s="188">
        <f t="shared" si="1521"/>
        <v>0</v>
      </c>
      <c r="CX263" s="188">
        <f t="shared" si="1522"/>
        <v>0</v>
      </c>
      <c r="CY263" s="188">
        <f t="shared" si="1523"/>
        <v>0</v>
      </c>
      <c r="CZ263" s="188">
        <f t="shared" si="1524"/>
        <v>0</v>
      </c>
      <c r="DA263" s="188">
        <f t="shared" si="1525"/>
        <v>0</v>
      </c>
      <c r="DB263" s="188">
        <f t="shared" si="1526"/>
        <v>0</v>
      </c>
      <c r="DC263" s="188">
        <f t="shared" si="1527"/>
        <v>0</v>
      </c>
      <c r="DD263" s="188">
        <f t="shared" si="1528"/>
        <v>0</v>
      </c>
      <c r="DE263" s="188">
        <f t="shared" si="1529"/>
        <v>0</v>
      </c>
    </row>
    <row r="264" spans="1:109" ht="12.75" customHeight="1" outlineLevel="1">
      <c r="A264" s="1"/>
      <c r="B264" s="13" t="s">
        <v>192</v>
      </c>
      <c r="C264" s="1"/>
      <c r="D264" s="1"/>
      <c r="E264" s="1"/>
      <c r="F264" s="188">
        <f t="shared" si="1484"/>
        <v>0</v>
      </c>
      <c r="G264" s="188"/>
      <c r="H264" s="188"/>
      <c r="I264" s="188">
        <f t="shared" si="1485"/>
        <v>0</v>
      </c>
      <c r="J264" s="188"/>
      <c r="K264" s="188"/>
      <c r="L264" s="188">
        <f t="shared" si="1486"/>
        <v>0</v>
      </c>
      <c r="M264" s="188"/>
      <c r="N264" s="188"/>
      <c r="O264" s="188">
        <f t="shared" si="1487"/>
        <v>0</v>
      </c>
      <c r="P264" s="188"/>
      <c r="Q264" s="188"/>
      <c r="R264" s="188">
        <f t="shared" si="1488"/>
        <v>0</v>
      </c>
      <c r="S264" s="188"/>
      <c r="T264" s="188"/>
      <c r="U264" s="188">
        <f t="shared" si="1489"/>
        <v>0</v>
      </c>
      <c r="V264" s="188"/>
      <c r="W264" s="188"/>
      <c r="X264" s="188">
        <f t="shared" si="1490"/>
        <v>0</v>
      </c>
      <c r="Y264" s="188"/>
      <c r="Z264" s="188"/>
      <c r="AA264" s="188">
        <f t="shared" si="1491"/>
        <v>0</v>
      </c>
      <c r="AB264" s="188"/>
      <c r="AC264" s="188"/>
      <c r="AD264" s="188">
        <f t="shared" si="1492"/>
        <v>0</v>
      </c>
      <c r="AE264" s="188"/>
      <c r="AF264" s="188"/>
      <c r="AG264" s="188">
        <f t="shared" si="1493"/>
        <v>0</v>
      </c>
      <c r="AH264" s="188"/>
      <c r="AI264" s="188"/>
      <c r="AJ264" s="188">
        <f t="shared" si="1494"/>
        <v>0</v>
      </c>
      <c r="AK264" s="188"/>
      <c r="AL264" s="188"/>
      <c r="AM264" s="188">
        <f t="shared" si="1495"/>
        <v>0</v>
      </c>
      <c r="AN264" s="188"/>
      <c r="AO264" s="188"/>
      <c r="AP264" s="188">
        <f t="shared" si="1496"/>
        <v>0</v>
      </c>
      <c r="AQ264" s="188"/>
      <c r="AR264" s="188"/>
      <c r="AS264" s="188">
        <f t="shared" si="1497"/>
        <v>0</v>
      </c>
      <c r="AT264" s="188"/>
      <c r="AU264" s="188"/>
      <c r="AV264" s="188">
        <f t="shared" si="1498"/>
        <v>0</v>
      </c>
      <c r="AW264" s="188"/>
      <c r="AX264" s="188"/>
      <c r="AY264" s="188">
        <f t="shared" si="1499"/>
        <v>0</v>
      </c>
      <c r="AZ264" s="188"/>
      <c r="BA264" s="188"/>
      <c r="BB264" s="188">
        <f t="shared" si="1500"/>
        <v>0</v>
      </c>
      <c r="BC264" s="188"/>
      <c r="BD264" s="188"/>
      <c r="BE264" s="188">
        <f t="shared" si="1501"/>
        <v>0</v>
      </c>
      <c r="BF264" s="188"/>
      <c r="BG264" s="188"/>
      <c r="BH264" s="188">
        <f t="shared" si="1502"/>
        <v>0</v>
      </c>
      <c r="BI264" s="188"/>
      <c r="BJ264" s="188"/>
      <c r="BK264" s="188">
        <f t="shared" si="1503"/>
        <v>0</v>
      </c>
      <c r="BL264" s="188"/>
      <c r="BM264" s="188"/>
      <c r="BN264" s="188">
        <f t="shared" si="1504"/>
        <v>0</v>
      </c>
      <c r="BO264" s="188"/>
      <c r="BP264" s="188"/>
      <c r="BQ264" s="188">
        <f t="shared" si="1505"/>
        <v>0</v>
      </c>
      <c r="BR264" s="188"/>
      <c r="BS264" s="188"/>
      <c r="BT264" s="188">
        <f t="shared" si="1506"/>
        <v>0</v>
      </c>
      <c r="BU264" s="188"/>
      <c r="BV264" s="188"/>
      <c r="BW264" s="188">
        <f t="shared" si="1507"/>
        <v>0</v>
      </c>
      <c r="BX264" s="188"/>
      <c r="BY264" s="188"/>
      <c r="BZ264" s="188">
        <f t="shared" si="1508"/>
        <v>0</v>
      </c>
      <c r="CA264" s="188"/>
      <c r="CB264" s="188"/>
      <c r="CC264" s="188">
        <f t="shared" si="1509"/>
        <v>0</v>
      </c>
      <c r="CD264" s="186"/>
      <c r="CE264" s="187"/>
      <c r="CF264" s="187"/>
      <c r="CG264" s="187"/>
      <c r="CH264" s="187"/>
      <c r="CI264" s="187"/>
      <c r="CJ264" s="187"/>
      <c r="CK264" s="188"/>
      <c r="CL264" s="188">
        <f t="shared" si="1510"/>
        <v>0</v>
      </c>
      <c r="CM264" s="188">
        <f t="shared" si="1511"/>
        <v>0</v>
      </c>
      <c r="CN264" s="188">
        <f t="shared" si="1512"/>
        <v>0</v>
      </c>
      <c r="CO264" s="188">
        <f t="shared" si="1513"/>
        <v>0</v>
      </c>
      <c r="CP264" s="188">
        <f t="shared" si="1514"/>
        <v>0</v>
      </c>
      <c r="CQ264" s="188">
        <f t="shared" si="1515"/>
        <v>0</v>
      </c>
      <c r="CR264" s="188">
        <f t="shared" si="1516"/>
        <v>0</v>
      </c>
      <c r="CS264" s="188">
        <f t="shared" si="1517"/>
        <v>0</v>
      </c>
      <c r="CT264" s="188">
        <f t="shared" si="1518"/>
        <v>0</v>
      </c>
      <c r="CU264" s="188">
        <f t="shared" si="1519"/>
        <v>0</v>
      </c>
      <c r="CV264" s="188">
        <f t="shared" si="1520"/>
        <v>0</v>
      </c>
      <c r="CW264" s="188">
        <f t="shared" si="1521"/>
        <v>0</v>
      </c>
      <c r="CX264" s="188">
        <f t="shared" si="1522"/>
        <v>0</v>
      </c>
      <c r="CY264" s="188">
        <f t="shared" si="1523"/>
        <v>0</v>
      </c>
      <c r="CZ264" s="188">
        <f t="shared" si="1524"/>
        <v>0</v>
      </c>
      <c r="DA264" s="188">
        <f t="shared" si="1525"/>
        <v>0</v>
      </c>
      <c r="DB264" s="188">
        <f t="shared" si="1526"/>
        <v>0</v>
      </c>
      <c r="DC264" s="188">
        <f t="shared" si="1527"/>
        <v>0</v>
      </c>
      <c r="DD264" s="188">
        <f t="shared" si="1528"/>
        <v>0</v>
      </c>
      <c r="DE264" s="188">
        <f t="shared" si="1529"/>
        <v>0</v>
      </c>
    </row>
    <row r="265" spans="1:109" ht="12.75" customHeight="1" outlineLevel="1">
      <c r="A265" s="1"/>
      <c r="B265" s="13" t="s">
        <v>189</v>
      </c>
      <c r="C265" s="1"/>
      <c r="D265" s="1"/>
      <c r="E265" s="1"/>
      <c r="F265" s="188">
        <f t="shared" si="1484"/>
        <v>0</v>
      </c>
      <c r="G265" s="188"/>
      <c r="H265" s="188"/>
      <c r="I265" s="188">
        <f t="shared" si="1485"/>
        <v>0</v>
      </c>
      <c r="J265" s="188"/>
      <c r="K265" s="188"/>
      <c r="L265" s="188">
        <f t="shared" si="1486"/>
        <v>0</v>
      </c>
      <c r="M265" s="188"/>
      <c r="N265" s="188"/>
      <c r="O265" s="188">
        <f t="shared" si="1487"/>
        <v>0</v>
      </c>
      <c r="P265" s="188"/>
      <c r="Q265" s="188"/>
      <c r="R265" s="188">
        <f t="shared" si="1488"/>
        <v>0</v>
      </c>
      <c r="S265" s="188"/>
      <c r="T265" s="188"/>
      <c r="U265" s="188">
        <f t="shared" si="1489"/>
        <v>0</v>
      </c>
      <c r="V265" s="188"/>
      <c r="W265" s="188"/>
      <c r="X265" s="188">
        <f t="shared" si="1490"/>
        <v>0</v>
      </c>
      <c r="Y265" s="188"/>
      <c r="Z265" s="188"/>
      <c r="AA265" s="188">
        <f t="shared" si="1491"/>
        <v>0</v>
      </c>
      <c r="AB265" s="188"/>
      <c r="AC265" s="188"/>
      <c r="AD265" s="188">
        <f t="shared" si="1492"/>
        <v>0</v>
      </c>
      <c r="AE265" s="188"/>
      <c r="AF265" s="188"/>
      <c r="AG265" s="188">
        <f t="shared" si="1493"/>
        <v>0</v>
      </c>
      <c r="AH265" s="188"/>
      <c r="AI265" s="188"/>
      <c r="AJ265" s="188">
        <f t="shared" si="1494"/>
        <v>0</v>
      </c>
      <c r="AK265" s="188"/>
      <c r="AL265" s="188"/>
      <c r="AM265" s="188">
        <f t="shared" si="1495"/>
        <v>0</v>
      </c>
      <c r="AN265" s="188"/>
      <c r="AO265" s="188"/>
      <c r="AP265" s="188">
        <f t="shared" si="1496"/>
        <v>0</v>
      </c>
      <c r="AQ265" s="188"/>
      <c r="AR265" s="188"/>
      <c r="AS265" s="188">
        <f t="shared" si="1497"/>
        <v>0</v>
      </c>
      <c r="AT265" s="188"/>
      <c r="AU265" s="188"/>
      <c r="AV265" s="188">
        <f t="shared" si="1498"/>
        <v>0</v>
      </c>
      <c r="AW265" s="188"/>
      <c r="AX265" s="188"/>
      <c r="AY265" s="188">
        <f t="shared" si="1499"/>
        <v>0</v>
      </c>
      <c r="AZ265" s="188"/>
      <c r="BA265" s="188"/>
      <c r="BB265" s="188">
        <f t="shared" si="1500"/>
        <v>0</v>
      </c>
      <c r="BC265" s="188"/>
      <c r="BD265" s="188"/>
      <c r="BE265" s="188">
        <f t="shared" si="1501"/>
        <v>0</v>
      </c>
      <c r="BF265" s="188"/>
      <c r="BG265" s="188"/>
      <c r="BH265" s="188">
        <f t="shared" si="1502"/>
        <v>0</v>
      </c>
      <c r="BI265" s="188"/>
      <c r="BJ265" s="188"/>
      <c r="BK265" s="188">
        <f t="shared" si="1503"/>
        <v>0</v>
      </c>
      <c r="BL265" s="188"/>
      <c r="BM265" s="188"/>
      <c r="BN265" s="188">
        <f t="shared" si="1504"/>
        <v>0</v>
      </c>
      <c r="BO265" s="188"/>
      <c r="BP265" s="188"/>
      <c r="BQ265" s="188">
        <f t="shared" si="1505"/>
        <v>0</v>
      </c>
      <c r="BR265" s="188"/>
      <c r="BS265" s="188"/>
      <c r="BT265" s="188">
        <f t="shared" si="1506"/>
        <v>0</v>
      </c>
      <c r="BU265" s="188"/>
      <c r="BV265" s="188"/>
      <c r="BW265" s="188">
        <f t="shared" si="1507"/>
        <v>0</v>
      </c>
      <c r="BX265" s="188"/>
      <c r="BY265" s="188"/>
      <c r="BZ265" s="188">
        <f t="shared" si="1508"/>
        <v>0</v>
      </c>
      <c r="CA265" s="188"/>
      <c r="CB265" s="188"/>
      <c r="CC265" s="188">
        <f t="shared" si="1509"/>
        <v>0</v>
      </c>
      <c r="CD265" s="186"/>
      <c r="CE265" s="187"/>
      <c r="CF265" s="187"/>
      <c r="CG265" s="187"/>
      <c r="CH265" s="187"/>
      <c r="CI265" s="187"/>
      <c r="CJ265" s="187"/>
      <c r="CK265" s="188"/>
      <c r="CL265" s="188">
        <f t="shared" si="1510"/>
        <v>0</v>
      </c>
      <c r="CM265" s="188">
        <f t="shared" si="1511"/>
        <v>0</v>
      </c>
      <c r="CN265" s="188">
        <f t="shared" si="1512"/>
        <v>0</v>
      </c>
      <c r="CO265" s="188">
        <f t="shared" si="1513"/>
        <v>0</v>
      </c>
      <c r="CP265" s="188">
        <f t="shared" si="1514"/>
        <v>0</v>
      </c>
      <c r="CQ265" s="188">
        <f t="shared" si="1515"/>
        <v>0</v>
      </c>
      <c r="CR265" s="188">
        <f t="shared" si="1516"/>
        <v>0</v>
      </c>
      <c r="CS265" s="188">
        <f t="shared" si="1517"/>
        <v>0</v>
      </c>
      <c r="CT265" s="188">
        <f t="shared" si="1518"/>
        <v>0</v>
      </c>
      <c r="CU265" s="188">
        <f t="shared" si="1519"/>
        <v>0</v>
      </c>
      <c r="CV265" s="188">
        <f t="shared" si="1520"/>
        <v>0</v>
      </c>
      <c r="CW265" s="188">
        <f t="shared" si="1521"/>
        <v>0</v>
      </c>
      <c r="CX265" s="188">
        <f t="shared" si="1522"/>
        <v>0</v>
      </c>
      <c r="CY265" s="188">
        <f t="shared" si="1523"/>
        <v>0</v>
      </c>
      <c r="CZ265" s="188">
        <f t="shared" si="1524"/>
        <v>0</v>
      </c>
      <c r="DA265" s="188">
        <f t="shared" si="1525"/>
        <v>0</v>
      </c>
      <c r="DB265" s="188">
        <f t="shared" si="1526"/>
        <v>0</v>
      </c>
      <c r="DC265" s="188">
        <f t="shared" si="1527"/>
        <v>0</v>
      </c>
      <c r="DD265" s="188">
        <f t="shared" si="1528"/>
        <v>0</v>
      </c>
      <c r="DE265" s="188">
        <f t="shared" si="1529"/>
        <v>0</v>
      </c>
    </row>
    <row r="266" spans="1:109" ht="12.75" customHeight="1" outlineLevel="1">
      <c r="A266" s="1"/>
      <c r="B266" s="13"/>
      <c r="C266" s="1"/>
      <c r="D266" s="1"/>
      <c r="E266" s="1"/>
      <c r="F266" s="188"/>
      <c r="G266" s="188"/>
      <c r="H266" s="188"/>
      <c r="I266" s="188"/>
      <c r="J266" s="188"/>
      <c r="K266" s="188"/>
      <c r="L266" s="188"/>
      <c r="M266" s="188"/>
      <c r="N266" s="188"/>
      <c r="O266" s="188"/>
      <c r="P266" s="188"/>
      <c r="Q266" s="188"/>
      <c r="R266" s="188"/>
      <c r="S266" s="188"/>
      <c r="T266" s="188"/>
      <c r="U266" s="188"/>
      <c r="V266" s="188"/>
      <c r="W266" s="188"/>
      <c r="X266" s="188"/>
      <c r="Y266" s="188"/>
      <c r="Z266" s="188"/>
      <c r="AA266" s="188"/>
      <c r="AB266" s="188"/>
      <c r="AC266" s="188"/>
      <c r="AD266" s="188"/>
      <c r="AE266" s="188"/>
      <c r="AF266" s="188"/>
      <c r="AG266" s="188"/>
      <c r="AH266" s="188"/>
      <c r="AI266" s="188"/>
      <c r="AJ266" s="188"/>
      <c r="AK266" s="188"/>
      <c r="AL266" s="188"/>
      <c r="AM266" s="188"/>
      <c r="AN266" s="188"/>
      <c r="AO266" s="188"/>
      <c r="AP266" s="188"/>
      <c r="AQ266" s="188"/>
      <c r="AR266" s="188"/>
      <c r="AS266" s="188"/>
      <c r="AT266" s="188"/>
      <c r="AU266" s="188"/>
      <c r="AV266" s="188"/>
      <c r="AW266" s="188"/>
      <c r="AX266" s="188"/>
      <c r="AY266" s="188"/>
      <c r="AZ266" s="188"/>
      <c r="BA266" s="188"/>
      <c r="BB266" s="188"/>
      <c r="BC266" s="188"/>
      <c r="BD266" s="188"/>
      <c r="BE266" s="188"/>
      <c r="BF266" s="188"/>
      <c r="BG266" s="188"/>
      <c r="BH266" s="188"/>
      <c r="BI266" s="188"/>
      <c r="BJ266" s="188"/>
      <c r="BK266" s="188"/>
      <c r="BL266" s="188"/>
      <c r="BM266" s="188"/>
      <c r="BN266" s="188"/>
      <c r="BO266" s="188"/>
      <c r="BP266" s="188"/>
      <c r="BQ266" s="188"/>
      <c r="BR266" s="188"/>
      <c r="BS266" s="188"/>
      <c r="BT266" s="188"/>
      <c r="BU266" s="188"/>
      <c r="BV266" s="188"/>
      <c r="BW266" s="188"/>
      <c r="BX266" s="188"/>
      <c r="BY266" s="188"/>
      <c r="BZ266" s="188"/>
      <c r="CA266" s="188"/>
      <c r="CB266" s="188"/>
      <c r="CC266" s="188"/>
      <c r="CD266" s="186"/>
      <c r="CE266" s="187"/>
      <c r="CF266" s="187"/>
      <c r="CG266" s="187"/>
      <c r="CH266" s="187"/>
      <c r="CI266" s="187"/>
      <c r="CJ266" s="187"/>
      <c r="CK266" s="188"/>
      <c r="CL266" s="188"/>
      <c r="CM266" s="188"/>
      <c r="CN266" s="188"/>
      <c r="CO266" s="188"/>
      <c r="CP266" s="188"/>
      <c r="CQ266" s="188"/>
      <c r="CR266" s="188"/>
      <c r="CS266" s="188"/>
      <c r="CT266" s="188"/>
      <c r="CU266" s="188"/>
      <c r="CV266" s="188"/>
      <c r="CW266" s="188"/>
      <c r="CX266" s="188"/>
      <c r="CY266" s="188"/>
      <c r="CZ266" s="188"/>
      <c r="DA266" s="188"/>
      <c r="DB266" s="188"/>
      <c r="DC266" s="188"/>
      <c r="DD266" s="188"/>
      <c r="DE266" s="188"/>
    </row>
    <row r="267" spans="1:109" ht="12.75" customHeight="1" outlineLevel="1">
      <c r="A267" s="1"/>
      <c r="B267" s="49" t="s">
        <v>194</v>
      </c>
      <c r="C267" s="1"/>
      <c r="D267" s="1"/>
      <c r="E267" s="1"/>
      <c r="F267" s="188">
        <f t="shared" ref="F267:F272" si="1530">SUM(D267:E267)</f>
        <v>0</v>
      </c>
      <c r="G267" s="188"/>
      <c r="H267" s="188"/>
      <c r="I267" s="188">
        <f t="shared" ref="I267:I272" si="1531">SUM(G267:H267)</f>
        <v>0</v>
      </c>
      <c r="J267" s="188"/>
      <c r="K267" s="188"/>
      <c r="L267" s="188">
        <f t="shared" ref="L267:L272" si="1532">SUM(J267:K267)</f>
        <v>0</v>
      </c>
      <c r="M267" s="188"/>
      <c r="N267" s="188"/>
      <c r="O267" s="188">
        <f t="shared" ref="O267:O272" si="1533">SUM(M267:N267)</f>
        <v>0</v>
      </c>
      <c r="P267" s="188"/>
      <c r="Q267" s="188"/>
      <c r="R267" s="188">
        <f t="shared" ref="R267:R272" si="1534">SUM(P267:Q267)</f>
        <v>0</v>
      </c>
      <c r="S267" s="188"/>
      <c r="T267" s="188"/>
      <c r="U267" s="188">
        <f t="shared" ref="U267:U272" si="1535">SUM(S267:T267)</f>
        <v>0</v>
      </c>
      <c r="V267" s="188"/>
      <c r="W267" s="188"/>
      <c r="X267" s="188">
        <f t="shared" ref="X267:X272" si="1536">SUM(V267:W267)</f>
        <v>0</v>
      </c>
      <c r="Y267" s="188"/>
      <c r="Z267" s="188"/>
      <c r="AA267" s="188">
        <f t="shared" ref="AA267:AA272" si="1537">SUM(Y267:Z267)</f>
        <v>0</v>
      </c>
      <c r="AB267" s="188"/>
      <c r="AC267" s="188"/>
      <c r="AD267" s="188">
        <f t="shared" ref="AD267:AD272" si="1538">SUM(AB267:AC267)</f>
        <v>0</v>
      </c>
      <c r="AE267" s="188"/>
      <c r="AF267" s="188"/>
      <c r="AG267" s="188">
        <f t="shared" ref="AG267:AG272" si="1539">SUM(AE267:AF267)</f>
        <v>0</v>
      </c>
      <c r="AH267" s="188"/>
      <c r="AI267" s="188"/>
      <c r="AJ267" s="188">
        <f t="shared" ref="AJ267:AJ272" si="1540">SUM(AH267:AI267)</f>
        <v>0</v>
      </c>
      <c r="AK267" s="188"/>
      <c r="AL267" s="188"/>
      <c r="AM267" s="188">
        <f t="shared" ref="AM267:AM272" si="1541">SUM(AK267:AL267)</f>
        <v>0</v>
      </c>
      <c r="AN267" s="188"/>
      <c r="AO267" s="188"/>
      <c r="AP267" s="188">
        <f t="shared" ref="AP267:AP272" si="1542">SUM(AN267:AO267)</f>
        <v>0</v>
      </c>
      <c r="AQ267" s="188"/>
      <c r="AR267" s="188"/>
      <c r="AS267" s="188">
        <f t="shared" ref="AS267:AS272" si="1543">SUM(AQ267:AR267)</f>
        <v>0</v>
      </c>
      <c r="AT267" s="188"/>
      <c r="AU267" s="188"/>
      <c r="AV267" s="188">
        <f t="shared" ref="AV267:AV272" si="1544">SUM(AT267:AU267)</f>
        <v>0</v>
      </c>
      <c r="AW267" s="188"/>
      <c r="AX267" s="188"/>
      <c r="AY267" s="188">
        <f t="shared" ref="AY267:AY272" si="1545">SUM(AW267:AX267)</f>
        <v>0</v>
      </c>
      <c r="AZ267" s="188"/>
      <c r="BA267" s="188"/>
      <c r="BB267" s="188">
        <f t="shared" ref="BB267:BB272" si="1546">SUM(AZ267:BA267)</f>
        <v>0</v>
      </c>
      <c r="BC267" s="188"/>
      <c r="BD267" s="188"/>
      <c r="BE267" s="188">
        <f t="shared" ref="BE267:BE272" si="1547">SUM(BC267:BD267)</f>
        <v>0</v>
      </c>
      <c r="BF267" s="188"/>
      <c r="BG267" s="188"/>
      <c r="BH267" s="188">
        <f t="shared" ref="BH267:BH272" si="1548">SUM(BF267:BG267)</f>
        <v>0</v>
      </c>
      <c r="BI267" s="188"/>
      <c r="BJ267" s="188"/>
      <c r="BK267" s="188">
        <f t="shared" ref="BK267:BK272" si="1549">SUM(BI267:BJ267)</f>
        <v>0</v>
      </c>
      <c r="BL267" s="188"/>
      <c r="BM267" s="188"/>
      <c r="BN267" s="188">
        <f t="shared" ref="BN267:BN272" si="1550">SUM(BL267:BM267)</f>
        <v>0</v>
      </c>
      <c r="BO267" s="188"/>
      <c r="BP267" s="188"/>
      <c r="BQ267" s="188">
        <f t="shared" ref="BQ267:BQ272" si="1551">SUM(BO267:BP267)</f>
        <v>0</v>
      </c>
      <c r="BR267" s="188"/>
      <c r="BS267" s="188"/>
      <c r="BT267" s="188">
        <f t="shared" ref="BT267:BT272" si="1552">SUM(BR267:BS267)</f>
        <v>0</v>
      </c>
      <c r="BU267" s="188"/>
      <c r="BV267" s="188"/>
      <c r="BW267" s="188">
        <f t="shared" ref="BW267:BW272" si="1553">SUM(BU267:BV267)</f>
        <v>0</v>
      </c>
      <c r="BX267" s="188"/>
      <c r="BY267" s="188"/>
      <c r="BZ267" s="188">
        <f t="shared" ref="BZ267:BZ272" si="1554">SUM(BX267:BY267)</f>
        <v>0</v>
      </c>
      <c r="CA267" s="188"/>
      <c r="CB267" s="188"/>
      <c r="CC267" s="188">
        <f t="shared" ref="CC267:CC272" si="1555">SUM(CA267:CB267)</f>
        <v>0</v>
      </c>
      <c r="CD267" s="186"/>
      <c r="CE267" s="187"/>
      <c r="CF267" s="187"/>
      <c r="CG267" s="187"/>
      <c r="CH267" s="187"/>
      <c r="CI267" s="187"/>
      <c r="CJ267" s="187"/>
      <c r="CK267" s="188"/>
      <c r="CL267" s="188">
        <f t="shared" ref="CL267:CL272" si="1556">X267</f>
        <v>0</v>
      </c>
      <c r="CM267" s="188">
        <f t="shared" ref="CM267:CM272" si="1557">AA267</f>
        <v>0</v>
      </c>
      <c r="CN267" s="188">
        <f t="shared" ref="CN267:CN272" si="1558">AD267</f>
        <v>0</v>
      </c>
      <c r="CO267" s="188">
        <f t="shared" ref="CO267:CO272" si="1559">AG267</f>
        <v>0</v>
      </c>
      <c r="CP267" s="188">
        <f t="shared" ref="CP267:CP272" si="1560">AJ267</f>
        <v>0</v>
      </c>
      <c r="CQ267" s="188">
        <f t="shared" ref="CQ267:CQ272" si="1561">AM267</f>
        <v>0</v>
      </c>
      <c r="CR267" s="188">
        <f t="shared" ref="CR267:CR272" si="1562">AP267</f>
        <v>0</v>
      </c>
      <c r="CS267" s="188">
        <f t="shared" ref="CS267:CS272" si="1563">AS267</f>
        <v>0</v>
      </c>
      <c r="CT267" s="188">
        <f t="shared" ref="CT267:CT272" si="1564">AV267</f>
        <v>0</v>
      </c>
      <c r="CU267" s="188">
        <f t="shared" ref="CU267:CU272" si="1565">AY267</f>
        <v>0</v>
      </c>
      <c r="CV267" s="188">
        <f t="shared" ref="CV267:CV272" si="1566">BB267</f>
        <v>0</v>
      </c>
      <c r="CW267" s="188">
        <f t="shared" ref="CW267:CW272" si="1567">BE267</f>
        <v>0</v>
      </c>
      <c r="CX267" s="188">
        <f t="shared" ref="CX267:CX272" si="1568">BH267</f>
        <v>0</v>
      </c>
      <c r="CY267" s="188">
        <f t="shared" ref="CY267:CY272" si="1569">BK267</f>
        <v>0</v>
      </c>
      <c r="CZ267" s="188">
        <f t="shared" ref="CZ267:CZ272" si="1570">BN267</f>
        <v>0</v>
      </c>
      <c r="DA267" s="188">
        <f t="shared" ref="DA267:DA272" si="1571">BQ267</f>
        <v>0</v>
      </c>
      <c r="DB267" s="188">
        <f t="shared" ref="DB267:DB272" si="1572">BT267</f>
        <v>0</v>
      </c>
      <c r="DC267" s="188">
        <f t="shared" ref="DC267:DC272" si="1573">BW267</f>
        <v>0</v>
      </c>
      <c r="DD267" s="188">
        <f t="shared" ref="DD267:DD272" si="1574">BZ267</f>
        <v>0</v>
      </c>
      <c r="DE267" s="188">
        <f t="shared" ref="DE267:DE272" si="1575">CC267</f>
        <v>0</v>
      </c>
    </row>
    <row r="268" spans="1:109" ht="12.75" customHeight="1" outlineLevel="1">
      <c r="A268" s="1"/>
      <c r="B268" s="13" t="s">
        <v>185</v>
      </c>
      <c r="C268" s="1"/>
      <c r="D268" s="1"/>
      <c r="E268" s="1"/>
      <c r="F268" s="188">
        <f t="shared" si="1530"/>
        <v>0</v>
      </c>
      <c r="G268" s="188"/>
      <c r="H268" s="188"/>
      <c r="I268" s="188">
        <f t="shared" si="1531"/>
        <v>0</v>
      </c>
      <c r="J268" s="188"/>
      <c r="K268" s="188"/>
      <c r="L268" s="188">
        <f t="shared" si="1532"/>
        <v>0</v>
      </c>
      <c r="M268" s="188"/>
      <c r="N268" s="188"/>
      <c r="O268" s="188">
        <f t="shared" si="1533"/>
        <v>0</v>
      </c>
      <c r="P268" s="188"/>
      <c r="Q268" s="188"/>
      <c r="R268" s="188">
        <f t="shared" si="1534"/>
        <v>0</v>
      </c>
      <c r="S268" s="188"/>
      <c r="T268" s="188"/>
      <c r="U268" s="188">
        <f t="shared" si="1535"/>
        <v>0</v>
      </c>
      <c r="V268" s="188"/>
      <c r="W268" s="188"/>
      <c r="X268" s="188">
        <f t="shared" si="1536"/>
        <v>0</v>
      </c>
      <c r="Y268" s="188"/>
      <c r="Z268" s="188"/>
      <c r="AA268" s="188">
        <f t="shared" si="1537"/>
        <v>0</v>
      </c>
      <c r="AB268" s="188"/>
      <c r="AC268" s="188"/>
      <c r="AD268" s="188">
        <f t="shared" si="1538"/>
        <v>0</v>
      </c>
      <c r="AE268" s="188"/>
      <c r="AF268" s="188"/>
      <c r="AG268" s="188">
        <f t="shared" si="1539"/>
        <v>0</v>
      </c>
      <c r="AH268" s="188"/>
      <c r="AI268" s="188"/>
      <c r="AJ268" s="188">
        <f t="shared" si="1540"/>
        <v>0</v>
      </c>
      <c r="AK268" s="188"/>
      <c r="AL268" s="188"/>
      <c r="AM268" s="188">
        <f t="shared" si="1541"/>
        <v>0</v>
      </c>
      <c r="AN268" s="188"/>
      <c r="AO268" s="188"/>
      <c r="AP268" s="188">
        <f t="shared" si="1542"/>
        <v>0</v>
      </c>
      <c r="AQ268" s="188"/>
      <c r="AR268" s="188"/>
      <c r="AS268" s="188">
        <f t="shared" si="1543"/>
        <v>0</v>
      </c>
      <c r="AT268" s="188"/>
      <c r="AU268" s="188"/>
      <c r="AV268" s="188">
        <f t="shared" si="1544"/>
        <v>0</v>
      </c>
      <c r="AW268" s="188"/>
      <c r="AX268" s="188"/>
      <c r="AY268" s="188">
        <f t="shared" si="1545"/>
        <v>0</v>
      </c>
      <c r="AZ268" s="188"/>
      <c r="BA268" s="188"/>
      <c r="BB268" s="188">
        <f t="shared" si="1546"/>
        <v>0</v>
      </c>
      <c r="BC268" s="188"/>
      <c r="BD268" s="188"/>
      <c r="BE268" s="188">
        <f t="shared" si="1547"/>
        <v>0</v>
      </c>
      <c r="BF268" s="188"/>
      <c r="BG268" s="188"/>
      <c r="BH268" s="188">
        <f t="shared" si="1548"/>
        <v>0</v>
      </c>
      <c r="BI268" s="188"/>
      <c r="BJ268" s="188"/>
      <c r="BK268" s="188">
        <f t="shared" si="1549"/>
        <v>0</v>
      </c>
      <c r="BL268" s="188"/>
      <c r="BM268" s="188"/>
      <c r="BN268" s="188">
        <f t="shared" si="1550"/>
        <v>0</v>
      </c>
      <c r="BO268" s="188"/>
      <c r="BP268" s="188"/>
      <c r="BQ268" s="188">
        <f t="shared" si="1551"/>
        <v>0</v>
      </c>
      <c r="BR268" s="188"/>
      <c r="BS268" s="188"/>
      <c r="BT268" s="188">
        <f t="shared" si="1552"/>
        <v>0</v>
      </c>
      <c r="BU268" s="188"/>
      <c r="BV268" s="188"/>
      <c r="BW268" s="188">
        <f t="shared" si="1553"/>
        <v>0</v>
      </c>
      <c r="BX268" s="188"/>
      <c r="BY268" s="188"/>
      <c r="BZ268" s="188">
        <f t="shared" si="1554"/>
        <v>0</v>
      </c>
      <c r="CA268" s="188"/>
      <c r="CB268" s="188"/>
      <c r="CC268" s="188">
        <f t="shared" si="1555"/>
        <v>0</v>
      </c>
      <c r="CD268" s="186"/>
      <c r="CE268" s="187"/>
      <c r="CF268" s="187"/>
      <c r="CG268" s="187"/>
      <c r="CH268" s="187"/>
      <c r="CI268" s="187"/>
      <c r="CJ268" s="187"/>
      <c r="CK268" s="188"/>
      <c r="CL268" s="188">
        <f t="shared" si="1556"/>
        <v>0</v>
      </c>
      <c r="CM268" s="188">
        <f t="shared" si="1557"/>
        <v>0</v>
      </c>
      <c r="CN268" s="188">
        <f t="shared" si="1558"/>
        <v>0</v>
      </c>
      <c r="CO268" s="188">
        <f t="shared" si="1559"/>
        <v>0</v>
      </c>
      <c r="CP268" s="188">
        <f t="shared" si="1560"/>
        <v>0</v>
      </c>
      <c r="CQ268" s="188">
        <f t="shared" si="1561"/>
        <v>0</v>
      </c>
      <c r="CR268" s="188">
        <f t="shared" si="1562"/>
        <v>0</v>
      </c>
      <c r="CS268" s="188">
        <f t="shared" si="1563"/>
        <v>0</v>
      </c>
      <c r="CT268" s="188">
        <f t="shared" si="1564"/>
        <v>0</v>
      </c>
      <c r="CU268" s="188">
        <f t="shared" si="1565"/>
        <v>0</v>
      </c>
      <c r="CV268" s="188">
        <f t="shared" si="1566"/>
        <v>0</v>
      </c>
      <c r="CW268" s="188">
        <f t="shared" si="1567"/>
        <v>0</v>
      </c>
      <c r="CX268" s="188">
        <f t="shared" si="1568"/>
        <v>0</v>
      </c>
      <c r="CY268" s="188">
        <f t="shared" si="1569"/>
        <v>0</v>
      </c>
      <c r="CZ268" s="188">
        <f t="shared" si="1570"/>
        <v>0</v>
      </c>
      <c r="DA268" s="188">
        <f t="shared" si="1571"/>
        <v>0</v>
      </c>
      <c r="DB268" s="188">
        <f t="shared" si="1572"/>
        <v>0</v>
      </c>
      <c r="DC268" s="188">
        <f t="shared" si="1573"/>
        <v>0</v>
      </c>
      <c r="DD268" s="188">
        <f t="shared" si="1574"/>
        <v>0</v>
      </c>
      <c r="DE268" s="188">
        <f t="shared" si="1575"/>
        <v>0</v>
      </c>
    </row>
    <row r="269" spans="1:109" ht="12.75" customHeight="1" outlineLevel="1">
      <c r="A269" s="1"/>
      <c r="B269" s="13" t="s">
        <v>186</v>
      </c>
      <c r="C269" s="1"/>
      <c r="D269" s="1"/>
      <c r="E269" s="1"/>
      <c r="F269" s="188">
        <f t="shared" si="1530"/>
        <v>0</v>
      </c>
      <c r="G269" s="188"/>
      <c r="H269" s="188"/>
      <c r="I269" s="188">
        <f t="shared" si="1531"/>
        <v>0</v>
      </c>
      <c r="J269" s="188"/>
      <c r="K269" s="188"/>
      <c r="L269" s="188">
        <f t="shared" si="1532"/>
        <v>0</v>
      </c>
      <c r="M269" s="188"/>
      <c r="N269" s="188"/>
      <c r="O269" s="188">
        <f t="shared" si="1533"/>
        <v>0</v>
      </c>
      <c r="P269" s="188"/>
      <c r="Q269" s="188"/>
      <c r="R269" s="188">
        <f t="shared" si="1534"/>
        <v>0</v>
      </c>
      <c r="S269" s="188"/>
      <c r="T269" s="188"/>
      <c r="U269" s="188">
        <f t="shared" si="1535"/>
        <v>0</v>
      </c>
      <c r="V269" s="188"/>
      <c r="W269" s="188"/>
      <c r="X269" s="188">
        <f t="shared" si="1536"/>
        <v>0</v>
      </c>
      <c r="Y269" s="188"/>
      <c r="Z269" s="188"/>
      <c r="AA269" s="188">
        <f t="shared" si="1537"/>
        <v>0</v>
      </c>
      <c r="AB269" s="188"/>
      <c r="AC269" s="188"/>
      <c r="AD269" s="188">
        <f t="shared" si="1538"/>
        <v>0</v>
      </c>
      <c r="AE269" s="188"/>
      <c r="AF269" s="188"/>
      <c r="AG269" s="188">
        <f t="shared" si="1539"/>
        <v>0</v>
      </c>
      <c r="AH269" s="188"/>
      <c r="AI269" s="188"/>
      <c r="AJ269" s="188">
        <f t="shared" si="1540"/>
        <v>0</v>
      </c>
      <c r="AK269" s="188"/>
      <c r="AL269" s="188"/>
      <c r="AM269" s="188">
        <f t="shared" si="1541"/>
        <v>0</v>
      </c>
      <c r="AN269" s="188"/>
      <c r="AO269" s="188"/>
      <c r="AP269" s="188">
        <f t="shared" si="1542"/>
        <v>0</v>
      </c>
      <c r="AQ269" s="188"/>
      <c r="AR269" s="188"/>
      <c r="AS269" s="188">
        <f t="shared" si="1543"/>
        <v>0</v>
      </c>
      <c r="AT269" s="188"/>
      <c r="AU269" s="188"/>
      <c r="AV269" s="188">
        <f t="shared" si="1544"/>
        <v>0</v>
      </c>
      <c r="AW269" s="188"/>
      <c r="AX269" s="188"/>
      <c r="AY269" s="188">
        <f t="shared" si="1545"/>
        <v>0</v>
      </c>
      <c r="AZ269" s="188"/>
      <c r="BA269" s="188"/>
      <c r="BB269" s="188">
        <f t="shared" si="1546"/>
        <v>0</v>
      </c>
      <c r="BC269" s="188"/>
      <c r="BD269" s="188"/>
      <c r="BE269" s="188">
        <f t="shared" si="1547"/>
        <v>0</v>
      </c>
      <c r="BF269" s="188"/>
      <c r="BG269" s="188"/>
      <c r="BH269" s="188">
        <f t="shared" si="1548"/>
        <v>0</v>
      </c>
      <c r="BI269" s="188"/>
      <c r="BJ269" s="188"/>
      <c r="BK269" s="188">
        <f t="shared" si="1549"/>
        <v>0</v>
      </c>
      <c r="BL269" s="188"/>
      <c r="BM269" s="188"/>
      <c r="BN269" s="188">
        <f t="shared" si="1550"/>
        <v>0</v>
      </c>
      <c r="BO269" s="188"/>
      <c r="BP269" s="188"/>
      <c r="BQ269" s="188">
        <f t="shared" si="1551"/>
        <v>0</v>
      </c>
      <c r="BR269" s="188"/>
      <c r="BS269" s="188"/>
      <c r="BT269" s="188">
        <f t="shared" si="1552"/>
        <v>0</v>
      </c>
      <c r="BU269" s="188"/>
      <c r="BV269" s="188"/>
      <c r="BW269" s="188">
        <f t="shared" si="1553"/>
        <v>0</v>
      </c>
      <c r="BX269" s="188"/>
      <c r="BY269" s="188"/>
      <c r="BZ269" s="188">
        <f t="shared" si="1554"/>
        <v>0</v>
      </c>
      <c r="CA269" s="188"/>
      <c r="CB269" s="188"/>
      <c r="CC269" s="188">
        <f t="shared" si="1555"/>
        <v>0</v>
      </c>
      <c r="CD269" s="186"/>
      <c r="CE269" s="187"/>
      <c r="CF269" s="187"/>
      <c r="CG269" s="187"/>
      <c r="CH269" s="187"/>
      <c r="CI269" s="187"/>
      <c r="CJ269" s="187"/>
      <c r="CK269" s="188"/>
      <c r="CL269" s="188">
        <f t="shared" si="1556"/>
        <v>0</v>
      </c>
      <c r="CM269" s="188">
        <f t="shared" si="1557"/>
        <v>0</v>
      </c>
      <c r="CN269" s="188">
        <f t="shared" si="1558"/>
        <v>0</v>
      </c>
      <c r="CO269" s="188">
        <f t="shared" si="1559"/>
        <v>0</v>
      </c>
      <c r="CP269" s="188">
        <f t="shared" si="1560"/>
        <v>0</v>
      </c>
      <c r="CQ269" s="188">
        <f t="shared" si="1561"/>
        <v>0</v>
      </c>
      <c r="CR269" s="188">
        <f t="shared" si="1562"/>
        <v>0</v>
      </c>
      <c r="CS269" s="188">
        <f t="shared" si="1563"/>
        <v>0</v>
      </c>
      <c r="CT269" s="188">
        <f t="shared" si="1564"/>
        <v>0</v>
      </c>
      <c r="CU269" s="188">
        <f t="shared" si="1565"/>
        <v>0</v>
      </c>
      <c r="CV269" s="188">
        <f t="shared" si="1566"/>
        <v>0</v>
      </c>
      <c r="CW269" s="188">
        <f t="shared" si="1567"/>
        <v>0</v>
      </c>
      <c r="CX269" s="188">
        <f t="shared" si="1568"/>
        <v>0</v>
      </c>
      <c r="CY269" s="188">
        <f t="shared" si="1569"/>
        <v>0</v>
      </c>
      <c r="CZ269" s="188">
        <f t="shared" si="1570"/>
        <v>0</v>
      </c>
      <c r="DA269" s="188">
        <f t="shared" si="1571"/>
        <v>0</v>
      </c>
      <c r="DB269" s="188">
        <f t="shared" si="1572"/>
        <v>0</v>
      </c>
      <c r="DC269" s="188">
        <f t="shared" si="1573"/>
        <v>0</v>
      </c>
      <c r="DD269" s="188">
        <f t="shared" si="1574"/>
        <v>0</v>
      </c>
      <c r="DE269" s="188">
        <f t="shared" si="1575"/>
        <v>0</v>
      </c>
    </row>
    <row r="270" spans="1:109" ht="12.75" customHeight="1" outlineLevel="1">
      <c r="A270" s="1"/>
      <c r="B270" s="13" t="s">
        <v>187</v>
      </c>
      <c r="C270" s="1"/>
      <c r="D270" s="1"/>
      <c r="E270" s="1"/>
      <c r="F270" s="188">
        <f t="shared" si="1530"/>
        <v>0</v>
      </c>
      <c r="G270" s="188"/>
      <c r="H270" s="188"/>
      <c r="I270" s="188">
        <f t="shared" si="1531"/>
        <v>0</v>
      </c>
      <c r="J270" s="188"/>
      <c r="K270" s="188"/>
      <c r="L270" s="188">
        <f t="shared" si="1532"/>
        <v>0</v>
      </c>
      <c r="M270" s="188"/>
      <c r="N270" s="188"/>
      <c r="O270" s="188">
        <f t="shared" si="1533"/>
        <v>0</v>
      </c>
      <c r="P270" s="188"/>
      <c r="Q270" s="188"/>
      <c r="R270" s="188">
        <f t="shared" si="1534"/>
        <v>0</v>
      </c>
      <c r="S270" s="188"/>
      <c r="T270" s="188"/>
      <c r="U270" s="188">
        <f t="shared" si="1535"/>
        <v>0</v>
      </c>
      <c r="V270" s="188"/>
      <c r="W270" s="188"/>
      <c r="X270" s="188">
        <f t="shared" si="1536"/>
        <v>0</v>
      </c>
      <c r="Y270" s="188"/>
      <c r="Z270" s="188"/>
      <c r="AA270" s="188">
        <f t="shared" si="1537"/>
        <v>0</v>
      </c>
      <c r="AB270" s="188"/>
      <c r="AC270" s="188"/>
      <c r="AD270" s="188">
        <f t="shared" si="1538"/>
        <v>0</v>
      </c>
      <c r="AE270" s="188"/>
      <c r="AF270" s="188"/>
      <c r="AG270" s="188">
        <f t="shared" si="1539"/>
        <v>0</v>
      </c>
      <c r="AH270" s="188"/>
      <c r="AI270" s="188"/>
      <c r="AJ270" s="188">
        <f t="shared" si="1540"/>
        <v>0</v>
      </c>
      <c r="AK270" s="188"/>
      <c r="AL270" s="188"/>
      <c r="AM270" s="188">
        <f t="shared" si="1541"/>
        <v>0</v>
      </c>
      <c r="AN270" s="188"/>
      <c r="AO270" s="188"/>
      <c r="AP270" s="188">
        <f t="shared" si="1542"/>
        <v>0</v>
      </c>
      <c r="AQ270" s="188"/>
      <c r="AR270" s="188"/>
      <c r="AS270" s="188">
        <f t="shared" si="1543"/>
        <v>0</v>
      </c>
      <c r="AT270" s="188"/>
      <c r="AU270" s="188"/>
      <c r="AV270" s="188">
        <f t="shared" si="1544"/>
        <v>0</v>
      </c>
      <c r="AW270" s="188"/>
      <c r="AX270" s="188"/>
      <c r="AY270" s="188">
        <f t="shared" si="1545"/>
        <v>0</v>
      </c>
      <c r="AZ270" s="188"/>
      <c r="BA270" s="188"/>
      <c r="BB270" s="188">
        <f t="shared" si="1546"/>
        <v>0</v>
      </c>
      <c r="BC270" s="188"/>
      <c r="BD270" s="188"/>
      <c r="BE270" s="188">
        <f t="shared" si="1547"/>
        <v>0</v>
      </c>
      <c r="BF270" s="188"/>
      <c r="BG270" s="188"/>
      <c r="BH270" s="188">
        <f t="shared" si="1548"/>
        <v>0</v>
      </c>
      <c r="BI270" s="188"/>
      <c r="BJ270" s="188"/>
      <c r="BK270" s="188">
        <f t="shared" si="1549"/>
        <v>0</v>
      </c>
      <c r="BL270" s="188"/>
      <c r="BM270" s="188"/>
      <c r="BN270" s="188">
        <f t="shared" si="1550"/>
        <v>0</v>
      </c>
      <c r="BO270" s="188"/>
      <c r="BP270" s="188"/>
      <c r="BQ270" s="188">
        <f t="shared" si="1551"/>
        <v>0</v>
      </c>
      <c r="BR270" s="188"/>
      <c r="BS270" s="188"/>
      <c r="BT270" s="188">
        <f t="shared" si="1552"/>
        <v>0</v>
      </c>
      <c r="BU270" s="188"/>
      <c r="BV270" s="188"/>
      <c r="BW270" s="188">
        <f t="shared" si="1553"/>
        <v>0</v>
      </c>
      <c r="BX270" s="188"/>
      <c r="BY270" s="188"/>
      <c r="BZ270" s="188">
        <f t="shared" si="1554"/>
        <v>0</v>
      </c>
      <c r="CA270" s="188"/>
      <c r="CB270" s="188"/>
      <c r="CC270" s="188">
        <f t="shared" si="1555"/>
        <v>0</v>
      </c>
      <c r="CD270" s="186"/>
      <c r="CE270" s="187"/>
      <c r="CF270" s="187"/>
      <c r="CG270" s="187"/>
      <c r="CH270" s="187"/>
      <c r="CI270" s="187"/>
      <c r="CJ270" s="187"/>
      <c r="CK270" s="188"/>
      <c r="CL270" s="188">
        <f t="shared" si="1556"/>
        <v>0</v>
      </c>
      <c r="CM270" s="188">
        <f t="shared" si="1557"/>
        <v>0</v>
      </c>
      <c r="CN270" s="188">
        <f t="shared" si="1558"/>
        <v>0</v>
      </c>
      <c r="CO270" s="188">
        <f t="shared" si="1559"/>
        <v>0</v>
      </c>
      <c r="CP270" s="188">
        <f t="shared" si="1560"/>
        <v>0</v>
      </c>
      <c r="CQ270" s="188">
        <f t="shared" si="1561"/>
        <v>0</v>
      </c>
      <c r="CR270" s="188">
        <f t="shared" si="1562"/>
        <v>0</v>
      </c>
      <c r="CS270" s="188">
        <f t="shared" si="1563"/>
        <v>0</v>
      </c>
      <c r="CT270" s="188">
        <f t="shared" si="1564"/>
        <v>0</v>
      </c>
      <c r="CU270" s="188">
        <f t="shared" si="1565"/>
        <v>0</v>
      </c>
      <c r="CV270" s="188">
        <f t="shared" si="1566"/>
        <v>0</v>
      </c>
      <c r="CW270" s="188">
        <f t="shared" si="1567"/>
        <v>0</v>
      </c>
      <c r="CX270" s="188">
        <f t="shared" si="1568"/>
        <v>0</v>
      </c>
      <c r="CY270" s="188">
        <f t="shared" si="1569"/>
        <v>0</v>
      </c>
      <c r="CZ270" s="188">
        <f t="shared" si="1570"/>
        <v>0</v>
      </c>
      <c r="DA270" s="188">
        <f t="shared" si="1571"/>
        <v>0</v>
      </c>
      <c r="DB270" s="188">
        <f t="shared" si="1572"/>
        <v>0</v>
      </c>
      <c r="DC270" s="188">
        <f t="shared" si="1573"/>
        <v>0</v>
      </c>
      <c r="DD270" s="188">
        <f t="shared" si="1574"/>
        <v>0</v>
      </c>
      <c r="DE270" s="188">
        <f t="shared" si="1575"/>
        <v>0</v>
      </c>
    </row>
    <row r="271" spans="1:109" ht="12.75" customHeight="1" outlineLevel="1">
      <c r="A271" s="1"/>
      <c r="B271" s="13" t="s">
        <v>192</v>
      </c>
      <c r="C271" s="1"/>
      <c r="D271" s="1"/>
      <c r="E271" s="1"/>
      <c r="F271" s="188">
        <f t="shared" si="1530"/>
        <v>0</v>
      </c>
      <c r="G271" s="188"/>
      <c r="H271" s="188"/>
      <c r="I271" s="188">
        <f t="shared" si="1531"/>
        <v>0</v>
      </c>
      <c r="J271" s="188"/>
      <c r="K271" s="188"/>
      <c r="L271" s="188">
        <f t="shared" si="1532"/>
        <v>0</v>
      </c>
      <c r="M271" s="188"/>
      <c r="N271" s="188"/>
      <c r="O271" s="188">
        <f t="shared" si="1533"/>
        <v>0</v>
      </c>
      <c r="P271" s="188"/>
      <c r="Q271" s="188"/>
      <c r="R271" s="188">
        <f t="shared" si="1534"/>
        <v>0</v>
      </c>
      <c r="S271" s="188"/>
      <c r="T271" s="188"/>
      <c r="U271" s="188">
        <f t="shared" si="1535"/>
        <v>0</v>
      </c>
      <c r="V271" s="188"/>
      <c r="W271" s="188"/>
      <c r="X271" s="188">
        <f t="shared" si="1536"/>
        <v>0</v>
      </c>
      <c r="Y271" s="188"/>
      <c r="Z271" s="188"/>
      <c r="AA271" s="188">
        <f t="shared" si="1537"/>
        <v>0</v>
      </c>
      <c r="AB271" s="188"/>
      <c r="AC271" s="188"/>
      <c r="AD271" s="188">
        <f t="shared" si="1538"/>
        <v>0</v>
      </c>
      <c r="AE271" s="188"/>
      <c r="AF271" s="188"/>
      <c r="AG271" s="188">
        <f t="shared" si="1539"/>
        <v>0</v>
      </c>
      <c r="AH271" s="188"/>
      <c r="AI271" s="188"/>
      <c r="AJ271" s="188">
        <f t="shared" si="1540"/>
        <v>0</v>
      </c>
      <c r="AK271" s="188"/>
      <c r="AL271" s="188"/>
      <c r="AM271" s="188">
        <f t="shared" si="1541"/>
        <v>0</v>
      </c>
      <c r="AN271" s="188"/>
      <c r="AO271" s="188"/>
      <c r="AP271" s="188">
        <f t="shared" si="1542"/>
        <v>0</v>
      </c>
      <c r="AQ271" s="188"/>
      <c r="AR271" s="188"/>
      <c r="AS271" s="188">
        <f t="shared" si="1543"/>
        <v>0</v>
      </c>
      <c r="AT271" s="188"/>
      <c r="AU271" s="188"/>
      <c r="AV271" s="188">
        <f t="shared" si="1544"/>
        <v>0</v>
      </c>
      <c r="AW271" s="188"/>
      <c r="AX271" s="188"/>
      <c r="AY271" s="188">
        <f t="shared" si="1545"/>
        <v>0</v>
      </c>
      <c r="AZ271" s="188"/>
      <c r="BA271" s="188"/>
      <c r="BB271" s="188">
        <f t="shared" si="1546"/>
        <v>0</v>
      </c>
      <c r="BC271" s="188"/>
      <c r="BD271" s="188"/>
      <c r="BE271" s="188">
        <f t="shared" si="1547"/>
        <v>0</v>
      </c>
      <c r="BF271" s="188"/>
      <c r="BG271" s="188"/>
      <c r="BH271" s="188">
        <f t="shared" si="1548"/>
        <v>0</v>
      </c>
      <c r="BI271" s="188"/>
      <c r="BJ271" s="188"/>
      <c r="BK271" s="188">
        <f t="shared" si="1549"/>
        <v>0</v>
      </c>
      <c r="BL271" s="188"/>
      <c r="BM271" s="188"/>
      <c r="BN271" s="188">
        <f t="shared" si="1550"/>
        <v>0</v>
      </c>
      <c r="BO271" s="188"/>
      <c r="BP271" s="188"/>
      <c r="BQ271" s="188">
        <f t="shared" si="1551"/>
        <v>0</v>
      </c>
      <c r="BR271" s="188"/>
      <c r="BS271" s="188"/>
      <c r="BT271" s="188">
        <f t="shared" si="1552"/>
        <v>0</v>
      </c>
      <c r="BU271" s="188"/>
      <c r="BV271" s="188"/>
      <c r="BW271" s="188">
        <f t="shared" si="1553"/>
        <v>0</v>
      </c>
      <c r="BX271" s="188"/>
      <c r="BY271" s="188"/>
      <c r="BZ271" s="188">
        <f t="shared" si="1554"/>
        <v>0</v>
      </c>
      <c r="CA271" s="188"/>
      <c r="CB271" s="188"/>
      <c r="CC271" s="188">
        <f t="shared" si="1555"/>
        <v>0</v>
      </c>
      <c r="CD271" s="186"/>
      <c r="CE271" s="187"/>
      <c r="CF271" s="187"/>
      <c r="CG271" s="187"/>
      <c r="CH271" s="187"/>
      <c r="CI271" s="187"/>
      <c r="CJ271" s="187"/>
      <c r="CK271" s="188"/>
      <c r="CL271" s="188">
        <f t="shared" si="1556"/>
        <v>0</v>
      </c>
      <c r="CM271" s="188">
        <f t="shared" si="1557"/>
        <v>0</v>
      </c>
      <c r="CN271" s="188">
        <f t="shared" si="1558"/>
        <v>0</v>
      </c>
      <c r="CO271" s="188">
        <f t="shared" si="1559"/>
        <v>0</v>
      </c>
      <c r="CP271" s="188">
        <f t="shared" si="1560"/>
        <v>0</v>
      </c>
      <c r="CQ271" s="188">
        <f t="shared" si="1561"/>
        <v>0</v>
      </c>
      <c r="CR271" s="188">
        <f t="shared" si="1562"/>
        <v>0</v>
      </c>
      <c r="CS271" s="188">
        <f t="shared" si="1563"/>
        <v>0</v>
      </c>
      <c r="CT271" s="188">
        <f t="shared" si="1564"/>
        <v>0</v>
      </c>
      <c r="CU271" s="188">
        <f t="shared" si="1565"/>
        <v>0</v>
      </c>
      <c r="CV271" s="188">
        <f t="shared" si="1566"/>
        <v>0</v>
      </c>
      <c r="CW271" s="188">
        <f t="shared" si="1567"/>
        <v>0</v>
      </c>
      <c r="CX271" s="188">
        <f t="shared" si="1568"/>
        <v>0</v>
      </c>
      <c r="CY271" s="188">
        <f t="shared" si="1569"/>
        <v>0</v>
      </c>
      <c r="CZ271" s="188">
        <f t="shared" si="1570"/>
        <v>0</v>
      </c>
      <c r="DA271" s="188">
        <f t="shared" si="1571"/>
        <v>0</v>
      </c>
      <c r="DB271" s="188">
        <f t="shared" si="1572"/>
        <v>0</v>
      </c>
      <c r="DC271" s="188">
        <f t="shared" si="1573"/>
        <v>0</v>
      </c>
      <c r="DD271" s="188">
        <f t="shared" si="1574"/>
        <v>0</v>
      </c>
      <c r="DE271" s="188">
        <f t="shared" si="1575"/>
        <v>0</v>
      </c>
    </row>
    <row r="272" spans="1:109" ht="12.75" customHeight="1" outlineLevel="1" thickBot="1">
      <c r="A272" s="1"/>
      <c r="B272" s="273" t="s">
        <v>189</v>
      </c>
      <c r="C272" s="22"/>
      <c r="D272" s="22"/>
      <c r="E272" s="22"/>
      <c r="F272" s="274">
        <f t="shared" si="1530"/>
        <v>0</v>
      </c>
      <c r="G272" s="274"/>
      <c r="H272" s="274"/>
      <c r="I272" s="274">
        <f t="shared" si="1531"/>
        <v>0</v>
      </c>
      <c r="J272" s="274"/>
      <c r="K272" s="274"/>
      <c r="L272" s="274">
        <f t="shared" si="1532"/>
        <v>0</v>
      </c>
      <c r="M272" s="274"/>
      <c r="N272" s="274"/>
      <c r="O272" s="274">
        <f t="shared" si="1533"/>
        <v>0</v>
      </c>
      <c r="P272" s="274"/>
      <c r="Q272" s="274"/>
      <c r="R272" s="274">
        <f t="shared" si="1534"/>
        <v>0</v>
      </c>
      <c r="S272" s="274"/>
      <c r="T272" s="274"/>
      <c r="U272" s="274">
        <f t="shared" si="1535"/>
        <v>0</v>
      </c>
      <c r="V272" s="274"/>
      <c r="W272" s="274"/>
      <c r="X272" s="274">
        <f t="shared" si="1536"/>
        <v>0</v>
      </c>
      <c r="Y272" s="274"/>
      <c r="Z272" s="274"/>
      <c r="AA272" s="274">
        <f t="shared" si="1537"/>
        <v>0</v>
      </c>
      <c r="AB272" s="274"/>
      <c r="AC272" s="274"/>
      <c r="AD272" s="274">
        <f t="shared" si="1538"/>
        <v>0</v>
      </c>
      <c r="AE272" s="274"/>
      <c r="AF272" s="274"/>
      <c r="AG272" s="274">
        <f t="shared" si="1539"/>
        <v>0</v>
      </c>
      <c r="AH272" s="274"/>
      <c r="AI272" s="274"/>
      <c r="AJ272" s="274">
        <f t="shared" si="1540"/>
        <v>0</v>
      </c>
      <c r="AK272" s="274"/>
      <c r="AL272" s="274"/>
      <c r="AM272" s="274">
        <f t="shared" si="1541"/>
        <v>0</v>
      </c>
      <c r="AN272" s="274"/>
      <c r="AO272" s="274"/>
      <c r="AP272" s="274">
        <f t="shared" si="1542"/>
        <v>0</v>
      </c>
      <c r="AQ272" s="274"/>
      <c r="AR272" s="274"/>
      <c r="AS272" s="274">
        <f t="shared" si="1543"/>
        <v>0</v>
      </c>
      <c r="AT272" s="274"/>
      <c r="AU272" s="274"/>
      <c r="AV272" s="274">
        <f t="shared" si="1544"/>
        <v>0</v>
      </c>
      <c r="AW272" s="274"/>
      <c r="AX272" s="274"/>
      <c r="AY272" s="274">
        <f t="shared" si="1545"/>
        <v>0</v>
      </c>
      <c r="AZ272" s="274"/>
      <c r="BA272" s="274"/>
      <c r="BB272" s="274">
        <f t="shared" si="1546"/>
        <v>0</v>
      </c>
      <c r="BC272" s="274"/>
      <c r="BD272" s="274"/>
      <c r="BE272" s="274">
        <f t="shared" si="1547"/>
        <v>0</v>
      </c>
      <c r="BF272" s="274"/>
      <c r="BG272" s="274"/>
      <c r="BH272" s="274">
        <f t="shared" si="1548"/>
        <v>0</v>
      </c>
      <c r="BI272" s="274"/>
      <c r="BJ272" s="274"/>
      <c r="BK272" s="274">
        <f t="shared" si="1549"/>
        <v>0</v>
      </c>
      <c r="BL272" s="274"/>
      <c r="BM272" s="274"/>
      <c r="BN272" s="274">
        <f t="shared" si="1550"/>
        <v>0</v>
      </c>
      <c r="BO272" s="274"/>
      <c r="BP272" s="274"/>
      <c r="BQ272" s="274">
        <f t="shared" si="1551"/>
        <v>0</v>
      </c>
      <c r="BR272" s="274"/>
      <c r="BS272" s="274"/>
      <c r="BT272" s="274">
        <f t="shared" si="1552"/>
        <v>0</v>
      </c>
      <c r="BU272" s="274"/>
      <c r="BV272" s="274"/>
      <c r="BW272" s="274">
        <f t="shared" si="1553"/>
        <v>0</v>
      </c>
      <c r="BX272" s="274"/>
      <c r="BY272" s="274"/>
      <c r="BZ272" s="274">
        <f t="shared" si="1554"/>
        <v>0</v>
      </c>
      <c r="CA272" s="274"/>
      <c r="CB272" s="274"/>
      <c r="CC272" s="274">
        <f t="shared" si="1555"/>
        <v>0</v>
      </c>
      <c r="CD272" s="275"/>
      <c r="CE272" s="187"/>
      <c r="CF272" s="187"/>
      <c r="CG272" s="187"/>
      <c r="CH272" s="187"/>
      <c r="CI272" s="187"/>
      <c r="CJ272" s="187"/>
      <c r="CK272" s="188"/>
      <c r="CL272" s="188">
        <f t="shared" si="1556"/>
        <v>0</v>
      </c>
      <c r="CM272" s="188">
        <f t="shared" si="1557"/>
        <v>0</v>
      </c>
      <c r="CN272" s="188">
        <f t="shared" si="1558"/>
        <v>0</v>
      </c>
      <c r="CO272" s="188">
        <f t="shared" si="1559"/>
        <v>0</v>
      </c>
      <c r="CP272" s="188">
        <f t="shared" si="1560"/>
        <v>0</v>
      </c>
      <c r="CQ272" s="188">
        <f t="shared" si="1561"/>
        <v>0</v>
      </c>
      <c r="CR272" s="188">
        <f t="shared" si="1562"/>
        <v>0</v>
      </c>
      <c r="CS272" s="188">
        <f t="shared" si="1563"/>
        <v>0</v>
      </c>
      <c r="CT272" s="188">
        <f t="shared" si="1564"/>
        <v>0</v>
      </c>
      <c r="CU272" s="188">
        <f t="shared" si="1565"/>
        <v>0</v>
      </c>
      <c r="CV272" s="188">
        <f t="shared" si="1566"/>
        <v>0</v>
      </c>
      <c r="CW272" s="188">
        <f t="shared" si="1567"/>
        <v>0</v>
      </c>
      <c r="CX272" s="188">
        <f t="shared" si="1568"/>
        <v>0</v>
      </c>
      <c r="CY272" s="188">
        <f t="shared" si="1569"/>
        <v>0</v>
      </c>
      <c r="CZ272" s="188">
        <f t="shared" si="1570"/>
        <v>0</v>
      </c>
      <c r="DA272" s="188">
        <f t="shared" si="1571"/>
        <v>0</v>
      </c>
      <c r="DB272" s="188">
        <f t="shared" si="1572"/>
        <v>0</v>
      </c>
      <c r="DC272" s="188">
        <f t="shared" si="1573"/>
        <v>0</v>
      </c>
      <c r="DD272" s="188">
        <f t="shared" si="1574"/>
        <v>0</v>
      </c>
      <c r="DE272" s="188">
        <f t="shared" si="1575"/>
        <v>0</v>
      </c>
    </row>
    <row r="273" spans="1:137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</row>
    <row r="274" spans="1:137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</row>
    <row r="275" spans="1:137" s="47" customFormat="1" ht="12.75" customHeight="1">
      <c r="A275" s="42"/>
      <c r="B275" s="241" t="s">
        <v>196</v>
      </c>
      <c r="C275" s="42"/>
      <c r="D275" s="42"/>
      <c r="E275" s="42"/>
      <c r="F275" s="242"/>
      <c r="G275" s="242"/>
      <c r="H275" s="242"/>
      <c r="I275" s="242"/>
      <c r="J275" s="242"/>
      <c r="K275" s="242"/>
      <c r="L275" s="242"/>
      <c r="M275" s="242"/>
      <c r="N275" s="242"/>
      <c r="O275" s="242"/>
      <c r="P275" s="242"/>
      <c r="Q275" s="242"/>
      <c r="R275" s="242"/>
      <c r="S275" s="242"/>
      <c r="T275" s="242"/>
      <c r="U275" s="242"/>
      <c r="V275" s="242"/>
      <c r="W275" s="242"/>
      <c r="X275" s="242"/>
      <c r="Y275" s="242"/>
      <c r="Z275" s="242"/>
      <c r="AA275" s="242"/>
      <c r="AB275" s="242"/>
      <c r="AC275" s="242"/>
      <c r="AD275" s="242"/>
      <c r="AE275" s="242"/>
      <c r="AF275" s="242"/>
      <c r="AG275" s="242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42"/>
      <c r="BU275" s="242"/>
      <c r="BV275" s="242"/>
      <c r="BW275" s="242"/>
      <c r="BX275" s="242"/>
      <c r="BY275" s="242"/>
      <c r="BZ275" s="242"/>
      <c r="CA275" s="242"/>
      <c r="CB275" s="242"/>
      <c r="CC275" s="242"/>
      <c r="CD275" s="243"/>
      <c r="CE275" s="242"/>
      <c r="CF275" s="242"/>
      <c r="CG275" s="242"/>
      <c r="CH275" s="242"/>
      <c r="CI275" s="242"/>
      <c r="CJ275" s="242"/>
      <c r="CK275" s="244"/>
      <c r="CL275" s="245"/>
      <c r="CM275" s="242"/>
      <c r="CN275" s="242"/>
      <c r="CO275" s="242"/>
      <c r="CP275" s="242"/>
      <c r="CQ275" s="242"/>
      <c r="CR275" s="242"/>
      <c r="CS275" s="242"/>
      <c r="CT275" s="242"/>
      <c r="CU275" s="242"/>
      <c r="CV275" s="242"/>
      <c r="CW275" s="242"/>
      <c r="CX275" s="242"/>
      <c r="CY275" s="242"/>
      <c r="CZ275" s="242"/>
      <c r="DA275" s="242"/>
      <c r="DB275" s="242"/>
      <c r="DC275" s="242"/>
      <c r="DD275" s="242"/>
      <c r="DE275" s="242"/>
      <c r="DF275" s="45"/>
      <c r="DG275" s="45"/>
      <c r="DH275" s="45"/>
      <c r="DI275" s="45"/>
      <c r="DJ275" s="45"/>
      <c r="DK275" s="45"/>
      <c r="EB275"/>
      <c r="EC275"/>
      <c r="ED275"/>
      <c r="EE275"/>
      <c r="EF275"/>
      <c r="EG275"/>
    </row>
    <row r="276" spans="1:137">
      <c r="A276" s="1"/>
      <c r="B276" s="278" t="s">
        <v>197</v>
      </c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279">
        <f>+V211-V209</f>
        <v>1474.7</v>
      </c>
      <c r="W276" s="279">
        <f t="shared" ref="W276:BK276" si="1576">+W211-W209</f>
        <v>1556</v>
      </c>
      <c r="X276" s="279">
        <f t="shared" si="1576"/>
        <v>1509.2</v>
      </c>
      <c r="Y276" s="279">
        <f t="shared" si="1576"/>
        <v>1631.0289650000002</v>
      </c>
      <c r="Z276" s="279">
        <f t="shared" si="1576"/>
        <v>1675.1000000000001</v>
      </c>
      <c r="AA276" s="279">
        <f t="shared" si="1576"/>
        <v>1653.8000000000002</v>
      </c>
      <c r="AB276" s="279">
        <f t="shared" si="1576"/>
        <v>1720.844842236756</v>
      </c>
      <c r="AC276" s="279">
        <f t="shared" si="1576"/>
        <v>1727.7</v>
      </c>
      <c r="AD276" s="279">
        <f t="shared" si="1576"/>
        <v>1726.35</v>
      </c>
      <c r="AE276" s="279">
        <f t="shared" si="1576"/>
        <v>1749.252297</v>
      </c>
      <c r="AF276" s="279">
        <f t="shared" si="1576"/>
        <v>1751.9761484999999</v>
      </c>
      <c r="AG276" s="279">
        <f t="shared" si="1576"/>
        <v>1754.7</v>
      </c>
      <c r="AH276" s="279">
        <f t="shared" si="1576"/>
        <v>1775.6</v>
      </c>
      <c r="AI276" s="279">
        <f t="shared" si="1576"/>
        <v>1781.9499999999998</v>
      </c>
      <c r="AJ276" s="279">
        <f t="shared" si="1576"/>
        <v>1781.2</v>
      </c>
      <c r="AK276" s="279">
        <f t="shared" si="1576"/>
        <v>1796</v>
      </c>
      <c r="AL276" s="279">
        <f t="shared" si="1576"/>
        <v>1798.3999999999999</v>
      </c>
      <c r="AM276" s="279">
        <f t="shared" si="1576"/>
        <v>1798.4</v>
      </c>
      <c r="AN276" s="279">
        <f t="shared" si="1576"/>
        <v>1809.2</v>
      </c>
      <c r="AO276" s="279">
        <f t="shared" si="1576"/>
        <v>1810.8</v>
      </c>
      <c r="AP276" s="279">
        <f t="shared" si="1576"/>
        <v>1810.8</v>
      </c>
      <c r="AQ276" s="279">
        <f t="shared" si="1576"/>
        <v>1824.5</v>
      </c>
      <c r="AR276" s="279">
        <f t="shared" si="1576"/>
        <v>1826.2248811410459</v>
      </c>
      <c r="AS276" s="279">
        <f t="shared" si="1576"/>
        <v>1826.2248811410459</v>
      </c>
      <c r="AT276" s="279">
        <f t="shared" si="1576"/>
        <v>1841.6</v>
      </c>
      <c r="AU276" s="279">
        <f t="shared" si="1576"/>
        <v>1843.8</v>
      </c>
      <c r="AV276" s="279">
        <f t="shared" si="1576"/>
        <v>1843.8</v>
      </c>
      <c r="AW276" s="279">
        <f t="shared" si="1576"/>
        <v>1861.2248811410459</v>
      </c>
      <c r="AX276" s="279">
        <f t="shared" si="1576"/>
        <v>1847.2</v>
      </c>
      <c r="AY276" s="279">
        <f t="shared" si="1576"/>
        <v>1847.2</v>
      </c>
      <c r="AZ276" s="279">
        <f t="shared" si="1576"/>
        <v>1868.2</v>
      </c>
      <c r="BA276" s="279">
        <f t="shared" si="1576"/>
        <v>1868.2</v>
      </c>
      <c r="BB276" s="279">
        <f t="shared" si="1576"/>
        <v>1868.2</v>
      </c>
      <c r="BC276" s="279">
        <f t="shared" si="1576"/>
        <v>1880.5</v>
      </c>
      <c r="BD276" s="279">
        <f t="shared" si="1576"/>
        <v>1890.5</v>
      </c>
      <c r="BE276" s="279">
        <f t="shared" si="1576"/>
        <v>1890.7</v>
      </c>
      <c r="BF276" s="279">
        <f t="shared" si="1576"/>
        <v>1899.2</v>
      </c>
      <c r="BG276" s="279">
        <f t="shared" si="1576"/>
        <v>1899.2</v>
      </c>
      <c r="BH276" s="279">
        <f t="shared" si="1576"/>
        <v>1899.2</v>
      </c>
      <c r="BI276" s="279">
        <f t="shared" si="1576"/>
        <v>1911.6</v>
      </c>
      <c r="BJ276" s="279">
        <f t="shared" si="1576"/>
        <v>2031.2</v>
      </c>
      <c r="BK276" s="279">
        <f t="shared" si="1576"/>
        <v>2031.2</v>
      </c>
      <c r="BL276" s="279">
        <f t="shared" ref="BL276:BN276" si="1577">+BL211-BL209</f>
        <v>2044.8</v>
      </c>
      <c r="BM276" s="279">
        <f t="shared" si="1577"/>
        <v>2044.8</v>
      </c>
      <c r="BN276" s="279">
        <f t="shared" si="1577"/>
        <v>2044.8</v>
      </c>
      <c r="BO276" s="279">
        <f t="shared" ref="BO276:BQ276" si="1578">+BO211-BO209</f>
        <v>2044.8</v>
      </c>
      <c r="BP276" s="279">
        <f t="shared" si="1578"/>
        <v>2044.8</v>
      </c>
      <c r="BQ276" s="279">
        <f t="shared" si="1578"/>
        <v>2044.8</v>
      </c>
      <c r="BR276" s="279">
        <f t="shared" ref="BR276:BT276" si="1579">+BR211-BR209</f>
        <v>2044.8</v>
      </c>
      <c r="BS276" s="279">
        <f t="shared" si="1579"/>
        <v>2044.8</v>
      </c>
      <c r="BT276" s="279">
        <f t="shared" si="1579"/>
        <v>2044.8</v>
      </c>
      <c r="BU276" s="279">
        <f t="shared" ref="BU276:BZ276" si="1580">+BU211-BU209</f>
        <v>2044.8</v>
      </c>
      <c r="BV276" s="279">
        <f t="shared" si="1580"/>
        <v>2044.8</v>
      </c>
      <c r="BW276" s="279">
        <f t="shared" si="1580"/>
        <v>2044.8</v>
      </c>
      <c r="BX276" s="279">
        <f t="shared" si="1580"/>
        <v>2044.8</v>
      </c>
      <c r="BY276" s="279">
        <f t="shared" si="1580"/>
        <v>2044.8</v>
      </c>
      <c r="BZ276" s="279">
        <f t="shared" si="1580"/>
        <v>2044.8</v>
      </c>
      <c r="CA276" s="279">
        <f t="shared" ref="CA276:CC276" si="1581">+CA211-CA209</f>
        <v>2044.8</v>
      </c>
      <c r="CB276" s="279">
        <f t="shared" si="1581"/>
        <v>2044.8</v>
      </c>
      <c r="CC276" s="279">
        <f t="shared" si="1581"/>
        <v>2044.8</v>
      </c>
      <c r="CD276" s="1"/>
      <c r="CE276" s="1"/>
      <c r="CF276" s="1"/>
      <c r="CG276" s="1"/>
      <c r="CH276" s="1"/>
      <c r="CI276" s="1"/>
      <c r="CJ276" s="1"/>
      <c r="CL276" s="279">
        <f t="shared" ref="CL276:CY276" si="1582">+CL211-CL209</f>
        <v>1519.2</v>
      </c>
      <c r="CM276" s="279">
        <f t="shared" si="1582"/>
        <v>1677.4</v>
      </c>
      <c r="CN276" s="279">
        <f t="shared" si="1582"/>
        <v>1726.35</v>
      </c>
      <c r="CO276" s="279">
        <f t="shared" si="1582"/>
        <v>1754.7</v>
      </c>
      <c r="CP276" s="279">
        <f t="shared" si="1582"/>
        <v>1781.2</v>
      </c>
      <c r="CQ276" s="279">
        <f t="shared" si="1582"/>
        <v>1798.4</v>
      </c>
      <c r="CR276" s="279">
        <f t="shared" si="1582"/>
        <v>1810.8</v>
      </c>
      <c r="CS276" s="279">
        <f t="shared" si="1582"/>
        <v>1826.2248811410459</v>
      </c>
      <c r="CT276" s="279">
        <f t="shared" si="1582"/>
        <v>1843.8</v>
      </c>
      <c r="CU276" s="279">
        <f t="shared" si="1582"/>
        <v>1847.2</v>
      </c>
      <c r="CV276" s="279">
        <f t="shared" si="1582"/>
        <v>1868.2</v>
      </c>
      <c r="CW276" s="279">
        <f t="shared" si="1582"/>
        <v>1890.7</v>
      </c>
      <c r="CX276" s="279">
        <f t="shared" si="1582"/>
        <v>1899.2</v>
      </c>
      <c r="CY276" s="279">
        <f t="shared" si="1582"/>
        <v>2031.2</v>
      </c>
      <c r="CZ276" s="279">
        <f t="shared" ref="CZ276:DA276" si="1583">+CZ211-CZ209</f>
        <v>2044.8</v>
      </c>
      <c r="DA276" s="279">
        <f t="shared" si="1583"/>
        <v>2044.8</v>
      </c>
      <c r="DB276" s="279">
        <f t="shared" ref="DB276:DC276" si="1584">+DB211-DB209</f>
        <v>2044.8</v>
      </c>
      <c r="DC276" s="279">
        <f t="shared" si="1584"/>
        <v>2044.8</v>
      </c>
      <c r="DD276" s="279">
        <f t="shared" ref="DD276:DE276" si="1585">+DD211-DD209</f>
        <v>2044.8</v>
      </c>
      <c r="DE276" s="279">
        <f t="shared" si="1585"/>
        <v>2044.8</v>
      </c>
    </row>
    <row r="277" spans="1:137">
      <c r="A277" s="1"/>
      <c r="B277" s="278" t="s">
        <v>198</v>
      </c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279">
        <f>+V211</f>
        <v>1474.7</v>
      </c>
      <c r="W277" s="279">
        <f t="shared" ref="W277:BK277" si="1586">+W211</f>
        <v>1566</v>
      </c>
      <c r="X277" s="279">
        <f t="shared" si="1586"/>
        <v>1519.2</v>
      </c>
      <c r="Y277" s="279">
        <f t="shared" si="1586"/>
        <v>1654.6289650000001</v>
      </c>
      <c r="Z277" s="279">
        <f t="shared" si="1586"/>
        <v>1698.7</v>
      </c>
      <c r="AA277" s="279">
        <f t="shared" si="1586"/>
        <v>1677.4</v>
      </c>
      <c r="AB277" s="279">
        <f t="shared" si="1586"/>
        <v>1725</v>
      </c>
      <c r="AC277" s="279">
        <f t="shared" si="1586"/>
        <v>1727.7</v>
      </c>
      <c r="AD277" s="279">
        <f t="shared" si="1586"/>
        <v>1726.35</v>
      </c>
      <c r="AE277" s="279">
        <f t="shared" si="1586"/>
        <v>1749.252297</v>
      </c>
      <c r="AF277" s="279">
        <f t="shared" si="1586"/>
        <v>1751.9761484999999</v>
      </c>
      <c r="AG277" s="279">
        <f>+AG211</f>
        <v>1754.7</v>
      </c>
      <c r="AH277" s="279">
        <f t="shared" si="1586"/>
        <v>1775.6</v>
      </c>
      <c r="AI277" s="279">
        <f t="shared" si="1586"/>
        <v>1781.9499999999998</v>
      </c>
      <c r="AJ277" s="279">
        <f t="shared" si="1586"/>
        <v>1781.2</v>
      </c>
      <c r="AK277" s="279">
        <f t="shared" si="1586"/>
        <v>1796</v>
      </c>
      <c r="AL277" s="279">
        <f t="shared" si="1586"/>
        <v>1798.3999999999999</v>
      </c>
      <c r="AM277" s="279">
        <f t="shared" si="1586"/>
        <v>1798.4</v>
      </c>
      <c r="AN277" s="279">
        <f t="shared" si="1586"/>
        <v>1809.2</v>
      </c>
      <c r="AO277" s="279">
        <f t="shared" si="1586"/>
        <v>1810.8</v>
      </c>
      <c r="AP277" s="279">
        <f t="shared" si="1586"/>
        <v>1810.8</v>
      </c>
      <c r="AQ277" s="279">
        <f t="shared" si="1586"/>
        <v>1824.5</v>
      </c>
      <c r="AR277" s="279">
        <f t="shared" si="1586"/>
        <v>1826.2248811410459</v>
      </c>
      <c r="AS277" s="279">
        <f t="shared" si="1586"/>
        <v>1826.2248811410459</v>
      </c>
      <c r="AT277" s="279">
        <f t="shared" si="1586"/>
        <v>1841.6</v>
      </c>
      <c r="AU277" s="279">
        <f t="shared" si="1586"/>
        <v>1843.8</v>
      </c>
      <c r="AV277" s="279">
        <f t="shared" si="1586"/>
        <v>1843.8</v>
      </c>
      <c r="AW277" s="279">
        <f t="shared" si="1586"/>
        <v>1861.2248811410459</v>
      </c>
      <c r="AX277" s="279">
        <f t="shared" si="1586"/>
        <v>1847.2</v>
      </c>
      <c r="AY277" s="279">
        <f t="shared" si="1586"/>
        <v>1847.2</v>
      </c>
      <c r="AZ277" s="279">
        <f t="shared" si="1586"/>
        <v>1868.2</v>
      </c>
      <c r="BA277" s="279">
        <f t="shared" si="1586"/>
        <v>1868.2</v>
      </c>
      <c r="BB277" s="279">
        <f t="shared" si="1586"/>
        <v>1868.2</v>
      </c>
      <c r="BC277" s="279">
        <f t="shared" si="1586"/>
        <v>1880.5</v>
      </c>
      <c r="BD277" s="279">
        <f t="shared" si="1586"/>
        <v>1890.5</v>
      </c>
      <c r="BE277" s="279">
        <f t="shared" si="1586"/>
        <v>1890.7</v>
      </c>
      <c r="BF277" s="279">
        <f t="shared" si="1586"/>
        <v>1899.2</v>
      </c>
      <c r="BG277" s="279">
        <f t="shared" si="1586"/>
        <v>1899.2</v>
      </c>
      <c r="BH277" s="279">
        <f t="shared" si="1586"/>
        <v>1899.2</v>
      </c>
      <c r="BI277" s="279">
        <f t="shared" si="1586"/>
        <v>1911.6</v>
      </c>
      <c r="BJ277" s="279">
        <f t="shared" si="1586"/>
        <v>2031.2</v>
      </c>
      <c r="BK277" s="279">
        <f t="shared" si="1586"/>
        <v>2031.2</v>
      </c>
      <c r="BL277" s="279">
        <f t="shared" ref="BL277:BN277" si="1587">+BL211</f>
        <v>2044.8</v>
      </c>
      <c r="BM277" s="279">
        <f t="shared" si="1587"/>
        <v>2044.8</v>
      </c>
      <c r="BN277" s="279">
        <f t="shared" si="1587"/>
        <v>2044.8</v>
      </c>
      <c r="BO277" s="279">
        <f t="shared" ref="BO277:BQ277" si="1588">+BO211</f>
        <v>2044.8</v>
      </c>
      <c r="BP277" s="279">
        <f t="shared" si="1588"/>
        <v>2044.8</v>
      </c>
      <c r="BQ277" s="279">
        <f t="shared" si="1588"/>
        <v>2044.8</v>
      </c>
      <c r="BR277" s="279">
        <f t="shared" ref="BR277:BT277" si="1589">+BR211</f>
        <v>2044.8</v>
      </c>
      <c r="BS277" s="279">
        <f t="shared" si="1589"/>
        <v>2044.8</v>
      </c>
      <c r="BT277" s="279">
        <f t="shared" si="1589"/>
        <v>2044.8</v>
      </c>
      <c r="BU277" s="279">
        <f t="shared" ref="BU277:BZ277" si="1590">+BU211</f>
        <v>2044.8</v>
      </c>
      <c r="BV277" s="279">
        <f t="shared" si="1590"/>
        <v>2044.8</v>
      </c>
      <c r="BW277" s="279">
        <f t="shared" si="1590"/>
        <v>2044.8</v>
      </c>
      <c r="BX277" s="279">
        <f t="shared" si="1590"/>
        <v>2044.8</v>
      </c>
      <c r="BY277" s="279">
        <f t="shared" si="1590"/>
        <v>2044.8</v>
      </c>
      <c r="BZ277" s="279">
        <f t="shared" si="1590"/>
        <v>2044.8</v>
      </c>
      <c r="CA277" s="279">
        <f t="shared" ref="CA277:CC277" si="1591">+CA211</f>
        <v>2044.8</v>
      </c>
      <c r="CB277" s="279">
        <f t="shared" si="1591"/>
        <v>2044.8</v>
      </c>
      <c r="CC277" s="279">
        <f t="shared" si="1591"/>
        <v>2044.8</v>
      </c>
      <c r="CD277" s="1"/>
      <c r="CE277" s="1"/>
      <c r="CF277" s="1"/>
      <c r="CG277" s="1"/>
      <c r="CH277" s="1"/>
      <c r="CI277" s="1"/>
      <c r="CJ277" s="1"/>
      <c r="CL277" s="279">
        <f t="shared" ref="CL277:CY277" si="1592">+CL211</f>
        <v>1519.2</v>
      </c>
      <c r="CM277" s="279">
        <f t="shared" si="1592"/>
        <v>1677.4</v>
      </c>
      <c r="CN277" s="279">
        <f t="shared" si="1592"/>
        <v>1726.35</v>
      </c>
      <c r="CO277" s="279">
        <f t="shared" si="1592"/>
        <v>1754.7</v>
      </c>
      <c r="CP277" s="279">
        <f t="shared" si="1592"/>
        <v>1781.2</v>
      </c>
      <c r="CQ277" s="279">
        <f t="shared" si="1592"/>
        <v>1798.4</v>
      </c>
      <c r="CR277" s="279">
        <f t="shared" si="1592"/>
        <v>1810.8</v>
      </c>
      <c r="CS277" s="279">
        <f t="shared" si="1592"/>
        <v>1826.2248811410459</v>
      </c>
      <c r="CT277" s="279">
        <f t="shared" si="1592"/>
        <v>1843.8</v>
      </c>
      <c r="CU277" s="279">
        <f t="shared" si="1592"/>
        <v>1847.2</v>
      </c>
      <c r="CV277" s="279">
        <f t="shared" si="1592"/>
        <v>1868.2</v>
      </c>
      <c r="CW277" s="279">
        <f t="shared" si="1592"/>
        <v>1890.7</v>
      </c>
      <c r="CX277" s="279">
        <f t="shared" si="1592"/>
        <v>1899.2</v>
      </c>
      <c r="CY277" s="279">
        <f t="shared" si="1592"/>
        <v>2031.2</v>
      </c>
      <c r="CZ277" s="279">
        <f t="shared" ref="CZ277:DA277" si="1593">+CZ211</f>
        <v>2044.8</v>
      </c>
      <c r="DA277" s="279">
        <f t="shared" si="1593"/>
        <v>2044.8</v>
      </c>
      <c r="DB277" s="279">
        <f t="shared" ref="DB277:DC277" si="1594">+DB211</f>
        <v>2044.8</v>
      </c>
      <c r="DC277" s="279">
        <f t="shared" si="1594"/>
        <v>2044.8</v>
      </c>
      <c r="DD277" s="279">
        <f t="shared" ref="DD277:DE277" si="1595">+DD211</f>
        <v>2044.8</v>
      </c>
      <c r="DE277" s="279">
        <f t="shared" si="1595"/>
        <v>2044.8</v>
      </c>
    </row>
    <row r="278" spans="1:137">
      <c r="A278" s="1"/>
      <c r="B278" s="278" t="s">
        <v>199</v>
      </c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279">
        <f>+V210</f>
        <v>1474.7</v>
      </c>
      <c r="W278" s="279">
        <f t="shared" ref="W278:BK278" si="1596">+W210</f>
        <v>1566</v>
      </c>
      <c r="X278" s="279">
        <f t="shared" si="1596"/>
        <v>1615.0773773999999</v>
      </c>
      <c r="Y278" s="279">
        <f t="shared" si="1596"/>
        <v>1736.8339469999999</v>
      </c>
      <c r="Z278" s="279">
        <f t="shared" si="1596"/>
        <v>1742.342809</v>
      </c>
      <c r="AA278" s="279">
        <f t="shared" si="1596"/>
        <v>1742.342809</v>
      </c>
      <c r="AB278" s="279">
        <f t="shared" si="1596"/>
        <v>1722.8979667632441</v>
      </c>
      <c r="AC278" s="279">
        <f t="shared" si="1596"/>
        <v>1727.7</v>
      </c>
      <c r="AD278" s="279">
        <f t="shared" si="1596"/>
        <v>1727.7</v>
      </c>
      <c r="AE278" s="279">
        <f t="shared" si="1596"/>
        <v>1736.64</v>
      </c>
      <c r="AF278" s="279">
        <f t="shared" si="1596"/>
        <v>1832.5187699999999</v>
      </c>
      <c r="AG278" s="279">
        <f t="shared" si="1596"/>
        <v>1832.5187699999999</v>
      </c>
      <c r="AH278" s="279">
        <f t="shared" si="1596"/>
        <v>1775.6</v>
      </c>
      <c r="AI278" s="279">
        <f t="shared" si="1596"/>
        <v>1788.3</v>
      </c>
      <c r="AJ278" s="279">
        <f t="shared" si="1596"/>
        <v>1788.3</v>
      </c>
      <c r="AK278" s="279">
        <f t="shared" si="1596"/>
        <v>1796</v>
      </c>
      <c r="AL278" s="279">
        <f t="shared" si="1596"/>
        <v>1797.8071909667194</v>
      </c>
      <c r="AM278" s="279">
        <f t="shared" si="1596"/>
        <v>1798.4</v>
      </c>
      <c r="AN278" s="279">
        <f t="shared" si="1596"/>
        <v>1809.2</v>
      </c>
      <c r="AO278" s="279">
        <f t="shared" si="1596"/>
        <v>1811.1712967511887</v>
      </c>
      <c r="AP278" s="279">
        <f t="shared" si="1596"/>
        <v>1811.1712967511887</v>
      </c>
      <c r="AQ278" s="279">
        <f t="shared" si="1596"/>
        <v>1813.8820000000001</v>
      </c>
      <c r="AR278" s="279">
        <f t="shared" si="1596"/>
        <v>1813.8820000000001</v>
      </c>
      <c r="AS278" s="279">
        <f t="shared" si="1596"/>
        <v>1813.8820000000001</v>
      </c>
      <c r="AT278" s="279">
        <f t="shared" si="1596"/>
        <v>1824.674</v>
      </c>
      <c r="AU278" s="279">
        <f t="shared" si="1596"/>
        <v>1846.2248811410459</v>
      </c>
      <c r="AV278" s="279">
        <f t="shared" si="1596"/>
        <v>1846.2248811410459</v>
      </c>
      <c r="AW278" s="279">
        <f t="shared" si="1596"/>
        <v>1861.2248811410459</v>
      </c>
      <c r="AX278" s="279">
        <f t="shared" si="1596"/>
        <v>1847.2</v>
      </c>
      <c r="AY278" s="279">
        <f t="shared" si="1596"/>
        <v>1847.2</v>
      </c>
      <c r="AZ278" s="279">
        <f t="shared" si="1596"/>
        <v>1868.2</v>
      </c>
      <c r="BA278" s="279">
        <f t="shared" si="1596"/>
        <v>1868.2</v>
      </c>
      <c r="BB278" s="279">
        <f t="shared" si="1596"/>
        <v>1868.2</v>
      </c>
      <c r="BC278" s="279">
        <f t="shared" si="1596"/>
        <v>1880.5</v>
      </c>
      <c r="BD278" s="279">
        <f t="shared" si="1596"/>
        <v>1890.5</v>
      </c>
      <c r="BE278" s="279">
        <f t="shared" si="1596"/>
        <v>1883.8</v>
      </c>
      <c r="BF278" s="279">
        <f t="shared" si="1596"/>
        <v>1899.2</v>
      </c>
      <c r="BG278" s="279">
        <f t="shared" si="1596"/>
        <v>1899.2</v>
      </c>
      <c r="BH278" s="279">
        <f t="shared" si="1596"/>
        <v>1899.2</v>
      </c>
      <c r="BI278" s="279">
        <f t="shared" si="1596"/>
        <v>1911.6</v>
      </c>
      <c r="BJ278" s="279">
        <f t="shared" si="1596"/>
        <v>2031.2</v>
      </c>
      <c r="BK278" s="279">
        <f t="shared" si="1596"/>
        <v>2031.2</v>
      </c>
      <c r="BL278" s="279">
        <f t="shared" ref="BL278:BN278" si="1597">+BL210</f>
        <v>2044.8</v>
      </c>
      <c r="BM278" s="279">
        <f t="shared" si="1597"/>
        <v>2044.8</v>
      </c>
      <c r="BN278" s="279">
        <f t="shared" si="1597"/>
        <v>2044.8</v>
      </c>
      <c r="BO278" s="279">
        <f t="shared" ref="BO278:BQ278" si="1598">+BO210</f>
        <v>2044.8</v>
      </c>
      <c r="BP278" s="279">
        <f t="shared" si="1598"/>
        <v>2044.8</v>
      </c>
      <c r="BQ278" s="279">
        <f t="shared" si="1598"/>
        <v>2044.8</v>
      </c>
      <c r="BR278" s="279">
        <f t="shared" ref="BR278:BT278" si="1599">+BR210</f>
        <v>2044.8</v>
      </c>
      <c r="BS278" s="279">
        <f t="shared" si="1599"/>
        <v>2044.8</v>
      </c>
      <c r="BT278" s="279">
        <f t="shared" si="1599"/>
        <v>2044.8</v>
      </c>
      <c r="BU278" s="279">
        <f t="shared" ref="BU278:BZ278" si="1600">+BU210</f>
        <v>2044.8</v>
      </c>
      <c r="BV278" s="279">
        <f t="shared" si="1600"/>
        <v>2044.8</v>
      </c>
      <c r="BW278" s="279">
        <f t="shared" si="1600"/>
        <v>2044.8</v>
      </c>
      <c r="BX278" s="279">
        <f t="shared" si="1600"/>
        <v>2044.8</v>
      </c>
      <c r="BY278" s="279">
        <f t="shared" si="1600"/>
        <v>2044.8</v>
      </c>
      <c r="BZ278" s="279">
        <f t="shared" si="1600"/>
        <v>2044.8</v>
      </c>
      <c r="CA278" s="279">
        <f t="shared" ref="CA278:CC278" si="1601">+CA210</f>
        <v>2044.8</v>
      </c>
      <c r="CB278" s="279">
        <f t="shared" si="1601"/>
        <v>2044.8</v>
      </c>
      <c r="CC278" s="279">
        <f t="shared" si="1601"/>
        <v>2044.8</v>
      </c>
      <c r="CD278" s="1"/>
      <c r="CE278" s="1"/>
      <c r="CF278" s="1"/>
      <c r="CG278" s="1"/>
      <c r="CH278" s="1"/>
      <c r="CI278" s="1"/>
      <c r="CJ278" s="1"/>
      <c r="CL278" s="279">
        <f t="shared" ref="CL278:CY278" si="1602">+CL210</f>
        <v>1615.0773773999999</v>
      </c>
      <c r="CM278" s="279">
        <f t="shared" si="1602"/>
        <v>1742.342809</v>
      </c>
      <c r="CN278" s="279">
        <f t="shared" si="1602"/>
        <v>1727.7</v>
      </c>
      <c r="CO278" s="279">
        <f t="shared" si="1602"/>
        <v>1832.5187699999999</v>
      </c>
      <c r="CP278" s="279">
        <f t="shared" si="1602"/>
        <v>1788.3</v>
      </c>
      <c r="CQ278" s="279">
        <f t="shared" si="1602"/>
        <v>1798.4</v>
      </c>
      <c r="CR278" s="279">
        <f t="shared" si="1602"/>
        <v>1811.1712967511887</v>
      </c>
      <c r="CS278" s="279">
        <f t="shared" si="1602"/>
        <v>1813.8820000000001</v>
      </c>
      <c r="CT278" s="279">
        <f t="shared" si="1602"/>
        <v>1846.2248811410459</v>
      </c>
      <c r="CU278" s="279">
        <f t="shared" si="1602"/>
        <v>1847.2</v>
      </c>
      <c r="CV278" s="279">
        <f t="shared" si="1602"/>
        <v>1868.2</v>
      </c>
      <c r="CW278" s="279">
        <f t="shared" si="1602"/>
        <v>1883.8</v>
      </c>
      <c r="CX278" s="279">
        <f t="shared" si="1602"/>
        <v>1899.2</v>
      </c>
      <c r="CY278" s="279">
        <f t="shared" si="1602"/>
        <v>2031.2</v>
      </c>
      <c r="CZ278" s="279">
        <f t="shared" ref="CZ278:DA278" si="1603">+CZ210</f>
        <v>2044.8</v>
      </c>
      <c r="DA278" s="279">
        <f t="shared" si="1603"/>
        <v>2044.8</v>
      </c>
      <c r="DB278" s="279">
        <f t="shared" ref="DB278:DC278" si="1604">+DB210</f>
        <v>2044.8</v>
      </c>
      <c r="DC278" s="279">
        <f t="shared" si="1604"/>
        <v>2044.8</v>
      </c>
      <c r="DD278" s="279">
        <f t="shared" ref="DD278:DE278" si="1605">+DD210</f>
        <v>2044.8</v>
      </c>
      <c r="DE278" s="279">
        <f t="shared" si="1605"/>
        <v>2044.8</v>
      </c>
    </row>
    <row r="279" spans="1:137">
      <c r="A279" s="1"/>
      <c r="B279" s="278" t="s">
        <v>200</v>
      </c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280"/>
      <c r="AW279" s="1"/>
      <c r="AX279" s="1"/>
      <c r="AY279" s="1"/>
      <c r="AZ279" s="1"/>
      <c r="BA279" s="1"/>
      <c r="BB279" s="1"/>
      <c r="BC279" s="280">
        <f>+BC278</f>
        <v>1880.5</v>
      </c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</row>
    <row r="280" spans="1:137">
      <c r="A280" s="1"/>
      <c r="B280" s="278" t="s">
        <v>201</v>
      </c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280"/>
      <c r="AW280" s="1"/>
      <c r="AX280" s="1"/>
      <c r="AY280" s="1"/>
      <c r="AZ280" s="1"/>
      <c r="BA280" s="1"/>
      <c r="BB280" s="1"/>
      <c r="BC280" s="280">
        <f>+BC279</f>
        <v>1880.5</v>
      </c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</row>
    <row r="281" spans="1:137">
      <c r="A281" s="1"/>
      <c r="B281" s="278" t="s">
        <v>202</v>
      </c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280">
        <f>+X277</f>
        <v>1519.2</v>
      </c>
      <c r="Y281" s="280">
        <f t="shared" ref="Y281:BK281" si="1606">+Y277</f>
        <v>1654.6289650000001</v>
      </c>
      <c r="Z281" s="280">
        <f t="shared" si="1606"/>
        <v>1698.7</v>
      </c>
      <c r="AA281" s="280">
        <f t="shared" si="1606"/>
        <v>1677.4</v>
      </c>
      <c r="AB281" s="280">
        <f t="shared" si="1606"/>
        <v>1725</v>
      </c>
      <c r="AC281" s="280">
        <f t="shared" si="1606"/>
        <v>1727.7</v>
      </c>
      <c r="AD281" s="280">
        <f t="shared" si="1606"/>
        <v>1726.35</v>
      </c>
      <c r="AE281" s="280">
        <f t="shared" si="1606"/>
        <v>1749.252297</v>
      </c>
      <c r="AF281" s="280">
        <f t="shared" si="1606"/>
        <v>1751.9761484999999</v>
      </c>
      <c r="AG281" s="280">
        <f t="shared" si="1606"/>
        <v>1754.7</v>
      </c>
      <c r="AH281" s="280">
        <f t="shared" si="1606"/>
        <v>1775.6</v>
      </c>
      <c r="AI281" s="280">
        <f t="shared" si="1606"/>
        <v>1781.9499999999998</v>
      </c>
      <c r="AJ281" s="280">
        <f t="shared" si="1606"/>
        <v>1781.2</v>
      </c>
      <c r="AK281" s="280">
        <f t="shared" si="1606"/>
        <v>1796</v>
      </c>
      <c r="AL281" s="280">
        <f t="shared" si="1606"/>
        <v>1798.3999999999999</v>
      </c>
      <c r="AM281" s="280">
        <f t="shared" si="1606"/>
        <v>1798.4</v>
      </c>
      <c r="AN281" s="280">
        <f t="shared" si="1606"/>
        <v>1809.2</v>
      </c>
      <c r="AO281" s="280">
        <f t="shared" si="1606"/>
        <v>1810.8</v>
      </c>
      <c r="AP281" s="280">
        <f t="shared" si="1606"/>
        <v>1810.8</v>
      </c>
      <c r="AQ281" s="280">
        <f t="shared" si="1606"/>
        <v>1824.5</v>
      </c>
      <c r="AR281" s="280">
        <f t="shared" si="1606"/>
        <v>1826.2248811410459</v>
      </c>
      <c r="AS281" s="280">
        <f t="shared" si="1606"/>
        <v>1826.2248811410459</v>
      </c>
      <c r="AT281" s="280">
        <f t="shared" si="1606"/>
        <v>1841.6</v>
      </c>
      <c r="AU281" s="280">
        <f t="shared" si="1606"/>
        <v>1843.8</v>
      </c>
      <c r="AV281" s="280">
        <f t="shared" si="1606"/>
        <v>1843.8</v>
      </c>
      <c r="AW281" s="280">
        <f t="shared" si="1606"/>
        <v>1861.2248811410459</v>
      </c>
      <c r="AX281" s="280">
        <f t="shared" si="1606"/>
        <v>1847.2</v>
      </c>
      <c r="AY281" s="280">
        <f t="shared" si="1606"/>
        <v>1847.2</v>
      </c>
      <c r="AZ281" s="280">
        <f t="shared" si="1606"/>
        <v>1868.2</v>
      </c>
      <c r="BA281" s="280">
        <f t="shared" si="1606"/>
        <v>1868.2</v>
      </c>
      <c r="BB281" s="280">
        <f t="shared" si="1606"/>
        <v>1868.2</v>
      </c>
      <c r="BC281" s="280">
        <f t="shared" si="1606"/>
        <v>1880.5</v>
      </c>
      <c r="BD281" s="280">
        <f t="shared" si="1606"/>
        <v>1890.5</v>
      </c>
      <c r="BE281" s="280">
        <f t="shared" si="1606"/>
        <v>1890.7</v>
      </c>
      <c r="BF281" s="280">
        <f t="shared" si="1606"/>
        <v>1899.2</v>
      </c>
      <c r="BG281" s="280">
        <f t="shared" si="1606"/>
        <v>1899.2</v>
      </c>
      <c r="BH281" s="280">
        <f t="shared" si="1606"/>
        <v>1899.2</v>
      </c>
      <c r="BI281" s="280">
        <f t="shared" si="1606"/>
        <v>1911.6</v>
      </c>
      <c r="BJ281" s="280">
        <f t="shared" si="1606"/>
        <v>2031.2</v>
      </c>
      <c r="BK281" s="280">
        <f t="shared" si="1606"/>
        <v>2031.2</v>
      </c>
      <c r="BL281" s="280">
        <f t="shared" ref="BL281:BN281" si="1607">+BL277</f>
        <v>2044.8</v>
      </c>
      <c r="BM281" s="280">
        <f t="shared" si="1607"/>
        <v>2044.8</v>
      </c>
      <c r="BN281" s="280">
        <f t="shared" si="1607"/>
        <v>2044.8</v>
      </c>
      <c r="BO281" s="280">
        <f t="shared" ref="BO281:BQ281" si="1608">+BO277</f>
        <v>2044.8</v>
      </c>
      <c r="BP281" s="280">
        <f t="shared" si="1608"/>
        <v>2044.8</v>
      </c>
      <c r="BQ281" s="280">
        <f t="shared" si="1608"/>
        <v>2044.8</v>
      </c>
      <c r="BR281" s="280">
        <f t="shared" ref="BR281:BT281" si="1609">+BR277</f>
        <v>2044.8</v>
      </c>
      <c r="BS281" s="280">
        <f t="shared" si="1609"/>
        <v>2044.8</v>
      </c>
      <c r="BT281" s="280">
        <f t="shared" si="1609"/>
        <v>2044.8</v>
      </c>
      <c r="BU281" s="280">
        <f t="shared" ref="BU281:BZ281" si="1610">+BU277</f>
        <v>2044.8</v>
      </c>
      <c r="BV281" s="280">
        <f t="shared" si="1610"/>
        <v>2044.8</v>
      </c>
      <c r="BW281" s="280">
        <f t="shared" si="1610"/>
        <v>2044.8</v>
      </c>
      <c r="BX281" s="280">
        <f t="shared" si="1610"/>
        <v>2044.8</v>
      </c>
      <c r="BY281" s="280">
        <f t="shared" si="1610"/>
        <v>2044.8</v>
      </c>
      <c r="BZ281" s="280">
        <f t="shared" si="1610"/>
        <v>2044.8</v>
      </c>
      <c r="CA281" s="280">
        <f t="shared" ref="CA281:CC281" si="1611">+CA277</f>
        <v>2044.8</v>
      </c>
      <c r="CB281" s="280">
        <f t="shared" si="1611"/>
        <v>2044.8</v>
      </c>
      <c r="CC281" s="280">
        <f t="shared" si="1611"/>
        <v>2044.8</v>
      </c>
      <c r="CD281" s="1"/>
      <c r="CE281" s="1"/>
      <c r="CF281" s="1"/>
      <c r="CG281" s="1"/>
      <c r="CH281" s="1"/>
      <c r="CI281" s="1"/>
      <c r="CJ281" s="1"/>
      <c r="CL281" s="280">
        <f t="shared" ref="CL281:CY281" si="1612">+CL277</f>
        <v>1519.2</v>
      </c>
      <c r="CM281" s="280">
        <f t="shared" si="1612"/>
        <v>1677.4</v>
      </c>
      <c r="CN281" s="280">
        <f t="shared" si="1612"/>
        <v>1726.35</v>
      </c>
      <c r="CO281" s="280">
        <f t="shared" si="1612"/>
        <v>1754.7</v>
      </c>
      <c r="CP281" s="280">
        <f t="shared" si="1612"/>
        <v>1781.2</v>
      </c>
      <c r="CQ281" s="280">
        <f t="shared" si="1612"/>
        <v>1798.4</v>
      </c>
      <c r="CR281" s="280">
        <f t="shared" si="1612"/>
        <v>1810.8</v>
      </c>
      <c r="CS281" s="280">
        <f t="shared" si="1612"/>
        <v>1826.2248811410459</v>
      </c>
      <c r="CT281" s="280">
        <f t="shared" si="1612"/>
        <v>1843.8</v>
      </c>
      <c r="CU281" s="280">
        <f t="shared" si="1612"/>
        <v>1847.2</v>
      </c>
      <c r="CV281" s="280">
        <f t="shared" si="1612"/>
        <v>1868.2</v>
      </c>
      <c r="CW281" s="280">
        <f t="shared" si="1612"/>
        <v>1890.7</v>
      </c>
      <c r="CX281" s="280">
        <f t="shared" si="1612"/>
        <v>1899.2</v>
      </c>
      <c r="CY281" s="280">
        <f t="shared" si="1612"/>
        <v>2031.2</v>
      </c>
      <c r="CZ281" s="280">
        <f t="shared" ref="CZ281:DA281" si="1613">+CZ277</f>
        <v>2044.8</v>
      </c>
      <c r="DA281" s="280">
        <f t="shared" si="1613"/>
        <v>2044.8</v>
      </c>
      <c r="DB281" s="280">
        <f t="shared" ref="DB281:DC281" si="1614">+DB277</f>
        <v>2044.8</v>
      </c>
      <c r="DC281" s="280">
        <f t="shared" si="1614"/>
        <v>2044.8</v>
      </c>
      <c r="DD281" s="280">
        <f t="shared" ref="DD281:DE281" si="1615">+DD277</f>
        <v>2044.8</v>
      </c>
      <c r="DE281" s="280">
        <f t="shared" si="1615"/>
        <v>2044.8</v>
      </c>
    </row>
    <row r="282" spans="1:137">
      <c r="A282" s="1"/>
      <c r="B282" s="278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</row>
    <row r="283" spans="1:137">
      <c r="A283" s="1"/>
      <c r="B283" s="278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</row>
    <row r="284" spans="1:137">
      <c r="A284" s="1"/>
      <c r="B284" s="278" t="s">
        <v>203</v>
      </c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281">
        <v>0.25</v>
      </c>
      <c r="W284" s="281">
        <v>0.25</v>
      </c>
      <c r="X284" s="281">
        <v>0.25</v>
      </c>
      <c r="Y284" s="281">
        <v>0.25</v>
      </c>
      <c r="Z284" s="281">
        <v>0.25</v>
      </c>
      <c r="AA284" s="281">
        <v>0.25</v>
      </c>
      <c r="AB284" s="281">
        <v>0.25</v>
      </c>
      <c r="AC284" s="281">
        <v>0.25</v>
      </c>
      <c r="AD284" s="281">
        <v>0.25</v>
      </c>
      <c r="AE284" s="281">
        <v>0.25</v>
      </c>
      <c r="AF284" s="281">
        <v>0.25</v>
      </c>
      <c r="AG284" s="281">
        <v>0.25</v>
      </c>
      <c r="AH284" s="281">
        <v>0.25</v>
      </c>
      <c r="AI284" s="281">
        <v>0.25</v>
      </c>
      <c r="AJ284" s="281">
        <v>0.25</v>
      </c>
      <c r="AK284" s="281">
        <v>0.25</v>
      </c>
      <c r="AL284" s="281">
        <v>0.25</v>
      </c>
      <c r="AM284" s="281">
        <v>0.25</v>
      </c>
      <c r="AN284" s="281">
        <v>0.25</v>
      </c>
      <c r="AO284" s="281">
        <v>0.25</v>
      </c>
      <c r="AP284" s="281">
        <v>0.25</v>
      </c>
      <c r="AQ284" s="281">
        <v>0.25</v>
      </c>
      <c r="AR284" s="281">
        <v>0.25</v>
      </c>
      <c r="AS284" s="281">
        <v>0.25</v>
      </c>
      <c r="AT284" s="281">
        <v>0.25</v>
      </c>
      <c r="AU284" s="281">
        <v>0.25</v>
      </c>
      <c r="AV284" s="281">
        <v>0.25</v>
      </c>
      <c r="AW284" s="281">
        <v>0.25</v>
      </c>
      <c r="AX284" s="281">
        <v>0.25</v>
      </c>
      <c r="AY284" s="281">
        <v>0.25</v>
      </c>
      <c r="AZ284" s="281">
        <v>0.25</v>
      </c>
      <c r="BA284" s="281">
        <v>0.25</v>
      </c>
      <c r="BB284" s="281">
        <v>0.25</v>
      </c>
      <c r="BC284" s="281">
        <v>0.25</v>
      </c>
      <c r="BD284" s="281">
        <v>0.25</v>
      </c>
      <c r="BE284" s="281">
        <v>0.25</v>
      </c>
      <c r="BF284" s="281">
        <v>0.25</v>
      </c>
      <c r="BG284" s="281">
        <v>0.25</v>
      </c>
      <c r="BH284" s="281">
        <v>0.25</v>
      </c>
      <c r="BI284" s="281">
        <v>0.25</v>
      </c>
      <c r="BJ284" s="281">
        <v>0.25</v>
      </c>
      <c r="BK284" s="281">
        <v>0.25</v>
      </c>
      <c r="BL284" s="281">
        <v>0.25</v>
      </c>
      <c r="BM284" s="281">
        <v>0.25</v>
      </c>
      <c r="BN284" s="281">
        <v>0.25</v>
      </c>
      <c r="BO284" s="281">
        <v>0.25</v>
      </c>
      <c r="BP284" s="281">
        <v>0.25</v>
      </c>
      <c r="BQ284" s="281">
        <v>0.25</v>
      </c>
      <c r="BR284" s="281">
        <v>0.25</v>
      </c>
      <c r="BS284" s="281">
        <v>0.25</v>
      </c>
      <c r="BT284" s="281">
        <v>0.25</v>
      </c>
      <c r="BU284" s="281">
        <v>0.25</v>
      </c>
      <c r="BV284" s="281">
        <v>0.25</v>
      </c>
      <c r="BW284" s="281">
        <v>0.25</v>
      </c>
      <c r="BX284" s="281">
        <v>0.25</v>
      </c>
      <c r="BY284" s="281">
        <v>0.25</v>
      </c>
      <c r="BZ284" s="281">
        <v>0.25</v>
      </c>
      <c r="CA284" s="281">
        <v>0.25</v>
      </c>
      <c r="CB284" s="281">
        <v>0.25</v>
      </c>
      <c r="CC284" s="281">
        <v>0.25</v>
      </c>
      <c r="CD284" s="1"/>
      <c r="CE284" s="1"/>
      <c r="CF284" s="1"/>
      <c r="CG284" s="1"/>
      <c r="CH284" s="1"/>
      <c r="CI284" s="1"/>
      <c r="CJ284" s="1"/>
      <c r="CL284" s="281">
        <v>0.25</v>
      </c>
      <c r="CM284" s="281">
        <v>0.25</v>
      </c>
      <c r="CN284" s="281">
        <v>0.25</v>
      </c>
      <c r="CO284" s="281">
        <v>0.25</v>
      </c>
      <c r="CP284" s="281">
        <v>0.25</v>
      </c>
      <c r="CQ284" s="281">
        <v>0.25</v>
      </c>
      <c r="CR284" s="281">
        <v>0.25</v>
      </c>
      <c r="CS284" s="281">
        <v>0.25</v>
      </c>
      <c r="CT284" s="281">
        <v>0.25</v>
      </c>
      <c r="CU284" s="281">
        <v>0.25</v>
      </c>
      <c r="CV284" s="281">
        <v>0.25</v>
      </c>
      <c r="CW284" s="281">
        <v>0.25</v>
      </c>
      <c r="CX284" s="281">
        <v>0.25</v>
      </c>
      <c r="CY284" s="281">
        <v>0.25</v>
      </c>
      <c r="CZ284" s="281">
        <v>0.25</v>
      </c>
      <c r="DA284" s="281">
        <v>0.25</v>
      </c>
      <c r="DB284" s="281">
        <v>0.25</v>
      </c>
      <c r="DC284" s="281">
        <v>0.25</v>
      </c>
      <c r="DD284" s="281">
        <v>0.25</v>
      </c>
      <c r="DE284" s="281">
        <v>0.25</v>
      </c>
    </row>
    <row r="285" spans="1:137">
      <c r="A285" s="1"/>
      <c r="B285" s="278" t="s">
        <v>204</v>
      </c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282" t="s">
        <v>205</v>
      </c>
      <c r="W285" s="282" t="s">
        <v>205</v>
      </c>
      <c r="X285" s="282" t="s">
        <v>205</v>
      </c>
      <c r="Y285" s="282" t="s">
        <v>205</v>
      </c>
      <c r="Z285" s="282" t="s">
        <v>205</v>
      </c>
      <c r="AA285" s="282" t="s">
        <v>205</v>
      </c>
      <c r="AB285" s="282" t="s">
        <v>205</v>
      </c>
      <c r="AC285" s="282" t="s">
        <v>205</v>
      </c>
      <c r="AD285" s="282" t="s">
        <v>205</v>
      </c>
      <c r="AE285" s="282" t="s">
        <v>205</v>
      </c>
      <c r="AF285" s="282" t="s">
        <v>205</v>
      </c>
      <c r="AG285" s="282" t="s">
        <v>205</v>
      </c>
      <c r="AH285" s="282" t="s">
        <v>205</v>
      </c>
      <c r="AI285" s="282" t="s">
        <v>205</v>
      </c>
      <c r="AJ285" s="282" t="s">
        <v>205</v>
      </c>
      <c r="AK285" s="282" t="s">
        <v>205</v>
      </c>
      <c r="AL285" s="282" t="s">
        <v>205</v>
      </c>
      <c r="AM285" s="282" t="s">
        <v>205</v>
      </c>
      <c r="AN285" s="282" t="s">
        <v>205</v>
      </c>
      <c r="AO285" s="282" t="s">
        <v>205</v>
      </c>
      <c r="AP285" s="282" t="s">
        <v>205</v>
      </c>
      <c r="AQ285" s="282" t="s">
        <v>205</v>
      </c>
      <c r="AR285" s="282" t="s">
        <v>205</v>
      </c>
      <c r="AS285" s="282" t="s">
        <v>205</v>
      </c>
      <c r="AT285" s="282" t="s">
        <v>205</v>
      </c>
      <c r="AU285" s="282" t="s">
        <v>205</v>
      </c>
      <c r="AV285" s="282" t="s">
        <v>205</v>
      </c>
      <c r="AW285" s="282" t="s">
        <v>205</v>
      </c>
      <c r="AX285" s="282" t="s">
        <v>205</v>
      </c>
      <c r="AY285" s="282" t="s">
        <v>205</v>
      </c>
      <c r="AZ285" s="282" t="s">
        <v>205</v>
      </c>
      <c r="BA285" s="282" t="s">
        <v>205</v>
      </c>
      <c r="BB285" s="282" t="s">
        <v>205</v>
      </c>
      <c r="BC285" s="282" t="s">
        <v>205</v>
      </c>
      <c r="BD285" s="282" t="s">
        <v>205</v>
      </c>
      <c r="BE285" s="282" t="s">
        <v>205</v>
      </c>
      <c r="BF285" s="282" t="s">
        <v>205</v>
      </c>
      <c r="BG285" s="282" t="s">
        <v>205</v>
      </c>
      <c r="BH285" s="282" t="s">
        <v>205</v>
      </c>
      <c r="BI285" s="282" t="s">
        <v>205</v>
      </c>
      <c r="BJ285" s="282" t="s">
        <v>205</v>
      </c>
      <c r="BK285" s="282" t="s">
        <v>205</v>
      </c>
      <c r="BL285" s="282" t="s">
        <v>205</v>
      </c>
      <c r="BM285" s="282" t="s">
        <v>205</v>
      </c>
      <c r="BN285" s="282" t="s">
        <v>205</v>
      </c>
      <c r="BO285" s="282" t="s">
        <v>205</v>
      </c>
      <c r="BP285" s="282" t="s">
        <v>205</v>
      </c>
      <c r="BQ285" s="282" t="s">
        <v>205</v>
      </c>
      <c r="BR285" s="282" t="s">
        <v>205</v>
      </c>
      <c r="BS285" s="282" t="s">
        <v>205</v>
      </c>
      <c r="BT285" s="282" t="s">
        <v>205</v>
      </c>
      <c r="BU285" s="282" t="s">
        <v>205</v>
      </c>
      <c r="BV285" s="282" t="s">
        <v>205</v>
      </c>
      <c r="BW285" s="282" t="s">
        <v>205</v>
      </c>
      <c r="BX285" s="282" t="s">
        <v>205</v>
      </c>
      <c r="BY285" s="282" t="s">
        <v>205</v>
      </c>
      <c r="BZ285" s="282" t="s">
        <v>205</v>
      </c>
      <c r="CA285" s="282" t="s">
        <v>205</v>
      </c>
      <c r="CB285" s="282" t="s">
        <v>205</v>
      </c>
      <c r="CC285" s="282" t="s">
        <v>205</v>
      </c>
      <c r="CD285" s="1"/>
      <c r="CE285" s="1"/>
      <c r="CF285" s="1"/>
      <c r="CG285" s="1"/>
      <c r="CH285" s="1"/>
      <c r="CI285" s="1"/>
      <c r="CJ285" s="1"/>
      <c r="CL285" s="282" t="s">
        <v>205</v>
      </c>
      <c r="CM285" s="282" t="s">
        <v>205</v>
      </c>
      <c r="CN285" s="282" t="s">
        <v>205</v>
      </c>
      <c r="CO285" s="282" t="s">
        <v>205</v>
      </c>
      <c r="CP285" s="282" t="s">
        <v>205</v>
      </c>
      <c r="CQ285" s="282" t="s">
        <v>205</v>
      </c>
      <c r="CR285" s="282" t="s">
        <v>205</v>
      </c>
      <c r="CS285" s="282" t="s">
        <v>205</v>
      </c>
      <c r="CT285" s="282" t="s">
        <v>205</v>
      </c>
      <c r="CU285" s="282" t="s">
        <v>205</v>
      </c>
      <c r="CV285" s="282" t="s">
        <v>205</v>
      </c>
      <c r="CW285" s="282" t="s">
        <v>205</v>
      </c>
      <c r="CX285" s="282" t="s">
        <v>205</v>
      </c>
      <c r="CY285" s="282" t="s">
        <v>205</v>
      </c>
      <c r="CZ285" s="282" t="s">
        <v>205</v>
      </c>
      <c r="DA285" s="282" t="s">
        <v>205</v>
      </c>
      <c r="DB285" s="282" t="s">
        <v>205</v>
      </c>
      <c r="DC285" s="282" t="s">
        <v>205</v>
      </c>
      <c r="DD285" s="282" t="s">
        <v>205</v>
      </c>
      <c r="DE285" s="282" t="s">
        <v>205</v>
      </c>
    </row>
    <row r="286" spans="1:137">
      <c r="A286" s="1"/>
      <c r="B286" s="278" t="s">
        <v>206</v>
      </c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282" t="s">
        <v>205</v>
      </c>
      <c r="W286" s="282" t="s">
        <v>205</v>
      </c>
      <c r="X286" s="282" t="s">
        <v>205</v>
      </c>
      <c r="Y286" s="282" t="s">
        <v>205</v>
      </c>
      <c r="Z286" s="282" t="s">
        <v>205</v>
      </c>
      <c r="AA286" s="282" t="s">
        <v>205</v>
      </c>
      <c r="AB286" s="282" t="s">
        <v>205</v>
      </c>
      <c r="AC286" s="282" t="s">
        <v>205</v>
      </c>
      <c r="AD286" s="282" t="s">
        <v>205</v>
      </c>
      <c r="AE286" s="282" t="s">
        <v>205</v>
      </c>
      <c r="AF286" s="282" t="s">
        <v>205</v>
      </c>
      <c r="AG286" s="282" t="s">
        <v>205</v>
      </c>
      <c r="AH286" s="282" t="s">
        <v>205</v>
      </c>
      <c r="AI286" s="282" t="s">
        <v>205</v>
      </c>
      <c r="AJ286" s="282" t="s">
        <v>205</v>
      </c>
      <c r="AK286" s="282" t="s">
        <v>205</v>
      </c>
      <c r="AL286" s="282" t="s">
        <v>205</v>
      </c>
      <c r="AM286" s="282" t="s">
        <v>205</v>
      </c>
      <c r="AN286" s="282" t="s">
        <v>205</v>
      </c>
      <c r="AO286" s="282" t="s">
        <v>205</v>
      </c>
      <c r="AP286" s="282" t="s">
        <v>205</v>
      </c>
      <c r="AQ286" s="282" t="s">
        <v>205</v>
      </c>
      <c r="AR286" s="282" t="s">
        <v>205</v>
      </c>
      <c r="AS286" s="282" t="s">
        <v>205</v>
      </c>
      <c r="AT286" s="282" t="s">
        <v>205</v>
      </c>
      <c r="AU286" s="282" t="s">
        <v>205</v>
      </c>
      <c r="AV286" s="282" t="s">
        <v>205</v>
      </c>
      <c r="AW286" s="282" t="s">
        <v>205</v>
      </c>
      <c r="AX286" s="282" t="s">
        <v>205</v>
      </c>
      <c r="AY286" s="282" t="s">
        <v>205</v>
      </c>
      <c r="AZ286" s="282" t="s">
        <v>205</v>
      </c>
      <c r="BA286" s="282" t="s">
        <v>205</v>
      </c>
      <c r="BB286" s="282" t="s">
        <v>205</v>
      </c>
      <c r="BC286" s="282" t="s">
        <v>205</v>
      </c>
      <c r="BD286" s="282" t="s">
        <v>205</v>
      </c>
      <c r="BE286" s="282" t="s">
        <v>205</v>
      </c>
      <c r="BF286" s="282" t="s">
        <v>205</v>
      </c>
      <c r="BG286" s="282" t="s">
        <v>205</v>
      </c>
      <c r="BH286" s="282" t="s">
        <v>205</v>
      </c>
      <c r="BI286" s="282" t="s">
        <v>205</v>
      </c>
      <c r="BJ286" s="282" t="s">
        <v>205</v>
      </c>
      <c r="BK286" s="282" t="s">
        <v>205</v>
      </c>
      <c r="BL286" s="282" t="s">
        <v>205</v>
      </c>
      <c r="BM286" s="282" t="s">
        <v>205</v>
      </c>
      <c r="BN286" s="282" t="s">
        <v>205</v>
      </c>
      <c r="BO286" s="282" t="s">
        <v>205</v>
      </c>
      <c r="BP286" s="282" t="s">
        <v>205</v>
      </c>
      <c r="BQ286" s="282" t="s">
        <v>205</v>
      </c>
      <c r="BR286" s="282" t="s">
        <v>205</v>
      </c>
      <c r="BS286" s="282" t="s">
        <v>205</v>
      </c>
      <c r="BT286" s="282" t="s">
        <v>205</v>
      </c>
      <c r="BU286" s="282" t="s">
        <v>205</v>
      </c>
      <c r="BV286" s="282" t="s">
        <v>205</v>
      </c>
      <c r="BW286" s="282" t="s">
        <v>205</v>
      </c>
      <c r="BX286" s="282" t="s">
        <v>205</v>
      </c>
      <c r="BY286" s="282" t="s">
        <v>205</v>
      </c>
      <c r="BZ286" s="282" t="s">
        <v>205</v>
      </c>
      <c r="CA286" s="282" t="s">
        <v>205</v>
      </c>
      <c r="CB286" s="282" t="s">
        <v>205</v>
      </c>
      <c r="CC286" s="282" t="s">
        <v>205</v>
      </c>
      <c r="CD286" s="1"/>
      <c r="CE286" s="1"/>
      <c r="CF286" s="1"/>
      <c r="CG286" s="1"/>
      <c r="CH286" s="1"/>
      <c r="CI286" s="1"/>
      <c r="CJ286" s="1"/>
      <c r="CL286" s="282" t="s">
        <v>205</v>
      </c>
      <c r="CM286" s="282" t="s">
        <v>205</v>
      </c>
      <c r="CN286" s="282" t="s">
        <v>205</v>
      </c>
      <c r="CO286" s="282" t="s">
        <v>205</v>
      </c>
      <c r="CP286" s="282" t="s">
        <v>205</v>
      </c>
      <c r="CQ286" s="282" t="s">
        <v>205</v>
      </c>
      <c r="CR286" s="282" t="s">
        <v>205</v>
      </c>
      <c r="CS286" s="282" t="s">
        <v>205</v>
      </c>
      <c r="CT286" s="282" t="s">
        <v>205</v>
      </c>
      <c r="CU286" s="282" t="s">
        <v>205</v>
      </c>
      <c r="CV286" s="282" t="s">
        <v>205</v>
      </c>
      <c r="CW286" s="282" t="s">
        <v>205</v>
      </c>
      <c r="CX286" s="282" t="s">
        <v>205</v>
      </c>
      <c r="CY286" s="282" t="s">
        <v>205</v>
      </c>
      <c r="CZ286" s="282" t="s">
        <v>205</v>
      </c>
      <c r="DA286" s="282" t="s">
        <v>205</v>
      </c>
      <c r="DB286" s="282" t="s">
        <v>205</v>
      </c>
      <c r="DC286" s="282" t="s">
        <v>205</v>
      </c>
      <c r="DD286" s="282" t="s">
        <v>205</v>
      </c>
      <c r="DE286" s="282" t="s">
        <v>205</v>
      </c>
    </row>
    <row r="287" spans="1:137">
      <c r="A287" s="1"/>
      <c r="B287" s="278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</row>
    <row r="288" spans="1:137">
      <c r="A288" s="1"/>
      <c r="B288" s="283" t="s">
        <v>207</v>
      </c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</row>
    <row r="289" spans="1:137">
      <c r="A289" s="1"/>
      <c r="B289" s="284" t="s">
        <v>208</v>
      </c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285">
        <f>+X294</f>
        <v>4855.8</v>
      </c>
      <c r="Z289" s="285">
        <f>+Y294</f>
        <v>5323.7</v>
      </c>
      <c r="AA289" s="285">
        <f>+Y289</f>
        <v>4855.8</v>
      </c>
      <c r="AB289" s="285">
        <f t="shared" ref="AB289:AC289" si="1616">+AA294</f>
        <v>5504.2</v>
      </c>
      <c r="AC289" s="285">
        <f t="shared" si="1616"/>
        <v>5671.9999999999991</v>
      </c>
      <c r="AD289" s="285">
        <f t="shared" ref="AD289" si="1617">+AB289</f>
        <v>5504.2</v>
      </c>
      <c r="AE289" s="285">
        <f t="shared" ref="AE289:AF289" si="1618">+AD294</f>
        <v>5904.5999999999995</v>
      </c>
      <c r="AF289" s="285">
        <f t="shared" si="1618"/>
        <v>6458.0999999999995</v>
      </c>
      <c r="AG289" s="285">
        <f t="shared" ref="AG289" si="1619">+AE289</f>
        <v>5904.5999999999995</v>
      </c>
      <c r="AH289" s="285">
        <f t="shared" ref="AH289:AI289" si="1620">+AG294</f>
        <v>7050.3000000000011</v>
      </c>
      <c r="AI289" s="285">
        <f t="shared" si="1620"/>
        <v>7890.9</v>
      </c>
      <c r="AJ289" s="285">
        <f t="shared" ref="AJ289" si="1621">+AH289</f>
        <v>7050.3000000000011</v>
      </c>
      <c r="AK289" s="285">
        <f t="shared" ref="AK289:AL289" si="1622">+AJ294</f>
        <v>8067.5</v>
      </c>
      <c r="AL289" s="285">
        <f t="shared" si="1622"/>
        <v>8355.1</v>
      </c>
      <c r="AM289" s="285">
        <f t="shared" ref="AM289" si="1623">+AK289</f>
        <v>8067.5</v>
      </c>
      <c r="AN289" s="285">
        <f t="shared" ref="AN289:AO289" si="1624">+AM294</f>
        <v>8296.4</v>
      </c>
      <c r="AO289" s="285">
        <f t="shared" si="1624"/>
        <v>8672.3000000000011</v>
      </c>
      <c r="AP289" s="285">
        <f t="shared" ref="AP289" si="1625">+AN289</f>
        <v>8296.4</v>
      </c>
      <c r="AQ289" s="285">
        <f t="shared" ref="AQ289:AR289" si="1626">+AP294</f>
        <v>9173.7000000000007</v>
      </c>
      <c r="AR289" s="285">
        <f t="shared" si="1626"/>
        <v>10007.1</v>
      </c>
      <c r="AS289" s="285">
        <f t="shared" ref="AS289" si="1627">+AQ289</f>
        <v>9173.7000000000007</v>
      </c>
      <c r="AT289" s="285">
        <f t="shared" ref="AT289:AU289" si="1628">+AS294</f>
        <v>10522.5</v>
      </c>
      <c r="AU289" s="285">
        <f t="shared" si="1628"/>
        <v>11076.400000000001</v>
      </c>
      <c r="AV289" s="285">
        <f t="shared" ref="AV289" si="1629">+AT289</f>
        <v>10522.5</v>
      </c>
      <c r="AW289" s="285">
        <f t="shared" ref="AW289:AX289" si="1630">+AV294</f>
        <v>11520.6</v>
      </c>
      <c r="AX289" s="285">
        <f t="shared" si="1630"/>
        <v>11968.3</v>
      </c>
      <c r="AY289" s="285">
        <f t="shared" ref="AY289" si="1631">+AW289</f>
        <v>11520.6</v>
      </c>
      <c r="AZ289" s="285">
        <f t="shared" ref="AZ289:BA289" si="1632">+AY294</f>
        <v>13161.5</v>
      </c>
      <c r="BA289" s="285">
        <f t="shared" si="1632"/>
        <v>15192.2</v>
      </c>
      <c r="BB289" s="285">
        <f t="shared" ref="BB289" si="1633">+AZ289</f>
        <v>13161.5</v>
      </c>
      <c r="BC289" s="285">
        <f t="shared" ref="BC289:BD289" si="1634">+BB294</f>
        <v>16424.800000000003</v>
      </c>
      <c r="BD289" s="285">
        <f t="shared" si="1634"/>
        <v>17501.400000000001</v>
      </c>
      <c r="BE289" s="285">
        <f t="shared" ref="BE289" si="1635">+BC289</f>
        <v>16424.800000000003</v>
      </c>
      <c r="BF289" s="285">
        <f t="shared" ref="BF289:BG289" si="1636">+BE294</f>
        <v>18024.8</v>
      </c>
      <c r="BG289" s="285">
        <f t="shared" si="1636"/>
        <v>17553.599999999995</v>
      </c>
      <c r="BH289" s="285">
        <f t="shared" ref="BH289" si="1637">+BF289</f>
        <v>18024.8</v>
      </c>
      <c r="BI289" s="285">
        <f t="shared" ref="BI289:BJ289" si="1638">+BH294</f>
        <v>17537.900000000001</v>
      </c>
      <c r="BJ289" s="285">
        <f t="shared" si="1638"/>
        <v>18912.800000000003</v>
      </c>
      <c r="BK289" s="285">
        <f t="shared" ref="BK289" si="1639">+BI289</f>
        <v>17537.900000000001</v>
      </c>
      <c r="BL289" s="285">
        <f t="shared" ref="BL289" si="1640">+BK294</f>
        <v>23310.100000000006</v>
      </c>
      <c r="BM289" s="285">
        <f t="shared" ref="BM289" si="1641">+BL294</f>
        <v>23750.900000000005</v>
      </c>
      <c r="BN289" s="285">
        <f t="shared" ref="BN289" si="1642">+BL289</f>
        <v>23310.100000000006</v>
      </c>
      <c r="BO289" s="285">
        <f t="shared" ref="BO289" ca="1" si="1643">+BN294</f>
        <v>25120.010009999616</v>
      </c>
      <c r="BP289" s="285">
        <f t="shared" ref="BP289" ca="1" si="1644">+BO294</f>
        <v>26530.964941255457</v>
      </c>
      <c r="BQ289" s="285">
        <f t="shared" ref="BQ289" ca="1" si="1645">+BO289</f>
        <v>25120.010009999616</v>
      </c>
      <c r="BR289" s="285">
        <f t="shared" ref="BR289" ca="1" si="1646">+BQ294</f>
        <v>27941.147237897556</v>
      </c>
      <c r="BS289" s="285">
        <f t="shared" ref="BS289" ca="1" si="1647">+BR294</f>
        <v>29537.98665628687</v>
      </c>
      <c r="BT289" s="285">
        <f t="shared" ref="BT289" ca="1" si="1648">+BR289</f>
        <v>27941.147237897556</v>
      </c>
      <c r="BU289" s="285">
        <f t="shared" ref="BU289" ca="1" si="1649">+BT294</f>
        <v>31151.452283260172</v>
      </c>
      <c r="BV289" s="285">
        <f t="shared" ref="BV289" ca="1" si="1650">+BU294</f>
        <v>32898.192577053211</v>
      </c>
      <c r="BW289" s="285">
        <f t="shared" ref="BW289" ca="1" si="1651">+BU289</f>
        <v>31151.452283260172</v>
      </c>
      <c r="BX289" s="285">
        <f t="shared" ref="BX289" ca="1" si="1652">+BW294</f>
        <v>34667.669405710338</v>
      </c>
      <c r="BY289" s="285">
        <f t="shared" ref="BY289" ca="1" si="1653">+BX294</f>
        <v>36531.594913363042</v>
      </c>
      <c r="BZ289" s="285">
        <f t="shared" ref="BZ289" ca="1" si="1654">+BX289</f>
        <v>34667.669405710338</v>
      </c>
      <c r="CA289" s="285">
        <f t="shared" ref="CA289" ca="1" si="1655">+BZ294</f>
        <v>38409.298868112572</v>
      </c>
      <c r="CB289" s="285">
        <f t="shared" ref="CB289" ca="1" si="1656">+CA294</f>
        <v>40413.888333698145</v>
      </c>
      <c r="CC289" s="285">
        <f t="shared" ref="CC289" ca="1" si="1657">+CA289</f>
        <v>38409.298868112572</v>
      </c>
      <c r="CD289" s="1"/>
      <c r="CE289" s="1"/>
      <c r="CF289" s="1"/>
      <c r="CG289" s="1"/>
      <c r="CH289" s="1"/>
      <c r="CI289" s="1"/>
      <c r="CJ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</row>
    <row r="290" spans="1:137">
      <c r="A290" s="1"/>
      <c r="B290" s="284" t="s">
        <v>209</v>
      </c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285">
        <f t="shared" ref="Y290:BK290" si="1658">+Y62</f>
        <v>267.98480000000001</v>
      </c>
      <c r="Z290" s="285">
        <f t="shared" si="1658"/>
        <v>280.71240000000012</v>
      </c>
      <c r="AA290" s="285">
        <f t="shared" si="1658"/>
        <v>548.69719999999995</v>
      </c>
      <c r="AB290" s="285">
        <f t="shared" si="1658"/>
        <v>298.23919999999993</v>
      </c>
      <c r="AC290" s="285">
        <f t="shared" si="1658"/>
        <v>307.4951999999999</v>
      </c>
      <c r="AD290" s="285">
        <f t="shared" si="1658"/>
        <v>605.73439999999994</v>
      </c>
      <c r="AE290" s="285">
        <f t="shared" si="1658"/>
        <v>329.44480000000004</v>
      </c>
      <c r="AF290" s="285">
        <f t="shared" si="1658"/>
        <v>328.79039999999998</v>
      </c>
      <c r="AG290" s="285">
        <f t="shared" si="1658"/>
        <v>658.23519999999985</v>
      </c>
      <c r="AH290" s="285">
        <f t="shared" si="1658"/>
        <v>359.07079999999991</v>
      </c>
      <c r="AI290" s="285">
        <f t="shared" si="1658"/>
        <v>360.30840000000001</v>
      </c>
      <c r="AJ290" s="285">
        <f t="shared" si="1658"/>
        <v>719.37919999999986</v>
      </c>
      <c r="AK290" s="285">
        <f t="shared" si="1658"/>
        <v>390.5532</v>
      </c>
      <c r="AL290" s="285">
        <f t="shared" si="1658"/>
        <v>390.2072</v>
      </c>
      <c r="AM290" s="285">
        <f t="shared" si="1658"/>
        <v>780.7604</v>
      </c>
      <c r="AN290" s="285">
        <f t="shared" si="1658"/>
        <v>423.61720000000003</v>
      </c>
      <c r="AO290" s="285">
        <f t="shared" si="1658"/>
        <v>426.90040000000005</v>
      </c>
      <c r="AP290" s="285">
        <f t="shared" si="1658"/>
        <v>850.51760000000013</v>
      </c>
      <c r="AQ290" s="285">
        <f t="shared" si="1658"/>
        <v>467.18159999999995</v>
      </c>
      <c r="AR290" s="285">
        <f t="shared" si="1658"/>
        <v>479.58359999999976</v>
      </c>
      <c r="AS290" s="285">
        <f t="shared" si="1658"/>
        <v>946.76519999999971</v>
      </c>
      <c r="AT290" s="285">
        <f t="shared" si="1658"/>
        <v>532.95960000000014</v>
      </c>
      <c r="AU290" s="285">
        <f t="shared" si="1658"/>
        <v>532.34280000000012</v>
      </c>
      <c r="AV290" s="285">
        <f t="shared" si="1658"/>
        <v>1065.3024000000003</v>
      </c>
      <c r="AW290" s="285">
        <f t="shared" si="1658"/>
        <v>617.25319999999999</v>
      </c>
      <c r="AX290" s="285">
        <f t="shared" si="1658"/>
        <v>607.08479999999997</v>
      </c>
      <c r="AY290" s="285">
        <f t="shared" si="1658"/>
        <v>1224.3380000000002</v>
      </c>
      <c r="AZ290" s="285">
        <f t="shared" si="1658"/>
        <v>789.00799999999992</v>
      </c>
      <c r="BA290" s="285">
        <f t="shared" si="1658"/>
        <v>744.92719999999997</v>
      </c>
      <c r="BB290" s="285">
        <f t="shared" si="1658"/>
        <v>1533.9351999999997</v>
      </c>
      <c r="BC290" s="285">
        <f t="shared" si="1658"/>
        <v>879.62119999999993</v>
      </c>
      <c r="BD290" s="285">
        <f t="shared" si="1658"/>
        <v>909.95560000000012</v>
      </c>
      <c r="BE290" s="285">
        <f t="shared" si="1658"/>
        <v>1789.5768</v>
      </c>
      <c r="BF290" s="285">
        <f t="shared" si="1658"/>
        <v>1130.7384</v>
      </c>
      <c r="BG290" s="285">
        <f t="shared" si="1658"/>
        <v>925.46680000000003</v>
      </c>
      <c r="BH290" s="285">
        <f t="shared" si="1658"/>
        <v>2056.2051999999999</v>
      </c>
      <c r="BI290" s="285">
        <f t="shared" si="1658"/>
        <v>1226.1427999999999</v>
      </c>
      <c r="BJ290" s="285">
        <f t="shared" si="1658"/>
        <v>1093.1895999999997</v>
      </c>
      <c r="BK290" s="285">
        <f t="shared" si="1658"/>
        <v>2319.3323999999993</v>
      </c>
      <c r="BL290" s="285">
        <f t="shared" ref="BL290:BN290" si="1659">+BL62</f>
        <v>1207.8920000000003</v>
      </c>
      <c r="BM290" s="285">
        <f t="shared" ca="1" si="1659"/>
        <v>1451.7906956910822</v>
      </c>
      <c r="BN290" s="285">
        <f t="shared" ca="1" si="1659"/>
        <v>2659.6826956910822</v>
      </c>
      <c r="BO290" s="285">
        <f t="shared" ref="BO290:BQ290" ca="1" si="1660">+BO62</f>
        <v>1496.2048057163045</v>
      </c>
      <c r="BP290" s="285">
        <f t="shared" ca="1" si="1660"/>
        <v>1495.7046213068159</v>
      </c>
      <c r="BQ290" s="285">
        <f t="shared" ca="1" si="1660"/>
        <v>2991.9094270231203</v>
      </c>
      <c r="BR290" s="285">
        <f t="shared" ref="BR290:BT290" ca="1" si="1661">+BR62</f>
        <v>1683.194421146065</v>
      </c>
      <c r="BS290" s="285">
        <f t="shared" ca="1" si="1661"/>
        <v>1699.8218892046343</v>
      </c>
      <c r="BT290" s="285">
        <f t="shared" ca="1" si="1661"/>
        <v>3383.0163103506993</v>
      </c>
      <c r="BU290" s="285">
        <f t="shared" ref="BU290:BZ290" ca="1" si="1662">+BU62</f>
        <v>1841.2617448959506</v>
      </c>
      <c r="BV290" s="285">
        <f t="shared" ca="1" si="1662"/>
        <v>1864.0309475425702</v>
      </c>
      <c r="BW290" s="285">
        <f t="shared" ca="1" si="1662"/>
        <v>3705.2926924385206</v>
      </c>
      <c r="BX290" s="285">
        <f t="shared" ca="1" si="1662"/>
        <v>1967.0022364025851</v>
      </c>
      <c r="BY290" s="285">
        <f t="shared" ca="1" si="1662"/>
        <v>1980.8475832848626</v>
      </c>
      <c r="BZ290" s="285">
        <f t="shared" ca="1" si="1662"/>
        <v>3947.849819687448</v>
      </c>
      <c r="CA290" s="285">
        <f t="shared" ref="CA290:CC290" ca="1" si="1663">+CA62</f>
        <v>2116.6221151876175</v>
      </c>
      <c r="CB290" s="285">
        <f t="shared" ca="1" si="1663"/>
        <v>2135.2733922181542</v>
      </c>
      <c r="CC290" s="285">
        <f t="shared" ca="1" si="1663"/>
        <v>4251.8955074057731</v>
      </c>
      <c r="CD290" s="1"/>
      <c r="CE290" s="1"/>
      <c r="CF290" s="1"/>
      <c r="CG290" s="1"/>
      <c r="CH290" s="1"/>
      <c r="CI290" s="1"/>
      <c r="CJ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</row>
    <row r="291" spans="1:137">
      <c r="A291" s="1"/>
      <c r="B291" s="284" t="s">
        <v>210</v>
      </c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285">
        <f t="shared" ref="Y291:BK291" si="1664">+Y169</f>
        <v>-155.5</v>
      </c>
      <c r="Z291" s="285">
        <f t="shared" si="1664"/>
        <v>-171.89999999999998</v>
      </c>
      <c r="AA291" s="285">
        <f t="shared" si="1664"/>
        <v>-327.39999999999998</v>
      </c>
      <c r="AB291" s="285">
        <f t="shared" si="1664"/>
        <v>-178.33999999999995</v>
      </c>
      <c r="AC291" s="285">
        <f t="shared" si="1664"/>
        <v>-178.80000000000004</v>
      </c>
      <c r="AD291" s="285">
        <f t="shared" si="1664"/>
        <v>-357.14</v>
      </c>
      <c r="AE291" s="285">
        <f t="shared" si="1664"/>
        <v>-194.167004967</v>
      </c>
      <c r="AF291" s="285">
        <f t="shared" si="1664"/>
        <v>-194.53439999999998</v>
      </c>
      <c r="AG291" s="285">
        <f t="shared" si="1664"/>
        <v>-388.70140496699997</v>
      </c>
      <c r="AH291" s="285">
        <f t="shared" si="1664"/>
        <v>-210.9</v>
      </c>
      <c r="AI291" s="285">
        <f t="shared" si="1664"/>
        <v>-215.63475</v>
      </c>
      <c r="AJ291" s="285">
        <f t="shared" si="1664"/>
        <v>-426.53475000000003</v>
      </c>
      <c r="AK291" s="285">
        <f t="shared" si="1664"/>
        <v>-228.0675</v>
      </c>
      <c r="AL291" s="285">
        <f t="shared" si="1664"/>
        <v>-237.33359999999999</v>
      </c>
      <c r="AM291" s="285">
        <f t="shared" si="1664"/>
        <v>-465.40109999999999</v>
      </c>
      <c r="AN291" s="285">
        <f t="shared" si="1664"/>
        <v>-248.77765000000002</v>
      </c>
      <c r="AO291" s="285">
        <f t="shared" si="1664"/>
        <v>-258.15680000000003</v>
      </c>
      <c r="AP291" s="285">
        <f t="shared" si="1664"/>
        <v>-506.93445000000008</v>
      </c>
      <c r="AQ291" s="285">
        <f t="shared" si="1664"/>
        <v>-272.10000000000002</v>
      </c>
      <c r="AR291" s="285">
        <f t="shared" si="1664"/>
        <v>-272.08229999999998</v>
      </c>
      <c r="AS291" s="285">
        <f t="shared" si="1664"/>
        <v>-544.18229999999994</v>
      </c>
      <c r="AT291" s="285">
        <f t="shared" si="1664"/>
        <v>-274.3</v>
      </c>
      <c r="AU291" s="285">
        <f t="shared" si="1664"/>
        <v>-276.93373217115686</v>
      </c>
      <c r="AV291" s="285">
        <f t="shared" si="1664"/>
        <v>-551.23373217115682</v>
      </c>
      <c r="AW291" s="285">
        <f t="shared" si="1664"/>
        <v>-279.18373217115686</v>
      </c>
      <c r="AX291" s="285">
        <f t="shared" si="1664"/>
        <v>-277.08</v>
      </c>
      <c r="AY291" s="285">
        <f t="shared" si="1664"/>
        <v>-556.26373217115679</v>
      </c>
      <c r="AZ291" s="285">
        <f t="shared" si="1664"/>
        <v>-280.23</v>
      </c>
      <c r="BA291" s="285">
        <f t="shared" si="1664"/>
        <v>-280.23</v>
      </c>
      <c r="BB291" s="285">
        <f t="shared" si="1664"/>
        <v>-560.46</v>
      </c>
      <c r="BC291" s="285">
        <f t="shared" si="1664"/>
        <v>-282.07499999999999</v>
      </c>
      <c r="BD291" s="285">
        <f t="shared" si="1664"/>
        <v>-283.57499999999999</v>
      </c>
      <c r="BE291" s="285">
        <f t="shared" si="1664"/>
        <v>-565.65</v>
      </c>
      <c r="BF291" s="285">
        <f t="shared" si="1664"/>
        <v>-284.88</v>
      </c>
      <c r="BG291" s="285">
        <f t="shared" si="1664"/>
        <v>-284.88</v>
      </c>
      <c r="BH291" s="285">
        <f t="shared" si="1664"/>
        <v>-569.76</v>
      </c>
      <c r="BI291" s="285">
        <f t="shared" si="1664"/>
        <v>-286.74</v>
      </c>
      <c r="BJ291" s="285">
        <f t="shared" si="1664"/>
        <v>-304.68</v>
      </c>
      <c r="BK291" s="285">
        <f t="shared" si="1664"/>
        <v>-591.42000000000007</v>
      </c>
      <c r="BL291" s="285">
        <f t="shared" ref="BL291:BN291" si="1665">+BL169</f>
        <v>-306.72000000000003</v>
      </c>
      <c r="BM291" s="285">
        <f t="shared" si="1665"/>
        <v>-306.72000000000003</v>
      </c>
      <c r="BN291" s="285">
        <f t="shared" si="1665"/>
        <v>-613.44000000000005</v>
      </c>
      <c r="BO291" s="285">
        <f t="shared" ref="BO291:BQ291" si="1666">+BO169</f>
        <v>-306.72000000000003</v>
      </c>
      <c r="BP291" s="285">
        <f t="shared" si="1666"/>
        <v>-306.72000000000003</v>
      </c>
      <c r="BQ291" s="285">
        <f t="shared" si="1666"/>
        <v>-613.44000000000005</v>
      </c>
      <c r="BR291" s="285">
        <f t="shared" ref="BR291:BT291" si="1667">+BR169</f>
        <v>-322.05599999999998</v>
      </c>
      <c r="BS291" s="285">
        <f t="shared" si="1667"/>
        <v>-322.05599999999998</v>
      </c>
      <c r="BT291" s="285">
        <f t="shared" si="1667"/>
        <v>-644.11199999999997</v>
      </c>
      <c r="BU291" s="285">
        <f t="shared" ref="BU291:BZ291" si="1668">+BU169</f>
        <v>-338.15880000000004</v>
      </c>
      <c r="BV291" s="285">
        <f t="shared" si="1668"/>
        <v>-338.15880000000004</v>
      </c>
      <c r="BW291" s="285">
        <f t="shared" si="1668"/>
        <v>-676.31760000000008</v>
      </c>
      <c r="BX291" s="285">
        <f t="shared" si="1668"/>
        <v>-355.06674000000004</v>
      </c>
      <c r="BY291" s="285">
        <f t="shared" si="1668"/>
        <v>-355.06674000000004</v>
      </c>
      <c r="BZ291" s="285">
        <f t="shared" si="1668"/>
        <v>-710.13348000000008</v>
      </c>
      <c r="CA291" s="285">
        <f t="shared" ref="CA291:CC291" si="1669">+CA169</f>
        <v>-372.82007700000003</v>
      </c>
      <c r="CB291" s="285">
        <f t="shared" si="1669"/>
        <v>-372.82007700000003</v>
      </c>
      <c r="CC291" s="285">
        <f t="shared" si="1669"/>
        <v>-745.64015400000005</v>
      </c>
      <c r="CD291" s="1"/>
      <c r="CE291" s="1"/>
      <c r="CF291" s="1"/>
      <c r="CG291" s="1"/>
      <c r="CH291" s="1"/>
      <c r="CI291" s="1"/>
      <c r="CJ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</row>
    <row r="292" spans="1:137">
      <c r="A292" s="1"/>
      <c r="B292" s="284" t="s">
        <v>211</v>
      </c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285">
        <f>+Y130-X130</f>
        <v>442.79999999999927</v>
      </c>
      <c r="Z292" s="285">
        <f>+Z130-Y130</f>
        <v>-1.3999999999996362</v>
      </c>
      <c r="AA292" s="285">
        <f>+AA130-X130</f>
        <v>441.39999999999964</v>
      </c>
      <c r="AB292" s="285">
        <f>+AB130-AA130</f>
        <v>0</v>
      </c>
      <c r="AC292" s="285">
        <f>+AC130-AB130</f>
        <v>42.099999999999454</v>
      </c>
      <c r="AD292" s="285">
        <f>+AD130-AA130</f>
        <v>42.099999999999454</v>
      </c>
      <c r="AE292" s="285">
        <f>+AE130-AD130</f>
        <v>45.399999999999636</v>
      </c>
      <c r="AF292" s="285">
        <f>+AF130-AE130</f>
        <v>43.900000000001455</v>
      </c>
      <c r="AG292" s="285">
        <f>+AG130-AD130</f>
        <v>89.300000000001091</v>
      </c>
      <c r="AH292" s="285">
        <f>+AH130-AG130</f>
        <v>45.399999999998727</v>
      </c>
      <c r="AI292" s="285">
        <f>+AI130-AH130</f>
        <v>50.100000000000364</v>
      </c>
      <c r="AJ292" s="285">
        <f>+AJ130-AG130</f>
        <v>95.499999999999091</v>
      </c>
      <c r="AK292" s="285">
        <f>+AK130-AJ130</f>
        <v>0</v>
      </c>
      <c r="AL292" s="285">
        <f>+AL130-AK130</f>
        <v>0</v>
      </c>
      <c r="AM292" s="285">
        <f>+AM130-AJ130</f>
        <v>0</v>
      </c>
      <c r="AN292" s="285">
        <f>+AN130-AM130</f>
        <v>0</v>
      </c>
      <c r="AO292" s="285">
        <f>+AO130-AN130</f>
        <v>0</v>
      </c>
      <c r="AP292" s="285">
        <f>+AP130-AM130</f>
        <v>0</v>
      </c>
      <c r="AQ292" s="285">
        <f>+AQ130-AP130</f>
        <v>0</v>
      </c>
      <c r="AR292" s="285">
        <f>+AR130-AQ130</f>
        <v>0</v>
      </c>
      <c r="AS292" s="285">
        <f>+AS130-AP130</f>
        <v>0</v>
      </c>
      <c r="AT292" s="285">
        <f>+AT130-AS130</f>
        <v>0</v>
      </c>
      <c r="AU292" s="285">
        <f>+AU130-AT130</f>
        <v>0</v>
      </c>
      <c r="AV292" s="285">
        <f>+AV130-AS130</f>
        <v>0</v>
      </c>
      <c r="AW292" s="285">
        <f>+AW130-AV130</f>
        <v>64.699999999999818</v>
      </c>
      <c r="AX292" s="285">
        <f>+AX130-AW130</f>
        <v>0</v>
      </c>
      <c r="AY292" s="285">
        <f>+AY130-AV130</f>
        <v>64.699999999999818</v>
      </c>
      <c r="AZ292" s="285">
        <f>+AZ130-AY130</f>
        <v>109.70000000000073</v>
      </c>
      <c r="BA292" s="285">
        <f>+BA130-AZ130</f>
        <v>0</v>
      </c>
      <c r="BB292" s="285">
        <f>+BB130-AY130</f>
        <v>109.70000000000073</v>
      </c>
      <c r="BC292" s="285">
        <f>+BC130-BB130</f>
        <v>-0.2000000000007276</v>
      </c>
      <c r="BD292" s="285">
        <f>+BD130-BC130</f>
        <v>67.399999999999636</v>
      </c>
      <c r="BE292" s="285">
        <f>+BE130-BB130</f>
        <v>67.199999999998909</v>
      </c>
      <c r="BF292" s="285">
        <f>+BF130-BE130</f>
        <v>70.300000000001091</v>
      </c>
      <c r="BG292" s="285">
        <f>+BG130-BF130</f>
        <v>0</v>
      </c>
      <c r="BH292" s="285">
        <f>+BH130-BE130</f>
        <v>70.300000000001091</v>
      </c>
      <c r="BI292" s="285">
        <f>+BI130-BH130</f>
        <v>103.60000000000036</v>
      </c>
      <c r="BJ292" s="285">
        <f>+BJ130-BI130</f>
        <v>3941</v>
      </c>
      <c r="BK292" s="285">
        <f>+BK130-BH130</f>
        <v>4044.6000000000004</v>
      </c>
      <c r="BL292" s="285">
        <f>+BL130-BK130</f>
        <v>123.39999999999964</v>
      </c>
      <c r="BM292" s="285">
        <f>+BM130-BL130</f>
        <v>0</v>
      </c>
      <c r="BN292" s="285">
        <f>+BN130-BK130</f>
        <v>123.39999999999964</v>
      </c>
      <c r="BO292" s="285">
        <f>+BO130-BN130</f>
        <v>0</v>
      </c>
      <c r="BP292" s="285">
        <f>+BP130-BO130</f>
        <v>0</v>
      </c>
      <c r="BQ292" s="285">
        <f>+BQ130-BN130</f>
        <v>0</v>
      </c>
      <c r="BR292" s="285">
        <f>+BR130-BQ130</f>
        <v>0</v>
      </c>
      <c r="BS292" s="285">
        <f>+BS130-BR130</f>
        <v>0</v>
      </c>
      <c r="BT292" s="285">
        <f>+BT130-BQ130</f>
        <v>0</v>
      </c>
      <c r="BU292" s="285">
        <f>+BU130-BT130</f>
        <v>0</v>
      </c>
      <c r="BV292" s="285">
        <f>+BV130-BU130</f>
        <v>0</v>
      </c>
      <c r="BW292" s="285">
        <f>+BW130-BT130</f>
        <v>0</v>
      </c>
      <c r="BX292" s="285">
        <f>+BX130-BW130</f>
        <v>0</v>
      </c>
      <c r="BY292" s="285">
        <f>+BY130-BX130</f>
        <v>0</v>
      </c>
      <c r="BZ292" s="285">
        <f>+BZ130-BW130</f>
        <v>0</v>
      </c>
      <c r="CA292" s="285">
        <f>+CA130-BZ130</f>
        <v>0</v>
      </c>
      <c r="CB292" s="285">
        <f>+CB130-CA130</f>
        <v>0</v>
      </c>
      <c r="CC292" s="285">
        <f>+CC130-BZ130</f>
        <v>0</v>
      </c>
      <c r="CD292" s="1"/>
      <c r="CE292" s="1"/>
      <c r="CF292" s="1"/>
      <c r="CG292" s="1"/>
      <c r="CH292" s="1"/>
      <c r="CI292" s="1"/>
      <c r="CJ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</row>
    <row r="293" spans="1:137">
      <c r="A293" s="1"/>
      <c r="B293" s="284" t="s">
        <v>212</v>
      </c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285">
        <f>+Y131+Y132-X131-X132-Y290-Y291</f>
        <v>-87.384800000000013</v>
      </c>
      <c r="Z293" s="285">
        <f>+Z131+Z132-Y131-Y132-Z290-Z291</f>
        <v>73.087599999999895</v>
      </c>
      <c r="AA293" s="285">
        <f>+AA131+AA132-X131-X132-AA290-AA291</f>
        <v>-14.297199999999862</v>
      </c>
      <c r="AB293" s="285">
        <f>+AB131+AB132-AA131-AA132-AB290-AB291</f>
        <v>47.900799999999862</v>
      </c>
      <c r="AC293" s="285">
        <f>+AC131+AC132-AB131-AB132-AC290-AC291</f>
        <v>61.804800000000142</v>
      </c>
      <c r="AD293" s="285">
        <f>+AD131+AD132-AA131-AA132-AD290-AD291</f>
        <v>109.70559999999989</v>
      </c>
      <c r="AE293" s="285">
        <f>+AE131+AE132-AD131-AD132-AE290-AE291</f>
        <v>372.82220496700029</v>
      </c>
      <c r="AF293" s="285">
        <f>+AF131+AF132-AE131-AE132-AF290-AF291</f>
        <v>414.04399999999987</v>
      </c>
      <c r="AG293" s="285">
        <f>+AG131+AG132-AD131-AD132-AG290-AG291</f>
        <v>786.86620496700016</v>
      </c>
      <c r="AH293" s="285">
        <f>+AH131+AH132-AG131-AG132-AH290-AH291</f>
        <v>647.02920000000006</v>
      </c>
      <c r="AI293" s="285">
        <f>+AI131+AI132-AH131-AH132-AI290-AI291</f>
        <v>-18.173649999999952</v>
      </c>
      <c r="AJ293" s="285">
        <f>+AJ131+AJ132-AG131-AG132-AJ290-AJ291</f>
        <v>628.85555000000022</v>
      </c>
      <c r="AK293" s="285">
        <f>+AK131+AK132-AJ131-AJ132-AK290-AK291</f>
        <v>125.11429999999996</v>
      </c>
      <c r="AL293" s="285">
        <f>+AL131+AL132-AK131-AK132-AL290-AL291</f>
        <v>-211.57360000000006</v>
      </c>
      <c r="AM293" s="285">
        <f>+AM131+AM132-AJ131-AJ132-AM290-AM291</f>
        <v>-86.459300000000042</v>
      </c>
      <c r="AN293" s="285">
        <f>+AN131+AN132-AM131-AM132-AN290-AN291</f>
        <v>201.06045000000009</v>
      </c>
      <c r="AO293" s="285">
        <f>+AO131+AO132-AN131-AN132-AO290-AO291</f>
        <v>332.65639999999996</v>
      </c>
      <c r="AP293" s="285">
        <f>+AP131+AP132-AM131-AM132-AP290-AP291</f>
        <v>533.71685000000002</v>
      </c>
      <c r="AQ293" s="285">
        <f>+AQ131+AQ132-AP131-AP132-AQ290-AQ291</f>
        <v>638.31840000000011</v>
      </c>
      <c r="AR293" s="285">
        <f>+AR131+AR132-AQ131-AQ132-AR290-AR291</f>
        <v>307.89870000000053</v>
      </c>
      <c r="AS293" s="285">
        <f>+AS131+AS132-AP131-AP132-AS290-AS291</f>
        <v>946.21710000000041</v>
      </c>
      <c r="AT293" s="285">
        <f>+AT131+AT132-AS131-AS132-AT290-AT291</f>
        <v>295.24039999999997</v>
      </c>
      <c r="AU293" s="285">
        <f>+AU131+AU132-AT131-AT132-AU290-AU291</f>
        <v>188.7909321711561</v>
      </c>
      <c r="AV293" s="285">
        <f>+AV131+AV132-AS131-AS132-AV290-AV291</f>
        <v>484.03133217115601</v>
      </c>
      <c r="AW293" s="285">
        <f>+AW131+AW132-AV131-AV132-AW290-AW291</f>
        <v>44.930532171157324</v>
      </c>
      <c r="AX293" s="285">
        <f>+AX131+AX132-AW131-AW132-AX290-AX291</f>
        <v>863.1952000000008</v>
      </c>
      <c r="AY293" s="285">
        <f>+AY131+AY132-AV131-AV132-AY290-AY291</f>
        <v>908.12573217115732</v>
      </c>
      <c r="AZ293" s="285">
        <f>+AZ131+AZ132-AY131-AY132-AZ290-AZ291</f>
        <v>1412.2219999999993</v>
      </c>
      <c r="BA293" s="285">
        <f>+BA131+BA132-AZ131-AZ132-BA290-BA291</f>
        <v>767.90280000000132</v>
      </c>
      <c r="BB293" s="285">
        <f>+BB131+BB132-AY131-AY132-BB290-BB291</f>
        <v>2180.1248000000005</v>
      </c>
      <c r="BC293" s="285">
        <f>+BC131+BC132-BB131-BB132-BC290-BC291</f>
        <v>479.25379999999933</v>
      </c>
      <c r="BD293" s="285">
        <f>+BD131+BD132-BC131-BC132-BD290-BD291</f>
        <v>-170.38060000000013</v>
      </c>
      <c r="BE293" s="285">
        <f>+BE131+BE132-BB131-BB132-BE290-BE291</f>
        <v>308.8731999999992</v>
      </c>
      <c r="BF293" s="285">
        <f>+BF131+BF132-BE131-BE132-BF290-BF291</f>
        <v>-1387.3584000000001</v>
      </c>
      <c r="BG293" s="285">
        <f>+BG131+BG132-BF131-BF132-BG290-BG291</f>
        <v>-656.28680000000077</v>
      </c>
      <c r="BH293" s="285">
        <f>+BH131+BH132-BE131-BE132-BH290-BH291</f>
        <v>-2043.6452000000006</v>
      </c>
      <c r="BI293" s="285">
        <f>+BI131+BI132-BH131-BH132-BI290-BI291</f>
        <v>331.89719999999943</v>
      </c>
      <c r="BJ293" s="285">
        <f>+BJ131+BJ132-BI131-BI132-BJ290-BJ291</f>
        <v>-332.20959999999678</v>
      </c>
      <c r="BK293" s="285">
        <f>+BK131+BK132-BH131-BH132-BK290-BK291</f>
        <v>-0.31239999999706924</v>
      </c>
      <c r="BL293" s="285">
        <f>+BL131+BL132-BK131-BK132-BL290-BL291</f>
        <v>-583.77200000000062</v>
      </c>
      <c r="BM293" s="285">
        <f ca="1">+BM131+BM132-BL131-BL132-BM290-BM291</f>
        <v>224.03931430853072</v>
      </c>
      <c r="BN293" s="285">
        <f ca="1">+BN131+BN132-BK131-BK132-BN290-BN291</f>
        <v>-359.73268569146967</v>
      </c>
      <c r="BO293" s="285">
        <f ca="1">+BO131+BO132-BN131-BN132-BO290-BO291</f>
        <v>221.47012553953846</v>
      </c>
      <c r="BP293" s="285">
        <f ca="1">+BP131+BP132-BO131-BO132-BP290-BP291</f>
        <v>221.1976753352792</v>
      </c>
      <c r="BQ293" s="285">
        <f ca="1">+BQ131+BQ132-BN131-BN132-BQ290-BQ291</f>
        <v>442.66780087481766</v>
      </c>
      <c r="BR293" s="285">
        <f ca="1">+BR131+BR132-BQ131-BQ132-BR290-BR291</f>
        <v>235.70099724324922</v>
      </c>
      <c r="BS293" s="285">
        <f ca="1">+BS131+BS132-BR131-BR132-BS290-BS291</f>
        <v>235.69973776866431</v>
      </c>
      <c r="BT293" s="285">
        <f ca="1">+BT131+BT132-BQ131-BQ132-BT290-BT291</f>
        <v>471.40073501191716</v>
      </c>
      <c r="BU293" s="285">
        <f ca="1">+BU131+BU132-BT131-BT132-BU290-BU291</f>
        <v>243.63734889709133</v>
      </c>
      <c r="BV293" s="285">
        <f ca="1">+BV131+BV132-BU131-BU132-BV290-BV291</f>
        <v>243.60468111456055</v>
      </c>
      <c r="BW293" s="285">
        <f ca="1">+BW131+BW132-BT131-BT132-BW290-BW291</f>
        <v>487.24203001164847</v>
      </c>
      <c r="BX293" s="285">
        <f ca="1">+BX131+BX132-BW131-BW132-BX290-BX291</f>
        <v>251.99001125011915</v>
      </c>
      <c r="BY293" s="285">
        <f ca="1">+BY131+BY132-BX131-BX132-BY290-BY291</f>
        <v>251.92311146465619</v>
      </c>
      <c r="BZ293" s="285">
        <f ca="1">+BZ131+BZ132-BW131-BW132-BZ290-BZ291</f>
        <v>503.91312271477875</v>
      </c>
      <c r="CA293" s="285">
        <f ca="1">+CA131+CA132-BZ131-BZ132-CA290-CA291</f>
        <v>260.78742739795251</v>
      </c>
      <c r="CB293" s="285">
        <f ca="1">+CB131+CB132-CA131-CA132-CB290-CB291</f>
        <v>260.68322835218322</v>
      </c>
      <c r="CC293" s="285">
        <f ca="1">+CC131+CC132-BZ131-BZ132-CC290-CC291</f>
        <v>521.47065575013073</v>
      </c>
      <c r="CD293" s="1"/>
      <c r="CE293" s="1"/>
      <c r="CF293" s="1"/>
      <c r="CG293" s="1"/>
      <c r="CH293" s="1"/>
      <c r="CI293" s="1"/>
      <c r="CJ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</row>
    <row r="294" spans="1:137" s="55" customFormat="1">
      <c r="A294" s="48"/>
      <c r="B294" s="286" t="s">
        <v>213</v>
      </c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287">
        <f>+X134-X133</f>
        <v>4855.8</v>
      </c>
      <c r="Y294" s="287">
        <f>+SUM(Y289:Y293)</f>
        <v>5323.7</v>
      </c>
      <c r="Z294" s="287">
        <f>+SUM(Z289:Z293)</f>
        <v>5504.2000000000007</v>
      </c>
      <c r="AA294" s="287">
        <f>+SUM(AA289:AA293)</f>
        <v>5504.2</v>
      </c>
      <c r="AB294" s="287">
        <f t="shared" ref="AB294:BK294" si="1670">+SUM(AB289:AB293)</f>
        <v>5671.9999999999991</v>
      </c>
      <c r="AC294" s="287">
        <f t="shared" si="1670"/>
        <v>5904.5999999999985</v>
      </c>
      <c r="AD294" s="287">
        <f t="shared" si="1670"/>
        <v>5904.5999999999995</v>
      </c>
      <c r="AE294" s="287">
        <f t="shared" si="1670"/>
        <v>6458.0999999999995</v>
      </c>
      <c r="AF294" s="287">
        <f t="shared" si="1670"/>
        <v>7050.3000000000011</v>
      </c>
      <c r="AG294" s="287">
        <f t="shared" si="1670"/>
        <v>7050.3000000000011</v>
      </c>
      <c r="AH294" s="287">
        <f t="shared" si="1670"/>
        <v>7890.9</v>
      </c>
      <c r="AI294" s="287">
        <f t="shared" si="1670"/>
        <v>8067.5</v>
      </c>
      <c r="AJ294" s="287">
        <f t="shared" si="1670"/>
        <v>8067.5</v>
      </c>
      <c r="AK294" s="287">
        <f t="shared" si="1670"/>
        <v>8355.1</v>
      </c>
      <c r="AL294" s="287">
        <f t="shared" si="1670"/>
        <v>8296.4000000000015</v>
      </c>
      <c r="AM294" s="287">
        <f t="shared" si="1670"/>
        <v>8296.4</v>
      </c>
      <c r="AN294" s="287">
        <f t="shared" si="1670"/>
        <v>8672.3000000000011</v>
      </c>
      <c r="AO294" s="287">
        <f t="shared" si="1670"/>
        <v>9173.7000000000007</v>
      </c>
      <c r="AP294" s="287">
        <f t="shared" si="1670"/>
        <v>9173.7000000000007</v>
      </c>
      <c r="AQ294" s="287">
        <f t="shared" si="1670"/>
        <v>10007.1</v>
      </c>
      <c r="AR294" s="287">
        <f t="shared" si="1670"/>
        <v>10522.5</v>
      </c>
      <c r="AS294" s="287">
        <f t="shared" si="1670"/>
        <v>10522.5</v>
      </c>
      <c r="AT294" s="287">
        <f t="shared" si="1670"/>
        <v>11076.400000000001</v>
      </c>
      <c r="AU294" s="287">
        <f t="shared" si="1670"/>
        <v>11520.6</v>
      </c>
      <c r="AV294" s="287">
        <f t="shared" si="1670"/>
        <v>11520.6</v>
      </c>
      <c r="AW294" s="287">
        <f t="shared" si="1670"/>
        <v>11968.3</v>
      </c>
      <c r="AX294" s="287">
        <f t="shared" si="1670"/>
        <v>13161.5</v>
      </c>
      <c r="AY294" s="287">
        <f t="shared" si="1670"/>
        <v>13161.5</v>
      </c>
      <c r="AZ294" s="287">
        <f t="shared" si="1670"/>
        <v>15192.2</v>
      </c>
      <c r="BA294" s="287">
        <f t="shared" si="1670"/>
        <v>16424.800000000003</v>
      </c>
      <c r="BB294" s="287">
        <f t="shared" si="1670"/>
        <v>16424.800000000003</v>
      </c>
      <c r="BC294" s="287">
        <f t="shared" si="1670"/>
        <v>17501.400000000001</v>
      </c>
      <c r="BD294" s="287">
        <f t="shared" si="1670"/>
        <v>18024.8</v>
      </c>
      <c r="BE294" s="287">
        <f t="shared" si="1670"/>
        <v>18024.8</v>
      </c>
      <c r="BF294" s="287">
        <f t="shared" si="1670"/>
        <v>17553.599999999995</v>
      </c>
      <c r="BG294" s="287">
        <f t="shared" si="1670"/>
        <v>17537.899999999991</v>
      </c>
      <c r="BH294" s="287">
        <f t="shared" si="1670"/>
        <v>17537.900000000001</v>
      </c>
      <c r="BI294" s="287">
        <f t="shared" si="1670"/>
        <v>18912.800000000003</v>
      </c>
      <c r="BJ294" s="287">
        <f t="shared" si="1670"/>
        <v>23310.100000000002</v>
      </c>
      <c r="BK294" s="287">
        <f t="shared" si="1670"/>
        <v>23310.100000000006</v>
      </c>
      <c r="BL294" s="287">
        <f t="shared" ref="BL294:BN294" si="1671">+SUM(BL289:BL293)</f>
        <v>23750.900000000005</v>
      </c>
      <c r="BM294" s="287">
        <f t="shared" ca="1" si="1671"/>
        <v>25120.010009999616</v>
      </c>
      <c r="BN294" s="287">
        <f t="shared" ca="1" si="1671"/>
        <v>25120.010009999616</v>
      </c>
      <c r="BO294" s="287">
        <f t="shared" ref="BO294:BQ294" ca="1" si="1672">+SUM(BO289:BO293)</f>
        <v>26530.964941255457</v>
      </c>
      <c r="BP294" s="287">
        <f t="shared" ca="1" si="1672"/>
        <v>27941.147237897552</v>
      </c>
      <c r="BQ294" s="287">
        <f t="shared" ca="1" si="1672"/>
        <v>27941.147237897556</v>
      </c>
      <c r="BR294" s="287">
        <f t="shared" ref="BR294:BT294" ca="1" si="1673">+SUM(BR289:BR293)</f>
        <v>29537.98665628687</v>
      </c>
      <c r="BS294" s="287">
        <f t="shared" ca="1" si="1673"/>
        <v>31151.452283260169</v>
      </c>
      <c r="BT294" s="287">
        <f t="shared" ca="1" si="1673"/>
        <v>31151.452283260172</v>
      </c>
      <c r="BU294" s="287">
        <f t="shared" ref="BU294:BZ294" ca="1" si="1674">+SUM(BU289:BU293)</f>
        <v>32898.192577053211</v>
      </c>
      <c r="BV294" s="287">
        <f t="shared" ca="1" si="1674"/>
        <v>34667.669405710338</v>
      </c>
      <c r="BW294" s="287">
        <f t="shared" ca="1" si="1674"/>
        <v>34667.669405710338</v>
      </c>
      <c r="BX294" s="287">
        <f t="shared" ca="1" si="1674"/>
        <v>36531.594913363042</v>
      </c>
      <c r="BY294" s="287">
        <f t="shared" ca="1" si="1674"/>
        <v>38409.298868112557</v>
      </c>
      <c r="BZ294" s="287">
        <f t="shared" ca="1" si="1674"/>
        <v>38409.298868112572</v>
      </c>
      <c r="CA294" s="287">
        <f t="shared" ref="CA294:CC294" ca="1" si="1675">+SUM(CA289:CA293)</f>
        <v>40413.888333698145</v>
      </c>
      <c r="CB294" s="287">
        <f t="shared" ca="1" si="1675"/>
        <v>42437.024877268486</v>
      </c>
      <c r="CC294" s="287">
        <f t="shared" ca="1" si="1675"/>
        <v>42437.024877268479</v>
      </c>
      <c r="CD294" s="48"/>
      <c r="CE294" s="48"/>
      <c r="CF294" s="48"/>
      <c r="CG294" s="48"/>
      <c r="CH294" s="48"/>
      <c r="CI294" s="48"/>
      <c r="CJ294" s="48"/>
      <c r="CK294" s="48"/>
      <c r="CL294" s="48"/>
      <c r="CM294" s="48"/>
      <c r="CN294" s="48"/>
      <c r="CO294" s="48"/>
      <c r="CP294" s="48"/>
      <c r="CQ294" s="48"/>
      <c r="CR294" s="48"/>
      <c r="CS294" s="48"/>
      <c r="CT294" s="48"/>
      <c r="CU294" s="48"/>
      <c r="CV294" s="48"/>
      <c r="CW294" s="48"/>
      <c r="CX294" s="48"/>
      <c r="CY294" s="48"/>
      <c r="CZ294" s="48"/>
      <c r="DA294" s="48"/>
      <c r="DB294" s="48"/>
      <c r="DC294" s="48"/>
      <c r="DD294" s="48"/>
      <c r="DE294" s="48"/>
      <c r="DF294" s="48"/>
      <c r="DG294" s="48"/>
      <c r="DH294" s="48"/>
      <c r="DI294" s="48"/>
      <c r="DJ294" s="48"/>
      <c r="DK294" s="48"/>
      <c r="EB294"/>
      <c r="EC294"/>
      <c r="ED294"/>
      <c r="EE294"/>
      <c r="EF294"/>
      <c r="EG294"/>
    </row>
    <row r="295" spans="1:137" s="291" customFormat="1">
      <c r="A295" s="288"/>
      <c r="B295" s="289" t="s">
        <v>214</v>
      </c>
      <c r="C295" s="288"/>
      <c r="D295" s="288"/>
      <c r="E295" s="288"/>
      <c r="F295" s="288"/>
      <c r="G295" s="288"/>
      <c r="H295" s="288"/>
      <c r="I295" s="288"/>
      <c r="J295" s="288"/>
      <c r="K295" s="288"/>
      <c r="L295" s="288"/>
      <c r="M295" s="288"/>
      <c r="N295" s="288"/>
      <c r="O295" s="288"/>
      <c r="P295" s="288"/>
      <c r="Q295" s="288"/>
      <c r="R295" s="288"/>
      <c r="S295" s="288"/>
      <c r="T295" s="288"/>
      <c r="U295" s="288"/>
      <c r="V295" s="288"/>
      <c r="W295" s="288"/>
      <c r="X295" s="288">
        <f t="shared" ref="X295:BK295" si="1676">+X294-(+X134-X133)</f>
        <v>0</v>
      </c>
      <c r="Y295" s="288">
        <f t="shared" si="1676"/>
        <v>0</v>
      </c>
      <c r="Z295" s="288">
        <f t="shared" si="1676"/>
        <v>0</v>
      </c>
      <c r="AA295" s="288">
        <f t="shared" si="1676"/>
        <v>0</v>
      </c>
      <c r="AB295" s="288">
        <f t="shared" si="1676"/>
        <v>0</v>
      </c>
      <c r="AC295" s="288">
        <f t="shared" si="1676"/>
        <v>0</v>
      </c>
      <c r="AD295" s="288">
        <f t="shared" si="1676"/>
        <v>0</v>
      </c>
      <c r="AE295" s="288">
        <f t="shared" si="1676"/>
        <v>0</v>
      </c>
      <c r="AF295" s="288">
        <f t="shared" si="1676"/>
        <v>0</v>
      </c>
      <c r="AG295" s="288">
        <f t="shared" si="1676"/>
        <v>0</v>
      </c>
      <c r="AH295" s="288">
        <f t="shared" si="1676"/>
        <v>0</v>
      </c>
      <c r="AI295" s="288">
        <f t="shared" si="1676"/>
        <v>0</v>
      </c>
      <c r="AJ295" s="288">
        <f t="shared" si="1676"/>
        <v>0</v>
      </c>
      <c r="AK295" s="288">
        <f t="shared" si="1676"/>
        <v>0</v>
      </c>
      <c r="AL295" s="288">
        <f t="shared" si="1676"/>
        <v>0</v>
      </c>
      <c r="AM295" s="288">
        <f t="shared" si="1676"/>
        <v>0</v>
      </c>
      <c r="AN295" s="288">
        <f t="shared" si="1676"/>
        <v>0</v>
      </c>
      <c r="AO295" s="288">
        <f t="shared" si="1676"/>
        <v>0</v>
      </c>
      <c r="AP295" s="288">
        <f t="shared" si="1676"/>
        <v>0</v>
      </c>
      <c r="AQ295" s="288">
        <f t="shared" si="1676"/>
        <v>0</v>
      </c>
      <c r="AR295" s="288">
        <f t="shared" si="1676"/>
        <v>0</v>
      </c>
      <c r="AS295" s="288">
        <f t="shared" si="1676"/>
        <v>0</v>
      </c>
      <c r="AT295" s="288">
        <f t="shared" si="1676"/>
        <v>0</v>
      </c>
      <c r="AU295" s="288">
        <f t="shared" si="1676"/>
        <v>0</v>
      </c>
      <c r="AV295" s="288">
        <f t="shared" si="1676"/>
        <v>0</v>
      </c>
      <c r="AW295" s="288">
        <f t="shared" si="1676"/>
        <v>0</v>
      </c>
      <c r="AX295" s="288">
        <f t="shared" si="1676"/>
        <v>0</v>
      </c>
      <c r="AY295" s="288">
        <f t="shared" si="1676"/>
        <v>0</v>
      </c>
      <c r="AZ295" s="288">
        <f t="shared" si="1676"/>
        <v>0</v>
      </c>
      <c r="BA295" s="288">
        <f t="shared" si="1676"/>
        <v>0</v>
      </c>
      <c r="BB295" s="288">
        <f t="shared" si="1676"/>
        <v>0</v>
      </c>
      <c r="BC295" s="288">
        <f t="shared" si="1676"/>
        <v>0</v>
      </c>
      <c r="BD295" s="288">
        <f t="shared" si="1676"/>
        <v>0</v>
      </c>
      <c r="BE295" s="288">
        <f t="shared" si="1676"/>
        <v>0</v>
      </c>
      <c r="BF295" s="288">
        <f t="shared" si="1676"/>
        <v>0</v>
      </c>
      <c r="BG295" s="288">
        <f t="shared" si="1676"/>
        <v>0</v>
      </c>
      <c r="BH295" s="288">
        <f t="shared" si="1676"/>
        <v>0</v>
      </c>
      <c r="BI295" s="288">
        <f t="shared" si="1676"/>
        <v>0</v>
      </c>
      <c r="BJ295" s="288">
        <f t="shared" si="1676"/>
        <v>0</v>
      </c>
      <c r="BK295" s="288">
        <f t="shared" si="1676"/>
        <v>0</v>
      </c>
      <c r="BL295" s="288">
        <f t="shared" ref="BL295:BN295" si="1677">+BL294-(+BL134-BL133)</f>
        <v>0</v>
      </c>
      <c r="BM295" s="288">
        <f t="shared" ca="1" si="1677"/>
        <v>0</v>
      </c>
      <c r="BN295" s="288">
        <f t="shared" ca="1" si="1677"/>
        <v>0</v>
      </c>
      <c r="BO295" s="288">
        <f t="shared" ref="BO295:BQ295" ca="1" si="1678">+BO294-(+BO134-BO133)</f>
        <v>0</v>
      </c>
      <c r="BP295" s="288">
        <f t="shared" ca="1" si="1678"/>
        <v>0</v>
      </c>
      <c r="BQ295" s="288">
        <f t="shared" ca="1" si="1678"/>
        <v>0</v>
      </c>
      <c r="BR295" s="288">
        <f t="shared" ref="BR295:BT295" ca="1" si="1679">+BR294-(+BR134-BR133)</f>
        <v>0</v>
      </c>
      <c r="BS295" s="288">
        <f t="shared" ca="1" si="1679"/>
        <v>0</v>
      </c>
      <c r="BT295" s="288">
        <f t="shared" ca="1" si="1679"/>
        <v>0</v>
      </c>
      <c r="BU295" s="288">
        <f t="shared" ref="BU295:BZ295" ca="1" si="1680">+BU294-(+BU134-BU133)</f>
        <v>0</v>
      </c>
      <c r="BV295" s="288">
        <f t="shared" ca="1" si="1680"/>
        <v>0</v>
      </c>
      <c r="BW295" s="288">
        <f t="shared" ca="1" si="1680"/>
        <v>0</v>
      </c>
      <c r="BX295" s="288">
        <f t="shared" ca="1" si="1680"/>
        <v>0</v>
      </c>
      <c r="BY295" s="288">
        <f t="shared" ca="1" si="1680"/>
        <v>0</v>
      </c>
      <c r="BZ295" s="288">
        <f t="shared" ca="1" si="1680"/>
        <v>0</v>
      </c>
      <c r="CA295" s="288">
        <f t="shared" ref="CA295:CC295" ca="1" si="1681">+CA294-(+CA134-CA133)</f>
        <v>0</v>
      </c>
      <c r="CB295" s="288">
        <f t="shared" ca="1" si="1681"/>
        <v>0</v>
      </c>
      <c r="CC295" s="288">
        <f t="shared" ca="1" si="1681"/>
        <v>0</v>
      </c>
      <c r="CD295" s="288"/>
      <c r="CE295" s="288"/>
      <c r="CF295" s="288"/>
      <c r="CG295" s="288"/>
      <c r="CH295" s="288"/>
      <c r="CI295" s="288"/>
      <c r="CJ295" s="288"/>
      <c r="CK295" s="290"/>
      <c r="CL295" s="288"/>
      <c r="CM295" s="288"/>
      <c r="CN295" s="288"/>
      <c r="CO295" s="288"/>
      <c r="CP295" s="288"/>
      <c r="CQ295" s="288"/>
      <c r="CR295" s="288"/>
      <c r="CS295" s="288"/>
      <c r="CT295" s="288"/>
      <c r="CU295" s="288"/>
      <c r="CV295" s="288"/>
      <c r="CW295" s="288"/>
      <c r="CX295" s="288"/>
      <c r="CY295" s="288"/>
      <c r="CZ295" s="288"/>
      <c r="DA295" s="288"/>
      <c r="DB295" s="288"/>
      <c r="DC295" s="288"/>
      <c r="DD295" s="288"/>
      <c r="DE295" s="288"/>
      <c r="DF295" s="290"/>
      <c r="DG295" s="290"/>
      <c r="DH295" s="290"/>
      <c r="DI295" s="290"/>
      <c r="DJ295" s="290"/>
      <c r="DK295" s="290"/>
      <c r="EB295"/>
      <c r="EC295"/>
      <c r="ED295"/>
      <c r="EE295"/>
      <c r="EF295"/>
      <c r="EG295"/>
    </row>
    <row r="296" spans="1:137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</row>
    <row r="297" spans="1:137">
      <c r="A297" s="1"/>
      <c r="B297" s="1" t="s">
        <v>215</v>
      </c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285">
        <f>X86</f>
        <v>17.916164502030256</v>
      </c>
      <c r="Y297" s="1"/>
      <c r="Z297" s="1"/>
      <c r="AA297" s="285">
        <f t="shared" ref="AA297:BK297" si="1682">AA86</f>
        <v>19.940996883187097</v>
      </c>
      <c r="AB297" s="285">
        <f t="shared" si="1682"/>
        <v>10.351164342891522</v>
      </c>
      <c r="AC297" s="285">
        <f t="shared" si="1682"/>
        <v>10.349018926897033</v>
      </c>
      <c r="AD297" s="285">
        <f t="shared" si="1682"/>
        <v>20.700183269788553</v>
      </c>
      <c r="AE297" s="285">
        <f t="shared" si="1682"/>
        <v>11.1</v>
      </c>
      <c r="AF297" s="285">
        <f t="shared" si="1682"/>
        <v>11.103712808336786</v>
      </c>
      <c r="AG297" s="285">
        <f t="shared" si="1682"/>
        <v>22.203712808336785</v>
      </c>
      <c r="AH297" s="285">
        <f t="shared" si="1682"/>
        <v>11.9</v>
      </c>
      <c r="AI297" s="285">
        <f t="shared" si="1682"/>
        <v>12.101055023990574</v>
      </c>
      <c r="AJ297" s="285">
        <f t="shared" si="1682"/>
        <v>24.001055023990574</v>
      </c>
      <c r="AK297" s="285">
        <f t="shared" si="1682"/>
        <v>12.698635857461024</v>
      </c>
      <c r="AL297" s="285">
        <f t="shared" si="1682"/>
        <v>13.201282161541508</v>
      </c>
      <c r="AM297" s="285">
        <f t="shared" si="1682"/>
        <v>25.899918019002534</v>
      </c>
      <c r="AN297" s="285">
        <f t="shared" si="1682"/>
        <v>13.750699204068098</v>
      </c>
      <c r="AO297" s="285">
        <f t="shared" si="1682"/>
        <v>14.253582776133436</v>
      </c>
      <c r="AP297" s="285">
        <f t="shared" si="1682"/>
        <v>28.004281980201533</v>
      </c>
      <c r="AQ297" s="285">
        <f t="shared" si="1682"/>
        <v>15.000975807687599</v>
      </c>
      <c r="AR297" s="285">
        <f t="shared" si="1682"/>
        <v>15</v>
      </c>
      <c r="AS297" s="285">
        <f t="shared" si="1682"/>
        <v>30.000975807687599</v>
      </c>
      <c r="AT297" s="285">
        <f t="shared" si="1682"/>
        <v>15</v>
      </c>
      <c r="AU297" s="285">
        <f t="shared" si="1682"/>
        <v>15</v>
      </c>
      <c r="AV297" s="285">
        <f t="shared" si="1682"/>
        <v>30</v>
      </c>
      <c r="AW297" s="285">
        <f t="shared" si="1682"/>
        <v>15</v>
      </c>
      <c r="AX297" s="285">
        <f t="shared" si="1682"/>
        <v>15</v>
      </c>
      <c r="AY297" s="285">
        <f t="shared" si="1682"/>
        <v>30</v>
      </c>
      <c r="AZ297" s="285">
        <f t="shared" si="1682"/>
        <v>15</v>
      </c>
      <c r="BA297" s="285">
        <f t="shared" si="1682"/>
        <v>15</v>
      </c>
      <c r="BB297" s="285">
        <f t="shared" si="1682"/>
        <v>30</v>
      </c>
      <c r="BC297" s="285">
        <f t="shared" si="1682"/>
        <v>15</v>
      </c>
      <c r="BD297" s="285">
        <f t="shared" si="1682"/>
        <v>15</v>
      </c>
      <c r="BE297" s="285">
        <f t="shared" si="1682"/>
        <v>30</v>
      </c>
      <c r="BF297" s="285">
        <f t="shared" si="1682"/>
        <v>15</v>
      </c>
      <c r="BG297" s="285">
        <f t="shared" si="1682"/>
        <v>15</v>
      </c>
      <c r="BH297" s="285">
        <f t="shared" si="1682"/>
        <v>30</v>
      </c>
      <c r="BI297" s="285">
        <f t="shared" si="1682"/>
        <v>15</v>
      </c>
      <c r="BJ297" s="285">
        <f t="shared" si="1682"/>
        <v>15</v>
      </c>
      <c r="BK297" s="285">
        <f t="shared" si="1682"/>
        <v>30</v>
      </c>
      <c r="BL297" s="285">
        <f t="shared" ref="BL297:BN297" si="1683">BL86</f>
        <v>15</v>
      </c>
      <c r="BM297" s="285">
        <f t="shared" si="1683"/>
        <v>15</v>
      </c>
      <c r="BN297" s="285">
        <f t="shared" si="1683"/>
        <v>30</v>
      </c>
      <c r="BO297" s="285">
        <f t="shared" ref="BO297:BQ297" si="1684">BO86</f>
        <v>15</v>
      </c>
      <c r="BP297" s="285">
        <f t="shared" si="1684"/>
        <v>15</v>
      </c>
      <c r="BQ297" s="285">
        <f t="shared" si="1684"/>
        <v>30</v>
      </c>
      <c r="BR297" s="285">
        <f t="shared" ref="BR297:BT297" si="1685">BR86</f>
        <v>15.75</v>
      </c>
      <c r="BS297" s="285">
        <f t="shared" si="1685"/>
        <v>15.75</v>
      </c>
      <c r="BT297" s="285">
        <f t="shared" si="1685"/>
        <v>31.5</v>
      </c>
      <c r="BU297" s="285">
        <f t="shared" ref="BU297:BZ297" si="1686">BU86</f>
        <v>16.537500000000001</v>
      </c>
      <c r="BV297" s="285">
        <f t="shared" si="1686"/>
        <v>16.537500000000001</v>
      </c>
      <c r="BW297" s="285">
        <f t="shared" si="1686"/>
        <v>33.075000000000003</v>
      </c>
      <c r="BX297" s="285">
        <f t="shared" si="1686"/>
        <v>17.364375000000003</v>
      </c>
      <c r="BY297" s="285">
        <f t="shared" si="1686"/>
        <v>17.364375000000003</v>
      </c>
      <c r="BZ297" s="285">
        <f t="shared" si="1686"/>
        <v>34.728750000000005</v>
      </c>
      <c r="CA297" s="285">
        <f t="shared" ref="CA297:CC297" si="1687">CA86</f>
        <v>18.232593750000003</v>
      </c>
      <c r="CB297" s="285">
        <f t="shared" si="1687"/>
        <v>18.232593750000003</v>
      </c>
      <c r="CC297" s="285">
        <f t="shared" si="1687"/>
        <v>36.465187500000006</v>
      </c>
      <c r="CD297" s="1"/>
      <c r="CE297" s="1"/>
      <c r="CF297" s="1"/>
      <c r="CG297" s="1"/>
      <c r="CH297" s="1"/>
      <c r="CI297" s="1"/>
      <c r="CJ297" s="1"/>
      <c r="CL297" s="285">
        <f t="shared" ref="CL297:CY297" si="1688">CL86</f>
        <v>17.916164502030256</v>
      </c>
      <c r="CM297" s="285">
        <f t="shared" si="1688"/>
        <v>19.940996883187097</v>
      </c>
      <c r="CN297" s="285">
        <f t="shared" si="1688"/>
        <v>20.700183269788553</v>
      </c>
      <c r="CO297" s="285">
        <f t="shared" si="1688"/>
        <v>22.203712808336785</v>
      </c>
      <c r="CP297" s="285">
        <f t="shared" si="1688"/>
        <v>24.001055023990574</v>
      </c>
      <c r="CQ297" s="285">
        <f t="shared" si="1688"/>
        <v>25.899918019002534</v>
      </c>
      <c r="CR297" s="285">
        <f t="shared" si="1688"/>
        <v>28.004281980201533</v>
      </c>
      <c r="CS297" s="285">
        <f t="shared" si="1688"/>
        <v>30.000975807687599</v>
      </c>
      <c r="CT297" s="285">
        <f t="shared" si="1688"/>
        <v>30</v>
      </c>
      <c r="CU297" s="285">
        <f t="shared" si="1688"/>
        <v>30</v>
      </c>
      <c r="CV297" s="285">
        <f t="shared" si="1688"/>
        <v>30</v>
      </c>
      <c r="CW297" s="285">
        <f t="shared" si="1688"/>
        <v>30</v>
      </c>
      <c r="CX297" s="285">
        <f t="shared" si="1688"/>
        <v>30</v>
      </c>
      <c r="CY297" s="285">
        <f t="shared" si="1688"/>
        <v>30</v>
      </c>
      <c r="CZ297" s="285">
        <f t="shared" ref="CZ297:DA297" si="1689">CZ86</f>
        <v>30</v>
      </c>
      <c r="DA297" s="285">
        <f t="shared" si="1689"/>
        <v>30</v>
      </c>
      <c r="DB297" s="285">
        <f t="shared" ref="DB297:DC297" si="1690">DB86</f>
        <v>31.5</v>
      </c>
      <c r="DC297" s="285">
        <f t="shared" si="1690"/>
        <v>33.075000000000003</v>
      </c>
      <c r="DD297" s="285">
        <f t="shared" ref="DD297:DE297" si="1691">DD86</f>
        <v>34.728750000000005</v>
      </c>
      <c r="DE297" s="285">
        <f t="shared" si="1691"/>
        <v>36.465187500000006</v>
      </c>
    </row>
    <row r="298" spans="1:137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</row>
    <row r="299" spans="1:137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</row>
    <row r="300" spans="1:137">
      <c r="A300" s="1"/>
      <c r="B300" s="48" t="s">
        <v>216</v>
      </c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285"/>
      <c r="AO300" s="285"/>
      <c r="AP300" s="285"/>
      <c r="AQ300" s="285"/>
      <c r="AR300" s="285"/>
      <c r="AS300" s="285"/>
      <c r="AT300" s="285"/>
      <c r="AU300" s="285"/>
      <c r="AV300" s="285"/>
      <c r="AW300" s="285"/>
      <c r="AX300" s="285"/>
      <c r="AY300" s="285"/>
      <c r="AZ300" s="285"/>
      <c r="BA300" s="285"/>
      <c r="BB300" s="285"/>
      <c r="BC300" s="285"/>
      <c r="BD300" s="285"/>
      <c r="BE300" s="285"/>
      <c r="BF300" s="285"/>
      <c r="BG300" s="285"/>
      <c r="BH300" s="285"/>
      <c r="BI300" s="285"/>
      <c r="BJ300" s="285"/>
      <c r="BK300" s="285"/>
      <c r="BL300" s="285"/>
      <c r="BM300" s="285"/>
      <c r="BN300" s="285"/>
      <c r="BO300" s="285"/>
      <c r="BP300" s="285"/>
      <c r="BQ300" s="285"/>
      <c r="BR300" s="285"/>
      <c r="BS300" s="285"/>
      <c r="BT300" s="285"/>
      <c r="BU300" s="285"/>
      <c r="BV300" s="285"/>
      <c r="BW300" s="285"/>
      <c r="BX300" s="285"/>
      <c r="BY300" s="285"/>
      <c r="BZ300" s="285"/>
      <c r="CA300" s="285"/>
      <c r="CB300" s="285"/>
      <c r="CC300" s="285"/>
      <c r="CD300" s="1"/>
      <c r="CE300" s="1"/>
      <c r="CF300" s="1"/>
      <c r="CG300" s="1"/>
      <c r="CH300" s="1"/>
      <c r="CI300" s="1"/>
      <c r="CJ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</row>
    <row r="301" spans="1:137">
      <c r="A301" s="1"/>
      <c r="B301" s="1" t="s">
        <v>217</v>
      </c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285"/>
      <c r="AO301" s="285"/>
      <c r="AP301" s="285"/>
      <c r="AQ301" s="285"/>
      <c r="AR301" s="285"/>
      <c r="AS301" s="285">
        <f>'Funds fee streams'!AE28</f>
        <v>4100</v>
      </c>
      <c r="AT301" s="285"/>
      <c r="AU301" s="285"/>
      <c r="AV301" s="285">
        <f>'Funds fee streams'!AH28</f>
        <v>6500</v>
      </c>
      <c r="AW301" s="285"/>
      <c r="AX301" s="285"/>
      <c r="AY301" s="285">
        <f>'Funds fee streams'!AK28</f>
        <v>10600</v>
      </c>
      <c r="AZ301" s="285"/>
      <c r="BA301" s="285"/>
      <c r="BB301" s="285">
        <f>'Funds fee streams'!AN28</f>
        <v>13600</v>
      </c>
      <c r="BC301" s="285"/>
      <c r="BD301" s="285"/>
      <c r="BE301" s="285">
        <f>'Funds fee streams'!AQ28</f>
        <v>13000</v>
      </c>
      <c r="BF301" s="285"/>
      <c r="BG301" s="285"/>
      <c r="BH301" s="285">
        <f>'Funds fee streams'!AT28</f>
        <v>13000</v>
      </c>
      <c r="BI301" s="285"/>
      <c r="BJ301" s="285"/>
      <c r="BK301" s="285">
        <f>'Funds fee streams'!AW28</f>
        <v>12900</v>
      </c>
      <c r="BL301" s="285"/>
      <c r="BM301" s="285"/>
      <c r="BN301" s="285">
        <f>'Funds fee streams'!AZ28</f>
        <v>18400</v>
      </c>
      <c r="BO301" s="285"/>
      <c r="BP301" s="285"/>
      <c r="BQ301" s="285">
        <f>'Funds fee streams'!BC28</f>
        <v>21400</v>
      </c>
      <c r="BR301" s="285"/>
      <c r="BS301" s="285"/>
      <c r="BT301" s="285">
        <f>'Funds fee streams'!BF28</f>
        <v>20900</v>
      </c>
      <c r="BU301" s="285"/>
      <c r="BV301" s="285"/>
      <c r="BW301" s="285">
        <f>'Funds fee streams'!BI28</f>
        <v>20400</v>
      </c>
      <c r="BX301" s="285"/>
      <c r="BY301" s="285"/>
      <c r="BZ301" s="285">
        <f>'Funds fee streams'!BL28</f>
        <v>19850</v>
      </c>
      <c r="CA301" s="285"/>
      <c r="CB301" s="285"/>
      <c r="CC301" s="285">
        <f>'Funds fee streams'!BO28</f>
        <v>19300</v>
      </c>
      <c r="CD301" s="1"/>
      <c r="CE301" s="1"/>
      <c r="CF301" s="1"/>
      <c r="CG301" s="1"/>
      <c r="CH301" s="1"/>
      <c r="CI301" s="1"/>
      <c r="CJ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</row>
    <row r="302" spans="1:137">
      <c r="A302" s="1"/>
      <c r="B302" s="1" t="s">
        <v>218</v>
      </c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285"/>
      <c r="AO302" s="285"/>
      <c r="AP302" s="285"/>
      <c r="AQ302" s="285"/>
      <c r="AR302" s="285"/>
      <c r="AS302" s="285">
        <f>'Funds fee streams'!AE11</f>
        <v>42900</v>
      </c>
      <c r="AT302" s="285"/>
      <c r="AU302" s="285"/>
      <c r="AV302" s="285">
        <f>'Funds fee streams'!AH11</f>
        <v>48000</v>
      </c>
      <c r="AW302" s="285"/>
      <c r="AX302" s="285"/>
      <c r="AY302" s="285">
        <f>'Funds fee streams'!AK11</f>
        <v>54000</v>
      </c>
      <c r="AZ302" s="285"/>
      <c r="BA302" s="285"/>
      <c r="BB302" s="285">
        <f>'Funds fee streams'!AN11</f>
        <v>68700</v>
      </c>
      <c r="BC302" s="285"/>
      <c r="BD302" s="285"/>
      <c r="BE302" s="285">
        <f>'Funds fee streams'!AQ11</f>
        <v>76300</v>
      </c>
      <c r="BF302" s="285"/>
      <c r="BG302" s="285"/>
      <c r="BH302" s="285">
        <f>'Funds fee streams'!AT11</f>
        <v>78700</v>
      </c>
      <c r="BI302" s="285"/>
      <c r="BJ302" s="285"/>
      <c r="BK302" s="285">
        <f>'Funds fee streams'!AW11</f>
        <v>85600</v>
      </c>
      <c r="BL302" s="285"/>
      <c r="BM302" s="285"/>
      <c r="BN302" s="285">
        <f>'Funds fee streams'!AZ11</f>
        <v>91828.744348911947</v>
      </c>
      <c r="BO302" s="285"/>
      <c r="BP302" s="285"/>
      <c r="BQ302" s="285">
        <f>'Funds fee streams'!BC11</f>
        <v>101995.04389682489</v>
      </c>
      <c r="BR302" s="285"/>
      <c r="BS302" s="285"/>
      <c r="BT302" s="285">
        <f>'Funds fee streams'!BF11</f>
        <v>113342.64740857093</v>
      </c>
      <c r="BU302" s="285"/>
      <c r="BV302" s="285"/>
      <c r="BW302" s="285">
        <f>'Funds fee streams'!BI11</f>
        <v>125318.05920125665</v>
      </c>
      <c r="BX302" s="285"/>
      <c r="BY302" s="285"/>
      <c r="BZ302" s="285">
        <f>'Funds fee streams'!BL11</f>
        <v>137996.50393735719</v>
      </c>
      <c r="CA302" s="285"/>
      <c r="CB302" s="285"/>
      <c r="CC302" s="285">
        <f>'Funds fee streams'!BO11</f>
        <v>151407.2242523458</v>
      </c>
      <c r="CD302" s="1"/>
      <c r="CE302" s="1"/>
      <c r="CF302" s="1"/>
      <c r="CG302" s="1"/>
      <c r="CH302" s="1"/>
      <c r="CI302" s="1"/>
      <c r="CJ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</row>
    <row r="303" spans="1:137">
      <c r="A303" s="1"/>
      <c r="B303" s="1" t="s">
        <v>219</v>
      </c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292">
        <f>'Funds fee streams'!AE13</f>
        <v>1.0948717948717946E-2</v>
      </c>
      <c r="AT303" s="1"/>
      <c r="AU303" s="1"/>
      <c r="AV303" s="292">
        <f>'Funds fee streams'!AH13</f>
        <v>1.065E-2</v>
      </c>
      <c r="AW303" s="1"/>
      <c r="AX303" s="1"/>
      <c r="AY303" s="292">
        <f>'Funds fee streams'!AK13</f>
        <v>8.5018518518518525E-3</v>
      </c>
      <c r="AZ303" s="1"/>
      <c r="BA303" s="1"/>
      <c r="BB303" s="292">
        <f>'Funds fee streams'!AN13</f>
        <v>8.5647743813682675E-3</v>
      </c>
      <c r="BC303" s="1"/>
      <c r="BD303" s="1"/>
      <c r="BE303" s="292">
        <f>'Funds fee streams'!AQ13</f>
        <v>6.2988204456094366E-3</v>
      </c>
      <c r="BF303" s="1"/>
      <c r="BG303" s="1"/>
      <c r="BH303" s="292">
        <f>'Funds fee streams'!AT13</f>
        <v>9.8653113087674715E-3</v>
      </c>
      <c r="BI303" s="1"/>
      <c r="BJ303" s="1"/>
      <c r="BK303" s="292">
        <f>'Funds fee streams'!AW13</f>
        <v>9.7827102803738318E-3</v>
      </c>
      <c r="BL303" s="1"/>
      <c r="BM303" s="1"/>
      <c r="BN303" s="292">
        <f>'Funds fee streams'!AZ13</f>
        <v>7.6891968201713828E-3</v>
      </c>
      <c r="BO303" s="1"/>
      <c r="BP303" s="1"/>
      <c r="BQ303" s="292">
        <f>'Funds fee streams'!BC13</f>
        <v>7.3767203372566538E-3</v>
      </c>
      <c r="BR303" s="1"/>
      <c r="BS303" s="1"/>
      <c r="BT303" s="292">
        <f>'Funds fee streams'!BF13</f>
        <v>8.4862204705196953E-3</v>
      </c>
      <c r="BU303" s="1"/>
      <c r="BV303" s="1"/>
      <c r="BW303" s="292">
        <f>'Funds fee streams'!BI13</f>
        <v>8.483646958125304E-3</v>
      </c>
      <c r="BX303" s="1"/>
      <c r="BY303" s="1"/>
      <c r="BZ303" s="292">
        <f>'Funds fee streams'!BL13</f>
        <v>8.4925851752923193E-3</v>
      </c>
      <c r="CA303" s="1"/>
      <c r="CB303" s="1"/>
      <c r="CC303" s="292">
        <f>'Funds fee streams'!BO13</f>
        <v>8.4952889658043203E-3</v>
      </c>
      <c r="CD303" s="1"/>
      <c r="CE303" s="1"/>
      <c r="CF303" s="1"/>
      <c r="CG303" s="1"/>
      <c r="CH303" s="1"/>
      <c r="CI303" s="1"/>
      <c r="CJ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</row>
    <row r="304" spans="1:137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</row>
    <row r="305" spans="1:109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</row>
    <row r="306" spans="1:109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</row>
    <row r="307" spans="1:109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</row>
    <row r="308" spans="1:109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</row>
    <row r="309" spans="1:109" ht="14.95" thickBo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</row>
    <row r="310" spans="1:109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293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</row>
    <row r="311" spans="1:109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294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</row>
    <row r="312" spans="1:109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294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</row>
    <row r="313" spans="1:109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294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</row>
    <row r="314" spans="1:109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294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</row>
    <row r="315" spans="1:109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295"/>
      <c r="AK315" s="296"/>
      <c r="AL315" s="296"/>
      <c r="AM315" s="296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</row>
  </sheetData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C00000"/>
  </sheetPr>
  <dimension ref="A1:BJ93"/>
  <sheetViews>
    <sheetView topLeftCell="A7" zoomScale="80" zoomScaleNormal="80" workbookViewId="0">
      <pane xSplit="7" ySplit="3" topLeftCell="H10" activePane="bottomRight" state="frozen"/>
      <selection activeCell="F23" sqref="F23"/>
      <selection pane="topRight" activeCell="F23" sqref="F23"/>
      <selection pane="bottomLeft" activeCell="F23" sqref="F23"/>
      <selection pane="bottomRight" activeCell="AS70" sqref="AS70"/>
    </sheetView>
  </sheetViews>
  <sheetFormatPr defaultColWidth="9.09765625" defaultRowHeight="12.75" outlineLevelRow="1" outlineLevelCol="1"/>
  <cols>
    <col min="1" max="1" width="53.09765625" style="2" customWidth="1"/>
    <col min="2" max="3" width="0" style="2" hidden="1" customWidth="1"/>
    <col min="4" max="5" width="11.09765625" style="2" hidden="1" customWidth="1"/>
    <col min="6" max="7" width="11.59765625" style="2" hidden="1" customWidth="1"/>
    <col min="8" max="8" width="8.8984375" style="2" customWidth="1"/>
    <col min="9" max="10" width="11.59765625" style="2" customWidth="1" outlineLevel="1"/>
    <col min="11" max="11" width="11.59765625" style="2" customWidth="1"/>
    <col min="12" max="13" width="11.59765625" style="2" customWidth="1" outlineLevel="1"/>
    <col min="14" max="14" width="11.59765625" style="2" customWidth="1"/>
    <col min="15" max="15" width="11.59765625" style="2" customWidth="1" outlineLevel="1"/>
    <col min="16" max="16" width="12.09765625" style="2" customWidth="1" outlineLevel="1"/>
    <col min="17" max="17" width="12.09765625" style="2" customWidth="1"/>
    <col min="18" max="19" width="12.09765625" style="2" customWidth="1" outlineLevel="1"/>
    <col min="20" max="20" width="12.09765625" style="2" customWidth="1"/>
    <col min="21" max="22" width="12.09765625" style="2" customWidth="1" outlineLevel="1"/>
    <col min="23" max="23" width="12.09765625" style="2" customWidth="1"/>
    <col min="24" max="25" width="12.09765625" style="2" customWidth="1" outlineLevel="1"/>
    <col min="26" max="26" width="12.09765625" style="2" customWidth="1"/>
    <col min="27" max="28" width="12.09765625" style="2" customWidth="1" outlineLevel="1"/>
    <col min="29" max="29" width="12.3984375" style="2" customWidth="1"/>
    <col min="30" max="31" width="12.09765625" style="2" customWidth="1" outlineLevel="1"/>
    <col min="32" max="32" width="12.3984375" style="2" customWidth="1"/>
    <col min="33" max="34" width="12.09765625" style="2" customWidth="1" outlineLevel="1"/>
    <col min="35" max="35" width="12.3984375" style="2" customWidth="1"/>
    <col min="36" max="37" width="12.09765625" style="2" customWidth="1" outlineLevel="1"/>
    <col min="38" max="38" width="12.3984375" style="2" customWidth="1"/>
    <col min="39" max="40" width="12.09765625" style="2" customWidth="1" outlineLevel="1"/>
    <col min="41" max="41" width="12.3984375" style="2" customWidth="1"/>
    <col min="42" max="43" width="12.09765625" style="2" customWidth="1" outlineLevel="1"/>
    <col min="44" max="44" width="12.3984375" style="2" customWidth="1"/>
    <col min="45" max="46" width="12.09765625" style="2" customWidth="1" outlineLevel="1"/>
    <col min="47" max="47" width="12.3984375" style="2" customWidth="1"/>
    <col min="48" max="49" width="12.09765625" style="2" customWidth="1" outlineLevel="1"/>
    <col min="50" max="50" width="12.3984375" style="2" customWidth="1"/>
    <col min="51" max="52" width="12.09765625" style="2" customWidth="1" outlineLevel="1"/>
    <col min="53" max="53" width="12.3984375" style="2" customWidth="1"/>
    <col min="54" max="55" width="12.09765625" style="2" customWidth="1" outlineLevel="1"/>
    <col min="56" max="56" width="12.3984375" style="2" customWidth="1"/>
    <col min="57" max="58" width="12.09765625" style="2" customWidth="1" outlineLevel="1"/>
    <col min="59" max="59" width="12.3984375" style="2" customWidth="1"/>
    <col min="60" max="61" width="12.09765625" style="2" customWidth="1" outlineLevel="1"/>
    <col min="62" max="62" width="12.3984375" style="2" customWidth="1"/>
    <col min="63" max="16384" width="9.09765625" style="2"/>
  </cols>
  <sheetData>
    <row r="1" spans="1:62" hidden="1" outlineLevel="1"/>
    <row r="2" spans="1:62" hidden="1" outlineLevel="1"/>
    <row r="3" spans="1:62" hidden="1" outlineLevel="1">
      <c r="D3" s="3"/>
      <c r="E3" s="3"/>
      <c r="F3" s="3"/>
      <c r="G3" s="3"/>
      <c r="H3" s="3"/>
    </row>
    <row r="4" spans="1:62" ht="13.6" hidden="1" customHeight="1" outlineLevel="1">
      <c r="D4" s="4"/>
      <c r="E4" s="5"/>
      <c r="F4" s="6"/>
      <c r="G4" s="6"/>
      <c r="H4" s="6"/>
      <c r="I4" s="6"/>
      <c r="J4" s="6"/>
      <c r="K4" s="6"/>
      <c r="L4" s="6"/>
      <c r="M4" s="6"/>
      <c r="N4" s="6"/>
    </row>
    <row r="5" spans="1:62" ht="18" hidden="1" customHeight="1" outlineLevel="1">
      <c r="A5" s="7" t="s">
        <v>37</v>
      </c>
      <c r="F5" s="6"/>
      <c r="G5" s="6"/>
      <c r="H5" s="6"/>
      <c r="I5" s="6"/>
      <c r="J5" s="6"/>
      <c r="K5" s="6"/>
      <c r="L5" s="6"/>
      <c r="M5" s="6"/>
      <c r="N5" s="6"/>
    </row>
    <row r="6" spans="1:62" hidden="1" outlineLevel="1"/>
    <row r="7" spans="1:62" s="37" customFormat="1" collapsed="1">
      <c r="A7" s="37" t="s">
        <v>236</v>
      </c>
      <c r="D7" s="37">
        <v>40724</v>
      </c>
      <c r="E7" s="37">
        <v>40908</v>
      </c>
      <c r="F7" s="37">
        <v>41090</v>
      </c>
      <c r="G7" s="37">
        <v>41274</v>
      </c>
      <c r="H7" s="300">
        <v>41455</v>
      </c>
      <c r="I7" s="300">
        <v>41639</v>
      </c>
      <c r="J7" s="300">
        <v>41820</v>
      </c>
      <c r="K7" s="300">
        <f>J7</f>
        <v>41820</v>
      </c>
      <c r="L7" s="300">
        <v>42004</v>
      </c>
      <c r="M7" s="300">
        <v>42185</v>
      </c>
      <c r="N7" s="300">
        <f>M7</f>
        <v>42185</v>
      </c>
      <c r="O7" s="300">
        <v>42369</v>
      </c>
      <c r="P7" s="300">
        <v>42551</v>
      </c>
      <c r="Q7" s="300">
        <f>P7</f>
        <v>42551</v>
      </c>
      <c r="R7" s="300">
        <v>42735</v>
      </c>
      <c r="S7" s="300">
        <v>42916</v>
      </c>
      <c r="T7" s="300">
        <f>S7</f>
        <v>42916</v>
      </c>
      <c r="U7" s="300">
        <v>43100</v>
      </c>
      <c r="V7" s="300">
        <v>43281</v>
      </c>
      <c r="W7" s="300">
        <f>V7</f>
        <v>43281</v>
      </c>
      <c r="X7" s="300">
        <v>43465</v>
      </c>
      <c r="Y7" s="300">
        <v>43646</v>
      </c>
      <c r="Z7" s="300">
        <f>Y7</f>
        <v>43646</v>
      </c>
      <c r="AA7" s="300">
        <v>43830</v>
      </c>
      <c r="AB7" s="300">
        <v>44012</v>
      </c>
      <c r="AC7" s="300">
        <f>AB7</f>
        <v>44012</v>
      </c>
      <c r="AD7" s="300">
        <v>44196</v>
      </c>
      <c r="AE7" s="300">
        <v>44377</v>
      </c>
      <c r="AF7" s="300">
        <f>AE7</f>
        <v>44377</v>
      </c>
      <c r="AG7" s="300">
        <v>44561</v>
      </c>
      <c r="AH7" s="300">
        <v>44742</v>
      </c>
      <c r="AI7" s="300">
        <f>AH7</f>
        <v>44742</v>
      </c>
      <c r="AJ7" s="300">
        <v>44926</v>
      </c>
      <c r="AK7" s="300">
        <v>45107</v>
      </c>
      <c r="AL7" s="300">
        <f>AK7</f>
        <v>45107</v>
      </c>
      <c r="AM7" s="300">
        <f>EOMONTH(AJ7,12)</f>
        <v>45291</v>
      </c>
      <c r="AN7" s="300">
        <f t="shared" ref="AN7:AU7" si="0">EOMONTH(AK7,12)</f>
        <v>45473</v>
      </c>
      <c r="AO7" s="300">
        <f t="shared" si="0"/>
        <v>45473</v>
      </c>
      <c r="AP7" s="300">
        <f t="shared" si="0"/>
        <v>45657</v>
      </c>
      <c r="AQ7" s="300">
        <f t="shared" si="0"/>
        <v>45838</v>
      </c>
      <c r="AR7" s="300">
        <f t="shared" si="0"/>
        <v>45838</v>
      </c>
      <c r="AS7" s="300">
        <f t="shared" si="0"/>
        <v>46022</v>
      </c>
      <c r="AT7" s="300">
        <f t="shared" si="0"/>
        <v>46203</v>
      </c>
      <c r="AU7" s="300">
        <f t="shared" si="0"/>
        <v>46203</v>
      </c>
      <c r="AV7" s="300">
        <f t="shared" ref="AV7" si="1">EOMONTH(AS7,12)</f>
        <v>46387</v>
      </c>
      <c r="AW7" s="300">
        <f t="shared" ref="AW7" si="2">EOMONTH(AT7,12)</f>
        <v>46568</v>
      </c>
      <c r="AX7" s="300">
        <f t="shared" ref="AX7" si="3">EOMONTH(AU7,12)</f>
        <v>46568</v>
      </c>
      <c r="AY7" s="300">
        <f t="shared" ref="AY7" si="4">EOMONTH(AV7,12)</f>
        <v>46752</v>
      </c>
      <c r="AZ7" s="300">
        <f t="shared" ref="AZ7" si="5">EOMONTH(AW7,12)</f>
        <v>46934</v>
      </c>
      <c r="BA7" s="300">
        <f t="shared" ref="BA7" si="6">EOMONTH(AX7,12)</f>
        <v>46934</v>
      </c>
      <c r="BB7" s="300">
        <f t="shared" ref="BB7" si="7">EOMONTH(AY7,12)</f>
        <v>47118</v>
      </c>
      <c r="BC7" s="300">
        <f t="shared" ref="BC7" si="8">EOMONTH(AZ7,12)</f>
        <v>47299</v>
      </c>
      <c r="BD7" s="300">
        <f t="shared" ref="BD7" si="9">EOMONTH(BA7,12)</f>
        <v>47299</v>
      </c>
      <c r="BE7" s="300">
        <f t="shared" ref="BE7" si="10">EOMONTH(BB7,12)</f>
        <v>47483</v>
      </c>
      <c r="BF7" s="300">
        <f t="shared" ref="BF7" si="11">EOMONTH(BC7,12)</f>
        <v>47664</v>
      </c>
      <c r="BG7" s="300">
        <f t="shared" ref="BG7" si="12">EOMONTH(BD7,12)</f>
        <v>47664</v>
      </c>
      <c r="BH7" s="300">
        <f t="shared" ref="BH7" si="13">EOMONTH(BE7,12)</f>
        <v>47848</v>
      </c>
      <c r="BI7" s="300">
        <f t="shared" ref="BI7" si="14">EOMONTH(BF7,12)</f>
        <v>48029</v>
      </c>
      <c r="BJ7" s="300">
        <f t="shared" ref="BJ7" si="15">EOMONTH(BG7,12)</f>
        <v>48029</v>
      </c>
    </row>
    <row r="8" spans="1:62" s="37" customFormat="1">
      <c r="D8" s="37" t="s">
        <v>237</v>
      </c>
      <c r="E8" s="37" t="s">
        <v>238</v>
      </c>
      <c r="F8" s="37" t="s">
        <v>239</v>
      </c>
      <c r="G8" s="37" t="s">
        <v>20</v>
      </c>
      <c r="H8" s="37" t="s">
        <v>21</v>
      </c>
      <c r="I8" s="37" t="s">
        <v>6</v>
      </c>
      <c r="J8" s="37" t="s">
        <v>22</v>
      </c>
      <c r="K8" s="37" t="str">
        <f>"FY"&amp;RIGHT(J8,2)</f>
        <v>FY14</v>
      </c>
      <c r="L8" s="37" t="s">
        <v>7</v>
      </c>
      <c r="M8" s="37" t="s">
        <v>23</v>
      </c>
      <c r="N8" s="37" t="str">
        <f>"FY"&amp;RIGHT(M8,2)</f>
        <v>FY15</v>
      </c>
      <c r="O8" s="37" t="s">
        <v>8</v>
      </c>
      <c r="P8" s="37" t="s">
        <v>24</v>
      </c>
      <c r="Q8" s="37" t="str">
        <f>"FY"&amp;RIGHT(P8,2)</f>
        <v>FY16</v>
      </c>
      <c r="R8" s="37" t="s">
        <v>9</v>
      </c>
      <c r="S8" s="37" t="s">
        <v>25</v>
      </c>
      <c r="T8" s="37" t="str">
        <f>"FY"&amp;RIGHT(S8,2)</f>
        <v>FY17</v>
      </c>
      <c r="U8" s="37" t="s">
        <v>230</v>
      </c>
      <c r="V8" s="37" t="s">
        <v>231</v>
      </c>
      <c r="W8" s="37" t="str">
        <f>"FY"&amp;RIGHT(V8,2)</f>
        <v>FY18</v>
      </c>
      <c r="X8" s="37" t="s">
        <v>232</v>
      </c>
      <c r="Y8" s="37" t="s">
        <v>233</v>
      </c>
      <c r="Z8" s="37" t="str">
        <f>"FY"&amp;RIGHT(Y8,2)</f>
        <v>FY19</v>
      </c>
      <c r="AA8" s="37" t="s">
        <v>234</v>
      </c>
      <c r="AB8" s="37" t="s">
        <v>235</v>
      </c>
      <c r="AC8" s="37" t="str">
        <f>"FY"&amp;RIGHT(AB8,2)</f>
        <v>FY20</v>
      </c>
      <c r="AD8" s="37" t="s">
        <v>240</v>
      </c>
      <c r="AE8" s="37" t="s">
        <v>241</v>
      </c>
      <c r="AF8" s="37" t="str">
        <f>"FY"&amp;RIGHT(AE8,2)</f>
        <v>FY21</v>
      </c>
      <c r="AG8" s="37" t="s">
        <v>242</v>
      </c>
      <c r="AH8" s="37" t="s">
        <v>243</v>
      </c>
      <c r="AI8" s="37" t="str">
        <f>"FY"&amp;RIGHT(AH8,2)</f>
        <v>FY22</v>
      </c>
      <c r="AJ8" s="37" t="s">
        <v>244</v>
      </c>
      <c r="AK8" s="37" t="s">
        <v>245</v>
      </c>
      <c r="AL8" s="37" t="str">
        <f>"FY"&amp;RIGHT(AK8,2)</f>
        <v>FY23</v>
      </c>
      <c r="AM8" s="37" t="s">
        <v>246</v>
      </c>
      <c r="AN8" s="37" t="s">
        <v>247</v>
      </c>
      <c r="AO8" s="37" t="str">
        <f>"FY"&amp;RIGHT(AN8,2)</f>
        <v>FY24</v>
      </c>
      <c r="AP8" s="37" t="s">
        <v>357</v>
      </c>
      <c r="AQ8" s="37" t="s">
        <v>358</v>
      </c>
      <c r="AR8" s="37" t="str">
        <f>"FY"&amp;RIGHT(AQ8,2)</f>
        <v>FY25</v>
      </c>
      <c r="AS8" s="37" t="s">
        <v>363</v>
      </c>
      <c r="AT8" s="37" t="s">
        <v>364</v>
      </c>
      <c r="AU8" s="37" t="str">
        <f>"FY"&amp;RIGHT(AT8,2)</f>
        <v>FY26</v>
      </c>
      <c r="AV8" s="37" t="s">
        <v>366</v>
      </c>
      <c r="AW8" s="37" t="s">
        <v>367</v>
      </c>
      <c r="AX8" s="37" t="str">
        <f>"FY"&amp;RIGHT(AW8,2)</f>
        <v>FY27</v>
      </c>
      <c r="AY8" s="37" t="s">
        <v>368</v>
      </c>
      <c r="AZ8" s="37" t="s">
        <v>369</v>
      </c>
      <c r="BA8" s="37" t="str">
        <f>"FY"&amp;RIGHT(AZ8,2)</f>
        <v>FY28</v>
      </c>
      <c r="BB8" s="37" t="s">
        <v>370</v>
      </c>
      <c r="BC8" s="37" t="s">
        <v>371</v>
      </c>
      <c r="BD8" s="37" t="str">
        <f>"FY"&amp;RIGHT(BC8,2)</f>
        <v>FY29</v>
      </c>
      <c r="BE8" s="37" t="s">
        <v>372</v>
      </c>
      <c r="BF8" s="37" t="s">
        <v>373</v>
      </c>
      <c r="BG8" s="37" t="str">
        <f>"FY"&amp;RIGHT(BF8,2)</f>
        <v>FY30</v>
      </c>
      <c r="BH8" s="37" t="s">
        <v>377</v>
      </c>
      <c r="BI8" s="37" t="s">
        <v>378</v>
      </c>
      <c r="BJ8" s="37" t="str">
        <f>"FY"&amp;RIGHT(BI8,2)</f>
        <v>FY31</v>
      </c>
    </row>
    <row r="9" spans="1:62" s="37" customFormat="1">
      <c r="A9" s="37" t="s">
        <v>248</v>
      </c>
    </row>
    <row r="10" spans="1:62" s="1" customFormat="1"/>
    <row r="11" spans="1:62" s="301" customFormat="1">
      <c r="A11" s="301" t="s">
        <v>249</v>
      </c>
      <c r="E11" s="302"/>
      <c r="F11" s="302"/>
      <c r="G11" s="302"/>
      <c r="H11" s="302"/>
      <c r="I11" s="302">
        <f>Group!AA121</f>
        <v>2249.8000000000002</v>
      </c>
      <c r="J11" s="302">
        <f>+I26</f>
        <v>2309.6</v>
      </c>
      <c r="K11" s="302">
        <f>I11</f>
        <v>2249.8000000000002</v>
      </c>
      <c r="L11" s="302">
        <f>+K26</f>
        <v>2160.5</v>
      </c>
      <c r="M11" s="302">
        <f>+L26</f>
        <v>2583.1999999999998</v>
      </c>
      <c r="N11" s="302">
        <f>L11</f>
        <v>2160.5</v>
      </c>
      <c r="O11" s="302">
        <f>+M26</f>
        <v>2867</v>
      </c>
      <c r="P11" s="302">
        <f>+O26</f>
        <v>2848.8</v>
      </c>
      <c r="Q11" s="302">
        <f>O11</f>
        <v>2867</v>
      </c>
      <c r="R11" s="302">
        <f>+P26</f>
        <v>2865.2</v>
      </c>
      <c r="S11" s="302">
        <f>+R26</f>
        <v>2902.9</v>
      </c>
      <c r="T11" s="302">
        <f>R11</f>
        <v>2865.2</v>
      </c>
      <c r="U11" s="302">
        <f>+S26</f>
        <v>2878.3</v>
      </c>
      <c r="V11" s="302">
        <f>+U26</f>
        <v>3130.6000000000004</v>
      </c>
      <c r="W11" s="302">
        <f>U11</f>
        <v>2878.3</v>
      </c>
      <c r="X11" s="302">
        <f>+V26</f>
        <v>3081.5</v>
      </c>
      <c r="Y11" s="302">
        <f>+X26</f>
        <v>3739.1274905591335</v>
      </c>
      <c r="Z11" s="302">
        <f>X11</f>
        <v>3081.5</v>
      </c>
      <c r="AA11" s="302">
        <f>+Y26</f>
        <v>2975</v>
      </c>
      <c r="AB11" s="302">
        <f>+AA26</f>
        <v>2839.2</v>
      </c>
      <c r="AC11" s="302">
        <f>AA11</f>
        <v>2975</v>
      </c>
      <c r="AD11" s="302">
        <f>+AB26</f>
        <v>2938.5</v>
      </c>
      <c r="AE11" s="302">
        <f>+AD26</f>
        <v>2043.8</v>
      </c>
      <c r="AF11" s="302">
        <f>AD11</f>
        <v>2938.5</v>
      </c>
      <c r="AG11" s="302">
        <f>+AE26</f>
        <v>2060.3000000000002</v>
      </c>
      <c r="AH11" s="302">
        <f>+AG26</f>
        <v>2087.6999999999998</v>
      </c>
      <c r="AI11" s="302">
        <f>AG11</f>
        <v>2060.3000000000002</v>
      </c>
      <c r="AJ11" s="302">
        <f>+AH26</f>
        <v>2832.2000000000003</v>
      </c>
      <c r="AK11" s="302">
        <f>+AJ26</f>
        <v>3173.9</v>
      </c>
      <c r="AL11" s="302">
        <f>AJ11</f>
        <v>2832.2000000000003</v>
      </c>
      <c r="AM11" s="302">
        <f>+AK26</f>
        <v>3292.9</v>
      </c>
      <c r="AN11" s="302">
        <f>+AM26</f>
        <v>3212.4</v>
      </c>
      <c r="AO11" s="302">
        <f>AM11</f>
        <v>3292.9</v>
      </c>
      <c r="AP11" s="302">
        <f>+AN26</f>
        <v>3418.0965016264809</v>
      </c>
      <c r="AQ11" s="302">
        <f>+AP26</f>
        <v>5862.7999999999993</v>
      </c>
      <c r="AR11" s="302">
        <f>AP11</f>
        <v>3418.0965016264809</v>
      </c>
      <c r="AS11" s="302">
        <f>+AQ26</f>
        <v>5235.5</v>
      </c>
      <c r="AT11" s="302">
        <f>+AS26</f>
        <v>4126.3</v>
      </c>
      <c r="AU11" s="302">
        <f>AS11</f>
        <v>5235.5</v>
      </c>
      <c r="AV11" s="302">
        <f>+AT26</f>
        <v>4297.2230634454245</v>
      </c>
      <c r="AW11" s="302">
        <f>+AV26</f>
        <v>4436.6934091762059</v>
      </c>
      <c r="AX11" s="302">
        <f>AV11</f>
        <v>4297.2230634454245</v>
      </c>
      <c r="AY11" s="302">
        <f>+AW26</f>
        <v>4623.5107626636018</v>
      </c>
      <c r="AZ11" s="302">
        <f>+AY26</f>
        <v>4817.5699423171118</v>
      </c>
      <c r="BA11" s="302">
        <f>AY11</f>
        <v>4623.5107626636018</v>
      </c>
      <c r="BB11" s="302">
        <f>+AZ26</f>
        <v>5019.1550484861928</v>
      </c>
      <c r="BC11" s="302">
        <f>+BB26</f>
        <v>5228.5613269146743</v>
      </c>
      <c r="BD11" s="302">
        <f>BB11</f>
        <v>5019.1550484861928</v>
      </c>
      <c r="BE11" s="302">
        <f>+BC26</f>
        <v>5446.0956059799764</v>
      </c>
      <c r="BF11" s="302">
        <f>+BE26</f>
        <v>5672.0767510854303</v>
      </c>
      <c r="BG11" s="302">
        <f>BE11</f>
        <v>5446.0956059799764</v>
      </c>
      <c r="BH11" s="302">
        <f>+BF26</f>
        <v>5906.8361368786482</v>
      </c>
      <c r="BI11" s="302">
        <f>+BH26</f>
        <v>6150.7181379952308</v>
      </c>
      <c r="BJ11" s="302">
        <f>BH11</f>
        <v>5906.8361368786482</v>
      </c>
    </row>
    <row r="12" spans="1:62" s="1" customFormat="1">
      <c r="A12" s="1" t="s">
        <v>139</v>
      </c>
      <c r="E12" s="23"/>
      <c r="F12" s="23"/>
      <c r="G12" s="23"/>
      <c r="H12" s="23"/>
      <c r="I12" s="23">
        <f>-Group!AB66</f>
        <v>5.4237500000000001</v>
      </c>
      <c r="J12" s="23">
        <f>-Group!AC66</f>
        <v>5.47675</v>
      </c>
      <c r="K12" s="23">
        <f>-Group!AD66</f>
        <v>10.900500000000001</v>
      </c>
      <c r="L12" s="23">
        <f>-Group!AE66</f>
        <v>5.8722500000000002</v>
      </c>
      <c r="M12" s="23">
        <f>-Group!AF66</f>
        <v>6.774</v>
      </c>
      <c r="N12" s="23">
        <f>-Group!AG66</f>
        <v>12.64625</v>
      </c>
      <c r="O12" s="23">
        <f>-Group!AH66</f>
        <v>7.5767500000000005</v>
      </c>
      <c r="P12" s="23">
        <f>-Group!AI66</f>
        <v>6.3812500000000005</v>
      </c>
      <c r="Q12" s="23">
        <f>-Group!AJ66</f>
        <v>13.958000000000002</v>
      </c>
      <c r="R12" s="23">
        <f>-Group!AK66</f>
        <v>6.4657500000000008</v>
      </c>
      <c r="S12" s="23">
        <f>-Group!AL66</f>
        <v>4.5845000000000002</v>
      </c>
      <c r="T12" s="23">
        <f>-Group!AM66</f>
        <v>11.050250000000002</v>
      </c>
      <c r="U12" s="23">
        <f>-Group!AN66</f>
        <v>4.0326250000000003</v>
      </c>
      <c r="V12" s="23">
        <f>-Group!AO66</f>
        <v>4.0607499999999996</v>
      </c>
      <c r="W12" s="23">
        <f>-Group!AP66</f>
        <v>8.093375</v>
      </c>
      <c r="X12" s="23">
        <f>-Group!AQ66</f>
        <v>4.5294999999999996</v>
      </c>
      <c r="Y12" s="23">
        <f>-Group!AR66</f>
        <v>4.391</v>
      </c>
      <c r="Z12" s="23">
        <f>-Group!AS66</f>
        <v>8.9205000000000005</v>
      </c>
      <c r="AA12" s="23">
        <f>-Group!AT66</f>
        <v>3.8984999999999999</v>
      </c>
      <c r="AB12" s="23">
        <f>-Group!AU66</f>
        <v>4.7530000000000001</v>
      </c>
      <c r="AC12" s="23">
        <f>-Group!AV66</f>
        <v>8.6515000000000004</v>
      </c>
      <c r="AD12" s="23">
        <f>-Group!AW66</f>
        <v>4.7530000000000001</v>
      </c>
      <c r="AE12" s="23">
        <f>-Group!AX66</f>
        <v>4.5635000000000003</v>
      </c>
      <c r="AF12" s="23">
        <f>-Group!AY66</f>
        <v>9.3165000000000013</v>
      </c>
      <c r="AG12" s="23">
        <f>-Group!AZ66</f>
        <v>4.6280000000000001</v>
      </c>
      <c r="AH12" s="23">
        <f>-Group!BA66</f>
        <v>4.4137500000000003</v>
      </c>
      <c r="AI12" s="23">
        <f>-Group!BB66</f>
        <v>9.0417500000000004</v>
      </c>
      <c r="AJ12" s="23">
        <f>-Group!BC66</f>
        <v>3.55925</v>
      </c>
      <c r="AK12" s="23">
        <f>-Group!BD66</f>
        <v>3.9852499999999997</v>
      </c>
      <c r="AL12" s="23">
        <f>-Group!BE66</f>
        <v>7.5444999999999993</v>
      </c>
      <c r="AM12" s="23">
        <f>-Group!BF66</f>
        <v>4.1120000000000001</v>
      </c>
      <c r="AN12" s="23">
        <f>-Group!BG66</f>
        <v>4.1120000000000001</v>
      </c>
      <c r="AO12" s="23">
        <f>-Group!BH66</f>
        <v>8.2240000000000002</v>
      </c>
      <c r="AP12" s="23">
        <f>-Group!BI66</f>
        <v>4.4457500000000003</v>
      </c>
      <c r="AQ12" s="23">
        <f>-Group!BJ66</f>
        <v>16.419499999999999</v>
      </c>
      <c r="AR12" s="23">
        <f>-Group!BK66</f>
        <v>20.86525</v>
      </c>
      <c r="AS12" s="23">
        <f>-Group!BL66</f>
        <v>16.979749999999999</v>
      </c>
      <c r="AT12" s="23">
        <f>-Group!BM66</f>
        <v>14.005000000000001</v>
      </c>
      <c r="AU12" s="23">
        <f>-Group!BN66</f>
        <v>30.984749999999998</v>
      </c>
      <c r="AV12" s="23">
        <f>-Group!BO66</f>
        <v>14.206010261923776</v>
      </c>
      <c r="AW12" s="23">
        <f>-Group!BP66</f>
        <v>14.379577935078984</v>
      </c>
      <c r="AX12" s="23">
        <f>-Group!BQ66</f>
        <v>28.58558819700276</v>
      </c>
      <c r="AY12" s="23">
        <f>-Group!CD66</f>
        <v>0</v>
      </c>
      <c r="AZ12" s="23">
        <f>-Group!CE66</f>
        <v>0</v>
      </c>
      <c r="BA12" s="23">
        <f>-Group!CF66</f>
        <v>0</v>
      </c>
      <c r="BB12" s="23">
        <f>-Group!CG66</f>
        <v>0</v>
      </c>
      <c r="BC12" s="23">
        <f>-Group!CH66</f>
        <v>0</v>
      </c>
      <c r="BD12" s="23">
        <f>-Group!CI66</f>
        <v>0</v>
      </c>
      <c r="BE12" s="23">
        <f>-Group!CJ66</f>
        <v>0</v>
      </c>
      <c r="BF12" s="23">
        <f>-Group!CK66</f>
        <v>0</v>
      </c>
      <c r="BG12" s="23">
        <f>-Group!CL66</f>
        <v>11.70125</v>
      </c>
      <c r="BH12" s="23">
        <f>-Group!CM66</f>
        <v>10.568249999999999</v>
      </c>
      <c r="BI12" s="23">
        <f>-Group!CN66</f>
        <v>10.900500000000001</v>
      </c>
      <c r="BJ12" s="23">
        <f>-Group!CO66</f>
        <v>12.64625</v>
      </c>
    </row>
    <row r="13" spans="1:62" s="1" customFormat="1">
      <c r="A13" s="1" t="s">
        <v>250</v>
      </c>
      <c r="E13" s="23"/>
      <c r="F13" s="23"/>
      <c r="G13" s="23"/>
      <c r="H13" s="23"/>
      <c r="I13" s="23">
        <f>'Funds fee streams'!N45</f>
        <v>111.35000000000001</v>
      </c>
      <c r="J13" s="23">
        <f>'Funds fee streams'!O45</f>
        <v>124.4</v>
      </c>
      <c r="K13" s="23">
        <f>'Funds fee streams'!P45</f>
        <v>117.875</v>
      </c>
      <c r="L13" s="23">
        <f>'Funds fee streams'!Q45</f>
        <v>65.573750000000004</v>
      </c>
      <c r="M13" s="23">
        <f>'Funds fee streams'!R45</f>
        <v>64.813749999999999</v>
      </c>
      <c r="N13" s="23">
        <f>'Funds fee streams'!S45</f>
        <v>130.38749999999999</v>
      </c>
      <c r="O13" s="23">
        <f>'Funds fee streams'!T45</f>
        <v>64.03</v>
      </c>
      <c r="P13" s="23">
        <f>'Funds fee streams'!U45</f>
        <v>79.491249999999994</v>
      </c>
      <c r="Q13" s="23">
        <f>'Funds fee streams'!V45</f>
        <v>143.52125000000001</v>
      </c>
      <c r="R13" s="23">
        <f>'Funds fee streams'!W45</f>
        <v>163.4</v>
      </c>
      <c r="S13" s="23">
        <f>'Funds fee streams'!X45</f>
        <v>133</v>
      </c>
      <c r="T13" s="23">
        <f>'Funds fee streams'!Y45</f>
        <v>296.39999999999998</v>
      </c>
      <c r="U13" s="23">
        <f>'Funds fee streams'!Z45</f>
        <v>128.25</v>
      </c>
      <c r="V13" s="23">
        <f>'Funds fee streams'!AA45</f>
        <v>152</v>
      </c>
      <c r="W13" s="23">
        <f>'Funds fee streams'!AB45</f>
        <v>280.25</v>
      </c>
      <c r="X13" s="23">
        <f>'Funds fee streams'!AC45</f>
        <v>259</v>
      </c>
      <c r="Y13" s="23">
        <f>'Funds fee streams'!AD45</f>
        <v>294</v>
      </c>
      <c r="Z13" s="23">
        <f>'Funds fee streams'!AE45</f>
        <v>553</v>
      </c>
      <c r="AA13" s="23">
        <f>'Funds fee streams'!AF45</f>
        <v>294</v>
      </c>
      <c r="AB13" s="23">
        <f>'Funds fee streams'!AG45</f>
        <v>315</v>
      </c>
      <c r="AC13" s="23">
        <f>'Funds fee streams'!AH45</f>
        <v>609</v>
      </c>
      <c r="AD13" s="23">
        <f>'Funds fee streams'!AI45</f>
        <v>427</v>
      </c>
      <c r="AE13" s="23">
        <f>'Funds fee streams'!AJ45</f>
        <v>462</v>
      </c>
      <c r="AF13" s="23">
        <f>'Funds fee streams'!AK45</f>
        <v>889</v>
      </c>
      <c r="AG13" s="23">
        <f>'Funds fee streams'!AL45</f>
        <v>595</v>
      </c>
      <c r="AH13" s="23">
        <f>'Funds fee streams'!AM45</f>
        <v>553</v>
      </c>
      <c r="AI13" s="23">
        <f>'Funds fee streams'!AN45</f>
        <v>1148</v>
      </c>
      <c r="AJ13" s="23">
        <f>'Funds fee streams'!AO45</f>
        <v>427</v>
      </c>
      <c r="AK13" s="23">
        <f>'Funds fee streams'!AP45</f>
        <v>420</v>
      </c>
      <c r="AL13" s="23">
        <f>'Funds fee streams'!AQ45</f>
        <v>847</v>
      </c>
      <c r="AM13" s="23">
        <f>'Funds fee streams'!AR45</f>
        <v>378</v>
      </c>
      <c r="AN13" s="23">
        <f>'Funds fee streams'!AS45</f>
        <v>364</v>
      </c>
      <c r="AO13" s="23">
        <f>'Funds fee streams'!AT45</f>
        <v>742</v>
      </c>
      <c r="AP13" s="23">
        <f>'Funds fee streams'!AU45</f>
        <v>196</v>
      </c>
      <c r="AQ13" s="23">
        <f>'Funds fee streams'!AV45</f>
        <v>700</v>
      </c>
      <c r="AR13" s="23">
        <f>'Funds fee streams'!AW45</f>
        <v>896</v>
      </c>
      <c r="AS13" s="23">
        <f>'Funds fee streams'!AX45</f>
        <v>1137.5</v>
      </c>
      <c r="AT13" s="23">
        <f>'Funds fee streams'!AY45</f>
        <v>1592.5</v>
      </c>
      <c r="AU13" s="23">
        <f>'Funds fee streams'!AZ45</f>
        <v>2730</v>
      </c>
      <c r="AV13" s="23">
        <f>'Funds fee streams'!BA45</f>
        <v>1750</v>
      </c>
      <c r="AW13" s="23">
        <f>'Funds fee streams'!BB45</f>
        <v>1400</v>
      </c>
      <c r="AX13" s="23">
        <f>'Funds fee streams'!BC45</f>
        <v>3150</v>
      </c>
      <c r="AY13" s="23">
        <f>'Funds fee streams'!BD45</f>
        <v>1268.75</v>
      </c>
      <c r="AZ13" s="23">
        <f>'Funds fee streams'!BE45</f>
        <v>1137.5</v>
      </c>
      <c r="BA13" s="23">
        <f>'Funds fee streams'!BF45</f>
        <v>2406.25</v>
      </c>
      <c r="BB13" s="23">
        <f>'Funds fee streams'!BG45</f>
        <v>1137.5</v>
      </c>
      <c r="BC13" s="23">
        <f>'Funds fee streams'!BH45</f>
        <v>1137.5</v>
      </c>
      <c r="BD13" s="23">
        <f>'Funds fee streams'!BI45</f>
        <v>2275</v>
      </c>
      <c r="BE13" s="23">
        <f>'Funds fee streams'!BJ45</f>
        <v>1137.5</v>
      </c>
      <c r="BF13" s="23">
        <f>'Funds fee streams'!BK45</f>
        <v>1137.5</v>
      </c>
      <c r="BG13" s="23">
        <f>'Funds fee streams'!BL45</f>
        <v>2275</v>
      </c>
      <c r="BH13" s="23">
        <f>'Funds fee streams'!BM45</f>
        <v>1137.5</v>
      </c>
      <c r="BI13" s="23">
        <f>'Funds fee streams'!BN45</f>
        <v>1137.5</v>
      </c>
      <c r="BJ13" s="23">
        <f>'Funds fee streams'!BO45</f>
        <v>2275</v>
      </c>
    </row>
    <row r="14" spans="1:62" s="1" customFormat="1">
      <c r="A14" s="1" t="s">
        <v>141</v>
      </c>
      <c r="E14" s="23"/>
      <c r="F14" s="23"/>
      <c r="G14" s="23"/>
      <c r="H14" s="23"/>
      <c r="I14" s="23">
        <f>-Group!AB68</f>
        <v>2.9855999999999994</v>
      </c>
      <c r="J14" s="23">
        <f>-Group!AC68</f>
        <v>3.1935999999999996</v>
      </c>
      <c r="K14" s="23">
        <f>-Group!AD68</f>
        <v>6.1791999999999989</v>
      </c>
      <c r="L14" s="23">
        <f>-Group!AE68</f>
        <v>3.1264000000000003</v>
      </c>
      <c r="M14" s="23">
        <f>-Group!AF68</f>
        <v>3.1872000000000003</v>
      </c>
      <c r="N14" s="23">
        <f>-Group!AG68</f>
        <v>6.313600000000001</v>
      </c>
      <c r="O14" s="23">
        <f>-Group!AH68</f>
        <v>3.2943999999999996</v>
      </c>
      <c r="P14" s="23">
        <f>-Group!AI68</f>
        <v>3.2112000000000003</v>
      </c>
      <c r="Q14" s="23">
        <f>-Group!AJ68</f>
        <v>6.5055999999999994</v>
      </c>
      <c r="R14" s="23">
        <f>-Group!AK68</f>
        <v>3.1376000000000004</v>
      </c>
      <c r="S14" s="23">
        <f>-Group!AL68</f>
        <v>3.2095999999999996</v>
      </c>
      <c r="T14" s="23">
        <f>-Group!AM68</f>
        <v>6.3472</v>
      </c>
      <c r="U14" s="23">
        <f>-Group!AN68</f>
        <v>3.0896000000000003</v>
      </c>
      <c r="V14" s="23">
        <f>-Group!AO68</f>
        <v>3.0672000000000006</v>
      </c>
      <c r="W14" s="23">
        <f>-Group!AP68</f>
        <v>6.1568000000000005</v>
      </c>
      <c r="X14" s="23">
        <f>-Group!AQ68</f>
        <v>2.9087999999999998</v>
      </c>
      <c r="Y14" s="23">
        <f>-Group!AR68</f>
        <v>3.0448000000000004</v>
      </c>
      <c r="Z14" s="23">
        <f>-Group!AS68</f>
        <v>5.9535999999999998</v>
      </c>
      <c r="AA14" s="23">
        <f>-Group!AT68</f>
        <v>3.4127999999999998</v>
      </c>
      <c r="AB14" s="23">
        <f>-Group!AU68</f>
        <v>3.3903999999999996</v>
      </c>
      <c r="AC14" s="23">
        <f>-Group!AV68</f>
        <v>6.8031999999999995</v>
      </c>
      <c r="AD14" s="23">
        <f>-Group!AW68</f>
        <v>3.1376000000000004</v>
      </c>
      <c r="AE14" s="23">
        <f>-Group!AX68</f>
        <v>3.4463999999999997</v>
      </c>
      <c r="AF14" s="23">
        <f>-Group!AY68</f>
        <v>6.5839999999999996</v>
      </c>
      <c r="AG14" s="23">
        <f>-Group!AZ68</f>
        <v>3.7439999999999998</v>
      </c>
      <c r="AH14" s="23">
        <f>-Group!BA68</f>
        <v>4.1696000000000009</v>
      </c>
      <c r="AI14" s="23">
        <f>-Group!BB68</f>
        <v>7.9136000000000006</v>
      </c>
      <c r="AJ14" s="23">
        <f>-Group!BC68</f>
        <v>4.1616000000000009</v>
      </c>
      <c r="AK14" s="23">
        <f>-Group!BD68</f>
        <v>4.3407999999999998</v>
      </c>
      <c r="AL14" s="23">
        <f>-Group!BE68</f>
        <v>8.5024000000000015</v>
      </c>
      <c r="AM14" s="23">
        <f>-Group!BF68</f>
        <v>4.4512</v>
      </c>
      <c r="AN14" s="23">
        <f>-Group!BG68</f>
        <v>4.6224000000000016</v>
      </c>
      <c r="AO14" s="23">
        <f>-Group!BH68</f>
        <v>9.0736000000000026</v>
      </c>
      <c r="AP14" s="23">
        <f>-Group!BI68</f>
        <v>2.4951999999999996</v>
      </c>
      <c r="AQ14" s="23">
        <f>-Group!BJ68</f>
        <v>2.9264000000000006</v>
      </c>
      <c r="AR14" s="23">
        <f>-Group!BK68</f>
        <v>5.4215999999999998</v>
      </c>
      <c r="AS14" s="23">
        <f>-Group!BL68</f>
        <v>2.9280000000000004</v>
      </c>
      <c r="AT14" s="23">
        <f>-Group!BM68</f>
        <v>3.0397904609801607</v>
      </c>
      <c r="AU14" s="23">
        <f>-Group!BN68</f>
        <v>5.9677904609801615</v>
      </c>
      <c r="AV14" s="23">
        <f>-Group!BO68</f>
        <v>3.2059640950682478</v>
      </c>
      <c r="AW14" s="23">
        <f>-Group!BP68</f>
        <v>3.3875975645809904</v>
      </c>
      <c r="AX14" s="23">
        <f>-Group!BQ68</f>
        <v>6.5935616596492377</v>
      </c>
      <c r="AY14" s="23">
        <f>-Group!CD68</f>
        <v>0</v>
      </c>
      <c r="AZ14" s="23">
        <f>-Group!CE68</f>
        <v>0</v>
      </c>
      <c r="BA14" s="23">
        <f>-Group!CF68</f>
        <v>0</v>
      </c>
      <c r="BB14" s="23">
        <f>-Group!CG68</f>
        <v>0</v>
      </c>
      <c r="BC14" s="23">
        <f>-Group!CH68</f>
        <v>0</v>
      </c>
      <c r="BD14" s="23">
        <f>-Group!CI68</f>
        <v>0</v>
      </c>
      <c r="BE14" s="23">
        <f>-Group!CJ68</f>
        <v>0</v>
      </c>
      <c r="BF14" s="23">
        <f>-Group!CK68</f>
        <v>0</v>
      </c>
      <c r="BG14" s="23">
        <f>-Group!CL68</f>
        <v>5.6400000000000006</v>
      </c>
      <c r="BH14" s="23">
        <f>-Group!CM68</f>
        <v>6.1295999999999999</v>
      </c>
      <c r="BI14" s="23">
        <f>-Group!CN68</f>
        <v>6.1791999999999989</v>
      </c>
      <c r="BJ14" s="23">
        <f>-Group!CO68</f>
        <v>6.313600000000001</v>
      </c>
    </row>
    <row r="15" spans="1:62" s="1" customFormat="1">
      <c r="A15" s="1" t="s">
        <v>145</v>
      </c>
      <c r="E15" s="23"/>
      <c r="F15" s="23"/>
      <c r="G15" s="23"/>
      <c r="H15" s="23"/>
      <c r="I15" s="23">
        <v>0</v>
      </c>
      <c r="J15" s="23">
        <v>0</v>
      </c>
      <c r="K15" s="23">
        <v>0</v>
      </c>
      <c r="L15" s="23">
        <v>0</v>
      </c>
      <c r="M15" s="23">
        <v>0</v>
      </c>
      <c r="N15" s="23">
        <v>0</v>
      </c>
      <c r="O15" s="23">
        <v>0</v>
      </c>
      <c r="P15" s="23">
        <v>0</v>
      </c>
      <c r="Q15" s="23">
        <v>0</v>
      </c>
      <c r="R15" s="23">
        <v>0</v>
      </c>
      <c r="S15" s="23">
        <v>0</v>
      </c>
      <c r="T15" s="23">
        <v>0</v>
      </c>
      <c r="U15" s="23">
        <v>0</v>
      </c>
      <c r="V15" s="23">
        <v>0</v>
      </c>
      <c r="W15" s="23">
        <v>0</v>
      </c>
      <c r="X15" s="23">
        <v>0</v>
      </c>
      <c r="Y15" s="23">
        <v>0</v>
      </c>
      <c r="Z15" s="23">
        <v>0</v>
      </c>
      <c r="AA15" s="23">
        <v>0</v>
      </c>
      <c r="AB15" s="23">
        <v>0</v>
      </c>
      <c r="AC15" s="23">
        <v>0</v>
      </c>
      <c r="AD15" s="23">
        <v>0</v>
      </c>
      <c r="AE15" s="23">
        <v>0</v>
      </c>
      <c r="AF15" s="23">
        <v>0</v>
      </c>
      <c r="AG15" s="23">
        <v>0</v>
      </c>
      <c r="AH15" s="23">
        <v>100</v>
      </c>
      <c r="AI15" s="23">
        <v>0</v>
      </c>
      <c r="AJ15" s="23">
        <v>0</v>
      </c>
      <c r="AK15" s="23">
        <v>0</v>
      </c>
      <c r="AL15" s="23">
        <v>0</v>
      </c>
      <c r="AM15" s="23">
        <v>0</v>
      </c>
      <c r="AN15" s="23">
        <v>0</v>
      </c>
      <c r="AO15" s="23">
        <v>0</v>
      </c>
      <c r="AP15" s="23">
        <v>0</v>
      </c>
      <c r="AQ15" s="23">
        <v>0</v>
      </c>
      <c r="AR15" s="23">
        <v>0</v>
      </c>
      <c r="AS15" s="23">
        <v>0</v>
      </c>
      <c r="AT15" s="23">
        <v>0</v>
      </c>
      <c r="AU15" s="23">
        <v>0</v>
      </c>
      <c r="AV15" s="23">
        <v>0</v>
      </c>
      <c r="AW15" s="23">
        <v>0</v>
      </c>
      <c r="AX15" s="23">
        <v>0</v>
      </c>
      <c r="AY15" s="23">
        <v>0</v>
      </c>
      <c r="AZ15" s="23">
        <v>0</v>
      </c>
      <c r="BA15" s="23">
        <v>0</v>
      </c>
      <c r="BB15" s="23">
        <v>0</v>
      </c>
      <c r="BC15" s="23">
        <v>0</v>
      </c>
      <c r="BD15" s="23">
        <v>0</v>
      </c>
      <c r="BE15" s="23">
        <v>0</v>
      </c>
      <c r="BF15" s="23">
        <v>0</v>
      </c>
      <c r="BG15" s="23">
        <v>0</v>
      </c>
      <c r="BH15" s="23">
        <v>0</v>
      </c>
      <c r="BI15" s="23">
        <v>0</v>
      </c>
      <c r="BJ15" s="23">
        <v>0</v>
      </c>
    </row>
    <row r="16" spans="1:62" s="1" customFormat="1">
      <c r="A16" s="1" t="s">
        <v>251</v>
      </c>
      <c r="E16" s="23"/>
      <c r="F16" s="23"/>
      <c r="G16" s="23"/>
      <c r="H16" s="23"/>
      <c r="I16" s="23">
        <v>0</v>
      </c>
      <c r="J16" s="23">
        <v>0</v>
      </c>
      <c r="K16" s="23">
        <v>0</v>
      </c>
      <c r="L16" s="23">
        <v>374.48191570574011</v>
      </c>
      <c r="M16" s="23">
        <v>119.20968594908177</v>
      </c>
      <c r="N16" s="23">
        <v>493.69160165482185</v>
      </c>
      <c r="O16" s="23">
        <v>500.0674240432989</v>
      </c>
      <c r="P16" s="23">
        <v>238.95256414348154</v>
      </c>
      <c r="Q16" s="23">
        <v>739.01998818678044</v>
      </c>
      <c r="R16" s="23">
        <v>158.87818541959629</v>
      </c>
      <c r="S16" s="23">
        <v>0</v>
      </c>
      <c r="T16" s="23">
        <v>158.87818541959629</v>
      </c>
      <c r="U16" s="23">
        <v>122.02890213046756</v>
      </c>
      <c r="V16" s="23">
        <v>833.39414000258182</v>
      </c>
      <c r="W16" s="23">
        <v>955.42304213304942</v>
      </c>
      <c r="X16" s="23">
        <v>957.62749055913355</v>
      </c>
      <c r="Y16" s="23">
        <v>712.96843141398335</v>
      </c>
      <c r="Z16" s="23">
        <v>1670.5959219731169</v>
      </c>
      <c r="AA16" s="23">
        <v>120</v>
      </c>
      <c r="AB16" s="23">
        <v>182.19889757562902</v>
      </c>
      <c r="AC16" s="23">
        <v>302.19889757562902</v>
      </c>
      <c r="AD16" s="23">
        <v>38.740786631325889</v>
      </c>
      <c r="AE16" s="23">
        <v>438.73022717909259</v>
      </c>
      <c r="AF16" s="23">
        <v>477.47101381041847</v>
      </c>
      <c r="AG16" s="23">
        <v>0</v>
      </c>
      <c r="AH16" s="23">
        <v>387.99267153103523</v>
      </c>
      <c r="AI16" s="23">
        <v>1221.0130369873432</v>
      </c>
      <c r="AJ16" s="23">
        <v>586.70047728388602</v>
      </c>
      <c r="AK16" s="23">
        <v>67.752211409099004</v>
      </c>
      <c r="AL16" s="23">
        <v>654.45268869298502</v>
      </c>
      <c r="AM16" s="23">
        <v>-141.06735196689021</v>
      </c>
      <c r="AN16" s="23">
        <v>205.69650162648085</v>
      </c>
      <c r="AO16" s="23">
        <v>64.629149659590638</v>
      </c>
      <c r="AP16" s="23">
        <v>286.40090636094561</v>
      </c>
      <c r="AQ16" s="23">
        <v>59.820428550924738</v>
      </c>
      <c r="AR16" s="23">
        <v>346.22133491187037</v>
      </c>
      <c r="AS16" s="23">
        <v>89.730082763211726</v>
      </c>
      <c r="AT16" s="23">
        <v>170.92306344542416</v>
      </c>
      <c r="AU16" s="23">
        <v>260.65314620863592</v>
      </c>
      <c r="AV16" s="23">
        <v>139.47034573078153</v>
      </c>
      <c r="AW16" s="23">
        <v>186.81735348739585</v>
      </c>
      <c r="AX16" s="23">
        <v>326.28769921817741</v>
      </c>
      <c r="AY16" s="23">
        <v>194.05917965350943</v>
      </c>
      <c r="AZ16" s="23">
        <v>201.58510616908131</v>
      </c>
      <c r="BA16" s="23">
        <v>395.64428582259075</v>
      </c>
      <c r="BB16" s="23">
        <v>209.4062784284819</v>
      </c>
      <c r="BC16" s="23">
        <v>217.53427906530192</v>
      </c>
      <c r="BD16" s="23">
        <v>426.94055749378379</v>
      </c>
      <c r="BE16" s="23">
        <v>225.98114510545386</v>
      </c>
      <c r="BF16" s="23">
        <v>234.759385793218</v>
      </c>
      <c r="BG16" s="23">
        <v>460.74053089867186</v>
      </c>
      <c r="BH16" s="23">
        <v>243.88200111658293</v>
      </c>
      <c r="BI16" s="23">
        <v>253.3625010593675</v>
      </c>
      <c r="BJ16" s="23">
        <v>497.2445021759504</v>
      </c>
    </row>
    <row r="17" spans="1:62" s="1" customFormat="1">
      <c r="A17" s="1" t="s">
        <v>103</v>
      </c>
      <c r="E17" s="23"/>
      <c r="F17" s="23"/>
      <c r="G17" s="23"/>
      <c r="H17" s="23"/>
      <c r="I17" s="23"/>
      <c r="J17" s="56">
        <v>0</v>
      </c>
      <c r="K17" s="23">
        <f>+J17+I17</f>
        <v>0</v>
      </c>
      <c r="L17" s="23">
        <v>0</v>
      </c>
      <c r="M17" s="23">
        <f>+L17</f>
        <v>0</v>
      </c>
      <c r="N17" s="23">
        <f>SUM(L17:M17)</f>
        <v>0</v>
      </c>
      <c r="O17" s="23">
        <f>+M17</f>
        <v>0</v>
      </c>
      <c r="P17" s="23">
        <f>+O17</f>
        <v>0</v>
      </c>
      <c r="Q17" s="23">
        <f>SUM(O17:P17)</f>
        <v>0</v>
      </c>
      <c r="R17" s="23">
        <f>+P17</f>
        <v>0</v>
      </c>
      <c r="S17" s="23">
        <f>+R17</f>
        <v>0</v>
      </c>
      <c r="T17" s="23">
        <f>SUM(R17:S17)</f>
        <v>0</v>
      </c>
      <c r="U17" s="23">
        <f>+S17</f>
        <v>0</v>
      </c>
      <c r="V17" s="23">
        <f>+U17</f>
        <v>0</v>
      </c>
      <c r="W17" s="23">
        <f>SUM(U17:V17)</f>
        <v>0</v>
      </c>
      <c r="X17" s="23">
        <f>+V17</f>
        <v>0</v>
      </c>
      <c r="Y17" s="23">
        <f>+X17</f>
        <v>0</v>
      </c>
      <c r="Z17" s="23">
        <f>SUM(X17:Y17)</f>
        <v>0</v>
      </c>
      <c r="AA17" s="23">
        <f>+Y17</f>
        <v>0</v>
      </c>
      <c r="AB17" s="23">
        <v>0</v>
      </c>
      <c r="AC17" s="23">
        <f>SUM(AA17:AB17)</f>
        <v>0</v>
      </c>
      <c r="AD17" s="23">
        <v>0</v>
      </c>
      <c r="AE17" s="23">
        <f>+AD17</f>
        <v>0</v>
      </c>
      <c r="AF17" s="23">
        <f>SUM(AD17:AE17)</f>
        <v>0</v>
      </c>
      <c r="AG17" s="23">
        <f>+AE17</f>
        <v>0</v>
      </c>
      <c r="AH17" s="23">
        <f>+AG17</f>
        <v>0</v>
      </c>
      <c r="AI17" s="23">
        <f>SUM(AG17:AH17)</f>
        <v>0</v>
      </c>
      <c r="AJ17" s="23">
        <f>+AH17</f>
        <v>0</v>
      </c>
      <c r="AK17" s="23">
        <f>+AJ17</f>
        <v>0</v>
      </c>
      <c r="AL17" s="23">
        <f>SUM(AJ17:AK17)</f>
        <v>0</v>
      </c>
      <c r="AM17" s="23">
        <f>+AK17</f>
        <v>0</v>
      </c>
      <c r="AN17" s="23">
        <f>+AM17</f>
        <v>0</v>
      </c>
      <c r="AO17" s="23">
        <f>SUM(AM17:AN17)</f>
        <v>0</v>
      </c>
      <c r="AP17" s="23">
        <f>+AN17</f>
        <v>0</v>
      </c>
      <c r="AQ17" s="23">
        <f>+AP17</f>
        <v>0</v>
      </c>
      <c r="AR17" s="23">
        <f>SUM(AP17:AQ17)</f>
        <v>0</v>
      </c>
      <c r="AS17" s="23">
        <f>+AQ17</f>
        <v>0</v>
      </c>
      <c r="AT17" s="23">
        <f>+AS17</f>
        <v>0</v>
      </c>
      <c r="AU17" s="23">
        <f>SUM(AS17:AT17)</f>
        <v>0</v>
      </c>
      <c r="AV17" s="23">
        <f>+AT17</f>
        <v>0</v>
      </c>
      <c r="AW17" s="23">
        <f>+AV17</f>
        <v>0</v>
      </c>
      <c r="AX17" s="23">
        <f>SUM(AV17:AW17)</f>
        <v>0</v>
      </c>
      <c r="AY17" s="23">
        <f>+AW17</f>
        <v>0</v>
      </c>
      <c r="AZ17" s="23">
        <f>+AY17</f>
        <v>0</v>
      </c>
      <c r="BA17" s="23">
        <f>SUM(AY17:AZ17)</f>
        <v>0</v>
      </c>
      <c r="BB17" s="23">
        <f>+AZ17</f>
        <v>0</v>
      </c>
      <c r="BC17" s="23">
        <f>+BB17</f>
        <v>0</v>
      </c>
      <c r="BD17" s="23">
        <f>SUM(BB17:BC17)</f>
        <v>0</v>
      </c>
      <c r="BE17" s="23">
        <f>+BC17</f>
        <v>0</v>
      </c>
      <c r="BF17" s="23">
        <f>+BE17</f>
        <v>0</v>
      </c>
      <c r="BG17" s="23">
        <f>SUM(BE17:BF17)</f>
        <v>0</v>
      </c>
      <c r="BH17" s="23">
        <f>+BF17</f>
        <v>0</v>
      </c>
      <c r="BI17" s="23">
        <f>+BH17</f>
        <v>0</v>
      </c>
      <c r="BJ17" s="23">
        <f>SUM(BH17:BI17)</f>
        <v>0</v>
      </c>
    </row>
    <row r="18" spans="1:62" s="301" customFormat="1">
      <c r="A18" s="301" t="s">
        <v>252</v>
      </c>
      <c r="E18" s="302"/>
      <c r="F18" s="302"/>
      <c r="G18" s="302"/>
      <c r="H18" s="302"/>
      <c r="I18" s="302">
        <f>SUM(I12:I17)</f>
        <v>119.75935000000001</v>
      </c>
      <c r="J18" s="302">
        <f>SUM(J12:J17)</f>
        <v>133.07035000000002</v>
      </c>
      <c r="K18" s="302">
        <f>SUM(I18:J18)</f>
        <v>252.82970000000003</v>
      </c>
      <c r="L18" s="303">
        <f>L26-L11</f>
        <v>422.69999999999982</v>
      </c>
      <c r="M18" s="302">
        <f>SUM(M12:M17)</f>
        <v>193.98463594908179</v>
      </c>
      <c r="N18" s="302">
        <f>SUM(L18:M18)</f>
        <v>616.68463594908167</v>
      </c>
      <c r="O18" s="302">
        <f>SUM(O12:O17)</f>
        <v>574.96857404329887</v>
      </c>
      <c r="P18" s="302">
        <f>SUM(P12:P17)</f>
        <v>328.0362641434815</v>
      </c>
      <c r="Q18" s="302">
        <f>SUM(O18:P18)</f>
        <v>903.00483818678038</v>
      </c>
      <c r="R18" s="302">
        <f>SUM(R12:R17)</f>
        <v>331.88153541959628</v>
      </c>
      <c r="S18" s="302">
        <f>SUM(S12:S17)</f>
        <v>140.79409999999999</v>
      </c>
      <c r="T18" s="302">
        <f>SUM(R18:S18)</f>
        <v>472.67563541959623</v>
      </c>
      <c r="U18" s="302">
        <f>SUM(U12:U17)</f>
        <v>257.40112713046756</v>
      </c>
      <c r="V18" s="302">
        <f>SUM(V12:V17)</f>
        <v>992.52209000258188</v>
      </c>
      <c r="W18" s="302">
        <f>SUM(U18:V18)</f>
        <v>1249.9232171330495</v>
      </c>
      <c r="X18" s="302">
        <f>SUM(X12:X17)</f>
        <v>1224.0657905591336</v>
      </c>
      <c r="Y18" s="302">
        <f>SUM(Y12:Y17)</f>
        <v>1014.4042314139833</v>
      </c>
      <c r="Z18" s="302">
        <f>SUM(X18:Y18)</f>
        <v>2238.4700219731167</v>
      </c>
      <c r="AA18" s="302">
        <f>SUM(AA12:AA17)</f>
        <v>421.31130000000002</v>
      </c>
      <c r="AB18" s="302">
        <f>SUM(AB12:AB17)</f>
        <v>505.342297575629</v>
      </c>
      <c r="AC18" s="302">
        <f>SUM(AA18:AB18)</f>
        <v>926.65359757562896</v>
      </c>
      <c r="AD18" s="302">
        <f>SUM(AD12:AD17)</f>
        <v>473.63138663132588</v>
      </c>
      <c r="AE18" s="302">
        <f>SUM(AE12:AE17)</f>
        <v>908.7401271790925</v>
      </c>
      <c r="AF18" s="302">
        <f>SUM(AD18:AE18)</f>
        <v>1382.3715138104185</v>
      </c>
      <c r="AG18" s="302">
        <f>SUM(AG12:AG17)</f>
        <v>603.37200000000007</v>
      </c>
      <c r="AH18" s="302">
        <f>SUM(AH12:AH17)</f>
        <v>1049.5760215310352</v>
      </c>
      <c r="AI18" s="302">
        <f>SUM(AG18:AH18)</f>
        <v>1652.9480215310352</v>
      </c>
      <c r="AJ18" s="302">
        <f>SUM(AJ12:AJ17)</f>
        <v>1021.4213272838861</v>
      </c>
      <c r="AK18" s="302">
        <f>SUM(AK12:AK17)</f>
        <v>496.07826140909901</v>
      </c>
      <c r="AL18" s="302">
        <f>SUM(AJ18:AK18)</f>
        <v>1517.4995886929851</v>
      </c>
      <c r="AM18" s="302">
        <f>SUM(AM12:AM17)</f>
        <v>245.49584803310984</v>
      </c>
      <c r="AN18" s="302">
        <f>SUM(AN12:AN17)</f>
        <v>578.43090162648093</v>
      </c>
      <c r="AO18" s="302">
        <f>SUM(AM18:AN18)</f>
        <v>823.92674965959077</v>
      </c>
      <c r="AP18" s="302">
        <f>SUM(AP12:AP17)</f>
        <v>489.3418563609456</v>
      </c>
      <c r="AQ18" s="302">
        <f>SUM(AQ12:AQ17)</f>
        <v>779.16632855092462</v>
      </c>
      <c r="AR18" s="302">
        <f>SUM(AP18:AQ18)</f>
        <v>1268.5081849118701</v>
      </c>
      <c r="AS18" s="302">
        <f>SUM(AS12:AS17)</f>
        <v>1247.1378327632119</v>
      </c>
      <c r="AT18" s="302">
        <f>SUM(AT12:AT17)</f>
        <v>1780.4678539064043</v>
      </c>
      <c r="AU18" s="302">
        <f>SUM(AS18:AT18)</f>
        <v>3027.6056866696163</v>
      </c>
      <c r="AV18" s="302">
        <f>SUM(AV12:AV17)</f>
        <v>1906.8823200877735</v>
      </c>
      <c r="AW18" s="302">
        <f>SUM(AW12:AW17)</f>
        <v>1604.5845289870558</v>
      </c>
      <c r="AX18" s="302">
        <f>SUM(AV18:AW18)</f>
        <v>3511.466849074829</v>
      </c>
      <c r="AY18" s="302">
        <f>SUM(AY12:AY17)</f>
        <v>1462.8091796535095</v>
      </c>
      <c r="AZ18" s="302">
        <f>SUM(AZ12:AZ17)</f>
        <v>1339.0851061690814</v>
      </c>
      <c r="BA18" s="302">
        <f>SUM(AY18:AZ18)</f>
        <v>2801.894285822591</v>
      </c>
      <c r="BB18" s="302">
        <f>SUM(BB12:BB17)</f>
        <v>1346.906278428482</v>
      </c>
      <c r="BC18" s="302">
        <f>SUM(BC12:BC17)</f>
        <v>1355.0342790653019</v>
      </c>
      <c r="BD18" s="302">
        <f>SUM(BB18:BC18)</f>
        <v>2701.9405574937837</v>
      </c>
      <c r="BE18" s="302">
        <f>SUM(BE12:BE17)</f>
        <v>1363.4811451054538</v>
      </c>
      <c r="BF18" s="302">
        <f>SUM(BF12:BF17)</f>
        <v>1372.2593857932179</v>
      </c>
      <c r="BG18" s="302">
        <f>SUM(BE18:BF18)</f>
        <v>2735.7405308986718</v>
      </c>
      <c r="BH18" s="302">
        <f>SUM(BH12:BH17)</f>
        <v>1398.0798511165829</v>
      </c>
      <c r="BI18" s="302">
        <f>SUM(BI12:BI17)</f>
        <v>1407.9422010593676</v>
      </c>
      <c r="BJ18" s="302">
        <f>SUM(BH18:BI18)</f>
        <v>2806.0220521759502</v>
      </c>
    </row>
    <row r="19" spans="1:62" s="1" customFormat="1">
      <c r="J19" s="23"/>
    </row>
    <row r="20" spans="1:62" s="1" customFormat="1">
      <c r="A20" s="1" t="s">
        <v>253</v>
      </c>
      <c r="E20" s="23"/>
      <c r="F20" s="23"/>
      <c r="G20" s="23"/>
      <c r="H20" s="23"/>
      <c r="I20" s="23">
        <v>0</v>
      </c>
      <c r="J20" s="23">
        <v>0</v>
      </c>
      <c r="K20" s="23">
        <v>0</v>
      </c>
      <c r="L20" s="23">
        <v>0</v>
      </c>
      <c r="M20" s="23">
        <v>0</v>
      </c>
      <c r="N20" s="23">
        <f>+M20+L20</f>
        <v>0</v>
      </c>
      <c r="O20" s="23">
        <v>0</v>
      </c>
      <c r="P20" s="23">
        <v>500</v>
      </c>
      <c r="Q20" s="23">
        <f>+P20+O20</f>
        <v>500</v>
      </c>
      <c r="R20" s="23">
        <v>0</v>
      </c>
      <c r="S20" s="23">
        <v>0</v>
      </c>
      <c r="T20" s="23">
        <v>0</v>
      </c>
      <c r="U20" s="23">
        <v>200</v>
      </c>
      <c r="V20" s="23">
        <v>75</v>
      </c>
      <c r="W20" s="23">
        <v>275</v>
      </c>
      <c r="X20" s="23">
        <v>0</v>
      </c>
      <c r="Y20" s="23">
        <v>200</v>
      </c>
      <c r="Z20" s="23">
        <v>200</v>
      </c>
      <c r="AA20" s="23">
        <v>100</v>
      </c>
      <c r="AB20" s="23">
        <v>0</v>
      </c>
      <c r="AC20" s="23">
        <v>100</v>
      </c>
      <c r="AD20" s="23">
        <v>0</v>
      </c>
      <c r="AE20" s="23">
        <v>0</v>
      </c>
      <c r="AF20" s="23">
        <v>0</v>
      </c>
      <c r="AG20" s="23">
        <v>0</v>
      </c>
      <c r="AH20" s="23">
        <v>50</v>
      </c>
      <c r="AI20" s="23">
        <v>0</v>
      </c>
      <c r="AJ20" s="23">
        <v>300</v>
      </c>
      <c r="AK20" s="23">
        <v>100</v>
      </c>
      <c r="AL20" s="23">
        <v>0</v>
      </c>
      <c r="AM20" s="23">
        <v>0</v>
      </c>
      <c r="AN20" s="23">
        <v>0</v>
      </c>
      <c r="AO20" s="23">
        <v>0</v>
      </c>
      <c r="AP20" s="23">
        <v>0</v>
      </c>
      <c r="AQ20" s="23">
        <v>0</v>
      </c>
      <c r="AR20" s="23">
        <v>0</v>
      </c>
      <c r="AS20" s="23">
        <v>0</v>
      </c>
      <c r="AT20" s="23">
        <v>0</v>
      </c>
      <c r="AU20" s="23">
        <v>0</v>
      </c>
      <c r="AV20" s="23">
        <v>0</v>
      </c>
      <c r="AW20" s="23">
        <v>0</v>
      </c>
      <c r="AX20" s="23">
        <v>0</v>
      </c>
      <c r="AY20" s="23">
        <v>0</v>
      </c>
      <c r="AZ20" s="23">
        <v>0</v>
      </c>
      <c r="BA20" s="23">
        <v>0</v>
      </c>
      <c r="BB20" s="23">
        <v>0</v>
      </c>
      <c r="BC20" s="23">
        <v>0</v>
      </c>
      <c r="BD20" s="23">
        <v>0</v>
      </c>
      <c r="BE20" s="23">
        <v>0</v>
      </c>
      <c r="BF20" s="23">
        <v>0</v>
      </c>
      <c r="BG20" s="23">
        <v>0</v>
      </c>
      <c r="BH20" s="23">
        <v>0</v>
      </c>
      <c r="BI20" s="23">
        <v>0</v>
      </c>
      <c r="BJ20" s="23">
        <v>0</v>
      </c>
    </row>
    <row r="21" spans="1:62" s="1" customFormat="1">
      <c r="A21" s="1" t="s">
        <v>254</v>
      </c>
      <c r="E21" s="21"/>
      <c r="F21" s="21"/>
      <c r="G21" s="21"/>
      <c r="H21" s="21"/>
      <c r="I21" s="21">
        <f>Group!AB167</f>
        <v>0</v>
      </c>
      <c r="J21" s="21">
        <f>Group!AC167</f>
        <v>0</v>
      </c>
      <c r="K21" s="21">
        <f>SUM(I21:J21)</f>
        <v>0</v>
      </c>
      <c r="L21" s="21">
        <f>Group!AE167</f>
        <v>0</v>
      </c>
      <c r="M21" s="21">
        <f>Group!AF167</f>
        <v>0</v>
      </c>
      <c r="N21" s="21">
        <f>SUM(L21:M21)</f>
        <v>0</v>
      </c>
      <c r="O21" s="21">
        <f>Group!AH167</f>
        <v>0</v>
      </c>
      <c r="P21" s="21">
        <f>Group!AI167</f>
        <v>0</v>
      </c>
      <c r="Q21" s="21">
        <f>SUM(O21:P21)</f>
        <v>0</v>
      </c>
      <c r="R21" s="21">
        <f>Group!AK167</f>
        <v>0</v>
      </c>
      <c r="S21" s="21">
        <f>Group!AL167</f>
        <v>0</v>
      </c>
      <c r="T21" s="21">
        <f>SUM(R21:S21)</f>
        <v>0</v>
      </c>
      <c r="U21" s="21">
        <f>Group!AN167</f>
        <v>0</v>
      </c>
      <c r="V21" s="21">
        <f>Group!AO167</f>
        <v>0</v>
      </c>
      <c r="W21" s="21">
        <f>SUM(U21:V21)</f>
        <v>0</v>
      </c>
      <c r="X21" s="21">
        <f>Group!AQ167</f>
        <v>0</v>
      </c>
      <c r="Y21" s="21">
        <f>Group!AR167</f>
        <v>0</v>
      </c>
      <c r="Z21" s="21">
        <f>SUM(X21:Y21)</f>
        <v>0</v>
      </c>
      <c r="AA21" s="21">
        <f>Group!AT167</f>
        <v>0</v>
      </c>
      <c r="AB21" s="21">
        <f>Group!AU167</f>
        <v>0</v>
      </c>
      <c r="AC21" s="21">
        <f>SUM(AA21:AB21)</f>
        <v>0</v>
      </c>
      <c r="AD21" s="21">
        <f>Group!AW167</f>
        <v>0</v>
      </c>
      <c r="AE21" s="21">
        <f>Group!AX167</f>
        <v>0</v>
      </c>
      <c r="AF21" s="21">
        <f>SUM(AD21:AE21)</f>
        <v>0</v>
      </c>
      <c r="AG21" s="21">
        <f>Group!AZ167</f>
        <v>0</v>
      </c>
      <c r="AH21" s="21">
        <f>Group!BA167</f>
        <v>0</v>
      </c>
      <c r="AI21" s="21">
        <f>SUM(AG21:AH21)</f>
        <v>0</v>
      </c>
      <c r="AJ21" s="21">
        <f>Group!BC167</f>
        <v>0</v>
      </c>
      <c r="AK21" s="21">
        <f>Group!BD167</f>
        <v>0</v>
      </c>
      <c r="AL21" s="21">
        <f>SUM(AJ21:AK21)</f>
        <v>0</v>
      </c>
      <c r="AM21" s="21">
        <f>Group!BF167</f>
        <v>0</v>
      </c>
      <c r="AN21" s="21">
        <f>Group!BG167</f>
        <v>0</v>
      </c>
      <c r="AO21" s="21">
        <f>SUM(AM21:AN21)</f>
        <v>0</v>
      </c>
      <c r="AP21" s="21">
        <f>Group!BI167</f>
        <v>0</v>
      </c>
      <c r="AQ21" s="21">
        <f>Group!BJ167</f>
        <v>4000</v>
      </c>
      <c r="AR21" s="21">
        <f>SUM(AP21:AQ21)</f>
        <v>4000</v>
      </c>
      <c r="AS21" s="21">
        <f>Group!BL167</f>
        <v>0</v>
      </c>
      <c r="AT21" s="21">
        <f>Group!BM167</f>
        <v>0</v>
      </c>
      <c r="AU21" s="21">
        <f>SUM(AS21:AT21)</f>
        <v>0</v>
      </c>
      <c r="AV21" s="21">
        <f>Group!BO167</f>
        <v>0</v>
      </c>
      <c r="AW21" s="21">
        <f>Group!BP167</f>
        <v>0</v>
      </c>
      <c r="AX21" s="21">
        <f>SUM(AV21:AW21)</f>
        <v>0</v>
      </c>
      <c r="AY21" s="21">
        <f>Group!CD167</f>
        <v>0</v>
      </c>
      <c r="AZ21" s="21">
        <f>Group!CE167</f>
        <v>0</v>
      </c>
      <c r="BA21" s="21">
        <f>SUM(AY21:AZ21)</f>
        <v>0</v>
      </c>
      <c r="BB21" s="21">
        <f>Group!CG167</f>
        <v>0</v>
      </c>
      <c r="BC21" s="21">
        <f>Group!CH167</f>
        <v>0</v>
      </c>
      <c r="BD21" s="21">
        <f>SUM(BB21:BC21)</f>
        <v>0</v>
      </c>
      <c r="BE21" s="21">
        <f>Group!CJ167</f>
        <v>0</v>
      </c>
      <c r="BF21" s="21">
        <f>Group!CK167</f>
        <v>0</v>
      </c>
      <c r="BG21" s="21">
        <f>SUM(BE21:BF21)</f>
        <v>0</v>
      </c>
      <c r="BH21" s="21">
        <f>Group!CM167</f>
        <v>0</v>
      </c>
      <c r="BI21" s="21">
        <f>Group!CN167</f>
        <v>0</v>
      </c>
      <c r="BJ21" s="21">
        <f>SUM(BH21:BI21)</f>
        <v>0</v>
      </c>
    </row>
    <row r="22" spans="1:62" s="1" customFormat="1">
      <c r="A22" s="1" t="s">
        <v>255</v>
      </c>
      <c r="E22" s="23"/>
      <c r="F22" s="23"/>
      <c r="G22" s="23"/>
      <c r="H22" s="23"/>
      <c r="I22" s="23"/>
      <c r="J22" s="23">
        <f>SUM(J12:J14)</f>
        <v>133.07035000000002</v>
      </c>
      <c r="K22" s="23">
        <f>SUM(I22:J22)</f>
        <v>133.07035000000002</v>
      </c>
      <c r="L22" s="23">
        <f>SUM(L12:L14)</f>
        <v>74.572400000000002</v>
      </c>
      <c r="M22" s="23">
        <f>SUM(M12:M14)</f>
        <v>74.774950000000004</v>
      </c>
      <c r="N22" s="23">
        <f>SUM(L22:M22)</f>
        <v>149.34735000000001</v>
      </c>
      <c r="O22" s="23">
        <f>SUM(O12:O14)</f>
        <v>74.901150000000001</v>
      </c>
      <c r="P22" s="23">
        <f>SUM(P12:P14)</f>
        <v>89.083699999999993</v>
      </c>
      <c r="Q22" s="23">
        <f>SUM(O22:P22)</f>
        <v>163.98484999999999</v>
      </c>
      <c r="R22" s="23">
        <f>SUM(R12:R16)</f>
        <v>331.88153541959628</v>
      </c>
      <c r="S22" s="23">
        <f>SUM(S12:S16)</f>
        <v>140.79409999999999</v>
      </c>
      <c r="T22" s="23">
        <f>SUM(T12:T16)</f>
        <v>472.67563541959623</v>
      </c>
      <c r="U22" s="23">
        <f>SUM(U12:U17)</f>
        <v>257.40112713046756</v>
      </c>
      <c r="V22" s="23">
        <f>SUM(V12:V17)-30</f>
        <v>962.52209000258188</v>
      </c>
      <c r="W22" s="23">
        <f>SUM(U22:V22)</f>
        <v>1219.9232171330495</v>
      </c>
      <c r="X22" s="23">
        <f>SUM(X12:X14)</f>
        <v>266.43829999999997</v>
      </c>
      <c r="Y22" s="23">
        <f>SUM(Y12:Y14)</f>
        <v>301.43580000000003</v>
      </c>
      <c r="Z22" s="23">
        <f>SUM(X22:Y22)</f>
        <v>567.8741</v>
      </c>
      <c r="AA22" s="23">
        <f>SUM(AA12:AA14)</f>
        <v>301.31130000000002</v>
      </c>
      <c r="AB22" s="23">
        <f>SUM(AB12:AB14)</f>
        <v>323.14339999999999</v>
      </c>
      <c r="AC22" s="23">
        <f>SUM(AA22:AB22)</f>
        <v>624.4547</v>
      </c>
      <c r="AD22" s="23">
        <f>SUM(AD12:AD14)</f>
        <v>434.89060000000001</v>
      </c>
      <c r="AE22" s="23">
        <f>SUM(AE12:AE14)</f>
        <v>470.00989999999996</v>
      </c>
      <c r="AF22" s="23">
        <f>SUM(AD22:AE22)</f>
        <v>904.90049999999997</v>
      </c>
      <c r="AG22" s="23">
        <f>SUM(AG12:AG14)</f>
        <v>603.37200000000007</v>
      </c>
      <c r="AH22" s="23">
        <v>250</v>
      </c>
      <c r="AI22" s="23">
        <f>SUM(AG22:AH22)</f>
        <v>853.37200000000007</v>
      </c>
      <c r="AJ22" s="23">
        <f>SUM(AJ12:AJ14)</f>
        <v>434.72085000000004</v>
      </c>
      <c r="AK22" s="23">
        <f>SUM(AK12:AK14)</f>
        <v>428.32605000000001</v>
      </c>
      <c r="AL22" s="23">
        <f>SUM(AJ22:AK22)</f>
        <v>863.04690000000005</v>
      </c>
      <c r="AM22" s="23">
        <f>SUM(AM12:AM14)</f>
        <v>386.56320000000005</v>
      </c>
      <c r="AN22" s="23">
        <f>SUM(AN12:AN14)</f>
        <v>372.73440000000005</v>
      </c>
      <c r="AO22" s="23">
        <f>SUM(AM22:AN22)</f>
        <v>759.2976000000001</v>
      </c>
      <c r="AP22" s="23">
        <f>SUM(AP12:AP14)</f>
        <v>202.94095000000002</v>
      </c>
      <c r="AQ22" s="23">
        <f>SUM(AQ12:AQ14)</f>
        <v>719.34589999999992</v>
      </c>
      <c r="AR22" s="23">
        <f>SUM(AP22:AQ22)</f>
        <v>922.28684999999996</v>
      </c>
      <c r="AS22" s="23">
        <f>SUM(AS12:AS14)</f>
        <v>1157.4077500000001</v>
      </c>
      <c r="AT22" s="23">
        <f>SUM(AT12:AT14)</f>
        <v>1609.5447904609803</v>
      </c>
      <c r="AU22" s="23">
        <f>SUM(AS22:AT22)</f>
        <v>2766.9525404609803</v>
      </c>
      <c r="AV22" s="23">
        <f>SUM(AV12:AV14)</f>
        <v>1767.411974356992</v>
      </c>
      <c r="AW22" s="23">
        <f>SUM(AW12:AW14)</f>
        <v>1417.76717549966</v>
      </c>
      <c r="AX22" s="23">
        <f>SUM(AV22:AW22)</f>
        <v>3185.1791498566517</v>
      </c>
      <c r="AY22" s="23">
        <f>SUM(AY12:AY14)</f>
        <v>1268.75</v>
      </c>
      <c r="AZ22" s="23">
        <f>SUM(AZ12:AZ14)</f>
        <v>1137.5</v>
      </c>
      <c r="BA22" s="23">
        <f>SUM(AY22:AZ22)</f>
        <v>2406.25</v>
      </c>
      <c r="BB22" s="23">
        <f>SUM(BB12:BB14)</f>
        <v>1137.5</v>
      </c>
      <c r="BC22" s="23">
        <f>SUM(BC12:BC14)</f>
        <v>1137.5</v>
      </c>
      <c r="BD22" s="23">
        <f>SUM(BB22:BC22)</f>
        <v>2275</v>
      </c>
      <c r="BE22" s="23">
        <f>SUM(BE12:BE14)</f>
        <v>1137.5</v>
      </c>
      <c r="BF22" s="23">
        <f>SUM(BF12:BF14)</f>
        <v>1137.5</v>
      </c>
      <c r="BG22" s="23">
        <f>SUM(BE22:BF22)</f>
        <v>2275</v>
      </c>
      <c r="BH22" s="23">
        <f>SUM(BH12:BH14)</f>
        <v>1154.19785</v>
      </c>
      <c r="BI22" s="23">
        <f>SUM(BI12:BI14)</f>
        <v>1154.5797</v>
      </c>
      <c r="BJ22" s="23">
        <f>SUM(BH22:BI22)</f>
        <v>2308.7775499999998</v>
      </c>
    </row>
    <row r="23" spans="1:62" s="1" customFormat="1">
      <c r="A23" s="1" t="s">
        <v>256</v>
      </c>
      <c r="E23" s="23"/>
      <c r="F23" s="304"/>
      <c r="G23" s="23"/>
      <c r="H23" s="23"/>
      <c r="I23" s="23"/>
      <c r="J23" s="23"/>
      <c r="K23" s="23"/>
      <c r="L23" s="23">
        <v>0</v>
      </c>
      <c r="M23" s="23">
        <v>0</v>
      </c>
      <c r="N23" s="23">
        <v>0</v>
      </c>
      <c r="O23" s="23">
        <v>0</v>
      </c>
      <c r="P23" s="23">
        <v>0</v>
      </c>
      <c r="Q23" s="23">
        <f>+P23+O23</f>
        <v>0</v>
      </c>
      <c r="R23" s="23">
        <v>0</v>
      </c>
      <c r="S23" s="23">
        <v>0</v>
      </c>
      <c r="T23" s="23">
        <f>+S23+R23</f>
        <v>0</v>
      </c>
      <c r="U23" s="23">
        <v>0</v>
      </c>
      <c r="V23" s="23">
        <v>0</v>
      </c>
      <c r="W23" s="23">
        <v>0</v>
      </c>
      <c r="X23" s="23">
        <v>300</v>
      </c>
      <c r="Y23" s="23">
        <v>100</v>
      </c>
      <c r="Z23" s="23">
        <f>SUM(X23:Y23)</f>
        <v>400</v>
      </c>
      <c r="AA23" s="23">
        <v>100</v>
      </c>
      <c r="AB23" s="23">
        <v>100</v>
      </c>
      <c r="AC23" s="23">
        <f>SUM(AA23:AB23)</f>
        <v>200</v>
      </c>
      <c r="AD23" s="23">
        <v>1100</v>
      </c>
      <c r="AE23" s="23">
        <v>0</v>
      </c>
      <c r="AF23" s="23">
        <v>0</v>
      </c>
      <c r="AG23" s="23">
        <v>0</v>
      </c>
      <c r="AH23" s="23">
        <v>0</v>
      </c>
      <c r="AI23" s="23">
        <v>0</v>
      </c>
      <c r="AJ23" s="23">
        <v>0</v>
      </c>
      <c r="AK23" s="23">
        <v>0</v>
      </c>
      <c r="AL23" s="23">
        <v>0</v>
      </c>
      <c r="AM23" s="23">
        <v>0</v>
      </c>
      <c r="AN23" s="23">
        <v>0</v>
      </c>
      <c r="AO23" s="23">
        <v>0</v>
      </c>
      <c r="AP23" s="23">
        <v>0</v>
      </c>
      <c r="AQ23" s="23">
        <v>0</v>
      </c>
      <c r="AR23" s="23">
        <v>0</v>
      </c>
      <c r="AS23" s="23">
        <v>1200</v>
      </c>
      <c r="AT23" s="23">
        <v>0</v>
      </c>
      <c r="AU23" s="23">
        <v>0</v>
      </c>
      <c r="AV23" s="23">
        <v>0</v>
      </c>
      <c r="AW23" s="23">
        <v>0</v>
      </c>
      <c r="AX23" s="23">
        <v>0</v>
      </c>
      <c r="AY23" s="23">
        <v>0</v>
      </c>
      <c r="AZ23" s="23">
        <v>0</v>
      </c>
      <c r="BA23" s="23">
        <v>0</v>
      </c>
      <c r="BB23" s="23">
        <v>0</v>
      </c>
      <c r="BC23" s="23">
        <v>0</v>
      </c>
      <c r="BD23" s="23">
        <v>0</v>
      </c>
      <c r="BE23" s="23">
        <v>0</v>
      </c>
      <c r="BF23" s="23">
        <v>0</v>
      </c>
      <c r="BG23" s="23">
        <v>0</v>
      </c>
      <c r="BH23" s="23">
        <v>0</v>
      </c>
      <c r="BI23" s="23">
        <v>0</v>
      </c>
      <c r="BJ23" s="23">
        <v>0</v>
      </c>
    </row>
    <row r="24" spans="1:62" s="301" customFormat="1">
      <c r="A24" s="301" t="s">
        <v>257</v>
      </c>
      <c r="E24" s="302"/>
      <c r="F24" s="302"/>
      <c r="G24" s="302"/>
      <c r="H24" s="302"/>
      <c r="I24" s="302">
        <f>SUM(I20:I23)</f>
        <v>0</v>
      </c>
      <c r="J24" s="302">
        <f>SUM(J20:J23)-J21</f>
        <v>133.07035000000002</v>
      </c>
      <c r="K24" s="302">
        <f t="shared" ref="K24:AC24" si="16">SUM(K20:K23)-K21</f>
        <v>133.07035000000002</v>
      </c>
      <c r="L24" s="302">
        <v>0</v>
      </c>
      <c r="M24" s="302">
        <f t="shared" si="16"/>
        <v>74.774950000000004</v>
      </c>
      <c r="N24" s="302">
        <f t="shared" si="16"/>
        <v>149.34735000000001</v>
      </c>
      <c r="O24" s="302">
        <f t="shared" si="16"/>
        <v>74.901150000000001</v>
      </c>
      <c r="P24" s="302">
        <f t="shared" si="16"/>
        <v>589.08370000000002</v>
      </c>
      <c r="Q24" s="302">
        <f t="shared" si="16"/>
        <v>663.98485000000005</v>
      </c>
      <c r="R24" s="302">
        <f t="shared" si="16"/>
        <v>331.88153541959628</v>
      </c>
      <c r="S24" s="302">
        <f t="shared" si="16"/>
        <v>140.79409999999999</v>
      </c>
      <c r="T24" s="302">
        <f t="shared" si="16"/>
        <v>472.67563541959623</v>
      </c>
      <c r="U24" s="302">
        <f>SUM(U20:U23)-U21</f>
        <v>457.40112713046756</v>
      </c>
      <c r="V24" s="302">
        <f t="shared" si="16"/>
        <v>1037.522090002582</v>
      </c>
      <c r="W24" s="302">
        <f t="shared" si="16"/>
        <v>1494.9232171330495</v>
      </c>
      <c r="X24" s="302">
        <f t="shared" si="16"/>
        <v>566.43830000000003</v>
      </c>
      <c r="Y24" s="302">
        <f t="shared" si="16"/>
        <v>601.43579999999997</v>
      </c>
      <c r="Z24" s="302">
        <f t="shared" si="16"/>
        <v>1167.8741</v>
      </c>
      <c r="AA24" s="302">
        <f t="shared" si="16"/>
        <v>501.31130000000002</v>
      </c>
      <c r="AB24" s="302">
        <f t="shared" si="16"/>
        <v>423.14339999999999</v>
      </c>
      <c r="AC24" s="302">
        <f t="shared" si="16"/>
        <v>924.4547</v>
      </c>
      <c r="AD24" s="302">
        <f t="shared" ref="AD24:AI24" si="17">SUM(AD20:AD23)-AD21</f>
        <v>1534.8905999999999</v>
      </c>
      <c r="AE24" s="302">
        <f t="shared" si="17"/>
        <v>470.00989999999996</v>
      </c>
      <c r="AF24" s="302">
        <f t="shared" si="17"/>
        <v>904.90049999999997</v>
      </c>
      <c r="AG24" s="302">
        <f t="shared" si="17"/>
        <v>603.37200000000007</v>
      </c>
      <c r="AH24" s="302">
        <f t="shared" si="17"/>
        <v>300</v>
      </c>
      <c r="AI24" s="302">
        <f t="shared" si="17"/>
        <v>853.37200000000007</v>
      </c>
      <c r="AJ24" s="302">
        <f t="shared" ref="AJ24:AL24" si="18">SUM(AJ20:AJ23)-AJ21</f>
        <v>734.72085000000004</v>
      </c>
      <c r="AK24" s="302">
        <f t="shared" si="18"/>
        <v>528.32605000000001</v>
      </c>
      <c r="AL24" s="302">
        <f t="shared" si="18"/>
        <v>863.04690000000005</v>
      </c>
      <c r="AM24" s="302">
        <f t="shared" ref="AM24:AR24" si="19">SUM(AM20:AM23)-AM21</f>
        <v>386.56320000000005</v>
      </c>
      <c r="AN24" s="302">
        <f t="shared" si="19"/>
        <v>372.73440000000005</v>
      </c>
      <c r="AO24" s="302">
        <f t="shared" si="19"/>
        <v>759.2976000000001</v>
      </c>
      <c r="AP24" s="302">
        <f t="shared" si="19"/>
        <v>202.94095000000002</v>
      </c>
      <c r="AQ24" s="302">
        <f>SUM(AQ20:AQ23)-AQ21*0.5</f>
        <v>2719.3459000000003</v>
      </c>
      <c r="AR24" s="302">
        <f t="shared" si="19"/>
        <v>922.28685000000041</v>
      </c>
      <c r="AS24" s="302">
        <f t="shared" ref="AS24:AU24" si="20">SUM(AS20:AS23)-AS21</f>
        <v>2357.4077500000003</v>
      </c>
      <c r="AT24" s="302">
        <f t="shared" si="20"/>
        <v>1609.5447904609803</v>
      </c>
      <c r="AU24" s="302">
        <f t="shared" si="20"/>
        <v>2766.9525404609803</v>
      </c>
      <c r="AV24" s="302">
        <f t="shared" ref="AV24:AX24" si="21">SUM(AV20:AV23)-AV21</f>
        <v>1767.411974356992</v>
      </c>
      <c r="AW24" s="302">
        <f t="shared" si="21"/>
        <v>1417.76717549966</v>
      </c>
      <c r="AX24" s="302">
        <f t="shared" si="21"/>
        <v>3185.1791498566517</v>
      </c>
      <c r="AY24" s="302">
        <f t="shared" ref="AY24:BA24" si="22">SUM(AY20:AY23)-AY21</f>
        <v>1268.75</v>
      </c>
      <c r="AZ24" s="302">
        <f t="shared" si="22"/>
        <v>1137.5</v>
      </c>
      <c r="BA24" s="302">
        <f t="shared" si="22"/>
        <v>2406.25</v>
      </c>
      <c r="BB24" s="302">
        <f t="shared" ref="BB24:BG24" si="23">SUM(BB20:BB23)-BB21</f>
        <v>1137.5</v>
      </c>
      <c r="BC24" s="302">
        <f t="shared" si="23"/>
        <v>1137.5</v>
      </c>
      <c r="BD24" s="302">
        <f t="shared" si="23"/>
        <v>2275</v>
      </c>
      <c r="BE24" s="302">
        <f t="shared" si="23"/>
        <v>1137.5</v>
      </c>
      <c r="BF24" s="302">
        <f t="shared" si="23"/>
        <v>1137.5</v>
      </c>
      <c r="BG24" s="302">
        <f t="shared" si="23"/>
        <v>2275</v>
      </c>
      <c r="BH24" s="302">
        <f t="shared" ref="BH24:BJ24" si="24">SUM(BH20:BH23)-BH21</f>
        <v>1154.19785</v>
      </c>
      <c r="BI24" s="302">
        <f t="shared" si="24"/>
        <v>1154.5797</v>
      </c>
      <c r="BJ24" s="302">
        <f t="shared" si="24"/>
        <v>2308.7775499999998</v>
      </c>
    </row>
    <row r="25" spans="1:62" s="1" customFormat="1">
      <c r="J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</row>
    <row r="26" spans="1:62" s="301" customFormat="1">
      <c r="A26" s="301" t="s">
        <v>258</v>
      </c>
      <c r="D26" s="302"/>
      <c r="E26" s="302"/>
      <c r="F26" s="302"/>
      <c r="G26" s="302"/>
      <c r="H26" s="302"/>
      <c r="I26" s="302">
        <f>Group!AB116+Group!AB121</f>
        <v>2309.6</v>
      </c>
      <c r="J26" s="302">
        <v>2160.5</v>
      </c>
      <c r="K26" s="302">
        <v>2160.5</v>
      </c>
      <c r="L26" s="303">
        <v>2583.1999999999998</v>
      </c>
      <c r="M26" s="303">
        <v>2867</v>
      </c>
      <c r="N26" s="302">
        <f t="shared" ref="N26:AR26" si="25">+N11+N18-N24</f>
        <v>2627.8372859490819</v>
      </c>
      <c r="O26" s="303">
        <v>2848.8</v>
      </c>
      <c r="P26" s="302">
        <v>2865.2</v>
      </c>
      <c r="Q26" s="302">
        <f>P26</f>
        <v>2865.2</v>
      </c>
      <c r="R26" s="302">
        <f>Group!AK116+Group!AK121</f>
        <v>2902.9</v>
      </c>
      <c r="S26" s="302">
        <f>Group!AL116+Group!AL121</f>
        <v>2878.3</v>
      </c>
      <c r="T26" s="302">
        <f>S26</f>
        <v>2878.3</v>
      </c>
      <c r="U26" s="302">
        <f>Group!AN116+Group!AN121</f>
        <v>3130.6000000000004</v>
      </c>
      <c r="V26" s="302">
        <f>Group!AO116+Group!AO121</f>
        <v>3081.5</v>
      </c>
      <c r="W26" s="302">
        <f>V26</f>
        <v>3081.5</v>
      </c>
      <c r="X26" s="302">
        <f t="shared" si="25"/>
        <v>3739.1274905591335</v>
      </c>
      <c r="Y26" s="303">
        <v>2975</v>
      </c>
      <c r="Z26" s="302">
        <f>Y26</f>
        <v>2975</v>
      </c>
      <c r="AA26" s="302">
        <f>Group!AT121</f>
        <v>2839.2</v>
      </c>
      <c r="AB26" s="302">
        <f>Group!AU116+Group!AU121</f>
        <v>2938.5</v>
      </c>
      <c r="AC26" s="302">
        <f>AB26</f>
        <v>2938.5</v>
      </c>
      <c r="AD26" s="302">
        <f>Group!AW116+Group!AW121</f>
        <v>2043.8</v>
      </c>
      <c r="AE26" s="302">
        <f>Group!AX116+Group!AX121</f>
        <v>2060.3000000000002</v>
      </c>
      <c r="AF26" s="302">
        <f t="shared" si="25"/>
        <v>3415.9710138104183</v>
      </c>
      <c r="AG26" s="302">
        <f>Group!AZ116+Group!AZ121</f>
        <v>2087.6999999999998</v>
      </c>
      <c r="AH26" s="302">
        <f>Group!BA116+Group!BA121</f>
        <v>2832.2000000000003</v>
      </c>
      <c r="AI26" s="302">
        <f>AH26</f>
        <v>2832.2000000000003</v>
      </c>
      <c r="AJ26" s="302">
        <f>Group!BC116+Group!BC121</f>
        <v>3173.9</v>
      </c>
      <c r="AK26" s="302">
        <f>Group!BD116+Group!BD121</f>
        <v>3292.9</v>
      </c>
      <c r="AL26" s="302">
        <f>Group!BE116+Group!BE121</f>
        <v>3292.9</v>
      </c>
      <c r="AM26" s="302">
        <f>Group!BF116+Group!BF121</f>
        <v>3212.4</v>
      </c>
      <c r="AN26" s="302">
        <f t="shared" si="25"/>
        <v>3418.0965016264809</v>
      </c>
      <c r="AO26" s="302">
        <f t="shared" si="25"/>
        <v>3357.529149659591</v>
      </c>
      <c r="AP26" s="302">
        <f>Group!BI116+Group!BI121</f>
        <v>5862.7999999999993</v>
      </c>
      <c r="AQ26" s="302">
        <f>Group!BJ116+Group!BJ121</f>
        <v>5235.5</v>
      </c>
      <c r="AR26" s="302">
        <f t="shared" si="25"/>
        <v>3764.3178365383501</v>
      </c>
      <c r="AS26" s="302">
        <f>Group!BL116+Group!BL121</f>
        <v>4126.3</v>
      </c>
      <c r="AT26" s="302">
        <f t="shared" ref="AT26:AU26" si="26">+AT11+AT18-AT24</f>
        <v>4297.2230634454245</v>
      </c>
      <c r="AU26" s="302">
        <f t="shared" si="26"/>
        <v>5496.1531462086359</v>
      </c>
      <c r="AV26" s="302">
        <f t="shared" ref="AV26:AX26" si="27">+AV11+AV18-AV24</f>
        <v>4436.6934091762059</v>
      </c>
      <c r="AW26" s="302">
        <f t="shared" si="27"/>
        <v>4623.5107626636018</v>
      </c>
      <c r="AX26" s="302">
        <f t="shared" si="27"/>
        <v>4623.5107626636018</v>
      </c>
      <c r="AY26" s="302">
        <f t="shared" ref="AY26:BA26" si="28">+AY11+AY18-AY24</f>
        <v>4817.5699423171118</v>
      </c>
      <c r="AZ26" s="302">
        <f t="shared" si="28"/>
        <v>5019.1550484861928</v>
      </c>
      <c r="BA26" s="302">
        <f t="shared" si="28"/>
        <v>5019.1550484861928</v>
      </c>
      <c r="BB26" s="302">
        <f t="shared" ref="BB26:BG26" si="29">+BB11+BB18-BB24</f>
        <v>5228.5613269146743</v>
      </c>
      <c r="BC26" s="302">
        <f t="shared" si="29"/>
        <v>5446.0956059799764</v>
      </c>
      <c r="BD26" s="302">
        <f t="shared" si="29"/>
        <v>5446.0956059799764</v>
      </c>
      <c r="BE26" s="302">
        <f t="shared" si="29"/>
        <v>5672.0767510854303</v>
      </c>
      <c r="BF26" s="302">
        <f t="shared" si="29"/>
        <v>5906.8361368786482</v>
      </c>
      <c r="BG26" s="302">
        <f t="shared" si="29"/>
        <v>5906.8361368786482</v>
      </c>
      <c r="BH26" s="302">
        <f t="shared" ref="BH26:BJ26" si="30">+BH11+BH18-BH24</f>
        <v>6150.7181379952308</v>
      </c>
      <c r="BI26" s="302">
        <f t="shared" si="30"/>
        <v>6404.0806390545986</v>
      </c>
      <c r="BJ26" s="302">
        <f t="shared" si="30"/>
        <v>6404.0806390545977</v>
      </c>
    </row>
    <row r="27" spans="1:62" s="1" customFormat="1">
      <c r="I27" s="23"/>
    </row>
    <row r="28" spans="1:62" s="37" customFormat="1">
      <c r="A28" s="37" t="s">
        <v>259</v>
      </c>
    </row>
    <row r="29" spans="1:62" s="1" customFormat="1">
      <c r="G29" s="23"/>
      <c r="H29" s="305"/>
    </row>
    <row r="30" spans="1:62" s="1" customFormat="1">
      <c r="A30" s="48" t="s">
        <v>260</v>
      </c>
    </row>
    <row r="31" spans="1:62" s="1" customFormat="1">
      <c r="A31" s="1" t="s">
        <v>261</v>
      </c>
      <c r="F31" s="23"/>
      <c r="G31" s="23"/>
      <c r="H31" s="23"/>
      <c r="I31" s="23">
        <f>+J31</f>
        <v>1685.19</v>
      </c>
      <c r="J31" s="56">
        <f>J26*0.78</f>
        <v>1685.19</v>
      </c>
      <c r="K31" s="56">
        <f>J31</f>
        <v>1685.19</v>
      </c>
      <c r="L31" s="56">
        <f>0.85*2583.2</f>
        <v>2195.7199999999998</v>
      </c>
      <c r="M31" s="56">
        <v>2500</v>
      </c>
      <c r="N31" s="56">
        <f>M31</f>
        <v>2500</v>
      </c>
      <c r="O31" s="56">
        <f>O26*0.94</f>
        <v>2677.8719999999998</v>
      </c>
      <c r="P31" s="56">
        <f>MIN(O31,P26)</f>
        <v>2677.8719999999998</v>
      </c>
      <c r="Q31" s="56">
        <f>P31</f>
        <v>2677.8719999999998</v>
      </c>
      <c r="R31" s="56">
        <f>R26*0.88</f>
        <v>2554.5520000000001</v>
      </c>
      <c r="S31" s="56">
        <f>S26*0.88</f>
        <v>2532.904</v>
      </c>
      <c r="T31" s="56">
        <f>S31</f>
        <v>2532.904</v>
      </c>
      <c r="U31" s="56">
        <v>2400</v>
      </c>
      <c r="V31" s="56">
        <f>U31</f>
        <v>2400</v>
      </c>
      <c r="W31" s="56">
        <f>V31</f>
        <v>2400</v>
      </c>
      <c r="X31" s="306">
        <v>2100</v>
      </c>
      <c r="Y31" s="56">
        <f>X31</f>
        <v>2100</v>
      </c>
      <c r="Z31" s="56">
        <f>Y31</f>
        <v>2100</v>
      </c>
      <c r="AA31" s="56">
        <v>1900</v>
      </c>
      <c r="AB31" s="56">
        <f>AA31</f>
        <v>1900</v>
      </c>
      <c r="AC31" s="56">
        <f>AB31</f>
        <v>1900</v>
      </c>
      <c r="AD31" s="56">
        <v>1500</v>
      </c>
      <c r="AE31" s="56">
        <f>AD31</f>
        <v>1500</v>
      </c>
      <c r="AF31" s="56">
        <f>AE31</f>
        <v>1500</v>
      </c>
      <c r="AG31" s="56">
        <v>750</v>
      </c>
      <c r="AH31" s="56">
        <f>AG31</f>
        <v>750</v>
      </c>
      <c r="AI31" s="56">
        <f>AH31</f>
        <v>750</v>
      </c>
      <c r="AJ31" s="56">
        <v>751</v>
      </c>
      <c r="AK31" s="56">
        <f>AJ31</f>
        <v>751</v>
      </c>
      <c r="AL31" s="56">
        <f>AK31</f>
        <v>751</v>
      </c>
      <c r="AM31" s="56">
        <v>752</v>
      </c>
      <c r="AN31" s="56">
        <f>AM31</f>
        <v>752</v>
      </c>
      <c r="AO31" s="56">
        <f>AN31</f>
        <v>752</v>
      </c>
      <c r="AP31" s="56">
        <v>752</v>
      </c>
      <c r="AQ31" s="56">
        <f>AP31</f>
        <v>752</v>
      </c>
      <c r="AR31" s="56">
        <f>AQ31</f>
        <v>752</v>
      </c>
      <c r="AS31" s="56">
        <f>90%*AS26</f>
        <v>3713.67</v>
      </c>
      <c r="AT31" s="56">
        <f>AS31</f>
        <v>3713.67</v>
      </c>
      <c r="AU31" s="56">
        <f>AT31</f>
        <v>3713.67</v>
      </c>
      <c r="AV31" s="56">
        <f>85%*AV26</f>
        <v>3771.1893977997747</v>
      </c>
      <c r="AW31" s="56">
        <f>AV31</f>
        <v>3771.1893977997747</v>
      </c>
      <c r="AX31" s="56">
        <f>AW31</f>
        <v>3771.1893977997747</v>
      </c>
      <c r="AY31" s="56">
        <f>80%*AY26</f>
        <v>3854.0559538536895</v>
      </c>
      <c r="AZ31" s="56">
        <f>AY31</f>
        <v>3854.0559538536895</v>
      </c>
      <c r="BA31" s="56">
        <f>AZ31</f>
        <v>3854.0559538536895</v>
      </c>
      <c r="BB31" s="56">
        <f>BA31</f>
        <v>3854.0559538536895</v>
      </c>
      <c r="BC31" s="56">
        <f>BB31</f>
        <v>3854.0559538536895</v>
      </c>
      <c r="BD31" s="56">
        <f>BC31</f>
        <v>3854.0559538536895</v>
      </c>
      <c r="BE31" s="56">
        <v>752</v>
      </c>
      <c r="BF31" s="56">
        <f>BE31</f>
        <v>752</v>
      </c>
      <c r="BG31" s="56">
        <f>BF31</f>
        <v>752</v>
      </c>
      <c r="BH31" s="56">
        <v>752</v>
      </c>
      <c r="BI31" s="56">
        <f>BH31</f>
        <v>752</v>
      </c>
      <c r="BJ31" s="56">
        <f>BI31</f>
        <v>752</v>
      </c>
    </row>
    <row r="32" spans="1:62" s="1" customFormat="1">
      <c r="A32" s="1" t="s">
        <v>262</v>
      </c>
      <c r="F32" s="292"/>
      <c r="G32" s="292"/>
      <c r="H32" s="292"/>
      <c r="I32" s="292">
        <f>+J32</f>
        <v>4.4999999999999998E-2</v>
      </c>
      <c r="J32" s="307">
        <v>4.4999999999999998E-2</v>
      </c>
      <c r="K32" s="307">
        <f>J32</f>
        <v>4.4999999999999998E-2</v>
      </c>
      <c r="L32" s="307">
        <v>4.8599999999999997E-2</v>
      </c>
      <c r="M32" s="307">
        <f>+L32</f>
        <v>4.8599999999999997E-2</v>
      </c>
      <c r="N32" s="307">
        <f>M32</f>
        <v>4.8599999999999997E-2</v>
      </c>
      <c r="O32" s="292">
        <v>4.7500000000000001E-2</v>
      </c>
      <c r="P32" s="292">
        <f>O32</f>
        <v>4.7500000000000001E-2</v>
      </c>
      <c r="Q32" s="307">
        <f>P32</f>
        <v>4.7500000000000001E-2</v>
      </c>
      <c r="R32" s="292">
        <v>4.5999999999999999E-2</v>
      </c>
      <c r="S32" s="307">
        <v>3.4500000000000003E-2</v>
      </c>
      <c r="T32" s="307">
        <f>S32</f>
        <v>3.4500000000000003E-2</v>
      </c>
      <c r="U32" s="292">
        <v>2.7E-2</v>
      </c>
      <c r="V32" s="292">
        <f>U32</f>
        <v>2.7E-2</v>
      </c>
      <c r="W32" s="307">
        <f t="shared" ref="W32:Z32" si="31">V32</f>
        <v>2.7E-2</v>
      </c>
      <c r="X32" s="308">
        <f>W32</f>
        <v>2.7E-2</v>
      </c>
      <c r="Y32" s="307">
        <f>X32</f>
        <v>2.7E-2</v>
      </c>
      <c r="Z32" s="307">
        <f t="shared" si="31"/>
        <v>2.7E-2</v>
      </c>
      <c r="AA32" s="309">
        <f>Z32+0.1%</f>
        <v>2.8000000000000001E-2</v>
      </c>
      <c r="AB32" s="307">
        <f t="shared" ref="AB32:AR32" si="32">AA32</f>
        <v>2.8000000000000001E-2</v>
      </c>
      <c r="AC32" s="307">
        <f t="shared" si="32"/>
        <v>2.8000000000000001E-2</v>
      </c>
      <c r="AD32" s="307">
        <v>2.5000000000000001E-2</v>
      </c>
      <c r="AE32" s="307">
        <f t="shared" si="32"/>
        <v>2.5000000000000001E-2</v>
      </c>
      <c r="AF32" s="307">
        <f t="shared" si="32"/>
        <v>2.5000000000000001E-2</v>
      </c>
      <c r="AG32" s="307">
        <f t="shared" si="32"/>
        <v>2.5000000000000001E-2</v>
      </c>
      <c r="AH32" s="307">
        <v>0.01</v>
      </c>
      <c r="AI32" s="307">
        <f t="shared" si="32"/>
        <v>0.01</v>
      </c>
      <c r="AJ32" s="307">
        <f t="shared" si="32"/>
        <v>0.01</v>
      </c>
      <c r="AK32" s="307">
        <f t="shared" si="32"/>
        <v>0.01</v>
      </c>
      <c r="AL32" s="307">
        <f t="shared" si="32"/>
        <v>0.01</v>
      </c>
      <c r="AM32" s="307">
        <f t="shared" si="32"/>
        <v>0.01</v>
      </c>
      <c r="AN32" s="307">
        <f t="shared" si="32"/>
        <v>0.01</v>
      </c>
      <c r="AO32" s="307">
        <f t="shared" si="32"/>
        <v>0.01</v>
      </c>
      <c r="AP32" s="307">
        <f t="shared" si="32"/>
        <v>0.01</v>
      </c>
      <c r="AQ32" s="307">
        <f t="shared" si="32"/>
        <v>0.01</v>
      </c>
      <c r="AR32" s="307">
        <f t="shared" si="32"/>
        <v>0.01</v>
      </c>
      <c r="AS32" s="307">
        <v>1.4999999999999999E-2</v>
      </c>
      <c r="AT32" s="307">
        <f t="shared" ref="AT32" si="33">AS32</f>
        <v>1.4999999999999999E-2</v>
      </c>
      <c r="AU32" s="307">
        <f t="shared" ref="AU32" si="34">AT32</f>
        <v>1.4999999999999999E-2</v>
      </c>
      <c r="AV32" s="307">
        <f>AU32</f>
        <v>1.4999999999999999E-2</v>
      </c>
      <c r="AW32" s="307">
        <f t="shared" ref="AW32:BJ32" si="35">AV32</f>
        <v>1.4999999999999999E-2</v>
      </c>
      <c r="AX32" s="307">
        <f t="shared" si="35"/>
        <v>1.4999999999999999E-2</v>
      </c>
      <c r="AY32" s="307">
        <f t="shared" si="35"/>
        <v>1.4999999999999999E-2</v>
      </c>
      <c r="AZ32" s="307">
        <f t="shared" si="35"/>
        <v>1.4999999999999999E-2</v>
      </c>
      <c r="BA32" s="307">
        <f t="shared" si="35"/>
        <v>1.4999999999999999E-2</v>
      </c>
      <c r="BB32" s="307">
        <f t="shared" si="35"/>
        <v>1.4999999999999999E-2</v>
      </c>
      <c r="BC32" s="307">
        <f t="shared" si="35"/>
        <v>1.4999999999999999E-2</v>
      </c>
      <c r="BD32" s="307">
        <f t="shared" si="35"/>
        <v>1.4999999999999999E-2</v>
      </c>
      <c r="BE32" s="307">
        <f t="shared" si="35"/>
        <v>1.4999999999999999E-2</v>
      </c>
      <c r="BF32" s="307">
        <f t="shared" si="35"/>
        <v>1.4999999999999999E-2</v>
      </c>
      <c r="BG32" s="307">
        <f t="shared" si="35"/>
        <v>1.4999999999999999E-2</v>
      </c>
      <c r="BH32" s="307">
        <f t="shared" si="35"/>
        <v>1.4999999999999999E-2</v>
      </c>
      <c r="BI32" s="307">
        <f t="shared" si="35"/>
        <v>1.4999999999999999E-2</v>
      </c>
      <c r="BJ32" s="307">
        <f t="shared" si="35"/>
        <v>1.4999999999999999E-2</v>
      </c>
    </row>
    <row r="33" spans="1:62" s="1" customFormat="1">
      <c r="A33" s="1" t="s">
        <v>263</v>
      </c>
      <c r="G33" s="292"/>
      <c r="H33" s="292"/>
      <c r="I33" s="292">
        <v>0.01</v>
      </c>
      <c r="J33" s="292">
        <v>0.01</v>
      </c>
      <c r="K33" s="292">
        <f>J33</f>
        <v>0.01</v>
      </c>
      <c r="L33" s="292">
        <v>5.0000000000000001E-3</v>
      </c>
      <c r="M33" s="292">
        <v>5.4999999999999997E-3</v>
      </c>
      <c r="N33" s="292">
        <f>M33</f>
        <v>5.4999999999999997E-3</v>
      </c>
      <c r="O33" s="292">
        <f>M33</f>
        <v>5.4999999999999997E-3</v>
      </c>
      <c r="P33" s="292">
        <f>+O33</f>
        <v>5.4999999999999997E-3</v>
      </c>
      <c r="Q33" s="292">
        <f>P33</f>
        <v>5.4999999999999997E-3</v>
      </c>
      <c r="R33" s="292">
        <f>+P33</f>
        <v>5.4999999999999997E-3</v>
      </c>
      <c r="S33" s="292">
        <f>+R33</f>
        <v>5.4999999999999997E-3</v>
      </c>
      <c r="T33" s="292">
        <f>S33</f>
        <v>5.4999999999999997E-3</v>
      </c>
      <c r="U33" s="292">
        <f>+S33</f>
        <v>5.4999999999999997E-3</v>
      </c>
      <c r="V33" s="292">
        <f>+U33</f>
        <v>5.4999999999999997E-3</v>
      </c>
      <c r="W33" s="292">
        <f>V33</f>
        <v>5.4999999999999997E-3</v>
      </c>
      <c r="X33" s="292">
        <f>+V33</f>
        <v>5.4999999999999997E-3</v>
      </c>
      <c r="Y33" s="292">
        <f>+X33</f>
        <v>5.4999999999999997E-3</v>
      </c>
      <c r="Z33" s="292">
        <f>Y33</f>
        <v>5.4999999999999997E-3</v>
      </c>
      <c r="AA33" s="292">
        <f>+Y33</f>
        <v>5.4999999999999997E-3</v>
      </c>
      <c r="AB33" s="292">
        <f>+AA33</f>
        <v>5.4999999999999997E-3</v>
      </c>
      <c r="AC33" s="292">
        <f>AB33</f>
        <v>5.4999999999999997E-3</v>
      </c>
      <c r="AD33" s="292">
        <f>+AB33</f>
        <v>5.4999999999999997E-3</v>
      </c>
      <c r="AE33" s="292">
        <f>+AD33</f>
        <v>5.4999999999999997E-3</v>
      </c>
      <c r="AF33" s="292">
        <f>AE33</f>
        <v>5.4999999999999997E-3</v>
      </c>
      <c r="AG33" s="292">
        <f>+AE33</f>
        <v>5.4999999999999997E-3</v>
      </c>
      <c r="AH33" s="292">
        <f>+AG33</f>
        <v>5.4999999999999997E-3</v>
      </c>
      <c r="AI33" s="292">
        <f>AH33</f>
        <v>5.4999999999999997E-3</v>
      </c>
      <c r="AJ33" s="292">
        <f>+AH33</f>
        <v>5.4999999999999997E-3</v>
      </c>
      <c r="AK33" s="292">
        <f>+AJ33</f>
        <v>5.4999999999999997E-3</v>
      </c>
      <c r="AL33" s="292">
        <f>AK33</f>
        <v>5.4999999999999997E-3</v>
      </c>
      <c r="AM33" s="292">
        <f>+AK33</f>
        <v>5.4999999999999997E-3</v>
      </c>
      <c r="AN33" s="292">
        <f>+AM33</f>
        <v>5.4999999999999997E-3</v>
      </c>
      <c r="AO33" s="292">
        <f>AN33</f>
        <v>5.4999999999999997E-3</v>
      </c>
      <c r="AP33" s="292">
        <f>+AN33</f>
        <v>5.4999999999999997E-3</v>
      </c>
      <c r="AQ33" s="292">
        <f>+AP33</f>
        <v>5.4999999999999997E-3</v>
      </c>
      <c r="AR33" s="292">
        <f>AQ33</f>
        <v>5.4999999999999997E-3</v>
      </c>
      <c r="AS33" s="292">
        <f>+AQ33</f>
        <v>5.4999999999999997E-3</v>
      </c>
      <c r="AT33" s="292">
        <f>+AS33</f>
        <v>5.4999999999999997E-3</v>
      </c>
      <c r="AU33" s="292">
        <f>AT33</f>
        <v>5.4999999999999997E-3</v>
      </c>
      <c r="AV33" s="292">
        <f>+AT33</f>
        <v>5.4999999999999997E-3</v>
      </c>
      <c r="AW33" s="292">
        <f>+AV33</f>
        <v>5.4999999999999997E-3</v>
      </c>
      <c r="AX33" s="292">
        <f>AW33</f>
        <v>5.4999999999999997E-3</v>
      </c>
      <c r="AY33" s="292">
        <f>+AW33</f>
        <v>5.4999999999999997E-3</v>
      </c>
      <c r="AZ33" s="292">
        <f>+AY33</f>
        <v>5.4999999999999997E-3</v>
      </c>
      <c r="BA33" s="292">
        <f>AZ33</f>
        <v>5.4999999999999997E-3</v>
      </c>
      <c r="BB33" s="292">
        <f>+AZ33</f>
        <v>5.4999999999999997E-3</v>
      </c>
      <c r="BC33" s="292">
        <f>+BB33</f>
        <v>5.4999999999999997E-3</v>
      </c>
      <c r="BD33" s="292">
        <f>BC33</f>
        <v>5.4999999999999997E-3</v>
      </c>
      <c r="BE33" s="292">
        <f>+BC33</f>
        <v>5.4999999999999997E-3</v>
      </c>
      <c r="BF33" s="292">
        <f>+BE33</f>
        <v>5.4999999999999997E-3</v>
      </c>
      <c r="BG33" s="292">
        <f>BF33</f>
        <v>5.4999999999999997E-3</v>
      </c>
      <c r="BH33" s="292">
        <f>+BF33</f>
        <v>5.4999999999999997E-3</v>
      </c>
      <c r="BI33" s="292">
        <f>+BH33</f>
        <v>5.4999999999999997E-3</v>
      </c>
      <c r="BJ33" s="292">
        <f>BI33</f>
        <v>5.4999999999999997E-3</v>
      </c>
    </row>
    <row r="34" spans="1:62" s="1" customFormat="1">
      <c r="A34" s="1" t="s">
        <v>264</v>
      </c>
      <c r="F34" s="292"/>
      <c r="G34" s="292"/>
      <c r="H34" s="292"/>
      <c r="I34" s="292">
        <f>+I32+I33</f>
        <v>5.5E-2</v>
      </c>
      <c r="J34" s="292">
        <f>+J32+J33</f>
        <v>5.5E-2</v>
      </c>
      <c r="K34" s="292">
        <f>J34</f>
        <v>5.5E-2</v>
      </c>
      <c r="L34" s="292">
        <f>+L32+L33</f>
        <v>5.3599999999999995E-2</v>
      </c>
      <c r="M34" s="292">
        <f>+M32+M33</f>
        <v>5.4099999999999995E-2</v>
      </c>
      <c r="N34" s="292">
        <f>M34</f>
        <v>5.4099999999999995E-2</v>
      </c>
      <c r="O34" s="292">
        <f>+O32+O33</f>
        <v>5.2999999999999999E-2</v>
      </c>
      <c r="P34" s="292">
        <f>+P32+P33</f>
        <v>5.2999999999999999E-2</v>
      </c>
      <c r="Q34" s="292">
        <f>P34</f>
        <v>5.2999999999999999E-2</v>
      </c>
      <c r="R34" s="292">
        <f>+R32+R33</f>
        <v>5.1499999999999997E-2</v>
      </c>
      <c r="S34" s="292">
        <f>+S32+S33</f>
        <v>0.04</v>
      </c>
      <c r="T34" s="292">
        <f>S34</f>
        <v>0.04</v>
      </c>
      <c r="U34" s="292">
        <f>+U32+U33</f>
        <v>3.2500000000000001E-2</v>
      </c>
      <c r="V34" s="292">
        <f>+V32+V33</f>
        <v>3.2500000000000001E-2</v>
      </c>
      <c r="W34" s="292">
        <f>V34</f>
        <v>3.2500000000000001E-2</v>
      </c>
      <c r="X34" s="292">
        <f>+X32+X33</f>
        <v>3.2500000000000001E-2</v>
      </c>
      <c r="Y34" s="292">
        <f>+Y32+Y33</f>
        <v>3.2500000000000001E-2</v>
      </c>
      <c r="Z34" s="292">
        <f>Y34</f>
        <v>3.2500000000000001E-2</v>
      </c>
      <c r="AA34" s="292">
        <v>3.1E-2</v>
      </c>
      <c r="AB34" s="292">
        <v>3.2000000000000001E-2</v>
      </c>
      <c r="AC34" s="292">
        <f t="shared" ref="AC34:AI34" si="36">AB34</f>
        <v>3.2000000000000001E-2</v>
      </c>
      <c r="AD34" s="292">
        <v>2.5999999999999999E-2</v>
      </c>
      <c r="AE34" s="292">
        <v>2.3E-2</v>
      </c>
      <c r="AF34" s="292">
        <f t="shared" si="36"/>
        <v>2.3E-2</v>
      </c>
      <c r="AG34" s="292">
        <f t="shared" si="36"/>
        <v>2.3E-2</v>
      </c>
      <c r="AH34" s="292">
        <f t="shared" ref="AH34:AW34" si="37">AH33+AH32</f>
        <v>1.55E-2</v>
      </c>
      <c r="AI34" s="292">
        <f t="shared" si="36"/>
        <v>1.55E-2</v>
      </c>
      <c r="AJ34" s="292">
        <f t="shared" si="37"/>
        <v>1.55E-2</v>
      </c>
      <c r="AK34" s="292">
        <f t="shared" si="37"/>
        <v>1.55E-2</v>
      </c>
      <c r="AL34" s="292">
        <f t="shared" si="37"/>
        <v>1.55E-2</v>
      </c>
      <c r="AM34" s="292">
        <f t="shared" si="37"/>
        <v>1.55E-2</v>
      </c>
      <c r="AN34" s="292">
        <f t="shared" si="37"/>
        <v>1.55E-2</v>
      </c>
      <c r="AO34" s="292">
        <f t="shared" si="37"/>
        <v>1.55E-2</v>
      </c>
      <c r="AP34" s="292">
        <f t="shared" si="37"/>
        <v>1.55E-2</v>
      </c>
      <c r="AQ34" s="292">
        <f t="shared" si="37"/>
        <v>1.55E-2</v>
      </c>
      <c r="AR34" s="292">
        <f t="shared" si="37"/>
        <v>1.55E-2</v>
      </c>
      <c r="AS34" s="292">
        <f t="shared" si="37"/>
        <v>2.0499999999999997E-2</v>
      </c>
      <c r="AT34" s="292">
        <f t="shared" si="37"/>
        <v>2.0499999999999997E-2</v>
      </c>
      <c r="AU34" s="292">
        <f t="shared" si="37"/>
        <v>2.0499999999999997E-2</v>
      </c>
      <c r="AV34" s="292">
        <f t="shared" si="37"/>
        <v>2.0499999999999997E-2</v>
      </c>
      <c r="AW34" s="292">
        <f t="shared" si="37"/>
        <v>2.0499999999999997E-2</v>
      </c>
      <c r="AX34" s="292">
        <f>AX33+AX32</f>
        <v>2.0499999999999997E-2</v>
      </c>
      <c r="AY34" s="292">
        <f t="shared" ref="AY34:AZ34" si="38">AY33+AY32</f>
        <v>2.0499999999999997E-2</v>
      </c>
      <c r="AZ34" s="292">
        <f t="shared" si="38"/>
        <v>2.0499999999999997E-2</v>
      </c>
      <c r="BA34" s="292">
        <f>BA33+BA32</f>
        <v>2.0499999999999997E-2</v>
      </c>
      <c r="BB34" s="292">
        <f t="shared" ref="BB34:BC34" si="39">BB33+BB32</f>
        <v>2.0499999999999997E-2</v>
      </c>
      <c r="BC34" s="292">
        <f t="shared" si="39"/>
        <v>2.0499999999999997E-2</v>
      </c>
      <c r="BD34" s="292">
        <f>BD33+BD32</f>
        <v>2.0499999999999997E-2</v>
      </c>
      <c r="BE34" s="292">
        <f t="shared" ref="BE34:BF34" si="40">BE33+BE32</f>
        <v>2.0499999999999997E-2</v>
      </c>
      <c r="BF34" s="292">
        <f t="shared" si="40"/>
        <v>2.0499999999999997E-2</v>
      </c>
      <c r="BG34" s="292">
        <f>BG33+BG32</f>
        <v>2.0499999999999997E-2</v>
      </c>
      <c r="BH34" s="292">
        <f t="shared" ref="BH34:BI34" si="41">BH33+BH32</f>
        <v>2.0499999999999997E-2</v>
      </c>
      <c r="BI34" s="292">
        <f t="shared" si="41"/>
        <v>2.0499999999999997E-2</v>
      </c>
      <c r="BJ34" s="292">
        <f>BJ33+BJ32</f>
        <v>2.0499999999999997E-2</v>
      </c>
    </row>
    <row r="35" spans="1:62" s="301" customFormat="1">
      <c r="A35" s="301" t="s">
        <v>265</v>
      </c>
      <c r="F35" s="302"/>
      <c r="G35" s="302"/>
      <c r="H35" s="302"/>
      <c r="I35" s="302">
        <f>+I31*I34/2</f>
        <v>46.342725000000002</v>
      </c>
      <c r="J35" s="302">
        <f>+J31*J34/2</f>
        <v>46.342725000000002</v>
      </c>
      <c r="K35" s="302">
        <f>SUM(I35:J35)</f>
        <v>92.685450000000003</v>
      </c>
      <c r="L35" s="302">
        <f>+L31*L34/2</f>
        <v>58.84529599999999</v>
      </c>
      <c r="M35" s="302">
        <f>+M31*M34/2</f>
        <v>67.625</v>
      </c>
      <c r="N35" s="302">
        <f>SUM(L35:M35)</f>
        <v>126.47029599999999</v>
      </c>
      <c r="O35" s="302">
        <f>+O31*O34/2</f>
        <v>70.963607999999994</v>
      </c>
      <c r="P35" s="302">
        <f>+P31*P34/2</f>
        <v>70.963607999999994</v>
      </c>
      <c r="Q35" s="302">
        <f>SUM(O35:P35)</f>
        <v>141.92721599999999</v>
      </c>
      <c r="R35" s="302">
        <f>+R31*R34/2</f>
        <v>65.779713999999998</v>
      </c>
      <c r="S35" s="302">
        <f>+S31*S34/2</f>
        <v>50.658079999999998</v>
      </c>
      <c r="T35" s="302">
        <f>SUM(R35:S35)</f>
        <v>116.437794</v>
      </c>
      <c r="U35" s="302">
        <f>+U31*U34/2</f>
        <v>39</v>
      </c>
      <c r="V35" s="302">
        <f>+V31*V34/2</f>
        <v>39</v>
      </c>
      <c r="W35" s="302">
        <f>SUM(U35:V35)</f>
        <v>78</v>
      </c>
      <c r="X35" s="302">
        <f>+X31*X34/2</f>
        <v>34.125</v>
      </c>
      <c r="Y35" s="302">
        <f>+Y31*Y34/2</f>
        <v>34.125</v>
      </c>
      <c r="Z35" s="302">
        <f>SUM(X35:Y35)</f>
        <v>68.25</v>
      </c>
      <c r="AA35" s="302">
        <f>+AA31*AA34/2</f>
        <v>29.45</v>
      </c>
      <c r="AB35" s="302">
        <f>+AB31*AB34/2</f>
        <v>30.400000000000002</v>
      </c>
      <c r="AC35" s="302">
        <f>SUM(AA35:AB35)</f>
        <v>59.85</v>
      </c>
      <c r="AD35" s="302">
        <f>+AD31*AD34/2</f>
        <v>19.5</v>
      </c>
      <c r="AE35" s="302">
        <f>+AE31*AE34/2</f>
        <v>17.25</v>
      </c>
      <c r="AF35" s="302">
        <f>SUM(AD35:AE35)</f>
        <v>36.75</v>
      </c>
      <c r="AG35" s="302">
        <f>+AG31*AG34/2</f>
        <v>8.625</v>
      </c>
      <c r="AH35" s="302">
        <f>+AH31*AH34/2</f>
        <v>5.8125</v>
      </c>
      <c r="AI35" s="302">
        <f>SUM(AG35:AH35)</f>
        <v>14.4375</v>
      </c>
      <c r="AJ35" s="302">
        <f>+AJ31*AJ34/2</f>
        <v>5.8202499999999997</v>
      </c>
      <c r="AK35" s="302">
        <f>+AK31*AK34/2</f>
        <v>5.8202499999999997</v>
      </c>
      <c r="AL35" s="302">
        <f>SUM(AJ35:AK35)</f>
        <v>11.640499999999999</v>
      </c>
      <c r="AM35" s="302">
        <f>+AM31*AM34/2</f>
        <v>5.8280000000000003</v>
      </c>
      <c r="AN35" s="302">
        <f>+AN31*AN34/2</f>
        <v>5.8280000000000003</v>
      </c>
      <c r="AO35" s="302">
        <f>SUM(AM35:AN35)</f>
        <v>11.656000000000001</v>
      </c>
      <c r="AP35" s="302">
        <f>+AP31*AP34/2</f>
        <v>5.8280000000000003</v>
      </c>
      <c r="AQ35" s="302">
        <f>+AQ31*AQ34/2</f>
        <v>5.8280000000000003</v>
      </c>
      <c r="AR35" s="302">
        <f>SUM(AP35:AQ35)</f>
        <v>11.656000000000001</v>
      </c>
      <c r="AS35" s="302">
        <f>+AS31*AS34/2</f>
        <v>38.065117499999992</v>
      </c>
      <c r="AT35" s="302">
        <f>+AT31*AT34/2</f>
        <v>38.065117499999992</v>
      </c>
      <c r="AU35" s="302">
        <f>SUM(AS35:AT35)</f>
        <v>76.130234999999985</v>
      </c>
      <c r="AV35" s="302">
        <f>+AV31*AV34/2</f>
        <v>38.654691327447686</v>
      </c>
      <c r="AW35" s="302">
        <f>+AW31*AW34/2</f>
        <v>38.654691327447686</v>
      </c>
      <c r="AX35" s="302">
        <f>SUM(AV35:AW35)</f>
        <v>77.309382654895373</v>
      </c>
      <c r="AY35" s="302">
        <f>+AY31*AY34/2</f>
        <v>39.504073527000315</v>
      </c>
      <c r="AZ35" s="302">
        <f>+AZ31*AZ34/2</f>
        <v>39.504073527000315</v>
      </c>
      <c r="BA35" s="302">
        <f>SUM(AY35:AZ35)</f>
        <v>79.008147054000631</v>
      </c>
      <c r="BB35" s="302">
        <f>+BB31*BB34/2</f>
        <v>39.504073527000315</v>
      </c>
      <c r="BC35" s="302">
        <f>+BC31*BC34/2</f>
        <v>39.504073527000315</v>
      </c>
      <c r="BD35" s="302">
        <f>SUM(BB35:BC35)</f>
        <v>79.008147054000631</v>
      </c>
      <c r="BE35" s="302">
        <f>+BE31*BE34/2</f>
        <v>7.7079999999999993</v>
      </c>
      <c r="BF35" s="302">
        <f>+BF31*BF34/2</f>
        <v>7.7079999999999993</v>
      </c>
      <c r="BG35" s="302">
        <f>SUM(BE35:BF35)</f>
        <v>15.415999999999999</v>
      </c>
      <c r="BH35" s="302">
        <f>+BH31*BH34/2</f>
        <v>7.7079999999999993</v>
      </c>
      <c r="BI35" s="302">
        <f>+BI31*BI34/2</f>
        <v>7.7079999999999993</v>
      </c>
      <c r="BJ35" s="302">
        <f>SUM(BH35:BI35)</f>
        <v>15.415999999999999</v>
      </c>
    </row>
    <row r="36" spans="1:62" s="1" customFormat="1">
      <c r="G36" s="305"/>
      <c r="H36" s="305"/>
    </row>
    <row r="37" spans="1:62" s="1" customFormat="1">
      <c r="A37" s="48" t="s">
        <v>266</v>
      </c>
    </row>
    <row r="38" spans="1:62" s="1" customFormat="1">
      <c r="A38" s="1" t="s">
        <v>267</v>
      </c>
      <c r="F38" s="23"/>
      <c r="G38" s="23"/>
      <c r="H38" s="23"/>
      <c r="I38" s="23">
        <f>+I11-I31</f>
        <v>564.61000000000013</v>
      </c>
      <c r="J38" s="23">
        <f>+J11-J31</f>
        <v>624.40999999999985</v>
      </c>
      <c r="K38" s="23">
        <f>J38</f>
        <v>624.40999999999985</v>
      </c>
      <c r="L38" s="23">
        <f>+L11-L31</f>
        <v>-35.2199999999998</v>
      </c>
      <c r="M38" s="23">
        <f>+M11-M31</f>
        <v>83.199999999999818</v>
      </c>
      <c r="N38" s="23">
        <f>M38</f>
        <v>83.199999999999818</v>
      </c>
      <c r="O38" s="23">
        <f>+O11-O31</f>
        <v>189.12800000000016</v>
      </c>
      <c r="P38" s="23">
        <f>+P11-P31</f>
        <v>170.92800000000034</v>
      </c>
      <c r="Q38" s="23">
        <f>P38</f>
        <v>170.92800000000034</v>
      </c>
      <c r="R38" s="23">
        <f>+R11-R31</f>
        <v>310.64799999999968</v>
      </c>
      <c r="S38" s="23">
        <f>+S11-S31</f>
        <v>369.99600000000009</v>
      </c>
      <c r="T38" s="23">
        <f>S38</f>
        <v>369.99600000000009</v>
      </c>
      <c r="U38" s="23">
        <f>+U11-U31</f>
        <v>478.30000000000018</v>
      </c>
      <c r="V38" s="23">
        <f>+V11-V31</f>
        <v>730.60000000000036</v>
      </c>
      <c r="W38" s="23">
        <f>V38</f>
        <v>730.60000000000036</v>
      </c>
      <c r="X38" s="23">
        <f>+X11-X31</f>
        <v>981.5</v>
      </c>
      <c r="Y38" s="23">
        <f>+Y11-Y31</f>
        <v>1639.1274905591335</v>
      </c>
      <c r="Z38" s="23">
        <f>Y38</f>
        <v>1639.1274905591335</v>
      </c>
      <c r="AA38" s="23">
        <f>+AA11-AA31</f>
        <v>1075</v>
      </c>
      <c r="AB38" s="23">
        <f>+AB11-AB31</f>
        <v>939.19999999999982</v>
      </c>
      <c r="AC38" s="23">
        <f>AB38</f>
        <v>939.19999999999982</v>
      </c>
      <c r="AD38" s="23">
        <f>+AD11-AD31</f>
        <v>1438.5</v>
      </c>
      <c r="AE38" s="23">
        <f>+AE11-AE31</f>
        <v>543.79999999999995</v>
      </c>
      <c r="AF38" s="23">
        <f>AE38</f>
        <v>543.79999999999995</v>
      </c>
      <c r="AG38" s="23">
        <f>+AG11-AG31</f>
        <v>1310.3000000000002</v>
      </c>
      <c r="AH38" s="23">
        <f>+AH11-AH31</f>
        <v>1337.6999999999998</v>
      </c>
      <c r="AI38" s="23">
        <f>AH38</f>
        <v>1337.6999999999998</v>
      </c>
      <c r="AJ38" s="23">
        <f>+AJ11-AJ31</f>
        <v>2081.2000000000003</v>
      </c>
      <c r="AK38" s="23">
        <f>+AK11-AK31</f>
        <v>2422.9</v>
      </c>
      <c r="AL38" s="23">
        <f>AK38</f>
        <v>2422.9</v>
      </c>
      <c r="AM38" s="23">
        <f>+AM11-AM31</f>
        <v>2540.9</v>
      </c>
      <c r="AN38" s="23">
        <f>+AN11-AN31</f>
        <v>2460.4</v>
      </c>
      <c r="AO38" s="23">
        <f>AN38</f>
        <v>2460.4</v>
      </c>
      <c r="AP38" s="23">
        <f>+AP11-AP31</f>
        <v>2666.0965016264809</v>
      </c>
      <c r="AQ38" s="23">
        <f>+AQ11-AQ31</f>
        <v>5110.7999999999993</v>
      </c>
      <c r="AR38" s="23">
        <f>AQ38</f>
        <v>5110.7999999999993</v>
      </c>
      <c r="AS38" s="23">
        <f>+AS11-AS31</f>
        <v>1521.83</v>
      </c>
      <c r="AT38" s="23">
        <f>+AT11-AT31</f>
        <v>412.63000000000011</v>
      </c>
      <c r="AU38" s="23">
        <f>AT38</f>
        <v>412.63000000000011</v>
      </c>
      <c r="AV38" s="23">
        <f>+AV11-AV31</f>
        <v>526.03366564564976</v>
      </c>
      <c r="AW38" s="23">
        <f>+AW11-AW31</f>
        <v>665.50401137643121</v>
      </c>
      <c r="AX38" s="23">
        <f>AW38</f>
        <v>665.50401137643121</v>
      </c>
      <c r="AY38" s="23">
        <f>+AY11-AY31</f>
        <v>769.45480880991227</v>
      </c>
      <c r="AZ38" s="23">
        <f>+AZ11-AZ31</f>
        <v>963.51398846342227</v>
      </c>
      <c r="BA38" s="23">
        <f>AZ38</f>
        <v>963.51398846342227</v>
      </c>
      <c r="BB38" s="23">
        <f>+BB11-BB31</f>
        <v>1165.0990946325032</v>
      </c>
      <c r="BC38" s="23">
        <f>+BC11-BC31</f>
        <v>1374.5053730609848</v>
      </c>
      <c r="BD38" s="23">
        <f>BC38</f>
        <v>1374.5053730609848</v>
      </c>
      <c r="BE38" s="23">
        <f>+BE11-BE31</f>
        <v>4694.0956059799764</v>
      </c>
      <c r="BF38" s="23">
        <f>+BF11-BF31</f>
        <v>4920.0767510854303</v>
      </c>
      <c r="BG38" s="23">
        <f>BF38</f>
        <v>4920.0767510854303</v>
      </c>
      <c r="BH38" s="23">
        <f>+BH11-BH31</f>
        <v>5154.8361368786482</v>
      </c>
      <c r="BI38" s="23">
        <f>+BI11-BI31</f>
        <v>5398.7181379952308</v>
      </c>
      <c r="BJ38" s="23">
        <f>BI38</f>
        <v>5398.7181379952308</v>
      </c>
    </row>
    <row r="39" spans="1:62" s="1" customFormat="1">
      <c r="A39" s="1" t="s">
        <v>262</v>
      </c>
      <c r="F39" s="292"/>
      <c r="G39" s="292"/>
      <c r="H39" s="307">
        <v>3.2099999999999997E-2</v>
      </c>
      <c r="I39" s="310">
        <v>0.06</v>
      </c>
      <c r="J39" s="310">
        <v>0.06</v>
      </c>
      <c r="K39" s="292">
        <f>J39</f>
        <v>0.06</v>
      </c>
      <c r="L39" s="292">
        <v>0.02</v>
      </c>
      <c r="M39" s="292">
        <f>+L39</f>
        <v>0.02</v>
      </c>
      <c r="N39" s="292">
        <f>+M39</f>
        <v>0.02</v>
      </c>
      <c r="O39" s="292">
        <v>0.04</v>
      </c>
      <c r="P39" s="292">
        <v>0.04</v>
      </c>
      <c r="Q39" s="292">
        <v>0.04</v>
      </c>
      <c r="R39" s="292">
        <v>0.04</v>
      </c>
      <c r="S39" s="292">
        <v>1.4999999999999999E-2</v>
      </c>
      <c r="T39" s="292">
        <f>S39</f>
        <v>1.4999999999999999E-2</v>
      </c>
      <c r="U39" s="292">
        <v>1.7999999999999999E-2</v>
      </c>
      <c r="V39" s="292">
        <f>U39</f>
        <v>1.7999999999999999E-2</v>
      </c>
      <c r="W39" s="292">
        <f>V39</f>
        <v>1.7999999999999999E-2</v>
      </c>
      <c r="X39" s="292">
        <f>W39</f>
        <v>1.7999999999999999E-2</v>
      </c>
      <c r="Y39" s="292">
        <f>X39</f>
        <v>1.7999999999999999E-2</v>
      </c>
      <c r="Z39" s="292">
        <f>Y39</f>
        <v>1.7999999999999999E-2</v>
      </c>
      <c r="AA39" s="292">
        <v>0.02</v>
      </c>
      <c r="AB39" s="292">
        <v>2.5000000000000001E-2</v>
      </c>
      <c r="AC39" s="292">
        <f>AB39</f>
        <v>2.5000000000000001E-2</v>
      </c>
      <c r="AD39" s="292">
        <v>0.02</v>
      </c>
      <c r="AE39" s="292">
        <f>AD39</f>
        <v>0.02</v>
      </c>
      <c r="AF39" s="292">
        <f>AE39</f>
        <v>0.02</v>
      </c>
      <c r="AG39" s="292">
        <v>1.7000000000000001E-2</v>
      </c>
      <c r="AH39" s="292">
        <f>AG39</f>
        <v>1.7000000000000001E-2</v>
      </c>
      <c r="AI39" s="292">
        <f>AH39</f>
        <v>1.7000000000000001E-2</v>
      </c>
      <c r="AJ39" s="292">
        <v>1.7999999999999999E-2</v>
      </c>
      <c r="AK39" s="292">
        <v>2.5000000000000001E-2</v>
      </c>
      <c r="AL39" s="292">
        <f>AK39</f>
        <v>2.5000000000000001E-2</v>
      </c>
      <c r="AM39" s="311">
        <v>2.5000000000000001E-2</v>
      </c>
      <c r="AN39" s="292">
        <v>2.5999999999999999E-2</v>
      </c>
      <c r="AO39" s="292">
        <f>AN39</f>
        <v>2.5999999999999999E-2</v>
      </c>
      <c r="AP39" s="374">
        <f>AO39+0.1%</f>
        <v>2.7E-2</v>
      </c>
      <c r="AQ39" s="292">
        <f>AP39</f>
        <v>2.7E-2</v>
      </c>
      <c r="AR39" s="292">
        <f>AQ39</f>
        <v>2.7E-2</v>
      </c>
      <c r="AS39" s="292">
        <f>AR39+0.25%</f>
        <v>2.9499999999999998E-2</v>
      </c>
      <c r="AT39" s="374">
        <f>AS39</f>
        <v>2.9499999999999998E-2</v>
      </c>
      <c r="AU39" s="292">
        <f>AT39</f>
        <v>2.9499999999999998E-2</v>
      </c>
      <c r="AV39" s="292">
        <f>AU39</f>
        <v>2.9499999999999998E-2</v>
      </c>
      <c r="AW39" s="292">
        <v>3.2500000000000001E-2</v>
      </c>
      <c r="AX39" s="292">
        <f>AW39</f>
        <v>3.2500000000000001E-2</v>
      </c>
      <c r="AY39" s="374">
        <f>AX39+0.1%</f>
        <v>3.3500000000000002E-2</v>
      </c>
      <c r="AZ39" s="292">
        <v>3.2500000000000001E-2</v>
      </c>
      <c r="BA39" s="292">
        <f>AZ39</f>
        <v>3.2500000000000001E-2</v>
      </c>
      <c r="BB39" s="374">
        <f>BA39+0.1%</f>
        <v>3.3500000000000002E-2</v>
      </c>
      <c r="BC39" s="292">
        <v>3.2500000000000001E-2</v>
      </c>
      <c r="BD39" s="292">
        <f>BC39</f>
        <v>3.2500000000000001E-2</v>
      </c>
      <c r="BE39" s="374">
        <f>BD39+0.1%</f>
        <v>3.3500000000000002E-2</v>
      </c>
      <c r="BF39" s="292">
        <v>3.2500000000000001E-2</v>
      </c>
      <c r="BG39" s="292">
        <f>BF39</f>
        <v>3.2500000000000001E-2</v>
      </c>
      <c r="BH39" s="374">
        <f>BG39+0.1%</f>
        <v>3.3500000000000002E-2</v>
      </c>
      <c r="BI39" s="292">
        <v>3.2500000000000001E-2</v>
      </c>
      <c r="BJ39" s="292">
        <f>BI39</f>
        <v>3.2500000000000001E-2</v>
      </c>
    </row>
    <row r="40" spans="1:62" s="1" customFormat="1">
      <c r="A40" s="1" t="s">
        <v>268</v>
      </c>
      <c r="F40" s="292"/>
      <c r="G40" s="292"/>
      <c r="H40" s="292"/>
      <c r="I40" s="292">
        <f>+H40</f>
        <v>0</v>
      </c>
      <c r="J40" s="292">
        <f>+I40</f>
        <v>0</v>
      </c>
      <c r="K40" s="292">
        <f>J40</f>
        <v>0</v>
      </c>
      <c r="L40" s="292">
        <v>0.01</v>
      </c>
      <c r="M40" s="292">
        <f>+L40</f>
        <v>0.01</v>
      </c>
      <c r="N40" s="292">
        <f>M40</f>
        <v>0.01</v>
      </c>
      <c r="O40" s="292">
        <f>+M40</f>
        <v>0.01</v>
      </c>
      <c r="P40" s="292">
        <f>+O40</f>
        <v>0.01</v>
      </c>
      <c r="Q40" s="292">
        <f>P40</f>
        <v>0.01</v>
      </c>
      <c r="R40" s="292">
        <f>+P40</f>
        <v>0.01</v>
      </c>
      <c r="S40" s="292">
        <v>5.0000000000000001E-3</v>
      </c>
      <c r="T40" s="292">
        <f>S40</f>
        <v>5.0000000000000001E-3</v>
      </c>
      <c r="U40" s="292">
        <f>+S40</f>
        <v>5.0000000000000001E-3</v>
      </c>
      <c r="V40" s="292">
        <f>+U40</f>
        <v>5.0000000000000001E-3</v>
      </c>
      <c r="W40" s="292">
        <f>V40</f>
        <v>5.0000000000000001E-3</v>
      </c>
      <c r="X40" s="292">
        <f>+V40</f>
        <v>5.0000000000000001E-3</v>
      </c>
      <c r="Y40" s="292">
        <f>+X40</f>
        <v>5.0000000000000001E-3</v>
      </c>
      <c r="Z40" s="292">
        <f>Y40</f>
        <v>5.0000000000000001E-3</v>
      </c>
      <c r="AA40" s="292">
        <v>5.4999999999999997E-3</v>
      </c>
      <c r="AB40" s="292">
        <v>7.0000000000000001E-3</v>
      </c>
      <c r="AC40" s="292">
        <f>AB40</f>
        <v>7.0000000000000001E-3</v>
      </c>
      <c r="AD40" s="292">
        <f>AC40</f>
        <v>7.0000000000000001E-3</v>
      </c>
      <c r="AE40" s="292">
        <f>+AD40</f>
        <v>7.0000000000000001E-3</v>
      </c>
      <c r="AF40" s="292">
        <f>AE40</f>
        <v>7.0000000000000001E-3</v>
      </c>
      <c r="AG40" s="292">
        <f>+AE40</f>
        <v>7.0000000000000001E-3</v>
      </c>
      <c r="AH40" s="292">
        <f>+AG40</f>
        <v>7.0000000000000001E-3</v>
      </c>
      <c r="AI40" s="292">
        <f>AH40</f>
        <v>7.0000000000000001E-3</v>
      </c>
      <c r="AJ40" s="292">
        <f>+AH40</f>
        <v>7.0000000000000001E-3</v>
      </c>
      <c r="AK40" s="292">
        <f>+AJ40</f>
        <v>7.0000000000000001E-3</v>
      </c>
      <c r="AL40" s="292">
        <f>AK40</f>
        <v>7.0000000000000001E-3</v>
      </c>
      <c r="AM40" s="292">
        <f>+AK40</f>
        <v>7.0000000000000001E-3</v>
      </c>
      <c r="AN40" s="292">
        <f>+AM40</f>
        <v>7.0000000000000001E-3</v>
      </c>
      <c r="AO40" s="292">
        <f>AN40</f>
        <v>7.0000000000000001E-3</v>
      </c>
      <c r="AP40" s="292">
        <f>+AN40</f>
        <v>7.0000000000000001E-3</v>
      </c>
      <c r="AQ40" s="292">
        <v>1.0999999999999999E-2</v>
      </c>
      <c r="AR40" s="292">
        <f>AQ40</f>
        <v>1.0999999999999999E-2</v>
      </c>
      <c r="AS40" s="292">
        <v>4.0000000000000001E-3</v>
      </c>
      <c r="AT40" s="292">
        <f>+AS40</f>
        <v>4.0000000000000001E-3</v>
      </c>
      <c r="AU40" s="292">
        <f>AT40</f>
        <v>4.0000000000000001E-3</v>
      </c>
      <c r="AV40" s="292">
        <f>+AT40</f>
        <v>4.0000000000000001E-3</v>
      </c>
      <c r="AW40" s="292">
        <f>+AV40</f>
        <v>4.0000000000000001E-3</v>
      </c>
      <c r="AX40" s="292">
        <f>AW40</f>
        <v>4.0000000000000001E-3</v>
      </c>
      <c r="AY40" s="292">
        <f>+AW40</f>
        <v>4.0000000000000001E-3</v>
      </c>
      <c r="AZ40" s="292">
        <f>+AY40</f>
        <v>4.0000000000000001E-3</v>
      </c>
      <c r="BA40" s="292">
        <f>AZ40</f>
        <v>4.0000000000000001E-3</v>
      </c>
      <c r="BB40" s="292">
        <f>+AZ40</f>
        <v>4.0000000000000001E-3</v>
      </c>
      <c r="BC40" s="292">
        <f>+BB40</f>
        <v>4.0000000000000001E-3</v>
      </c>
      <c r="BD40" s="292">
        <f>BC40</f>
        <v>4.0000000000000001E-3</v>
      </c>
      <c r="BE40" s="292">
        <f>+BC40</f>
        <v>4.0000000000000001E-3</v>
      </c>
      <c r="BF40" s="292">
        <f>+BE40</f>
        <v>4.0000000000000001E-3</v>
      </c>
      <c r="BG40" s="292">
        <f>BF40</f>
        <v>4.0000000000000001E-3</v>
      </c>
      <c r="BH40" s="292">
        <f>+BF40</f>
        <v>4.0000000000000001E-3</v>
      </c>
      <c r="BI40" s="292">
        <f>+BH40</f>
        <v>4.0000000000000001E-3</v>
      </c>
      <c r="BJ40" s="292">
        <f>BI40</f>
        <v>4.0000000000000001E-3</v>
      </c>
    </row>
    <row r="41" spans="1:62" s="1" customFormat="1">
      <c r="A41" s="1" t="s">
        <v>269</v>
      </c>
      <c r="F41" s="292"/>
      <c r="G41" s="292"/>
      <c r="H41" s="292"/>
      <c r="I41" s="292">
        <f>+I39+I40</f>
        <v>0.06</v>
      </c>
      <c r="J41" s="292">
        <f>+J39+J40</f>
        <v>0.06</v>
      </c>
      <c r="K41" s="292">
        <f>J41</f>
        <v>0.06</v>
      </c>
      <c r="L41" s="292">
        <f>+L39+L40</f>
        <v>0.03</v>
      </c>
      <c r="M41" s="292">
        <f>+M39+M40</f>
        <v>0.03</v>
      </c>
      <c r="N41" s="292">
        <f>M41</f>
        <v>0.03</v>
      </c>
      <c r="O41" s="292">
        <f>+O39+O40</f>
        <v>0.05</v>
      </c>
      <c r="P41" s="292">
        <f>+P39+P40</f>
        <v>0.05</v>
      </c>
      <c r="Q41" s="292">
        <f>P41</f>
        <v>0.05</v>
      </c>
      <c r="R41" s="292">
        <f>+R39+R40</f>
        <v>0.05</v>
      </c>
      <c r="S41" s="292">
        <f>+S39+S40</f>
        <v>0.02</v>
      </c>
      <c r="T41" s="292">
        <f>S41</f>
        <v>0.02</v>
      </c>
      <c r="U41" s="292">
        <f>+U39+U40</f>
        <v>2.3E-2</v>
      </c>
      <c r="V41" s="292">
        <f>+V39+V40</f>
        <v>2.3E-2</v>
      </c>
      <c r="W41" s="292">
        <f>V41</f>
        <v>2.3E-2</v>
      </c>
      <c r="X41" s="292">
        <f>+X39+X40</f>
        <v>2.3E-2</v>
      </c>
      <c r="Y41" s="292">
        <f>+Y39+Y40</f>
        <v>2.3E-2</v>
      </c>
      <c r="Z41" s="292">
        <f>Y41</f>
        <v>2.3E-2</v>
      </c>
      <c r="AA41" s="292">
        <f>+AA39+AA40</f>
        <v>2.5500000000000002E-2</v>
      </c>
      <c r="AB41" s="292">
        <f>+AB39+AB40</f>
        <v>3.2000000000000001E-2</v>
      </c>
      <c r="AC41" s="292">
        <f>AB41</f>
        <v>3.2000000000000001E-2</v>
      </c>
      <c r="AD41" s="292">
        <v>0.03</v>
      </c>
      <c r="AE41" s="292">
        <f>+AE39+AE40</f>
        <v>2.7E-2</v>
      </c>
      <c r="AF41" s="292">
        <f>AE41</f>
        <v>2.7E-2</v>
      </c>
      <c r="AG41" s="292">
        <f>+AG39+AG40</f>
        <v>2.4E-2</v>
      </c>
      <c r="AH41" s="292">
        <f>+AH39+AH40</f>
        <v>2.4E-2</v>
      </c>
      <c r="AI41" s="292">
        <f>AH41</f>
        <v>2.4E-2</v>
      </c>
      <c r="AJ41" s="292">
        <f>+AJ39+AJ40</f>
        <v>2.4999999999999998E-2</v>
      </c>
      <c r="AK41" s="292">
        <f>+AK39+AK40</f>
        <v>3.2000000000000001E-2</v>
      </c>
      <c r="AL41" s="292">
        <f>AK41</f>
        <v>3.2000000000000001E-2</v>
      </c>
      <c r="AM41" s="292">
        <f>+AM39+AM40</f>
        <v>3.2000000000000001E-2</v>
      </c>
      <c r="AN41" s="292">
        <f>+AN39+AN40</f>
        <v>3.3000000000000002E-2</v>
      </c>
      <c r="AO41" s="292">
        <f>AN41</f>
        <v>3.3000000000000002E-2</v>
      </c>
      <c r="AP41" s="292">
        <f>+AP39+AP40</f>
        <v>3.4000000000000002E-2</v>
      </c>
      <c r="AQ41" s="292">
        <f>+AQ39+AQ40</f>
        <v>3.7999999999999999E-2</v>
      </c>
      <c r="AR41" s="292">
        <f>AQ41</f>
        <v>3.7999999999999999E-2</v>
      </c>
      <c r="AS41" s="292">
        <f>+AS39+AS40</f>
        <v>3.3500000000000002E-2</v>
      </c>
      <c r="AT41" s="292">
        <f>+AT39+AT40</f>
        <v>3.3500000000000002E-2</v>
      </c>
      <c r="AU41" s="292">
        <f>AT41</f>
        <v>3.3500000000000002E-2</v>
      </c>
      <c r="AV41" s="292">
        <f>+AV39+AV40</f>
        <v>3.3500000000000002E-2</v>
      </c>
      <c r="AW41" s="292">
        <f>+AW39+AW40</f>
        <v>3.6500000000000005E-2</v>
      </c>
      <c r="AX41" s="292">
        <f>AW41</f>
        <v>3.6500000000000005E-2</v>
      </c>
      <c r="AY41" s="292">
        <f>+AY39+AY40</f>
        <v>3.7500000000000006E-2</v>
      </c>
      <c r="AZ41" s="292">
        <f>+AZ39+AZ40</f>
        <v>3.6500000000000005E-2</v>
      </c>
      <c r="BA41" s="292">
        <f>AZ41</f>
        <v>3.6500000000000005E-2</v>
      </c>
      <c r="BB41" s="292">
        <f>+BB39+BB40</f>
        <v>3.7500000000000006E-2</v>
      </c>
      <c r="BC41" s="292">
        <f>+BC39+BC40</f>
        <v>3.6500000000000005E-2</v>
      </c>
      <c r="BD41" s="292">
        <f>BC41</f>
        <v>3.6500000000000005E-2</v>
      </c>
      <c r="BE41" s="292">
        <f>+BE39+BE40</f>
        <v>3.7500000000000006E-2</v>
      </c>
      <c r="BF41" s="292">
        <f>+BF39+BF40</f>
        <v>3.6500000000000005E-2</v>
      </c>
      <c r="BG41" s="292">
        <f>BF41</f>
        <v>3.6500000000000005E-2</v>
      </c>
      <c r="BH41" s="292">
        <f>+BH39+BH40</f>
        <v>3.7500000000000006E-2</v>
      </c>
      <c r="BI41" s="292">
        <f>+BI39+BI40</f>
        <v>3.6500000000000005E-2</v>
      </c>
      <c r="BJ41" s="292">
        <f>BI41</f>
        <v>3.6500000000000005E-2</v>
      </c>
    </row>
    <row r="42" spans="1:62" s="301" customFormat="1">
      <c r="A42" s="301" t="s">
        <v>270</v>
      </c>
      <c r="F42" s="302"/>
      <c r="G42" s="302"/>
      <c r="H42" s="302"/>
      <c r="I42" s="302">
        <f>+I38*I41*0.5</f>
        <v>16.938300000000002</v>
      </c>
      <c r="J42" s="302">
        <f>+J38*J41*0.5</f>
        <v>18.732299999999995</v>
      </c>
      <c r="K42" s="302">
        <f>SUM(I42:J42)</f>
        <v>35.670599999999993</v>
      </c>
      <c r="L42" s="302">
        <f>+L38*L41*0.5</f>
        <v>-0.52829999999999699</v>
      </c>
      <c r="M42" s="302">
        <f>+M38*M41*0.5</f>
        <v>1.2479999999999973</v>
      </c>
      <c r="N42" s="302">
        <f>SUM(L42:M42)</f>
        <v>0.71970000000000034</v>
      </c>
      <c r="O42" s="302">
        <f>+O38*O41*0.5</f>
        <v>4.7282000000000037</v>
      </c>
      <c r="P42" s="302">
        <f>+P38*P41*0.5</f>
        <v>4.273200000000009</v>
      </c>
      <c r="Q42" s="302">
        <f>SUM(O42:P42)</f>
        <v>9.0014000000000127</v>
      </c>
      <c r="R42" s="302">
        <f>+R38*R41*0.5</f>
        <v>7.7661999999999924</v>
      </c>
      <c r="S42" s="302">
        <f>+S38*S41*0.5</f>
        <v>3.6999600000000008</v>
      </c>
      <c r="T42" s="302">
        <f>SUM(R42:S42)</f>
        <v>11.466159999999993</v>
      </c>
      <c r="U42" s="302">
        <f>+U38*U41*0.5</f>
        <v>5.5004500000000016</v>
      </c>
      <c r="V42" s="302">
        <f>+V38*V41*0.5</f>
        <v>8.4019000000000048</v>
      </c>
      <c r="W42" s="302">
        <f>SUM(U42:V42)</f>
        <v>13.902350000000006</v>
      </c>
      <c r="X42" s="302">
        <f>+X38*X41*0.5</f>
        <v>11.28725</v>
      </c>
      <c r="Y42" s="302">
        <f>+Y38*Y41*0.5</f>
        <v>18.849966141430034</v>
      </c>
      <c r="Z42" s="302">
        <f>SUM(X42:Y42)</f>
        <v>30.137216141430034</v>
      </c>
      <c r="AA42" s="302">
        <f>+AA38*AA41*0.5</f>
        <v>13.706250000000001</v>
      </c>
      <c r="AB42" s="302">
        <f>+AB38*AB41*0.5</f>
        <v>15.027199999999997</v>
      </c>
      <c r="AC42" s="302">
        <f>SUM(AA42:AB42)</f>
        <v>28.733449999999998</v>
      </c>
      <c r="AD42" s="302">
        <f>+AD38*AD41*0.5</f>
        <v>21.577500000000001</v>
      </c>
      <c r="AE42" s="302">
        <f>+AE38*AE41*0.5</f>
        <v>7.3412999999999995</v>
      </c>
      <c r="AF42" s="302">
        <f>SUM(AD42:AE42)</f>
        <v>28.918800000000001</v>
      </c>
      <c r="AG42" s="302">
        <f>+AG38*AG41*0.5</f>
        <v>15.723600000000003</v>
      </c>
      <c r="AH42" s="302">
        <f>+AH38*AH41*0.5</f>
        <v>16.052399999999999</v>
      </c>
      <c r="AI42" s="302">
        <f>SUM(AG42:AH42)</f>
        <v>31.776000000000003</v>
      </c>
      <c r="AJ42" s="302">
        <f>+AJ38*AJ41*0.5</f>
        <v>26.015000000000001</v>
      </c>
      <c r="AK42" s="302">
        <f>+AK38*AK41*0.5</f>
        <v>38.766400000000004</v>
      </c>
      <c r="AL42" s="302">
        <f>SUM(AJ42:AK42)</f>
        <v>64.781400000000005</v>
      </c>
      <c r="AM42" s="302">
        <f>+AM38*AM41*0.5</f>
        <v>40.654400000000003</v>
      </c>
      <c r="AN42" s="302">
        <f>+AN38*AN41*0.5</f>
        <v>40.596600000000002</v>
      </c>
      <c r="AO42" s="302">
        <f>SUM(AM42:AN42)</f>
        <v>81.251000000000005</v>
      </c>
      <c r="AP42" s="302">
        <f>+AP38*AP41*0.5</f>
        <v>45.323640527650177</v>
      </c>
      <c r="AQ42" s="302">
        <f>+AQ38*AQ41*0.5</f>
        <v>97.105199999999982</v>
      </c>
      <c r="AR42" s="302">
        <f>SUM(AP42:AQ42)</f>
        <v>142.42884052765015</v>
      </c>
      <c r="AS42" s="302">
        <f>+AS38*AS41*0.5</f>
        <v>25.490652499999999</v>
      </c>
      <c r="AT42" s="302">
        <f>+AT38*AT41*0.5</f>
        <v>6.9115525000000027</v>
      </c>
      <c r="AU42" s="302">
        <f>SUM(AS42:AT42)</f>
        <v>32.402205000000002</v>
      </c>
      <c r="AV42" s="302">
        <f>+AV38*AV41*0.5</f>
        <v>8.8110638995646333</v>
      </c>
      <c r="AW42" s="302">
        <f>+AW38*AW41*0.5</f>
        <v>12.145448207619872</v>
      </c>
      <c r="AX42" s="302">
        <f>SUM(AV42:AW42)</f>
        <v>20.956512107184505</v>
      </c>
      <c r="AY42" s="302">
        <f>+AY38*AY41*0.5</f>
        <v>14.427277665185857</v>
      </c>
      <c r="AZ42" s="302">
        <f>+AZ38*AZ41*0.5</f>
        <v>17.584130289457459</v>
      </c>
      <c r="BA42" s="302">
        <f>SUM(AY42:AZ42)</f>
        <v>32.011407954643317</v>
      </c>
      <c r="BB42" s="302">
        <f>+BB38*BB41*0.5</f>
        <v>21.845608024359439</v>
      </c>
      <c r="BC42" s="302">
        <f>+BC38*BC41*0.5</f>
        <v>25.084723058362975</v>
      </c>
      <c r="BD42" s="302">
        <f>SUM(BB42:BC42)</f>
        <v>46.930331082722418</v>
      </c>
      <c r="BE42" s="302">
        <f>+BE38*BE41*0.5</f>
        <v>88.014292612124578</v>
      </c>
      <c r="BF42" s="302">
        <f>+BF38*BF41*0.5</f>
        <v>89.791400707309108</v>
      </c>
      <c r="BG42" s="302">
        <f>SUM(BE42:BF42)</f>
        <v>177.80569331943369</v>
      </c>
      <c r="BH42" s="302">
        <f>+BH38*BH41*0.5</f>
        <v>96.653177566474668</v>
      </c>
      <c r="BI42" s="302">
        <f>+BI38*BI41*0.5</f>
        <v>98.526606018412977</v>
      </c>
      <c r="BJ42" s="302">
        <f>SUM(BH42:BI42)</f>
        <v>195.17978358488764</v>
      </c>
    </row>
    <row r="43" spans="1:62" s="1" customFormat="1"/>
    <row r="44" spans="1:62" s="1" customFormat="1">
      <c r="A44" s="48" t="s">
        <v>271</v>
      </c>
    </row>
    <row r="45" spans="1:62" s="1" customFormat="1">
      <c r="A45" s="1" t="s">
        <v>272</v>
      </c>
      <c r="F45" s="23"/>
      <c r="G45" s="23"/>
      <c r="H45" s="23"/>
      <c r="I45" s="23">
        <f>+I18-I24</f>
        <v>119.75935000000001</v>
      </c>
      <c r="J45" s="23">
        <v>-149.1</v>
      </c>
      <c r="K45" s="23">
        <f>SUM(I45:J45)</f>
        <v>-29.340649999999982</v>
      </c>
      <c r="L45" s="23">
        <f>+L18-L24</f>
        <v>422.69999999999982</v>
      </c>
      <c r="M45" s="23">
        <f>+M18-M24</f>
        <v>119.20968594908179</v>
      </c>
      <c r="N45" s="23">
        <f>SUM(L45:M45)</f>
        <v>541.90968594908156</v>
      </c>
      <c r="O45" s="23">
        <f>+O18-O24</f>
        <v>500.06742404329884</v>
      </c>
      <c r="P45" s="23">
        <f>+P18-P24</f>
        <v>-261.04743585651852</v>
      </c>
      <c r="Q45" s="23">
        <f>SUM(O45:P45)</f>
        <v>239.01998818678032</v>
      </c>
      <c r="R45" s="23">
        <f>+R18-R24</f>
        <v>0</v>
      </c>
      <c r="S45" s="23">
        <f>+S18-S24</f>
        <v>0</v>
      </c>
      <c r="T45" s="23">
        <f>SUM(R45:S45)</f>
        <v>0</v>
      </c>
      <c r="U45" s="23">
        <f>+U18-U24</f>
        <v>-200</v>
      </c>
      <c r="V45" s="23">
        <f>+V18-V24</f>
        <v>-45.000000000000114</v>
      </c>
      <c r="W45" s="23">
        <f>SUM(U45:V45)</f>
        <v>-245.00000000000011</v>
      </c>
      <c r="X45" s="23">
        <f>+X18-X24</f>
        <v>657.62749055913355</v>
      </c>
      <c r="Y45" s="23">
        <f>+Y18-Y24</f>
        <v>412.96843141398335</v>
      </c>
      <c r="Z45" s="23">
        <f>SUM(X45:Y45)</f>
        <v>1070.5959219731169</v>
      </c>
      <c r="AA45" s="23">
        <f>+AA18-AA24</f>
        <v>-80</v>
      </c>
      <c r="AB45" s="23">
        <f>+AB18-AB24</f>
        <v>82.198897575629019</v>
      </c>
      <c r="AC45" s="23">
        <f>SUM(AA45:AB45)</f>
        <v>2.1988975756290188</v>
      </c>
      <c r="AD45" s="23">
        <f>+AD18-AD24</f>
        <v>-1061.259213368674</v>
      </c>
      <c r="AE45" s="23">
        <f>+AE18-AE24</f>
        <v>438.73022717909254</v>
      </c>
      <c r="AF45" s="23">
        <f>SUM(AD45:AE45)</f>
        <v>-622.52898618958147</v>
      </c>
      <c r="AG45" s="23">
        <f>+AG18-AG24</f>
        <v>0</v>
      </c>
      <c r="AH45" s="23">
        <f>+AH18-AH24</f>
        <v>749.57602153103517</v>
      </c>
      <c r="AI45" s="23">
        <f>SUM(AG45:AH45)</f>
        <v>749.57602153103517</v>
      </c>
      <c r="AJ45" s="23">
        <f>+AJ18-AJ24</f>
        <v>286.70047728388602</v>
      </c>
      <c r="AK45" s="23">
        <f>+AK18-AK24</f>
        <v>-32.247788590900996</v>
      </c>
      <c r="AL45" s="23">
        <f>SUM(AJ45:AK45)</f>
        <v>254.45268869298502</v>
      </c>
      <c r="AM45" s="23">
        <f>+AM18-AM24</f>
        <v>-141.06735196689021</v>
      </c>
      <c r="AN45" s="23">
        <f>+AN18-AN24</f>
        <v>205.69650162648088</v>
      </c>
      <c r="AO45" s="23">
        <f>SUM(AM45:AN45)</f>
        <v>64.629149659590666</v>
      </c>
      <c r="AP45" s="23">
        <f>+AP18-AP24</f>
        <v>286.40090636094556</v>
      </c>
      <c r="AQ45" s="23">
        <f>+AQ18-AQ24</f>
        <v>-1940.1795714490756</v>
      </c>
      <c r="AR45" s="23">
        <f>SUM(AP45:AQ45)</f>
        <v>-1653.7786650881301</v>
      </c>
      <c r="AS45" s="23">
        <f>+AS18-AS24</f>
        <v>-1110.2699172367884</v>
      </c>
      <c r="AT45" s="23">
        <f>+AT18-AT24</f>
        <v>170.92306344542408</v>
      </c>
      <c r="AU45" s="23">
        <f>SUM(AS45:AT45)</f>
        <v>-939.34685379136431</v>
      </c>
      <c r="AV45" s="23">
        <f>+AV18-AV24</f>
        <v>139.47034573078145</v>
      </c>
      <c r="AW45" s="23">
        <f>+AW18-AW24</f>
        <v>186.81735348739585</v>
      </c>
      <c r="AX45" s="23">
        <f>SUM(AV45:AW45)</f>
        <v>326.28769921817729</v>
      </c>
      <c r="AY45" s="23">
        <f>+AY18-AY24</f>
        <v>194.05917965350955</v>
      </c>
      <c r="AZ45" s="23">
        <f>+AZ18-AZ24</f>
        <v>201.58510616908143</v>
      </c>
      <c r="BA45" s="23">
        <f>SUM(AY45:AZ45)</f>
        <v>395.64428582259097</v>
      </c>
      <c r="BB45" s="23">
        <f>+BB18-BB24</f>
        <v>209.40627842848198</v>
      </c>
      <c r="BC45" s="23">
        <f>+BC18-BC24</f>
        <v>217.53427906530192</v>
      </c>
      <c r="BD45" s="23">
        <f>SUM(BB45:BC45)</f>
        <v>426.9405574937839</v>
      </c>
      <c r="BE45" s="23">
        <f>+BE18-BE24</f>
        <v>225.98114510545383</v>
      </c>
      <c r="BF45" s="23">
        <f>+BF18-BF24</f>
        <v>234.75938579321792</v>
      </c>
      <c r="BG45" s="23">
        <f>SUM(BE45:BF45)</f>
        <v>460.74053089867175</v>
      </c>
      <c r="BH45" s="23">
        <f>+BH18-BH24</f>
        <v>243.88200111658284</v>
      </c>
      <c r="BI45" s="23">
        <f>+BI18-BI24</f>
        <v>253.36250105936756</v>
      </c>
      <c r="BJ45" s="23">
        <f>SUM(BH45:BI45)</f>
        <v>497.2445021759504</v>
      </c>
    </row>
    <row r="46" spans="1:62" s="1" customFormat="1">
      <c r="A46" s="1" t="s">
        <v>262</v>
      </c>
      <c r="F46" s="311"/>
      <c r="G46" s="311"/>
      <c r="H46" s="311"/>
      <c r="I46" s="311">
        <f t="shared" ref="I46:J48" si="42">+I39</f>
        <v>0.06</v>
      </c>
      <c r="J46" s="311">
        <f t="shared" si="42"/>
        <v>0.06</v>
      </c>
      <c r="K46" s="311">
        <f>J46</f>
        <v>0.06</v>
      </c>
      <c r="L46" s="311">
        <f>+L39</f>
        <v>0.02</v>
      </c>
      <c r="M46" s="311">
        <f>+M39</f>
        <v>0.02</v>
      </c>
      <c r="N46" s="311">
        <f t="shared" ref="N46:AR47" si="43">+N39</f>
        <v>0.02</v>
      </c>
      <c r="O46" s="311">
        <f t="shared" si="43"/>
        <v>0.04</v>
      </c>
      <c r="P46" s="311">
        <f t="shared" si="43"/>
        <v>0.04</v>
      </c>
      <c r="Q46" s="311">
        <f t="shared" si="43"/>
        <v>0.04</v>
      </c>
      <c r="R46" s="311">
        <f t="shared" si="43"/>
        <v>0.04</v>
      </c>
      <c r="S46" s="311">
        <f t="shared" si="43"/>
        <v>1.4999999999999999E-2</v>
      </c>
      <c r="T46" s="311">
        <f t="shared" si="43"/>
        <v>1.4999999999999999E-2</v>
      </c>
      <c r="U46" s="311">
        <f t="shared" si="43"/>
        <v>1.7999999999999999E-2</v>
      </c>
      <c r="V46" s="311">
        <f t="shared" si="43"/>
        <v>1.7999999999999999E-2</v>
      </c>
      <c r="W46" s="311">
        <f t="shared" si="43"/>
        <v>1.7999999999999999E-2</v>
      </c>
      <c r="X46" s="311">
        <f t="shared" si="43"/>
        <v>1.7999999999999999E-2</v>
      </c>
      <c r="Y46" s="311">
        <f t="shared" si="43"/>
        <v>1.7999999999999999E-2</v>
      </c>
      <c r="Z46" s="311">
        <f t="shared" si="43"/>
        <v>1.7999999999999999E-2</v>
      </c>
      <c r="AA46" s="311">
        <f t="shared" si="43"/>
        <v>0.02</v>
      </c>
      <c r="AB46" s="311">
        <f t="shared" si="43"/>
        <v>2.5000000000000001E-2</v>
      </c>
      <c r="AC46" s="311">
        <f t="shared" si="43"/>
        <v>2.5000000000000001E-2</v>
      </c>
      <c r="AD46" s="311">
        <f t="shared" si="43"/>
        <v>0.02</v>
      </c>
      <c r="AE46" s="311">
        <f t="shared" si="43"/>
        <v>0.02</v>
      </c>
      <c r="AF46" s="311">
        <f t="shared" si="43"/>
        <v>0.02</v>
      </c>
      <c r="AG46" s="311">
        <f t="shared" si="43"/>
        <v>1.7000000000000001E-2</v>
      </c>
      <c r="AH46" s="311">
        <f t="shared" si="43"/>
        <v>1.7000000000000001E-2</v>
      </c>
      <c r="AI46" s="311">
        <f t="shared" si="43"/>
        <v>1.7000000000000001E-2</v>
      </c>
      <c r="AJ46" s="311">
        <f t="shared" si="43"/>
        <v>1.7999999999999999E-2</v>
      </c>
      <c r="AK46" s="311">
        <f t="shared" si="43"/>
        <v>2.5000000000000001E-2</v>
      </c>
      <c r="AL46" s="311">
        <f t="shared" si="43"/>
        <v>2.5000000000000001E-2</v>
      </c>
      <c r="AM46" s="311">
        <f t="shared" si="43"/>
        <v>2.5000000000000001E-2</v>
      </c>
      <c r="AN46" s="311">
        <f t="shared" si="43"/>
        <v>2.5999999999999999E-2</v>
      </c>
      <c r="AO46" s="311">
        <f t="shared" si="43"/>
        <v>2.5999999999999999E-2</v>
      </c>
      <c r="AP46" s="311">
        <f t="shared" si="43"/>
        <v>2.7E-2</v>
      </c>
      <c r="AQ46" s="311">
        <f t="shared" si="43"/>
        <v>2.7E-2</v>
      </c>
      <c r="AR46" s="311">
        <f t="shared" si="43"/>
        <v>2.7E-2</v>
      </c>
      <c r="AS46" s="311">
        <f t="shared" ref="AS46:AU46" si="44">+AS39</f>
        <v>2.9499999999999998E-2</v>
      </c>
      <c r="AT46" s="311">
        <f t="shared" si="44"/>
        <v>2.9499999999999998E-2</v>
      </c>
      <c r="AU46" s="311">
        <f t="shared" si="44"/>
        <v>2.9499999999999998E-2</v>
      </c>
      <c r="AV46" s="311">
        <f t="shared" ref="AV46:AX46" si="45">+AV39</f>
        <v>2.9499999999999998E-2</v>
      </c>
      <c r="AW46" s="311">
        <f t="shared" si="45"/>
        <v>3.2500000000000001E-2</v>
      </c>
      <c r="AX46" s="311">
        <f t="shared" si="45"/>
        <v>3.2500000000000001E-2</v>
      </c>
      <c r="AY46" s="311">
        <f t="shared" ref="AY46:BA46" si="46">+AY39</f>
        <v>3.3500000000000002E-2</v>
      </c>
      <c r="AZ46" s="311">
        <f t="shared" si="46"/>
        <v>3.2500000000000001E-2</v>
      </c>
      <c r="BA46" s="311">
        <f t="shared" si="46"/>
        <v>3.2500000000000001E-2</v>
      </c>
      <c r="BB46" s="311">
        <f t="shared" ref="BB46:BG46" si="47">+BB39</f>
        <v>3.3500000000000002E-2</v>
      </c>
      <c r="BC46" s="311">
        <f t="shared" si="47"/>
        <v>3.2500000000000001E-2</v>
      </c>
      <c r="BD46" s="311">
        <f t="shared" si="47"/>
        <v>3.2500000000000001E-2</v>
      </c>
      <c r="BE46" s="311">
        <f t="shared" si="47"/>
        <v>3.3500000000000002E-2</v>
      </c>
      <c r="BF46" s="311">
        <f t="shared" si="47"/>
        <v>3.2500000000000001E-2</v>
      </c>
      <c r="BG46" s="311">
        <f t="shared" si="47"/>
        <v>3.2500000000000001E-2</v>
      </c>
      <c r="BH46" s="311">
        <f t="shared" ref="BH46:BJ46" si="48">+BH39</f>
        <v>3.3500000000000002E-2</v>
      </c>
      <c r="BI46" s="311">
        <f t="shared" si="48"/>
        <v>3.2500000000000001E-2</v>
      </c>
      <c r="BJ46" s="311">
        <f t="shared" si="48"/>
        <v>3.2500000000000001E-2</v>
      </c>
    </row>
    <row r="47" spans="1:62" s="1" customFormat="1">
      <c r="A47" s="1" t="s">
        <v>268</v>
      </c>
      <c r="F47" s="311"/>
      <c r="G47" s="311"/>
      <c r="H47" s="311"/>
      <c r="I47" s="311">
        <f t="shared" si="42"/>
        <v>0</v>
      </c>
      <c r="J47" s="311">
        <f t="shared" si="42"/>
        <v>0</v>
      </c>
      <c r="K47" s="311">
        <f>J47</f>
        <v>0</v>
      </c>
      <c r="L47" s="311">
        <f>+L40</f>
        <v>0.01</v>
      </c>
      <c r="M47" s="311">
        <f t="shared" ref="M47:AC47" si="49">+M40</f>
        <v>0.01</v>
      </c>
      <c r="N47" s="311">
        <f t="shared" si="49"/>
        <v>0.01</v>
      </c>
      <c r="O47" s="311">
        <f t="shared" si="49"/>
        <v>0.01</v>
      </c>
      <c r="P47" s="311">
        <f t="shared" si="49"/>
        <v>0.01</v>
      </c>
      <c r="Q47" s="311">
        <f t="shared" si="49"/>
        <v>0.01</v>
      </c>
      <c r="R47" s="311">
        <f t="shared" si="49"/>
        <v>0.01</v>
      </c>
      <c r="S47" s="311">
        <f t="shared" si="49"/>
        <v>5.0000000000000001E-3</v>
      </c>
      <c r="T47" s="311">
        <f t="shared" si="49"/>
        <v>5.0000000000000001E-3</v>
      </c>
      <c r="U47" s="311">
        <f t="shared" si="49"/>
        <v>5.0000000000000001E-3</v>
      </c>
      <c r="V47" s="311">
        <f t="shared" si="49"/>
        <v>5.0000000000000001E-3</v>
      </c>
      <c r="W47" s="311">
        <f t="shared" si="49"/>
        <v>5.0000000000000001E-3</v>
      </c>
      <c r="X47" s="311">
        <f t="shared" si="49"/>
        <v>5.0000000000000001E-3</v>
      </c>
      <c r="Y47" s="311">
        <f t="shared" si="49"/>
        <v>5.0000000000000001E-3</v>
      </c>
      <c r="Z47" s="311">
        <f t="shared" si="49"/>
        <v>5.0000000000000001E-3</v>
      </c>
      <c r="AA47" s="311">
        <f t="shared" si="49"/>
        <v>5.4999999999999997E-3</v>
      </c>
      <c r="AB47" s="311">
        <f t="shared" si="49"/>
        <v>7.0000000000000001E-3</v>
      </c>
      <c r="AC47" s="311">
        <f t="shared" si="49"/>
        <v>7.0000000000000001E-3</v>
      </c>
      <c r="AD47" s="311">
        <f t="shared" si="43"/>
        <v>7.0000000000000001E-3</v>
      </c>
      <c r="AE47" s="311">
        <f t="shared" si="43"/>
        <v>7.0000000000000001E-3</v>
      </c>
      <c r="AF47" s="311">
        <f t="shared" si="43"/>
        <v>7.0000000000000001E-3</v>
      </c>
      <c r="AG47" s="311">
        <f t="shared" si="43"/>
        <v>7.0000000000000001E-3</v>
      </c>
      <c r="AH47" s="311">
        <f t="shared" si="43"/>
        <v>7.0000000000000001E-3</v>
      </c>
      <c r="AI47" s="311">
        <f t="shared" si="43"/>
        <v>7.0000000000000001E-3</v>
      </c>
      <c r="AJ47" s="311">
        <f t="shared" si="43"/>
        <v>7.0000000000000001E-3</v>
      </c>
      <c r="AK47" s="311">
        <f t="shared" si="43"/>
        <v>7.0000000000000001E-3</v>
      </c>
      <c r="AL47" s="311">
        <f t="shared" si="43"/>
        <v>7.0000000000000001E-3</v>
      </c>
      <c r="AM47" s="311">
        <f t="shared" si="43"/>
        <v>7.0000000000000001E-3</v>
      </c>
      <c r="AN47" s="311">
        <f t="shared" si="43"/>
        <v>7.0000000000000001E-3</v>
      </c>
      <c r="AO47" s="311">
        <f t="shared" si="43"/>
        <v>7.0000000000000001E-3</v>
      </c>
      <c r="AP47" s="311">
        <f t="shared" si="43"/>
        <v>7.0000000000000001E-3</v>
      </c>
      <c r="AQ47" s="311">
        <f t="shared" si="43"/>
        <v>1.0999999999999999E-2</v>
      </c>
      <c r="AR47" s="311">
        <f t="shared" si="43"/>
        <v>1.0999999999999999E-2</v>
      </c>
      <c r="AS47" s="311">
        <f t="shared" ref="AS47:AU47" si="50">+AS40</f>
        <v>4.0000000000000001E-3</v>
      </c>
      <c r="AT47" s="311">
        <f t="shared" si="50"/>
        <v>4.0000000000000001E-3</v>
      </c>
      <c r="AU47" s="311">
        <f t="shared" si="50"/>
        <v>4.0000000000000001E-3</v>
      </c>
      <c r="AV47" s="311">
        <f t="shared" ref="AV47:AX47" si="51">+AV40</f>
        <v>4.0000000000000001E-3</v>
      </c>
      <c r="AW47" s="311">
        <f t="shared" si="51"/>
        <v>4.0000000000000001E-3</v>
      </c>
      <c r="AX47" s="311">
        <f t="shared" si="51"/>
        <v>4.0000000000000001E-3</v>
      </c>
      <c r="AY47" s="311">
        <f t="shared" ref="AY47:BA47" si="52">+AY40</f>
        <v>4.0000000000000001E-3</v>
      </c>
      <c r="AZ47" s="311">
        <f t="shared" si="52"/>
        <v>4.0000000000000001E-3</v>
      </c>
      <c r="BA47" s="311">
        <f t="shared" si="52"/>
        <v>4.0000000000000001E-3</v>
      </c>
      <c r="BB47" s="311">
        <f t="shared" ref="BB47:BG47" si="53">+BB40</f>
        <v>4.0000000000000001E-3</v>
      </c>
      <c r="BC47" s="311">
        <f t="shared" si="53"/>
        <v>4.0000000000000001E-3</v>
      </c>
      <c r="BD47" s="311">
        <f t="shared" si="53"/>
        <v>4.0000000000000001E-3</v>
      </c>
      <c r="BE47" s="311">
        <f t="shared" si="53"/>
        <v>4.0000000000000001E-3</v>
      </c>
      <c r="BF47" s="311">
        <f t="shared" si="53"/>
        <v>4.0000000000000001E-3</v>
      </c>
      <c r="BG47" s="311">
        <f t="shared" si="53"/>
        <v>4.0000000000000001E-3</v>
      </c>
      <c r="BH47" s="311">
        <f t="shared" ref="BH47:BJ47" si="54">+BH40</f>
        <v>4.0000000000000001E-3</v>
      </c>
      <c r="BI47" s="311">
        <f t="shared" si="54"/>
        <v>4.0000000000000001E-3</v>
      </c>
      <c r="BJ47" s="311">
        <f t="shared" si="54"/>
        <v>4.0000000000000001E-3</v>
      </c>
    </row>
    <row r="48" spans="1:62" s="1" customFormat="1">
      <c r="A48" s="1" t="s">
        <v>269</v>
      </c>
      <c r="F48" s="311"/>
      <c r="G48" s="311"/>
      <c r="H48" s="311"/>
      <c r="I48" s="311">
        <f t="shared" si="42"/>
        <v>0.06</v>
      </c>
      <c r="J48" s="311">
        <f t="shared" si="42"/>
        <v>0.06</v>
      </c>
      <c r="K48" s="311">
        <f>J48</f>
        <v>0.06</v>
      </c>
      <c r="L48" s="311">
        <f>+L41</f>
        <v>0.03</v>
      </c>
      <c r="M48" s="311">
        <f>+M41</f>
        <v>0.03</v>
      </c>
      <c r="N48" s="311">
        <f>M48</f>
        <v>0.03</v>
      </c>
      <c r="O48" s="311">
        <f>+O41</f>
        <v>0.05</v>
      </c>
      <c r="P48" s="311">
        <f>+P41</f>
        <v>0.05</v>
      </c>
      <c r="Q48" s="311">
        <f>P48</f>
        <v>0.05</v>
      </c>
      <c r="R48" s="311">
        <f>+R41</f>
        <v>0.05</v>
      </c>
      <c r="S48" s="311">
        <f>+S41</f>
        <v>0.02</v>
      </c>
      <c r="T48" s="311">
        <f>S48</f>
        <v>0.02</v>
      </c>
      <c r="U48" s="311">
        <f>+U41</f>
        <v>2.3E-2</v>
      </c>
      <c r="V48" s="311">
        <f>+V41</f>
        <v>2.3E-2</v>
      </c>
      <c r="W48" s="311">
        <f>V48</f>
        <v>2.3E-2</v>
      </c>
      <c r="X48" s="311">
        <f>+X41</f>
        <v>2.3E-2</v>
      </c>
      <c r="Y48" s="311">
        <f>+Y41</f>
        <v>2.3E-2</v>
      </c>
      <c r="Z48" s="311">
        <f>Y48</f>
        <v>2.3E-2</v>
      </c>
      <c r="AA48" s="311">
        <f>+AA41</f>
        <v>2.5500000000000002E-2</v>
      </c>
      <c r="AB48" s="311">
        <f>+AB41</f>
        <v>3.2000000000000001E-2</v>
      </c>
      <c r="AC48" s="311">
        <f>AB48</f>
        <v>3.2000000000000001E-2</v>
      </c>
      <c r="AD48" s="311">
        <f>+AD41</f>
        <v>0.03</v>
      </c>
      <c r="AE48" s="311">
        <f>+AE41</f>
        <v>2.7E-2</v>
      </c>
      <c r="AF48" s="311">
        <f>AE48</f>
        <v>2.7E-2</v>
      </c>
      <c r="AG48" s="311">
        <f>+AG41</f>
        <v>2.4E-2</v>
      </c>
      <c r="AH48" s="311">
        <f>+AH41</f>
        <v>2.4E-2</v>
      </c>
      <c r="AI48" s="311">
        <f>AH48</f>
        <v>2.4E-2</v>
      </c>
      <c r="AJ48" s="311">
        <f>+AJ41</f>
        <v>2.4999999999999998E-2</v>
      </c>
      <c r="AK48" s="311">
        <f>+AK41</f>
        <v>3.2000000000000001E-2</v>
      </c>
      <c r="AL48" s="311">
        <f>AK48</f>
        <v>3.2000000000000001E-2</v>
      </c>
      <c r="AM48" s="311">
        <f>+AM41</f>
        <v>3.2000000000000001E-2</v>
      </c>
      <c r="AN48" s="311">
        <f>+AN41</f>
        <v>3.3000000000000002E-2</v>
      </c>
      <c r="AO48" s="311">
        <f>AN48</f>
        <v>3.3000000000000002E-2</v>
      </c>
      <c r="AP48" s="311">
        <f>+AP41</f>
        <v>3.4000000000000002E-2</v>
      </c>
      <c r="AQ48" s="311">
        <f>+AQ41</f>
        <v>3.7999999999999999E-2</v>
      </c>
      <c r="AR48" s="311">
        <f>AQ48</f>
        <v>3.7999999999999999E-2</v>
      </c>
      <c r="AS48" s="311">
        <f>+AS41</f>
        <v>3.3500000000000002E-2</v>
      </c>
      <c r="AT48" s="311">
        <f>+AT41</f>
        <v>3.3500000000000002E-2</v>
      </c>
      <c r="AU48" s="311">
        <f>AT48</f>
        <v>3.3500000000000002E-2</v>
      </c>
      <c r="AV48" s="311">
        <f>+AV41</f>
        <v>3.3500000000000002E-2</v>
      </c>
      <c r="AW48" s="311">
        <f>+AW41</f>
        <v>3.6500000000000005E-2</v>
      </c>
      <c r="AX48" s="311">
        <f>AW48</f>
        <v>3.6500000000000005E-2</v>
      </c>
      <c r="AY48" s="311">
        <f>+AY41</f>
        <v>3.7500000000000006E-2</v>
      </c>
      <c r="AZ48" s="311">
        <f>+AZ41</f>
        <v>3.6500000000000005E-2</v>
      </c>
      <c r="BA48" s="311">
        <f>AZ48</f>
        <v>3.6500000000000005E-2</v>
      </c>
      <c r="BB48" s="311">
        <f>+BB41</f>
        <v>3.7500000000000006E-2</v>
      </c>
      <c r="BC48" s="311">
        <f>+BC41</f>
        <v>3.6500000000000005E-2</v>
      </c>
      <c r="BD48" s="311">
        <f>BC48</f>
        <v>3.6500000000000005E-2</v>
      </c>
      <c r="BE48" s="311">
        <f>+BE41</f>
        <v>3.7500000000000006E-2</v>
      </c>
      <c r="BF48" s="311">
        <f>+BF41</f>
        <v>3.6500000000000005E-2</v>
      </c>
      <c r="BG48" s="311">
        <f>BF48</f>
        <v>3.6500000000000005E-2</v>
      </c>
      <c r="BH48" s="311">
        <f>+BH41</f>
        <v>3.7500000000000006E-2</v>
      </c>
      <c r="BI48" s="311">
        <f>+BI41</f>
        <v>3.6500000000000005E-2</v>
      </c>
      <c r="BJ48" s="311">
        <f>BI48</f>
        <v>3.6500000000000005E-2</v>
      </c>
    </row>
    <row r="49" spans="1:62" s="301" customFormat="1">
      <c r="A49" s="301" t="s">
        <v>273</v>
      </c>
      <c r="F49" s="302"/>
      <c r="G49" s="302"/>
      <c r="H49" s="302"/>
      <c r="I49" s="302">
        <f>+I45*I48*0.5*0.5</f>
        <v>1.7963902500000002</v>
      </c>
      <c r="J49" s="302">
        <f>+J45*J48*0.5*0.5</f>
        <v>-2.2364999999999999</v>
      </c>
      <c r="K49" s="302">
        <f>SUM(I49:J49)</f>
        <v>-0.44010974999999974</v>
      </c>
      <c r="L49" s="302">
        <f>MAX(+L45*L48*0.5*0.5,0)</f>
        <v>3.1702499999999985</v>
      </c>
      <c r="M49" s="302">
        <f>+M45*M48*0.5*0.5</f>
        <v>0.89407264461811342</v>
      </c>
      <c r="N49" s="302">
        <f>SUM(L49:M49)</f>
        <v>4.0643226446181115</v>
      </c>
      <c r="O49" s="302">
        <f>MAX(+O45*O48*0.5*0.5,0)</f>
        <v>6.2508428005412355</v>
      </c>
      <c r="P49" s="302">
        <f>MAX(+P45*P48*0.5*0.5,0)</f>
        <v>0</v>
      </c>
      <c r="Q49" s="302">
        <f>SUM(O49:P49)</f>
        <v>6.2508428005412355</v>
      </c>
      <c r="R49" s="302">
        <f>+R45*R48*0.5*0.5</f>
        <v>0</v>
      </c>
      <c r="S49" s="302">
        <f>+S45*S48*0.5*0.5</f>
        <v>0</v>
      </c>
      <c r="T49" s="302">
        <f>SUM(R49:S49)</f>
        <v>0</v>
      </c>
      <c r="U49" s="302">
        <f>+U45*U48*0.5*0.5</f>
        <v>-1.1499999999999999</v>
      </c>
      <c r="V49" s="302">
        <f>+V45*V48*0.5*0.5</f>
        <v>-0.25875000000000065</v>
      </c>
      <c r="W49" s="302">
        <f>SUM(U49:V49)</f>
        <v>-1.4087500000000006</v>
      </c>
      <c r="X49" s="302">
        <f>+X45*X48*0.5*0.5</f>
        <v>3.7813580707150178</v>
      </c>
      <c r="Y49" s="302">
        <f>+Y45*Y48*0.5*0.5</f>
        <v>2.3745684806304044</v>
      </c>
      <c r="Z49" s="302">
        <f>SUM(X49:Y49)</f>
        <v>6.1559265513454218</v>
      </c>
      <c r="AA49" s="302">
        <f>+AA45*AA48*0.5*0.5</f>
        <v>-0.51</v>
      </c>
      <c r="AB49" s="302">
        <f>+AB45*AB48*0.5*0.5</f>
        <v>0.65759118060503219</v>
      </c>
      <c r="AC49" s="302">
        <f>SUM(AA49:AB49)</f>
        <v>0.14759118060503218</v>
      </c>
      <c r="AD49" s="302">
        <f>+AD45*AD48*0.5*0.5</f>
        <v>-7.9594441002650544</v>
      </c>
      <c r="AE49" s="302">
        <f>+AE45*AE48*0.5*0.5</f>
        <v>2.9614290334588746</v>
      </c>
      <c r="AF49" s="302">
        <f>SUM(AD49:AE49)</f>
        <v>-4.9980150668061798</v>
      </c>
      <c r="AG49" s="302">
        <f>+AG45*AG48*0.5*0.5</f>
        <v>0</v>
      </c>
      <c r="AH49" s="302">
        <f>+AH45*AH48*0.5*0.5</f>
        <v>4.4974561291862107</v>
      </c>
      <c r="AI49" s="302">
        <f>SUM(AG49:AH49)</f>
        <v>4.4974561291862107</v>
      </c>
      <c r="AJ49" s="302">
        <f>+AJ45*AJ48*0.5*0.5</f>
        <v>1.7918779830242875</v>
      </c>
      <c r="AK49" s="302">
        <f>+AK45*AK48*0.5*0.5</f>
        <v>-0.25798230872720795</v>
      </c>
      <c r="AL49" s="302">
        <f>SUM(AJ49:AK49)</f>
        <v>1.5338956742970795</v>
      </c>
      <c r="AM49" s="302">
        <f>+AM45*AM48*0.5*0.5</f>
        <v>-1.1285388157351217</v>
      </c>
      <c r="AN49" s="302">
        <f>+AN45*AN48*0.5*0.5</f>
        <v>1.6969961384184673</v>
      </c>
      <c r="AO49" s="302">
        <f>SUM(AM49:AN49)</f>
        <v>0.56845732268334559</v>
      </c>
      <c r="AP49" s="302">
        <f>+AP45*AP48*0.5*0.5</f>
        <v>2.4344077040680374</v>
      </c>
      <c r="AQ49" s="302">
        <f>+AQ45*AQ48*0.5*0.5</f>
        <v>-18.431705928766217</v>
      </c>
      <c r="AR49" s="302">
        <f>SUM(AP49:AQ49)</f>
        <v>-15.997298224698179</v>
      </c>
      <c r="AS49" s="302">
        <f>+AS45*AS48*0.5*0.5</f>
        <v>-9.298510556858103</v>
      </c>
      <c r="AT49" s="302">
        <f>+AT45*AT48*0.5*0.5</f>
        <v>1.4314806563554268</v>
      </c>
      <c r="AU49" s="302">
        <f>SUM(AS49:AT49)</f>
        <v>-7.8670299005026765</v>
      </c>
      <c r="AV49" s="302">
        <f>+AV45*AV48*0.5*0.5</f>
        <v>1.1680641454952947</v>
      </c>
      <c r="AW49" s="302">
        <f>+AW45*AW48*0.5*0.5</f>
        <v>1.7047083505724874</v>
      </c>
      <c r="AX49" s="302">
        <f>SUM(AV49:AW49)</f>
        <v>2.8727724960677818</v>
      </c>
      <c r="AY49" s="302">
        <f>+AY45*AY48*0.5*0.5</f>
        <v>1.8193048092516522</v>
      </c>
      <c r="AZ49" s="302">
        <f>+AZ45*AZ48*0.5*0.5</f>
        <v>1.8394640937928683</v>
      </c>
      <c r="BA49" s="302">
        <f>SUM(AY49:AZ49)</f>
        <v>3.6587689030445203</v>
      </c>
      <c r="BB49" s="302">
        <f>+BB45*BB48*0.5*0.5</f>
        <v>1.9631838602670189</v>
      </c>
      <c r="BC49" s="302">
        <f>+BC45*BC48*0.5*0.5</f>
        <v>1.9850002964708802</v>
      </c>
      <c r="BD49" s="302">
        <f>SUM(BB49:BC49)</f>
        <v>3.948184156737899</v>
      </c>
      <c r="BE49" s="302">
        <f>+BE45*BE48*0.5*0.5</f>
        <v>2.11857323536363</v>
      </c>
      <c r="BF49" s="302">
        <f>+BF45*BF48*0.5*0.5</f>
        <v>2.1421793953631139</v>
      </c>
      <c r="BG49" s="302">
        <f>SUM(BE49:BF49)</f>
        <v>4.2607526307267438</v>
      </c>
      <c r="BH49" s="302">
        <f>+BH45*BH48*0.5*0.5</f>
        <v>2.2863937604679645</v>
      </c>
      <c r="BI49" s="302">
        <f>+BI45*BI48*0.5*0.5</f>
        <v>2.3119328221667295</v>
      </c>
      <c r="BJ49" s="302">
        <f>SUM(BH49:BI49)</f>
        <v>4.5983265826346944</v>
      </c>
    </row>
    <row r="50" spans="1:62" s="1" customFormat="1"/>
    <row r="51" spans="1:62" s="1" customFormat="1">
      <c r="A51" s="48" t="s">
        <v>274</v>
      </c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</row>
    <row r="52" spans="1:62" s="1" customFormat="1">
      <c r="A52" s="1" t="s">
        <v>275</v>
      </c>
      <c r="D52" s="23"/>
      <c r="E52" s="23"/>
      <c r="F52" s="23"/>
      <c r="G52" s="23"/>
      <c r="H52" s="23"/>
      <c r="I52" s="56">
        <f>3716.4-2371.1</f>
        <v>1345.3000000000002</v>
      </c>
      <c r="J52" s="23">
        <f>+I52</f>
        <v>1345.3000000000002</v>
      </c>
      <c r="K52" s="23">
        <f>J52</f>
        <v>1345.3000000000002</v>
      </c>
      <c r="L52" s="56">
        <v>1200</v>
      </c>
      <c r="M52" s="23">
        <f>+L52</f>
        <v>1200</v>
      </c>
      <c r="N52" s="23">
        <f>M52</f>
        <v>1200</v>
      </c>
      <c r="O52" s="23">
        <f>+M52</f>
        <v>1200</v>
      </c>
      <c r="P52" s="23">
        <f>+O52</f>
        <v>1200</v>
      </c>
      <c r="Q52" s="23">
        <f>P52</f>
        <v>1200</v>
      </c>
      <c r="R52" s="23">
        <f>+P52</f>
        <v>1200</v>
      </c>
      <c r="S52" s="23">
        <f>+R52</f>
        <v>1200</v>
      </c>
      <c r="T52" s="23">
        <f>S52</f>
        <v>1200</v>
      </c>
      <c r="U52" s="23">
        <f>+S52</f>
        <v>1200</v>
      </c>
      <c r="V52" s="23">
        <f>+U52</f>
        <v>1200</v>
      </c>
      <c r="W52" s="23">
        <f>V52</f>
        <v>1200</v>
      </c>
      <c r="X52" s="23">
        <f>+V52</f>
        <v>1200</v>
      </c>
      <c r="Y52" s="23">
        <f>+X52</f>
        <v>1200</v>
      </c>
      <c r="Z52" s="23">
        <f>Y52</f>
        <v>1200</v>
      </c>
      <c r="AA52" s="23">
        <f>+Y52</f>
        <v>1200</v>
      </c>
      <c r="AB52" s="23">
        <f>+AA52</f>
        <v>1200</v>
      </c>
      <c r="AC52" s="23">
        <f>AB52</f>
        <v>1200</v>
      </c>
      <c r="AD52" s="23">
        <f>+AB52</f>
        <v>1200</v>
      </c>
      <c r="AE52" s="23">
        <f>+AD52</f>
        <v>1200</v>
      </c>
      <c r="AF52" s="23">
        <f>AE52</f>
        <v>1200</v>
      </c>
      <c r="AG52" s="23">
        <f>+AE52</f>
        <v>1200</v>
      </c>
      <c r="AH52" s="23">
        <f>+AG52</f>
        <v>1200</v>
      </c>
      <c r="AI52" s="23">
        <f>AH52</f>
        <v>1200</v>
      </c>
      <c r="AJ52" s="23">
        <f>+AH52</f>
        <v>1200</v>
      </c>
      <c r="AK52" s="23">
        <f>+AJ52</f>
        <v>1200</v>
      </c>
      <c r="AL52" s="23">
        <f>AK52</f>
        <v>1200</v>
      </c>
      <c r="AM52" s="23">
        <f>+AK52</f>
        <v>1200</v>
      </c>
      <c r="AN52" s="23">
        <f>+AM52</f>
        <v>1200</v>
      </c>
      <c r="AO52" s="23">
        <f>AN52</f>
        <v>1200</v>
      </c>
      <c r="AP52" s="23">
        <f>+AN52</f>
        <v>1200</v>
      </c>
      <c r="AQ52" s="23">
        <f>+AP52</f>
        <v>1200</v>
      </c>
      <c r="AR52" s="23">
        <f>AQ52</f>
        <v>1200</v>
      </c>
      <c r="AS52" s="23">
        <f>+AQ52</f>
        <v>1200</v>
      </c>
      <c r="AT52" s="23">
        <f>+AS52</f>
        <v>1200</v>
      </c>
      <c r="AU52" s="23">
        <f>AT52</f>
        <v>1200</v>
      </c>
      <c r="AV52" s="23">
        <f>+AT52</f>
        <v>1200</v>
      </c>
      <c r="AW52" s="23">
        <f>+AV52</f>
        <v>1200</v>
      </c>
      <c r="AX52" s="23">
        <f>AW52</f>
        <v>1200</v>
      </c>
      <c r="AY52" s="23">
        <f>+AW52</f>
        <v>1200</v>
      </c>
      <c r="AZ52" s="23">
        <f>+AY52</f>
        <v>1200</v>
      </c>
      <c r="BA52" s="23">
        <f>AZ52</f>
        <v>1200</v>
      </c>
      <c r="BB52" s="23">
        <f>+AZ52</f>
        <v>1200</v>
      </c>
      <c r="BC52" s="23">
        <f>+BB52</f>
        <v>1200</v>
      </c>
      <c r="BD52" s="23">
        <f>BC52</f>
        <v>1200</v>
      </c>
      <c r="BE52" s="23">
        <f>+BC52</f>
        <v>1200</v>
      </c>
      <c r="BF52" s="23">
        <f>+BE52</f>
        <v>1200</v>
      </c>
      <c r="BG52" s="23">
        <f>BF52</f>
        <v>1200</v>
      </c>
      <c r="BH52" s="23">
        <f>+BF52</f>
        <v>1200</v>
      </c>
      <c r="BI52" s="23">
        <f>+BH52</f>
        <v>1200</v>
      </c>
      <c r="BJ52" s="23">
        <f>BI52</f>
        <v>1200</v>
      </c>
    </row>
    <row r="53" spans="1:62" s="1" customFormat="1">
      <c r="A53" s="1" t="s">
        <v>276</v>
      </c>
      <c r="D53" s="23"/>
      <c r="E53" s="312"/>
      <c r="F53" s="312"/>
      <c r="G53" s="312"/>
      <c r="H53" s="312"/>
      <c r="I53" s="312">
        <v>1.9E-3</v>
      </c>
      <c r="J53" s="312">
        <f>+I53</f>
        <v>1.9E-3</v>
      </c>
      <c r="K53" s="312">
        <f>J53</f>
        <v>1.9E-3</v>
      </c>
      <c r="L53" s="312">
        <f>+J53</f>
        <v>1.9E-3</v>
      </c>
      <c r="M53" s="312">
        <f>+L53</f>
        <v>1.9E-3</v>
      </c>
      <c r="N53" s="312">
        <f>M53</f>
        <v>1.9E-3</v>
      </c>
      <c r="O53" s="312">
        <f>+M53</f>
        <v>1.9E-3</v>
      </c>
      <c r="P53" s="312">
        <f>+O53</f>
        <v>1.9E-3</v>
      </c>
      <c r="Q53" s="312">
        <f>P53</f>
        <v>1.9E-3</v>
      </c>
      <c r="R53" s="312">
        <f>+P53</f>
        <v>1.9E-3</v>
      </c>
      <c r="S53" s="312">
        <v>1E-3</v>
      </c>
      <c r="T53" s="312">
        <f>S53</f>
        <v>1E-3</v>
      </c>
      <c r="U53" s="312">
        <f>+S53</f>
        <v>1E-3</v>
      </c>
      <c r="V53" s="312">
        <f>+U53</f>
        <v>1E-3</v>
      </c>
      <c r="W53" s="312">
        <f>V53</f>
        <v>1E-3</v>
      </c>
      <c r="X53" s="312">
        <f>+V53</f>
        <v>1E-3</v>
      </c>
      <c r="Y53" s="312">
        <f>+X53</f>
        <v>1E-3</v>
      </c>
      <c r="Z53" s="312">
        <f>Y53</f>
        <v>1E-3</v>
      </c>
      <c r="AA53" s="312">
        <f>+Y53</f>
        <v>1E-3</v>
      </c>
      <c r="AB53" s="312">
        <f>+AA53</f>
        <v>1E-3</v>
      </c>
      <c r="AC53" s="312">
        <f>AB53</f>
        <v>1E-3</v>
      </c>
      <c r="AD53" s="312">
        <f>+AB53</f>
        <v>1E-3</v>
      </c>
      <c r="AE53" s="312">
        <f>+AD53</f>
        <v>1E-3</v>
      </c>
      <c r="AF53" s="312">
        <f>AE53</f>
        <v>1E-3</v>
      </c>
      <c r="AG53" s="312">
        <f>+AE53</f>
        <v>1E-3</v>
      </c>
      <c r="AH53" s="312">
        <f>+AG53</f>
        <v>1E-3</v>
      </c>
      <c r="AI53" s="312">
        <f>AH53</f>
        <v>1E-3</v>
      </c>
      <c r="AJ53" s="312">
        <f>+AH53</f>
        <v>1E-3</v>
      </c>
      <c r="AK53" s="312">
        <f>+AJ53</f>
        <v>1E-3</v>
      </c>
      <c r="AL53" s="312">
        <f>AK53</f>
        <v>1E-3</v>
      </c>
      <c r="AM53" s="312">
        <f>+AK53</f>
        <v>1E-3</v>
      </c>
      <c r="AN53" s="312">
        <f>+AM53</f>
        <v>1E-3</v>
      </c>
      <c r="AO53" s="312">
        <f>AN53</f>
        <v>1E-3</v>
      </c>
      <c r="AP53" s="312">
        <f>+AN53</f>
        <v>1E-3</v>
      </c>
      <c r="AQ53" s="312">
        <f>+AP53</f>
        <v>1E-3</v>
      </c>
      <c r="AR53" s="312">
        <f>AQ53</f>
        <v>1E-3</v>
      </c>
      <c r="AS53" s="312">
        <f>+AQ53</f>
        <v>1E-3</v>
      </c>
      <c r="AT53" s="312">
        <f>+AS53</f>
        <v>1E-3</v>
      </c>
      <c r="AU53" s="312">
        <f>AT53</f>
        <v>1E-3</v>
      </c>
      <c r="AV53" s="312">
        <f>+AT53</f>
        <v>1E-3</v>
      </c>
      <c r="AW53" s="312">
        <f>+AV53</f>
        <v>1E-3</v>
      </c>
      <c r="AX53" s="312">
        <f>AW53</f>
        <v>1E-3</v>
      </c>
      <c r="AY53" s="312">
        <f>+AW53</f>
        <v>1E-3</v>
      </c>
      <c r="AZ53" s="312">
        <f>+AY53</f>
        <v>1E-3</v>
      </c>
      <c r="BA53" s="312">
        <f>AZ53</f>
        <v>1E-3</v>
      </c>
      <c r="BB53" s="312">
        <f>+AZ53</f>
        <v>1E-3</v>
      </c>
      <c r="BC53" s="312">
        <f>+BB53</f>
        <v>1E-3</v>
      </c>
      <c r="BD53" s="312">
        <f>BC53</f>
        <v>1E-3</v>
      </c>
      <c r="BE53" s="312">
        <f>+BC53</f>
        <v>1E-3</v>
      </c>
      <c r="BF53" s="312">
        <f>+BE53</f>
        <v>1E-3</v>
      </c>
      <c r="BG53" s="312">
        <f>BF53</f>
        <v>1E-3</v>
      </c>
      <c r="BH53" s="312">
        <f>+BF53</f>
        <v>1E-3</v>
      </c>
      <c r="BI53" s="312">
        <f>+BH53</f>
        <v>1E-3</v>
      </c>
      <c r="BJ53" s="312">
        <f>BI53</f>
        <v>1E-3</v>
      </c>
    </row>
    <row r="54" spans="1:62" s="301" customFormat="1">
      <c r="A54" s="301" t="s">
        <v>277</v>
      </c>
      <c r="D54" s="302"/>
      <c r="E54" s="302"/>
      <c r="F54" s="302"/>
      <c r="G54" s="302"/>
      <c r="H54" s="302"/>
      <c r="I54" s="302">
        <f>+I52*I53*0.5</f>
        <v>1.2780350000000003</v>
      </c>
      <c r="J54" s="302">
        <f>+J52*J53*0.5</f>
        <v>1.2780350000000003</v>
      </c>
      <c r="K54" s="302">
        <f>SUM(I54:J54)</f>
        <v>2.5560700000000005</v>
      </c>
      <c r="L54" s="302">
        <f>+L52*L53*0.5</f>
        <v>1.1399999999999999</v>
      </c>
      <c r="M54" s="302">
        <f>+M52*M53*0.5</f>
        <v>1.1399999999999999</v>
      </c>
      <c r="N54" s="302">
        <f>SUM(L54:M54)</f>
        <v>2.2799999999999998</v>
      </c>
      <c r="O54" s="302">
        <f>+O52*O53*0.5</f>
        <v>1.1399999999999999</v>
      </c>
      <c r="P54" s="302">
        <f>+P52*P53*0.5</f>
        <v>1.1399999999999999</v>
      </c>
      <c r="Q54" s="302">
        <f>SUM(O54:P54)</f>
        <v>2.2799999999999998</v>
      </c>
      <c r="R54" s="302">
        <f>+R52*R53*0.5</f>
        <v>1.1399999999999999</v>
      </c>
      <c r="S54" s="302">
        <f>+S52*S53*0.5</f>
        <v>0.6</v>
      </c>
      <c r="T54" s="302">
        <f>SUM(R54:S54)</f>
        <v>1.7399999999999998</v>
      </c>
      <c r="U54" s="302">
        <f>+U52*U53*0.5</f>
        <v>0.6</v>
      </c>
      <c r="V54" s="302">
        <f>+V52*V53*0.5</f>
        <v>0.6</v>
      </c>
      <c r="W54" s="302">
        <f>SUM(U54:V54)</f>
        <v>1.2</v>
      </c>
      <c r="X54" s="302">
        <f>+X52*X53*0.5</f>
        <v>0.6</v>
      </c>
      <c r="Y54" s="302">
        <f>+Y52*Y53*0.5</f>
        <v>0.6</v>
      </c>
      <c r="Z54" s="302">
        <f>SUM(X54:Y54)</f>
        <v>1.2</v>
      </c>
      <c r="AA54" s="302">
        <f>+AA52*AA53*0.5</f>
        <v>0.6</v>
      </c>
      <c r="AB54" s="302">
        <f>+AB52*AB53*0.5</f>
        <v>0.6</v>
      </c>
      <c r="AC54" s="302">
        <f>SUM(AA54:AB54)</f>
        <v>1.2</v>
      </c>
      <c r="AD54" s="302">
        <f>+AD52*AD53*0.5</f>
        <v>0.6</v>
      </c>
      <c r="AE54" s="302">
        <f>+AE52*AE53*0.5</f>
        <v>0.6</v>
      </c>
      <c r="AF54" s="302">
        <f>SUM(AD54:AE54)</f>
        <v>1.2</v>
      </c>
      <c r="AG54" s="302">
        <f>+AG52*AG53*0.5</f>
        <v>0.6</v>
      </c>
      <c r="AH54" s="302">
        <f>+AH52*AH53*0.5</f>
        <v>0.6</v>
      </c>
      <c r="AI54" s="302">
        <f>SUM(AG54:AH54)</f>
        <v>1.2</v>
      </c>
      <c r="AJ54" s="302">
        <f>+AJ52*AJ53*0.5</f>
        <v>0.6</v>
      </c>
      <c r="AK54" s="302">
        <f>+AK52*AK53*0.5</f>
        <v>0.6</v>
      </c>
      <c r="AL54" s="302">
        <f>SUM(AJ54:AK54)</f>
        <v>1.2</v>
      </c>
      <c r="AM54" s="302">
        <f>+AM52*AM53*0.5</f>
        <v>0.6</v>
      </c>
      <c r="AN54" s="302">
        <f>+AN52*AN53*0.5</f>
        <v>0.6</v>
      </c>
      <c r="AO54" s="302">
        <f>SUM(AM54:AN54)</f>
        <v>1.2</v>
      </c>
      <c r="AP54" s="302">
        <f>+AP52*AP53*0.5</f>
        <v>0.6</v>
      </c>
      <c r="AQ54" s="302">
        <f>+AQ52*AQ53*0.5</f>
        <v>0.6</v>
      </c>
      <c r="AR54" s="302">
        <f>SUM(AP54:AQ54)</f>
        <v>1.2</v>
      </c>
      <c r="AS54" s="302">
        <f>+AS52*AS53*0.5</f>
        <v>0.6</v>
      </c>
      <c r="AT54" s="302">
        <f>+AT52*AT53*0.5</f>
        <v>0.6</v>
      </c>
      <c r="AU54" s="302">
        <f>SUM(AS54:AT54)</f>
        <v>1.2</v>
      </c>
      <c r="AV54" s="302">
        <f>+AV52*AV53*0.5</f>
        <v>0.6</v>
      </c>
      <c r="AW54" s="302">
        <f>+AW52*AW53*0.5</f>
        <v>0.6</v>
      </c>
      <c r="AX54" s="302">
        <f>SUM(AV54:AW54)</f>
        <v>1.2</v>
      </c>
      <c r="AY54" s="302">
        <f>+AY52*AY53*0.5</f>
        <v>0.6</v>
      </c>
      <c r="AZ54" s="302">
        <f>+AZ52*AZ53*0.5</f>
        <v>0.6</v>
      </c>
      <c r="BA54" s="302">
        <f>SUM(AY54:AZ54)</f>
        <v>1.2</v>
      </c>
      <c r="BB54" s="302">
        <f>+BB52*BB53*0.5</f>
        <v>0.6</v>
      </c>
      <c r="BC54" s="302">
        <f>+BC52*BC53*0.5</f>
        <v>0.6</v>
      </c>
      <c r="BD54" s="302">
        <f>SUM(BB54:BC54)</f>
        <v>1.2</v>
      </c>
      <c r="BE54" s="302">
        <f>+BE52*BE53*0.5</f>
        <v>0.6</v>
      </c>
      <c r="BF54" s="302">
        <f>+BF52*BF53*0.5</f>
        <v>0.6</v>
      </c>
      <c r="BG54" s="302">
        <f>SUM(BE54:BF54)</f>
        <v>1.2</v>
      </c>
      <c r="BH54" s="302">
        <f>+BH52*BH53*0.5</f>
        <v>0.6</v>
      </c>
      <c r="BI54" s="302">
        <f>+BI52*BI53*0.5</f>
        <v>0.6</v>
      </c>
      <c r="BJ54" s="302">
        <f>SUM(BH54:BI54)</f>
        <v>1.2</v>
      </c>
    </row>
    <row r="55" spans="1:62" s="1" customFormat="1"/>
    <row r="56" spans="1:62" s="301" customFormat="1">
      <c r="A56" s="301" t="s">
        <v>278</v>
      </c>
      <c r="F56" s="302"/>
      <c r="G56" s="302"/>
      <c r="I56" s="302">
        <f>+I70+I66</f>
        <v>56.8</v>
      </c>
      <c r="J56" s="302">
        <f>+J35+J42+J49+J54</f>
        <v>64.116559999999993</v>
      </c>
      <c r="K56" s="302">
        <f>SUM(I56:J56)</f>
        <v>120.91655999999999</v>
      </c>
      <c r="L56" s="303">
        <v>60.4</v>
      </c>
      <c r="M56" s="303">
        <f>117.3+13.9-3.3-L56</f>
        <v>67.5</v>
      </c>
      <c r="N56" s="303">
        <f>SUM(L56:M56)</f>
        <v>127.9</v>
      </c>
      <c r="O56" s="303">
        <f>91.1+7.4+0.3</f>
        <v>98.8</v>
      </c>
      <c r="P56" s="303">
        <f>Q56-O56</f>
        <v>77.7</v>
      </c>
      <c r="Q56" s="303">
        <f>88.9+Q66+Q76</f>
        <v>176.5</v>
      </c>
      <c r="R56" s="303">
        <v>75.3</v>
      </c>
      <c r="S56" s="303">
        <f>123.1-R56</f>
        <v>47.8</v>
      </c>
      <c r="T56" s="302">
        <f>SUM(R56:S56)</f>
        <v>123.1</v>
      </c>
      <c r="U56" s="303">
        <f>21.4+15.1+9.2</f>
        <v>45.7</v>
      </c>
      <c r="V56" s="303">
        <f>96.4-U56</f>
        <v>50.7</v>
      </c>
      <c r="W56" s="303">
        <f>SUM(U56:V56)</f>
        <v>96.4</v>
      </c>
      <c r="X56" s="303">
        <v>50.3</v>
      </c>
      <c r="Y56" s="303">
        <v>49</v>
      </c>
      <c r="Z56" s="303">
        <f>SUM(X56:Y56)</f>
        <v>99.3</v>
      </c>
      <c r="AA56" s="303">
        <f>29.9+AA66+AA76</f>
        <v>43.9</v>
      </c>
      <c r="AB56" s="303">
        <f>94.1-AA56</f>
        <v>50.199999999999996</v>
      </c>
      <c r="AC56" s="302">
        <f>SUM(AA56:AB56)</f>
        <v>94.1</v>
      </c>
      <c r="AD56" s="303">
        <f>28.4+AD66+AD76</f>
        <v>34.300000000000004</v>
      </c>
      <c r="AE56" s="302">
        <f>16.4+AF66+AF76-AD56</f>
        <v>-8.9000000000000057</v>
      </c>
      <c r="AF56" s="302">
        <f>SUM(AD56:AE56)</f>
        <v>25.4</v>
      </c>
      <c r="AG56" s="303">
        <v>25.2</v>
      </c>
      <c r="AH56" s="303">
        <v>26.7</v>
      </c>
      <c r="AI56" s="302">
        <f>SUM(AG56:AH56)</f>
        <v>51.9</v>
      </c>
      <c r="AJ56" s="303">
        <v>19.100000000000001</v>
      </c>
      <c r="AK56" s="303">
        <v>43.2</v>
      </c>
      <c r="AL56" s="303">
        <f>SUM(AJ56:AK56)</f>
        <v>62.300000000000004</v>
      </c>
      <c r="AM56" s="303">
        <v>47</v>
      </c>
      <c r="AN56" s="303">
        <v>48.4</v>
      </c>
      <c r="AO56" s="302">
        <f>SUM(AM56:AN56)</f>
        <v>95.4</v>
      </c>
      <c r="AP56" s="302">
        <f>AP66+AP76-2.8</f>
        <v>52.100000000000009</v>
      </c>
      <c r="AQ56" s="302">
        <f>AR56-AP56</f>
        <v>86.3</v>
      </c>
      <c r="AR56" s="302">
        <f>AR66+AR76-33.9</f>
        <v>138.4</v>
      </c>
      <c r="AS56" s="302">
        <f>+AS35+AS42+AS49+AS54</f>
        <v>54.857259443141892</v>
      </c>
      <c r="AT56" s="302">
        <f>+AT35+AT42+AT49+AT54</f>
        <v>47.008150656355426</v>
      </c>
      <c r="AU56" s="302">
        <f>SUM(AS56:AT56)</f>
        <v>101.86541009949732</v>
      </c>
      <c r="AV56" s="302">
        <f>+AV35+AV42+AV49+AV54</f>
        <v>49.233819372507618</v>
      </c>
      <c r="AW56" s="302">
        <f>+AW35+AW42+AW49+AW54</f>
        <v>53.104847885640048</v>
      </c>
      <c r="AX56" s="302">
        <f>SUM(AV56:AW56)</f>
        <v>102.33866725814767</v>
      </c>
      <c r="AY56" s="302">
        <f>+AY35+AY42+AY49+AY54</f>
        <v>56.350656001437827</v>
      </c>
      <c r="AZ56" s="302">
        <f>+AZ35+AZ42+AZ49+AZ54</f>
        <v>59.527667910250649</v>
      </c>
      <c r="BA56" s="302">
        <f>SUM(AY56:AZ56)</f>
        <v>115.87832391168848</v>
      </c>
      <c r="BB56" s="302">
        <f>+BB35+BB42+BB49+BB54</f>
        <v>63.912865411626768</v>
      </c>
      <c r="BC56" s="302">
        <f>+BC35+BC42+BC49+BC54</f>
        <v>67.173796881834178</v>
      </c>
      <c r="BD56" s="302">
        <f>SUM(BB56:BC56)</f>
        <v>131.08666229346096</v>
      </c>
      <c r="BE56" s="302">
        <f>+BE35+BE42+BE49+BE54</f>
        <v>98.440865847488197</v>
      </c>
      <c r="BF56" s="302">
        <f>+BF35+BF42+BF49+BF54</f>
        <v>100.24158010267222</v>
      </c>
      <c r="BG56" s="302">
        <f>SUM(BE56:BF56)</f>
        <v>198.6824459501604</v>
      </c>
      <c r="BH56" s="302">
        <f>+BH35+BH42+BH49+BH54</f>
        <v>107.24757132694262</v>
      </c>
      <c r="BI56" s="302">
        <f>+BI35+BI42+BI49+BI54</f>
        <v>109.14653884057969</v>
      </c>
      <c r="BJ56" s="302">
        <f>SUM(BH56:BI56)</f>
        <v>216.39411016752231</v>
      </c>
    </row>
    <row r="57" spans="1:62" s="1" customFormat="1">
      <c r="F57" s="23"/>
      <c r="H57" s="23"/>
      <c r="J57" s="23"/>
      <c r="K57" s="23"/>
      <c r="M57" s="23"/>
      <c r="N57" s="23"/>
      <c r="P57" s="23"/>
      <c r="Q57" s="23"/>
      <c r="S57" s="23"/>
      <c r="T57" s="23"/>
      <c r="X57" s="313">
        <f>+X35+X42+X49+X54</f>
        <v>49.793608070715017</v>
      </c>
      <c r="Y57" s="313">
        <f>+Y35+Y42+Y49+Y54</f>
        <v>55.949534622060433</v>
      </c>
      <c r="Z57" s="313">
        <f>+Z35+Z42+Z49+Z54</f>
        <v>105.74314269277545</v>
      </c>
    </row>
    <row r="58" spans="1:62" s="1" customFormat="1">
      <c r="A58" s="1" t="s">
        <v>279</v>
      </c>
      <c r="F58" s="305"/>
      <c r="G58" s="305"/>
      <c r="H58" s="305"/>
      <c r="I58" s="312">
        <f>(I56*2)/AVERAGE(I26,I11)</f>
        <v>4.9831118129578453E-2</v>
      </c>
      <c r="J58" s="312">
        <f>(J56*2)/AVERAGE(J26,J11)</f>
        <v>5.7373714234580868E-2</v>
      </c>
      <c r="K58" s="312">
        <f>(K56)/AVERAGE(K26,K11)</f>
        <v>5.4833711992381462E-2</v>
      </c>
      <c r="L58" s="305">
        <f>(L56*2)/AVERAGE(L26,L11)</f>
        <v>5.0930708097055043E-2</v>
      </c>
      <c r="M58" s="305">
        <f>(M56*2)/AVERAGE(M26,M11)</f>
        <v>4.9539466441598477E-2</v>
      </c>
      <c r="N58" s="305">
        <f>(N56)/AVERAGE(N26,N11)</f>
        <v>5.3421466518371763E-2</v>
      </c>
      <c r="O58" s="305">
        <f>(O56*2)/AVERAGE(O26,O11)</f>
        <v>6.9141677455474296E-2</v>
      </c>
      <c r="P58" s="305">
        <f>(P56*2)/AVERAGE(P26,P11)</f>
        <v>5.4392719635981801E-2</v>
      </c>
      <c r="Q58" s="305">
        <f>(Q56)/AVERAGE(Q26,Q11)</f>
        <v>6.1581940616168312E-2</v>
      </c>
      <c r="R58" s="305">
        <f>(R56*2)/AVERAGE(R26,R11)</f>
        <v>5.2218234774015701E-2</v>
      </c>
      <c r="S58" s="305">
        <f>(S56*2)/AVERAGE(S26,S11)</f>
        <v>3.3072718466754303E-2</v>
      </c>
      <c r="T58" s="305">
        <f>(T56)/AVERAGE(T26,T11)</f>
        <v>4.2865848350309044E-2</v>
      </c>
      <c r="U58" s="305">
        <f>(U56*2)/AVERAGE(U26,U11)</f>
        <v>3.0421541380285907E-2</v>
      </c>
      <c r="V58" s="305">
        <f>(V56*2)/AVERAGE(V26,V11)</f>
        <v>3.2645965132563869E-2</v>
      </c>
      <c r="W58" s="305">
        <f>(W56)/AVERAGE(W26,W11)</f>
        <v>3.2350078861706773E-2</v>
      </c>
      <c r="X58" s="305">
        <f>(X56*2)/AVERAGE(X26,X11)</f>
        <v>2.9498752171775069E-2</v>
      </c>
      <c r="Y58" s="305">
        <f>(Y56*2)/AVERAGE(Y26,Y11)</f>
        <v>2.9192177282245452E-2</v>
      </c>
      <c r="Z58" s="305">
        <f>(Z56)/AVERAGE(Z26,Z11)</f>
        <v>3.2791216048873112E-2</v>
      </c>
      <c r="AA58" s="305">
        <f>(AA56*2)/AVERAGE(AA26,AA11)</f>
        <v>3.0201919438615804E-2</v>
      </c>
      <c r="AB58" s="305">
        <f>(AB56*2)/AVERAGE(AB26,AB11)</f>
        <v>3.4754314000380773E-2</v>
      </c>
      <c r="AC58" s="305">
        <f>(AC56)/AVERAGE(AC26,AC11)</f>
        <v>3.1825484061892277E-2</v>
      </c>
      <c r="AD58" s="305">
        <f>(AD56*2)/AVERAGE(AD26,AD11)</f>
        <v>2.7537482688718064E-2</v>
      </c>
      <c r="AE58" s="305">
        <f>(AE56*2)/AVERAGE(AE26,AE11)</f>
        <v>-8.6742525766916063E-3</v>
      </c>
      <c r="AF58" s="305">
        <f>(AF56)/AVERAGE(AF26,AF11)</f>
        <v>7.994371189921929E-3</v>
      </c>
      <c r="AG58" s="305">
        <f>(AG56*2)/AVERAGE(AG26,AG11)</f>
        <v>2.4300867888138861E-2</v>
      </c>
      <c r="AH58" s="305">
        <f>(AH56*2)/AVERAGE(AH26,AH11)</f>
        <v>2.1707758287770079E-2</v>
      </c>
      <c r="AI58" s="305">
        <f>(AI56)/AVERAGE(AI26,AI11)</f>
        <v>2.1216147164026571E-2</v>
      </c>
      <c r="AJ58" s="305">
        <f>(AJ56*2)/AVERAGE(AJ26,AJ11)</f>
        <v>1.2720400925725513E-2</v>
      </c>
      <c r="AK58" s="305">
        <f>(AK56*2)/AVERAGE(AK26,AK11)</f>
        <v>2.6721098534050844E-2</v>
      </c>
      <c r="AL58" s="305">
        <f>(AL56)/AVERAGE(AL26,AL11)</f>
        <v>2.0342525019999672E-2</v>
      </c>
      <c r="AM58" s="305">
        <f>(AM56*2)/AVERAGE(AM26,AM11)</f>
        <v>2.8899512705025134E-2</v>
      </c>
      <c r="AN58" s="305">
        <f>(AN56*2)/AVERAGE(AN26,AN11)</f>
        <v>2.9198416732820733E-2</v>
      </c>
      <c r="AO58" s="305">
        <f>(AO56)/AVERAGE(AO26,AO11)</f>
        <v>2.8689877856944962E-2</v>
      </c>
      <c r="AP58" s="305">
        <f>(AP56*2)/AVERAGE(AP26,AP11)</f>
        <v>2.2454727295307932E-2</v>
      </c>
      <c r="AQ58" s="305">
        <f>(AQ56*2)/AVERAGE(AQ26,AQ11)</f>
        <v>3.1103862753755082E-2</v>
      </c>
      <c r="AR58" s="305">
        <f>(AR56)/AVERAGE(AR26,AR11)</f>
        <v>3.8538573099185028E-2</v>
      </c>
      <c r="AS58" s="305">
        <f>(AS56*2)/AVERAGE(AS26,AS11)</f>
        <v>2.3438765811336238E-2</v>
      </c>
      <c r="AT58" s="305">
        <f>(AT56*2)/AVERAGE(AT26,AT11)</f>
        <v>2.2322323000622479E-2</v>
      </c>
      <c r="AU58" s="305">
        <f>(AU56)/AVERAGE(AU26,AU11)</f>
        <v>1.8984104072630258E-2</v>
      </c>
      <c r="AV58" s="305">
        <f>(AV56*2)/AVERAGE(AV26,AV11)</f>
        <v>2.2548335343870893E-2</v>
      </c>
      <c r="AW58" s="305">
        <f>(AW56*2)/AVERAGE(AW26,AW11)</f>
        <v>2.3445320603567073E-2</v>
      </c>
      <c r="AX58" s="305">
        <f>(AX56)/AVERAGE(AX26,AX11)</f>
        <v>2.2944001974058433E-2</v>
      </c>
      <c r="AY58" s="305">
        <f>(AY56*2)/AVERAGE(AY26,AY11)</f>
        <v>2.3874663404459453E-2</v>
      </c>
      <c r="AZ58" s="305">
        <f>(AZ56*2)/AVERAGE(AZ26,AZ11)</f>
        <v>2.4206295475742233E-2</v>
      </c>
      <c r="BA58" s="305">
        <f>(BA56)/AVERAGE(BA26,BA11)</f>
        <v>2.4034499625134497E-2</v>
      </c>
      <c r="BB58" s="305">
        <f>(BB56*2)/AVERAGE(BB26,BB11)</f>
        <v>2.494716405892982E-2</v>
      </c>
      <c r="BC58" s="305">
        <f>(BC56*2)/AVERAGE(BC26,BC11)</f>
        <v>2.5171318311817122E-2</v>
      </c>
      <c r="BD58" s="305">
        <f>(BD56)/AVERAGE(BD26,BD11)</f>
        <v>2.5051796009781795E-2</v>
      </c>
      <c r="BE58" s="305">
        <f>(BE56*2)/AVERAGE(BE26,BE11)</f>
        <v>3.541620427747038E-2</v>
      </c>
      <c r="BF58" s="305">
        <f>(BF56*2)/AVERAGE(BF26,BF11)</f>
        <v>3.4629012610284074E-2</v>
      </c>
      <c r="BG58" s="305">
        <f>(BG56)/AVERAGE(BG26,BG11)</f>
        <v>3.5001081738228246E-2</v>
      </c>
      <c r="BH58" s="305">
        <f>(BH56*2)/AVERAGE(BH26,BH11)</f>
        <v>3.5578548976695996E-2</v>
      </c>
      <c r="BI58" s="305">
        <f>(BI56*2)/AVERAGE(BI26,BI11)</f>
        <v>3.4774444665763835E-2</v>
      </c>
      <c r="BJ58" s="305">
        <f>(BJ56)/AVERAGE(BJ26,BJ11)</f>
        <v>3.5154832756331141E-2</v>
      </c>
    </row>
    <row r="59" spans="1:62" s="1" customFormat="1">
      <c r="A59" s="1" t="s">
        <v>280</v>
      </c>
      <c r="F59" s="305"/>
      <c r="G59" s="305"/>
      <c r="H59" s="305"/>
      <c r="I59" s="305"/>
      <c r="J59" s="312">
        <f>+(J31*J34+M31*M34+P31*P34+S31*S34+V31*V34+Y31*Y34+AB31*AB34)/(J31+M31+P31+S31+V31+Y31+AB31)</f>
        <v>4.2936837544471793E-2</v>
      </c>
      <c r="K59" s="312">
        <f>J59</f>
        <v>4.2936837544471793E-2</v>
      </c>
      <c r="L59" s="305"/>
      <c r="M59" s="305">
        <f>+(M31*M34+P31*P34+S31*S34+V31*V34+Y31*Y34+AB31*AB34)/(M31+P31+S31+V31+Y31+AB31)</f>
        <v>4.1496185326731855E-2</v>
      </c>
      <c r="N59" s="305">
        <f>M59</f>
        <v>4.1496185326731855E-2</v>
      </c>
      <c r="O59" s="305"/>
      <c r="P59" s="305">
        <f>+(P31*P34+S31*S34+V31*V34+Y31*Y34+AB31*AB34)/(P31+S31+V31+Y31+AB31)</f>
        <v>3.8782367001137567E-2</v>
      </c>
      <c r="Q59" s="305">
        <f>P59</f>
        <v>3.8782367001137567E-2</v>
      </c>
      <c r="R59" s="305"/>
      <c r="S59" s="305">
        <f>+(S31*S34+V31*V34+Y31*Y34+AB31*AB34)/(S31+V31+Y31+AB31)</f>
        <v>3.4520259033344582E-2</v>
      </c>
      <c r="T59" s="305">
        <f>S59</f>
        <v>3.4520259033344582E-2</v>
      </c>
      <c r="U59" s="305"/>
      <c r="V59" s="305">
        <f>+(V31*V34+Y31*Y34+AB31*AB34)/(V31+Y31+AB31)</f>
        <v>3.23515625E-2</v>
      </c>
      <c r="W59" s="305">
        <f>V59</f>
        <v>3.23515625E-2</v>
      </c>
      <c r="X59" s="305"/>
      <c r="Y59" s="305">
        <f>+(Y31*Y34+AB31*AB34)/(Y31+AB31)</f>
        <v>3.22625E-2</v>
      </c>
      <c r="Z59" s="305">
        <f>Y59</f>
        <v>3.22625E-2</v>
      </c>
      <c r="AA59" s="305"/>
      <c r="AB59" s="305">
        <f>+(AB31*AB34)/(AB31)</f>
        <v>3.2000000000000001E-2</v>
      </c>
      <c r="AC59" s="305">
        <f>AB59</f>
        <v>3.2000000000000001E-2</v>
      </c>
      <c r="AD59" s="305"/>
      <c r="AE59" s="305">
        <f>+(AE31*AE34)/(AE31)</f>
        <v>2.3E-2</v>
      </c>
      <c r="AF59" s="305">
        <f>AE59</f>
        <v>2.3E-2</v>
      </c>
      <c r="AG59" s="305"/>
      <c r="AH59" s="305">
        <f>+(AH31*AH34)/(AH31)</f>
        <v>1.55E-2</v>
      </c>
      <c r="AI59" s="305">
        <f>AH59</f>
        <v>1.55E-2</v>
      </c>
      <c r="AJ59" s="305"/>
      <c r="AK59" s="305">
        <f>+(AK31*AK34)/(AK31)</f>
        <v>1.55E-2</v>
      </c>
      <c r="AL59" s="305">
        <f>AK59</f>
        <v>1.55E-2</v>
      </c>
      <c r="AM59" s="305"/>
      <c r="AN59" s="305">
        <f>+(AN31*AN34)/(AN31)</f>
        <v>1.5500000000000002E-2</v>
      </c>
      <c r="AO59" s="305">
        <f>AN59</f>
        <v>1.5500000000000002E-2</v>
      </c>
      <c r="AP59" s="305"/>
      <c r="AQ59" s="305">
        <f>+(AQ31*AQ34)/(AQ31)</f>
        <v>1.5500000000000002E-2</v>
      </c>
      <c r="AR59" s="305">
        <f>AQ59</f>
        <v>1.5500000000000002E-2</v>
      </c>
      <c r="AS59" s="305"/>
      <c r="AT59" s="305">
        <f>+(AT31*AT34)/(AT31)</f>
        <v>2.0499999999999994E-2</v>
      </c>
      <c r="AU59" s="305">
        <f>AT59</f>
        <v>2.0499999999999994E-2</v>
      </c>
      <c r="AV59" s="305"/>
      <c r="AW59" s="305">
        <f>+(AW31*AW34)/(AW31)</f>
        <v>2.0499999999999997E-2</v>
      </c>
      <c r="AX59" s="305">
        <f>AW59</f>
        <v>2.0499999999999997E-2</v>
      </c>
      <c r="AY59" s="305"/>
      <c r="AZ59" s="305">
        <f>+(AZ31*AZ34)/(AZ31)</f>
        <v>2.0499999999999997E-2</v>
      </c>
      <c r="BA59" s="305">
        <f>AZ59</f>
        <v>2.0499999999999997E-2</v>
      </c>
      <c r="BB59" s="305"/>
      <c r="BC59" s="305">
        <f>+(BC31*BC34)/(BC31)</f>
        <v>2.0499999999999997E-2</v>
      </c>
      <c r="BD59" s="305">
        <f>BC59</f>
        <v>2.0499999999999997E-2</v>
      </c>
      <c r="BE59" s="305"/>
      <c r="BF59" s="305">
        <f>+(BF31*BF34)/(BF31)</f>
        <v>2.0499999999999997E-2</v>
      </c>
      <c r="BG59" s="305">
        <f>BF59</f>
        <v>2.0499999999999997E-2</v>
      </c>
      <c r="BH59" s="305"/>
      <c r="BI59" s="305">
        <f>+(BI31*BI34)/(BI31)</f>
        <v>2.0499999999999997E-2</v>
      </c>
      <c r="BJ59" s="305">
        <f>BI59</f>
        <v>2.0499999999999997E-2</v>
      </c>
    </row>
    <row r="60" spans="1:62" s="1" customFormat="1">
      <c r="A60" s="1" t="s">
        <v>281</v>
      </c>
      <c r="F60" s="23"/>
      <c r="G60" s="23"/>
      <c r="H60" s="23"/>
      <c r="I60" s="23">
        <f>+I26-I31-I38-I45</f>
        <v>-59.959350000000285</v>
      </c>
      <c r="J60" s="23">
        <f>+J26-J31-J38-J45</f>
        <v>0</v>
      </c>
      <c r="K60" s="23"/>
      <c r="L60" s="23">
        <f>+L26-L31-L38-L45</f>
        <v>0</v>
      </c>
      <c r="M60" s="23">
        <f>+M26-M31-M38-M45</f>
        <v>164.59031405091838</v>
      </c>
      <c r="N60" s="23"/>
      <c r="O60" s="23">
        <f>+O26-O31-O38-O45</f>
        <v>-518.26742404329866</v>
      </c>
      <c r="P60" s="23">
        <f>+P26-P31-P38-P45</f>
        <v>277.44743585651815</v>
      </c>
      <c r="Q60" s="23"/>
      <c r="R60" s="23">
        <f>+R26-R31-R38-R45</f>
        <v>37.700000000000273</v>
      </c>
      <c r="S60" s="23">
        <f>+S26-S31-S38-S45</f>
        <v>-24.599999999999909</v>
      </c>
      <c r="T60" s="23"/>
      <c r="U60" s="23">
        <f>+U26-U31-U38-U45</f>
        <v>452.30000000000018</v>
      </c>
      <c r="V60" s="23">
        <f>+V26-V31-V38-V45</f>
        <v>-4.1000000000002501</v>
      </c>
      <c r="W60" s="23"/>
      <c r="X60" s="23">
        <f>+X26-X31-X38-X45</f>
        <v>0</v>
      </c>
      <c r="Y60" s="23">
        <f>+Y26-Y31-Y38-Y45</f>
        <v>-1177.0959219731169</v>
      </c>
      <c r="Z60" s="23"/>
      <c r="AA60" s="23">
        <f>+AA26-AA31-AA38-AA45</f>
        <v>-55.800000000000182</v>
      </c>
      <c r="AB60" s="23">
        <f>+AB26-AB31-AB38-AB45</f>
        <v>17.101102424371163</v>
      </c>
      <c r="AC60" s="23"/>
      <c r="AD60" s="23">
        <f>+AD26-AD31-AD38-AD45</f>
        <v>166.55921336867391</v>
      </c>
      <c r="AE60" s="23">
        <f>+AE26-AE31-AE38-AE45</f>
        <v>-422.23022717909231</v>
      </c>
      <c r="AF60" s="23"/>
      <c r="AG60" s="23">
        <f>+AG26-AG31-AG38-AG45</f>
        <v>27.399999999999636</v>
      </c>
      <c r="AH60" s="23">
        <f>+AH26-AH31-AH38-AH45</f>
        <v>-5.0760215310347121</v>
      </c>
      <c r="AI60" s="23"/>
      <c r="AJ60" s="23">
        <f>+AJ26-AJ31-AJ38-AJ45</f>
        <v>54.999522716113802</v>
      </c>
      <c r="AK60" s="23">
        <f>+AK26-AK31-AK38-AK45</f>
        <v>151.247788590901</v>
      </c>
      <c r="AL60" s="23"/>
      <c r="AM60" s="23">
        <f>+AM26-AM31-AM38-AM45</f>
        <v>60.567351966890214</v>
      </c>
      <c r="AN60" s="23">
        <f>+AN26-AN31-AN38-AN45</f>
        <v>0</v>
      </c>
      <c r="AO60" s="23"/>
      <c r="AP60" s="23">
        <f>+AP26-AP31-AP38-AP45</f>
        <v>2158.3025920125729</v>
      </c>
      <c r="AQ60" s="23">
        <f>+AQ26-AQ31-AQ38-AQ45</f>
        <v>1312.8795714490764</v>
      </c>
      <c r="AR60" s="23"/>
      <c r="AS60" s="23">
        <f>+AS26-AS31-AS38-AS45</f>
        <v>1.0699172367885694</v>
      </c>
      <c r="AT60" s="23">
        <f>+AT26-AT31-AT38-AT45</f>
        <v>2.2737367544323206E-13</v>
      </c>
      <c r="AU60" s="23"/>
      <c r="AV60" s="23">
        <f>+AV26-AV31-AV38-AV45</f>
        <v>0</v>
      </c>
      <c r="AW60" s="23">
        <f>+AW26-AW31-AW38-AW45</f>
        <v>0</v>
      </c>
      <c r="AX60" s="23"/>
      <c r="AY60" s="23">
        <f>+AY26-AY31-AY38-AY45</f>
        <v>4.5474735088646412E-13</v>
      </c>
      <c r="AZ60" s="23">
        <f>+AZ26-AZ31-AZ38-AZ45</f>
        <v>-4.5474735088646412E-13</v>
      </c>
      <c r="BA60" s="23"/>
      <c r="BB60" s="23">
        <f>+BB26-BB31-BB38-BB45</f>
        <v>-4.5474735088646412E-13</v>
      </c>
      <c r="BC60" s="23">
        <f>+BC26-BC31-BC38-BC45</f>
        <v>2.2737367544323206E-13</v>
      </c>
      <c r="BD60" s="23"/>
      <c r="BE60" s="23">
        <f>+BE26-BE31-BE38-BE45</f>
        <v>0</v>
      </c>
      <c r="BF60" s="23">
        <f>+BF26-BF31-BF38-BF45</f>
        <v>0</v>
      </c>
      <c r="BG60" s="23"/>
      <c r="BH60" s="23">
        <f>+BH26-BH31-BH38-BH45</f>
        <v>-2.2737367544323206E-13</v>
      </c>
      <c r="BI60" s="23">
        <f>+BI26-BI31-BI38-BI45</f>
        <v>2.2737367544323206E-13</v>
      </c>
      <c r="BJ60" s="23"/>
    </row>
    <row r="61" spans="1:62" s="1" customFormat="1">
      <c r="G61" s="23"/>
    </row>
    <row r="62" spans="1:62" s="37" customFormat="1">
      <c r="A62" s="37" t="s">
        <v>282</v>
      </c>
    </row>
    <row r="63" spans="1:62" s="1" customFormat="1">
      <c r="A63" s="1" t="s">
        <v>283</v>
      </c>
      <c r="I63" s="23">
        <f>+Group!AB103+Group!AB104+Group!AB97</f>
        <v>2699.2000000000003</v>
      </c>
      <c r="J63" s="23">
        <f>+Group!AC103+Group!AC104+Group!AC97</f>
        <v>2622.2999999999997</v>
      </c>
      <c r="K63" s="23">
        <f>+Group!AD103+Group!AD104+Group!AD97</f>
        <v>2622.2999999999997</v>
      </c>
      <c r="L63" s="23">
        <f>+Group!AE103+Group!AE104+Group!AE97</f>
        <v>2831.3</v>
      </c>
      <c r="M63" s="23">
        <f>+Group!AF103+Group!AF104+Group!AF97</f>
        <v>2778.1000000000004</v>
      </c>
      <c r="N63" s="23">
        <f>+Group!AG103+Group!AG104+Group!AG97</f>
        <v>2778.1000000000004</v>
      </c>
      <c r="O63" s="23">
        <f>+Group!AH103+Group!AH104+Group!AH97</f>
        <v>2563.5</v>
      </c>
      <c r="P63" s="23">
        <f>+Group!AI103+Group!AI104+Group!AI97</f>
        <v>1544</v>
      </c>
      <c r="Q63" s="23">
        <f>+Group!AJ103+Group!AJ104+Group!AJ97</f>
        <v>1544</v>
      </c>
      <c r="R63" s="23">
        <f>+Group!AK103+Group!AK104+Group!AK97</f>
        <v>1633.8</v>
      </c>
      <c r="S63" s="23">
        <f>+Group!AL103+Group!AL104+Group!AL97</f>
        <v>1411.9</v>
      </c>
      <c r="T63" s="23">
        <f>+Group!AM103+Group!AM104+Group!AM97</f>
        <v>1411.9</v>
      </c>
      <c r="U63" s="23">
        <f>+Group!AN103+Group!AN104+Group!AN97</f>
        <v>1369.4499999999998</v>
      </c>
      <c r="V63" s="23">
        <f>+Group!AO103+Group!AO104+Group!AO97</f>
        <v>1108.3</v>
      </c>
      <c r="W63" s="23">
        <f>+Group!AP103+Group!AP104+Group!AP97</f>
        <v>1108.3</v>
      </c>
      <c r="X63" s="23">
        <f>+Group!AQ103+Group!AQ104+Group!AQ97</f>
        <v>935.7</v>
      </c>
      <c r="Y63" s="23">
        <f>+Group!AR103+Group!AR104+Group!AR97</f>
        <v>1209.6999999999998</v>
      </c>
      <c r="Z63" s="23">
        <f>+Group!AS103+Group!AS104+Group!AS97</f>
        <v>1209.6999999999998</v>
      </c>
      <c r="AA63" s="23">
        <f>+Group!AT103+Group!AT104+Group!AT97</f>
        <v>1581.8999999999999</v>
      </c>
      <c r="AB63" s="23">
        <f>+Group!AU103+Group!AU104+Group!AU97</f>
        <v>1180.2</v>
      </c>
      <c r="AC63" s="23">
        <f>+Group!AV103+Group!AV104+Group!AV97</f>
        <v>1180.2</v>
      </c>
      <c r="AD63" s="23">
        <f>+Group!AW103+Group!AW104+Group!AW97</f>
        <v>1141.0999999999999</v>
      </c>
      <c r="AE63" s="23">
        <f>+Group!AX103+Group!AX104+Group!AX97</f>
        <v>1427.8</v>
      </c>
      <c r="AF63" s="23">
        <f>+Group!AY103+Group!AY104+Group!AY97</f>
        <v>1427.8</v>
      </c>
      <c r="AG63" s="23">
        <f>+Group!AZ103+Group!AZ104+Group!AZ97</f>
        <v>1774.4</v>
      </c>
      <c r="AH63" s="23">
        <f>+Group!BA103+Group!BA104+Group!BA97</f>
        <v>2116.1</v>
      </c>
      <c r="AI63" s="23">
        <f>+Group!BB103+Group!BB104+Group!BB97</f>
        <v>2116.1</v>
      </c>
      <c r="AJ63" s="23">
        <f>+Group!BC103+Group!BC97</f>
        <v>2158.1999999999998</v>
      </c>
      <c r="AK63" s="23">
        <f>+Group!BD103+Group!BD97</f>
        <v>2245.5</v>
      </c>
      <c r="AL63" s="23">
        <f>+Group!BE103+Group!BE97</f>
        <v>2245.5</v>
      </c>
      <c r="AM63" s="23">
        <f>+Group!BF103+Group!BF97</f>
        <v>2440</v>
      </c>
      <c r="AN63" s="23">
        <f>+Group!BG103+Group!BG97</f>
        <v>2358.9</v>
      </c>
      <c r="AO63" s="23">
        <f>+Group!BH103+Group!BH97</f>
        <v>2358.9</v>
      </c>
      <c r="AP63" s="23">
        <f>+Group!BI103+Group!BI97</f>
        <v>2153.3000000000002</v>
      </c>
      <c r="AQ63" s="23">
        <f>+Group!BJ103+Group!BJ97</f>
        <v>2131.7000000000003</v>
      </c>
      <c r="AR63" s="23">
        <f>+Group!BK103+Group!BK97</f>
        <v>2131.7000000000003</v>
      </c>
      <c r="AS63" s="23">
        <f>+Group!BL103+Group!BL97</f>
        <v>2279.6</v>
      </c>
      <c r="AT63" s="23">
        <f>+Group!BM103+Group!BM97</f>
        <v>2279.6</v>
      </c>
      <c r="AU63" s="23">
        <f>+Group!BN103+Group!BN97</f>
        <v>2279.6</v>
      </c>
      <c r="AV63" s="23">
        <f>+Group!BO103+Group!BO97</f>
        <v>2279.6</v>
      </c>
      <c r="AW63" s="23">
        <f>+Group!BP103+Group!BP97</f>
        <v>2279.6</v>
      </c>
      <c r="AX63" s="23">
        <f>+Group!BQ103+Group!BQ97</f>
        <v>2279.6</v>
      </c>
      <c r="AY63" s="23">
        <f>+Group!BR103+Group!BR97</f>
        <v>2279.6</v>
      </c>
      <c r="AZ63" s="23">
        <f>+Group!BS103+Group!BS97</f>
        <v>2279.6</v>
      </c>
      <c r="BA63" s="23">
        <f>+Group!BT103+Group!BT97</f>
        <v>2279.6</v>
      </c>
      <c r="BB63" s="23">
        <f>+Group!BU103+Group!BU97</f>
        <v>2279.6</v>
      </c>
      <c r="BC63" s="23">
        <f>+Group!BV103+Group!BV97</f>
        <v>2279.6</v>
      </c>
      <c r="BD63" s="23">
        <f>+Group!BW103+Group!BW97</f>
        <v>2279.6</v>
      </c>
      <c r="BE63" s="23">
        <f>+Group!BX103+Group!BX97</f>
        <v>2279.6</v>
      </c>
      <c r="BF63" s="23">
        <f>+Group!BY103+Group!BY97</f>
        <v>2279.6</v>
      </c>
      <c r="BG63" s="23">
        <f>+Group!BZ103+Group!BZ97</f>
        <v>2279.6</v>
      </c>
      <c r="BH63" s="23">
        <f>+Group!CA103+Group!CA97</f>
        <v>2279.6</v>
      </c>
      <c r="BI63" s="23">
        <f>+Group!CB103+Group!CB97</f>
        <v>2279.6</v>
      </c>
      <c r="BJ63" s="23">
        <f>+Group!CC103+Group!CC97</f>
        <v>2279.6</v>
      </c>
    </row>
    <row r="64" spans="1:62" s="1" customFormat="1">
      <c r="A64" s="1" t="s">
        <v>284</v>
      </c>
      <c r="I64" s="24">
        <f>+(I66*2)/I63</f>
        <v>3.4306461173681087E-2</v>
      </c>
      <c r="J64" s="24">
        <f>+(J66*2)/J63</f>
        <v>3.4626091598977997E-2</v>
      </c>
      <c r="K64" s="24">
        <f>+(K66)/K63</f>
        <v>3.49693017579987E-2</v>
      </c>
      <c r="L64" s="24">
        <f>L66/L63*2</f>
        <v>3.6025853848055664E-2</v>
      </c>
      <c r="M64" s="24">
        <f>M66/M63*2</f>
        <v>3.7291674165796762E-2</v>
      </c>
      <c r="N64" s="24">
        <f>+M64</f>
        <v>3.7291674165796762E-2</v>
      </c>
      <c r="O64" s="24">
        <f>N64</f>
        <v>3.7291674165796762E-2</v>
      </c>
      <c r="P64" s="24">
        <f>P66/P63*2</f>
        <v>4.2875647668393774E-2</v>
      </c>
      <c r="Q64" s="24">
        <f t="shared" ref="Q64" si="55">+P64</f>
        <v>4.2875647668393774E-2</v>
      </c>
      <c r="R64" s="24">
        <f>R66/R63*2</f>
        <v>3.2072469090463948E-2</v>
      </c>
      <c r="S64" s="24">
        <f>S66/S63*2</f>
        <v>2.9038883773638363E-2</v>
      </c>
      <c r="T64" s="24">
        <f>S64</f>
        <v>2.9038883773638363E-2</v>
      </c>
      <c r="U64" s="24">
        <f>U66/U63*2</f>
        <v>1.3436050969367265E-2</v>
      </c>
      <c r="V64" s="24">
        <f>V66/V63*2</f>
        <v>1.4977894072002167E-2</v>
      </c>
      <c r="W64" s="24">
        <f t="shared" ref="W64:Z64" si="56">V64</f>
        <v>1.4977894072002167E-2</v>
      </c>
      <c r="X64" s="24">
        <f>X66/X63*2</f>
        <v>1.923693491503687E-2</v>
      </c>
      <c r="Y64" s="24">
        <f>X64-0.2%</f>
        <v>1.7236934915036868E-2</v>
      </c>
      <c r="Z64" s="24">
        <f t="shared" si="56"/>
        <v>1.7236934915036868E-2</v>
      </c>
      <c r="AA64" s="24">
        <f>AA66/AA63*2</f>
        <v>7.9651052531765597E-3</v>
      </c>
      <c r="AB64" s="24">
        <f>AB66/AB63*2</f>
        <v>8.6426029486527719E-3</v>
      </c>
      <c r="AC64" s="24">
        <f t="shared" ref="AC64" si="57">AB64</f>
        <v>8.6426029486527719E-3</v>
      </c>
      <c r="AD64" s="24">
        <f>AD66/AD63*2</f>
        <v>7.361318026465692E-3</v>
      </c>
      <c r="AE64" s="24">
        <v>5.0000000000000001E-3</v>
      </c>
      <c r="AF64" s="24">
        <f t="shared" ref="AF64" si="58">AE64</f>
        <v>5.0000000000000001E-3</v>
      </c>
      <c r="AG64" s="24">
        <f>AG66/AG63*2</f>
        <v>4.508566275924256E-3</v>
      </c>
      <c r="AH64" s="24">
        <f>AH66/AH63*2</f>
        <v>6.4269174424649127E-3</v>
      </c>
      <c r="AI64" s="24">
        <f t="shared" ref="AI64" si="59">AH64</f>
        <v>6.4269174424649127E-3</v>
      </c>
      <c r="AJ64" s="24">
        <f>AJ66/AJ63*2</f>
        <v>1.1120378092855158E-2</v>
      </c>
      <c r="AK64" s="24">
        <f>AK66/AK63*2</f>
        <v>1.4963259853039413E-2</v>
      </c>
      <c r="AL64" s="24">
        <f t="shared" ref="AL64" si="60">AK64</f>
        <v>1.4963259853039413E-2</v>
      </c>
      <c r="AM64" s="24">
        <f>AM66/AM63*2</f>
        <v>9.180327868852459E-3</v>
      </c>
      <c r="AN64" s="24">
        <f>AN66/AN63*2</f>
        <v>2.2383314256645047E-2</v>
      </c>
      <c r="AO64" s="24">
        <f t="shared" ref="AO64" si="61">AN64</f>
        <v>2.2383314256645047E-2</v>
      </c>
      <c r="AP64" s="24">
        <f>AP66/AP63*2</f>
        <v>2.5635071750336691E-2</v>
      </c>
      <c r="AQ64" s="24">
        <f>AQ66/AQ63*2</f>
        <v>5.8826288877421765E-2</v>
      </c>
      <c r="AR64" s="24">
        <f t="shared" ref="AR64" si="62">AQ64</f>
        <v>5.8826288877421765E-2</v>
      </c>
      <c r="AS64" s="24">
        <v>0.05</v>
      </c>
      <c r="AT64" s="24">
        <f t="shared" ref="AT64" si="63">AS64</f>
        <v>0.05</v>
      </c>
      <c r="AU64" s="24">
        <f t="shared" ref="AU64" si="64">AT64</f>
        <v>0.05</v>
      </c>
      <c r="AV64" s="24">
        <f>AU64</f>
        <v>0.05</v>
      </c>
      <c r="AW64" s="24">
        <f t="shared" ref="AW64" si="65">AV64</f>
        <v>0.05</v>
      </c>
      <c r="AX64" s="24">
        <f t="shared" ref="AX64" si="66">AW64</f>
        <v>0.05</v>
      </c>
      <c r="AY64" s="24">
        <f>AX64</f>
        <v>0.05</v>
      </c>
      <c r="AZ64" s="24">
        <f t="shared" ref="AZ64" si="67">AY64</f>
        <v>0.05</v>
      </c>
      <c r="BA64" s="24">
        <f t="shared" ref="BA64" si="68">AZ64</f>
        <v>0.05</v>
      </c>
      <c r="BB64" s="24">
        <f>BA64</f>
        <v>0.05</v>
      </c>
      <c r="BC64" s="24">
        <f t="shared" ref="BC64" si="69">BB64</f>
        <v>0.05</v>
      </c>
      <c r="BD64" s="24">
        <f t="shared" ref="BD64" si="70">BC64</f>
        <v>0.05</v>
      </c>
      <c r="BE64" s="24">
        <f>BD64</f>
        <v>0.05</v>
      </c>
      <c r="BF64" s="24">
        <f t="shared" ref="BF64" si="71">BE64</f>
        <v>0.05</v>
      </c>
      <c r="BG64" s="24">
        <f t="shared" ref="BG64" si="72">BF64</f>
        <v>0.05</v>
      </c>
      <c r="BH64" s="24">
        <f>BG64</f>
        <v>0.05</v>
      </c>
      <c r="BI64" s="24">
        <f t="shared" ref="BI64" si="73">BH64</f>
        <v>0.05</v>
      </c>
      <c r="BJ64" s="24">
        <f t="shared" ref="BJ64" si="74">BI64</f>
        <v>0.05</v>
      </c>
    </row>
    <row r="65" spans="1:62" s="1" customFormat="1">
      <c r="J65" s="23">
        <f>+J56-J66</f>
        <v>18.716559999999994</v>
      </c>
    </row>
    <row r="66" spans="1:62" s="301" customFormat="1">
      <c r="A66" s="301" t="s">
        <v>285</v>
      </c>
      <c r="E66" s="302"/>
      <c r="F66" s="302"/>
      <c r="G66" s="302"/>
      <c r="H66" s="302"/>
      <c r="I66" s="303">
        <v>46.3</v>
      </c>
      <c r="J66" s="303">
        <v>45.4</v>
      </c>
      <c r="K66" s="303">
        <f>SUM(I66:J66)</f>
        <v>91.699999999999989</v>
      </c>
      <c r="L66" s="303">
        <v>51</v>
      </c>
      <c r="M66" s="303">
        <f>102.8-L66</f>
        <v>51.8</v>
      </c>
      <c r="N66" s="303">
        <f>SUM(L66:M66)</f>
        <v>102.8</v>
      </c>
      <c r="O66" s="303">
        <v>46.2</v>
      </c>
      <c r="P66" s="303">
        <f>Q66-O66</f>
        <v>33.099999999999994</v>
      </c>
      <c r="Q66" s="303">
        <v>79.3</v>
      </c>
      <c r="R66" s="314">
        <v>26.2</v>
      </c>
      <c r="S66" s="302">
        <f>46.7-R66</f>
        <v>20.500000000000004</v>
      </c>
      <c r="T66" s="302">
        <f>SUM(R66:S66)</f>
        <v>46.7</v>
      </c>
      <c r="U66" s="303">
        <v>9.1999999999999993</v>
      </c>
      <c r="V66" s="303">
        <f>17.5-U66</f>
        <v>8.3000000000000007</v>
      </c>
      <c r="W66" s="302">
        <f>SUM(U66:V66)</f>
        <v>17.5</v>
      </c>
      <c r="X66" s="303">
        <v>9</v>
      </c>
      <c r="Y66" s="303">
        <f>14.3-X66</f>
        <v>5.3000000000000007</v>
      </c>
      <c r="Z66" s="302">
        <f>SUM(X66:Y66)</f>
        <v>14.3</v>
      </c>
      <c r="AA66" s="303">
        <v>6.3</v>
      </c>
      <c r="AB66" s="303">
        <f>11.4-AA66</f>
        <v>5.1000000000000005</v>
      </c>
      <c r="AC66" s="303">
        <f>SUM(AA66:AB66)</f>
        <v>11.4</v>
      </c>
      <c r="AD66" s="303">
        <v>4.2</v>
      </c>
      <c r="AE66" s="303">
        <v>2.5</v>
      </c>
      <c r="AF66" s="302">
        <f>SUM(AD66:AE66)</f>
        <v>6.7</v>
      </c>
      <c r="AG66" s="303">
        <v>4</v>
      </c>
      <c r="AH66" s="303">
        <f>10.8-AG66</f>
        <v>6.8000000000000007</v>
      </c>
      <c r="AI66" s="302">
        <f>SUM(AG66:AH66)</f>
        <v>10.8</v>
      </c>
      <c r="AJ66" s="303">
        <v>12</v>
      </c>
      <c r="AK66" s="303">
        <f>28.8-AJ66</f>
        <v>16.8</v>
      </c>
      <c r="AL66" s="303">
        <f>SUM(AJ66:AK66)</f>
        <v>28.8</v>
      </c>
      <c r="AM66" s="303">
        <v>11.2</v>
      </c>
      <c r="AN66" s="303">
        <f>37.6-AM66</f>
        <v>26.400000000000002</v>
      </c>
      <c r="AO66" s="302">
        <f>SUM(AM66:AN66)</f>
        <v>37.6</v>
      </c>
      <c r="AP66" s="303">
        <v>27.6</v>
      </c>
      <c r="AQ66" s="303">
        <f>90.3-AP66</f>
        <v>62.699999999999996</v>
      </c>
      <c r="AR66" s="302">
        <f>SUM(AP66:AQ66)</f>
        <v>90.3</v>
      </c>
      <c r="AS66" s="303">
        <v>42.7</v>
      </c>
      <c r="AT66" s="302">
        <f>AT64*AT63*0.5</f>
        <v>56.99</v>
      </c>
      <c r="AU66" s="302">
        <f>SUM(AS66:AT66)</f>
        <v>99.69</v>
      </c>
      <c r="AV66" s="302">
        <f>AV64*AV63*0.5</f>
        <v>56.99</v>
      </c>
      <c r="AW66" s="302">
        <f>AW64*AW63*0.5</f>
        <v>56.99</v>
      </c>
      <c r="AX66" s="302">
        <f>SUM(AV66:AW66)</f>
        <v>113.98</v>
      </c>
      <c r="AY66" s="302">
        <f>AY64*AY63*0.5</f>
        <v>56.99</v>
      </c>
      <c r="AZ66" s="302">
        <f>AZ64*AZ63*0.5</f>
        <v>56.99</v>
      </c>
      <c r="BA66" s="302">
        <f>SUM(AY66:AZ66)</f>
        <v>113.98</v>
      </c>
      <c r="BB66" s="302">
        <f>BB64*BB63*0.5</f>
        <v>56.99</v>
      </c>
      <c r="BC66" s="302">
        <f>BC64*BC63*0.5</f>
        <v>56.99</v>
      </c>
      <c r="BD66" s="302">
        <f>SUM(BB66:BC66)</f>
        <v>113.98</v>
      </c>
      <c r="BE66" s="302">
        <f>BE64*BE63*0.5</f>
        <v>56.99</v>
      </c>
      <c r="BF66" s="302">
        <f>BF64*BF63*0.5</f>
        <v>56.99</v>
      </c>
      <c r="BG66" s="302">
        <f>SUM(BE66:BF66)</f>
        <v>113.98</v>
      </c>
      <c r="BH66" s="302">
        <f>BH64*BH63*0.5</f>
        <v>56.99</v>
      </c>
      <c r="BI66" s="302">
        <f>BI64*BI63*0.5</f>
        <v>56.99</v>
      </c>
      <c r="BJ66" s="302">
        <f>SUM(BH66:BI66)</f>
        <v>113.98</v>
      </c>
    </row>
    <row r="67" spans="1:62" s="1" customFormat="1"/>
    <row r="68" spans="1:62" s="315" customFormat="1">
      <c r="A68" s="301" t="s">
        <v>286</v>
      </c>
      <c r="H68" s="316"/>
      <c r="I68" s="316">
        <v>0</v>
      </c>
      <c r="J68" s="316">
        <f>+I68</f>
        <v>0</v>
      </c>
      <c r="K68" s="316"/>
      <c r="L68" s="316">
        <f>+J68</f>
        <v>0</v>
      </c>
      <c r="M68" s="316">
        <f>+L68</f>
        <v>0</v>
      </c>
      <c r="N68" s="316"/>
      <c r="O68" s="316">
        <f>+M68</f>
        <v>0</v>
      </c>
      <c r="P68" s="316">
        <f>+O68</f>
        <v>0</v>
      </c>
      <c r="Q68" s="316"/>
      <c r="R68" s="316">
        <f>+P68</f>
        <v>0</v>
      </c>
      <c r="S68" s="316">
        <f>+R68</f>
        <v>0</v>
      </c>
      <c r="T68" s="316"/>
      <c r="U68" s="316">
        <f>+S68</f>
        <v>0</v>
      </c>
      <c r="V68" s="316">
        <f>+U68</f>
        <v>0</v>
      </c>
      <c r="W68" s="316"/>
      <c r="X68" s="316">
        <f>+V68</f>
        <v>0</v>
      </c>
      <c r="Y68" s="316">
        <f>+X68</f>
        <v>0</v>
      </c>
      <c r="Z68" s="316"/>
      <c r="AA68" s="316">
        <f>+Y68</f>
        <v>0</v>
      </c>
      <c r="AB68" s="316">
        <f>+AA68</f>
        <v>0</v>
      </c>
      <c r="AC68" s="316"/>
      <c r="AD68" s="316">
        <f>+AB68</f>
        <v>0</v>
      </c>
      <c r="AE68" s="316">
        <f>+AD68</f>
        <v>0</v>
      </c>
      <c r="AF68" s="316"/>
      <c r="AG68" s="316">
        <f>+AE68</f>
        <v>0</v>
      </c>
      <c r="AH68" s="316">
        <f>+AG68</f>
        <v>0</v>
      </c>
      <c r="AI68" s="316"/>
      <c r="AJ68" s="316">
        <f>+AH68</f>
        <v>0</v>
      </c>
      <c r="AK68" s="316">
        <f>+AJ68</f>
        <v>0</v>
      </c>
      <c r="AL68" s="316"/>
      <c r="AM68" s="316">
        <f>+AK68</f>
        <v>0</v>
      </c>
      <c r="AN68" s="316">
        <f>+AM68</f>
        <v>0</v>
      </c>
      <c r="AO68" s="316"/>
      <c r="AP68" s="316">
        <f>+AN68</f>
        <v>0</v>
      </c>
      <c r="AQ68" s="316">
        <f>+AP68</f>
        <v>0</v>
      </c>
      <c r="AR68" s="316"/>
      <c r="AS68" s="316">
        <f>+AQ68</f>
        <v>0</v>
      </c>
      <c r="AT68" s="316">
        <f>+AS68</f>
        <v>0</v>
      </c>
      <c r="AU68" s="316"/>
      <c r="AV68" s="316">
        <f>+AT68</f>
        <v>0</v>
      </c>
      <c r="AW68" s="316">
        <f>+AV68</f>
        <v>0</v>
      </c>
      <c r="AX68" s="316"/>
      <c r="AY68" s="316">
        <f>+AW68</f>
        <v>0</v>
      </c>
      <c r="AZ68" s="316">
        <f>+AY68</f>
        <v>0</v>
      </c>
      <c r="BA68" s="316"/>
      <c r="BB68" s="316">
        <f>+AZ68</f>
        <v>0</v>
      </c>
      <c r="BC68" s="316">
        <f>+BB68</f>
        <v>0</v>
      </c>
      <c r="BD68" s="316"/>
      <c r="BE68" s="316">
        <f>+BC68</f>
        <v>0</v>
      </c>
      <c r="BF68" s="316">
        <f>+BE68</f>
        <v>0</v>
      </c>
      <c r="BG68" s="316"/>
      <c r="BH68" s="316">
        <f>+BF68</f>
        <v>0</v>
      </c>
      <c r="BI68" s="316">
        <f>+BH68</f>
        <v>0</v>
      </c>
      <c r="BJ68" s="316"/>
    </row>
    <row r="69" spans="1:62" s="1" customFormat="1"/>
    <row r="70" spans="1:62" s="301" customFormat="1">
      <c r="A70" s="301" t="s">
        <v>287</v>
      </c>
      <c r="F70" s="302"/>
      <c r="G70" s="302"/>
      <c r="H70" s="302"/>
      <c r="I70" s="303">
        <v>10.5</v>
      </c>
      <c r="J70" s="303">
        <v>21</v>
      </c>
      <c r="K70" s="303">
        <f>SUM(I70:J70)</f>
        <v>31.5</v>
      </c>
      <c r="L70" s="303">
        <v>9.1999999999999993</v>
      </c>
      <c r="M70" s="303">
        <f>+M56-M66+M68</f>
        <v>15.700000000000003</v>
      </c>
      <c r="N70" s="303">
        <f>SUM(L70:M70)</f>
        <v>24.900000000000002</v>
      </c>
      <c r="O70" s="303">
        <f>+O56-O66+O68</f>
        <v>52.599999999999994</v>
      </c>
      <c r="P70" s="302">
        <f>+P56-P66+P68</f>
        <v>44.600000000000009</v>
      </c>
      <c r="Q70" s="302">
        <f>SUM(O70:P70)</f>
        <v>97.2</v>
      </c>
      <c r="R70" s="302">
        <f>+R56-R66+R68</f>
        <v>49.099999999999994</v>
      </c>
      <c r="S70" s="302">
        <f>+S56-S66+S68</f>
        <v>27.299999999999994</v>
      </c>
      <c r="T70" s="302">
        <f>SUM(R70:S70)</f>
        <v>76.399999999999991</v>
      </c>
      <c r="U70" s="302">
        <f>+U56-U66+U68</f>
        <v>36.5</v>
      </c>
      <c r="V70" s="302">
        <f>+V56-V66+V68</f>
        <v>42.400000000000006</v>
      </c>
      <c r="W70" s="302">
        <f>SUM(U70:V70)</f>
        <v>78.900000000000006</v>
      </c>
      <c r="X70" s="302">
        <f>+X56-X66+X68</f>
        <v>41.3</v>
      </c>
      <c r="Y70" s="302">
        <f>+Y56-Y66+Y68</f>
        <v>43.7</v>
      </c>
      <c r="Z70" s="302">
        <f>SUM(X70:Y70)</f>
        <v>85</v>
      </c>
      <c r="AA70" s="302">
        <f>+AA56-AA66+AA68</f>
        <v>37.6</v>
      </c>
      <c r="AB70" s="302">
        <f>+AB56-AB66+AB68</f>
        <v>45.099999999999994</v>
      </c>
      <c r="AC70" s="302">
        <f>SUM(AA70:AB70)</f>
        <v>82.699999999999989</v>
      </c>
      <c r="AD70" s="302">
        <f>+AD56-AD66+AD68</f>
        <v>30.100000000000005</v>
      </c>
      <c r="AE70" s="302">
        <f>+AE56-AE66+AE68</f>
        <v>-11.400000000000006</v>
      </c>
      <c r="AF70" s="302">
        <f>SUM(AD70:AE70)</f>
        <v>18.7</v>
      </c>
      <c r="AG70" s="302">
        <f>+AG56-AG66+AG68</f>
        <v>21.2</v>
      </c>
      <c r="AH70" s="302">
        <f>+AH56-AH66+AH68</f>
        <v>19.899999999999999</v>
      </c>
      <c r="AI70" s="302">
        <f>SUM(AG70:AH70)</f>
        <v>41.099999999999994</v>
      </c>
      <c r="AJ70" s="302">
        <f>+AJ56-AJ66+AJ68</f>
        <v>7.1000000000000014</v>
      </c>
      <c r="AK70" s="302">
        <f>+AK56-AK66+AK68</f>
        <v>26.400000000000002</v>
      </c>
      <c r="AL70" s="302">
        <f>SUM(AJ70:AK70)</f>
        <v>33.5</v>
      </c>
      <c r="AM70" s="302">
        <f>+AM56-AM66+AM68</f>
        <v>35.799999999999997</v>
      </c>
      <c r="AN70" s="302">
        <f>+AN56-AN66+AN68</f>
        <v>21.999999999999996</v>
      </c>
      <c r="AO70" s="302">
        <f>SUM(AM70:AN70)</f>
        <v>57.8</v>
      </c>
      <c r="AP70" s="302">
        <f>+AP56-AP66+AP68</f>
        <v>24.500000000000007</v>
      </c>
      <c r="AQ70" s="302">
        <f>+AQ56-AQ66+AQ68</f>
        <v>23.6</v>
      </c>
      <c r="AR70" s="302">
        <f>SUM(AP70:AQ70)</f>
        <v>48.100000000000009</v>
      </c>
      <c r="AS70" s="302">
        <f>74.1-65.9</f>
        <v>8.1999999999999886</v>
      </c>
      <c r="AT70" s="302">
        <f>+AT56-AT66+AT68</f>
        <v>-9.9818493436445763</v>
      </c>
      <c r="AU70" s="302">
        <f>SUM(AS70:AT70)</f>
        <v>-1.7818493436445877</v>
      </c>
      <c r="AV70" s="302">
        <f>+AV56-AV66+AV68</f>
        <v>-7.7561806274923839</v>
      </c>
      <c r="AW70" s="302">
        <f>+AW56-AW66+AW68</f>
        <v>-3.8851521143599541</v>
      </c>
      <c r="AX70" s="302">
        <f>SUM(AV70:AW70)</f>
        <v>-11.641332741852338</v>
      </c>
      <c r="AY70" s="302">
        <f>+AY56-AY66+AY68</f>
        <v>-0.63934399856217539</v>
      </c>
      <c r="AZ70" s="302">
        <f>+AZ56-AZ66+AZ68</f>
        <v>2.5376679102506472</v>
      </c>
      <c r="BA70" s="302">
        <f>SUM(AY70:AZ70)</f>
        <v>1.8983239116884718</v>
      </c>
      <c r="BB70" s="302">
        <f>+BB56-BB66+BB68</f>
        <v>6.9228654116267663</v>
      </c>
      <c r="BC70" s="302">
        <f>+BC56-BC66+BC68</f>
        <v>10.183796881834176</v>
      </c>
      <c r="BD70" s="302">
        <f>SUM(BB70:BC70)</f>
        <v>17.106662293460943</v>
      </c>
      <c r="BE70" s="302">
        <f>+BE56-BE66+BE68</f>
        <v>41.450865847488195</v>
      </c>
      <c r="BF70" s="302">
        <f>+BF56-BF66+BF68</f>
        <v>43.251580102672214</v>
      </c>
      <c r="BG70" s="302">
        <f>SUM(BE70:BF70)</f>
        <v>84.70244595016041</v>
      </c>
      <c r="BH70" s="302">
        <f>+BH56-BH66+BH68</f>
        <v>50.257571326942617</v>
      </c>
      <c r="BI70" s="302">
        <f>+BI56-BI66+BI68</f>
        <v>52.156538840579692</v>
      </c>
      <c r="BJ70" s="302">
        <f>SUM(BH70:BI70)</f>
        <v>102.41411016752231</v>
      </c>
    </row>
    <row r="71" spans="1:62" s="1" customFormat="1">
      <c r="F71" s="23"/>
      <c r="H71" s="23"/>
      <c r="J71" s="23"/>
      <c r="K71" s="23"/>
      <c r="M71" s="23"/>
      <c r="N71" s="23"/>
      <c r="P71" s="23"/>
      <c r="Q71" s="23"/>
      <c r="S71" s="23"/>
      <c r="T71" s="23"/>
      <c r="U71" s="23"/>
      <c r="V71" s="23"/>
      <c r="W71" s="23"/>
      <c r="Y71" s="23"/>
      <c r="Z71" s="23"/>
      <c r="AB71" s="23"/>
      <c r="AC71" s="23"/>
      <c r="AE71" s="23"/>
      <c r="AF71" s="23"/>
      <c r="AH71" s="23"/>
      <c r="AI71" s="23"/>
      <c r="AK71" s="23"/>
      <c r="AL71" s="23"/>
      <c r="AN71" s="23"/>
      <c r="AO71" s="23"/>
      <c r="AQ71" s="23"/>
      <c r="AR71" s="23"/>
      <c r="AT71" s="23"/>
      <c r="AU71" s="23"/>
      <c r="AW71" s="23"/>
      <c r="AX71" s="23"/>
      <c r="AZ71" s="23"/>
      <c r="BA71" s="23"/>
      <c r="BC71" s="23"/>
      <c r="BD71" s="23"/>
      <c r="BF71" s="23"/>
      <c r="BG71" s="23"/>
      <c r="BI71" s="23"/>
      <c r="BJ71" s="23"/>
    </row>
    <row r="72" spans="1:62" s="37" customFormat="1">
      <c r="A72" s="37" t="s">
        <v>288</v>
      </c>
    </row>
    <row r="73" spans="1:62" s="1" customFormat="1">
      <c r="J73" s="19"/>
    </row>
    <row r="74" spans="1:62" s="1" customFormat="1">
      <c r="A74" s="1" t="s">
        <v>289</v>
      </c>
      <c r="E74" s="23"/>
      <c r="F74" s="23"/>
      <c r="G74" s="23"/>
      <c r="H74" s="23">
        <f>Group!AA177</f>
        <v>645.39999999999895</v>
      </c>
      <c r="I74" s="23">
        <f>Group!AB177</f>
        <v>565.69999999999891</v>
      </c>
      <c r="J74" s="23">
        <f>Group!AC177</f>
        <v>359.90000000000003</v>
      </c>
      <c r="K74" s="23">
        <f>Group!AD177</f>
        <v>359.89999999999895</v>
      </c>
      <c r="L74" s="23">
        <f>+Group!AE95</f>
        <v>479.99999999999898</v>
      </c>
      <c r="M74" s="23">
        <f>+Group!AF95</f>
        <v>746.5</v>
      </c>
      <c r="N74" s="23">
        <f>+Group!AG95</f>
        <v>746.5</v>
      </c>
      <c r="O74" s="23">
        <f>+Group!AH95</f>
        <v>844.7</v>
      </c>
      <c r="P74" s="23">
        <f>+Group!AI95</f>
        <v>1337</v>
      </c>
      <c r="Q74" s="23">
        <f>+Group!AJ95</f>
        <v>1336.9999999999991</v>
      </c>
      <c r="R74" s="23">
        <f>+Group!AK95</f>
        <v>1709.4999999999991</v>
      </c>
      <c r="S74" s="23">
        <f>+Group!AL95</f>
        <v>2095.099999999999</v>
      </c>
      <c r="T74" s="23">
        <f>+Group!AM95</f>
        <v>2095.099999999999</v>
      </c>
      <c r="U74" s="23">
        <f>+Group!AN95</f>
        <v>2343.7999999999993</v>
      </c>
      <c r="V74" s="23">
        <f>+Group!AO95</f>
        <v>2406.7999999999993</v>
      </c>
      <c r="W74" s="23">
        <f>+Group!AP95</f>
        <v>2406.7999999999993</v>
      </c>
      <c r="X74" s="23">
        <f>+Group!AQ95</f>
        <v>2062.5999999999995</v>
      </c>
      <c r="Y74" s="23">
        <f>+Group!AR95</f>
        <v>1607.0999999999995</v>
      </c>
      <c r="Z74" s="23">
        <f>+Group!AS95</f>
        <v>1607.0999999999992</v>
      </c>
      <c r="AA74" s="23">
        <f>+Group!AT95</f>
        <v>1362.4999999999991</v>
      </c>
      <c r="AB74" s="23">
        <f>+Group!AU95</f>
        <v>1781.9</v>
      </c>
      <c r="AC74" s="23">
        <f>+Group!AV95</f>
        <v>1781.9</v>
      </c>
      <c r="AD74" s="23">
        <f>+Group!AW95</f>
        <v>1275.2</v>
      </c>
      <c r="AE74" s="23">
        <f>+Group!AX95</f>
        <v>920.4</v>
      </c>
      <c r="AF74" s="23">
        <f>+Group!AY95</f>
        <v>920.4</v>
      </c>
      <c r="AG74" s="23">
        <f>+Group!AZ95</f>
        <v>719.6</v>
      </c>
      <c r="AH74" s="23">
        <f>+Group!BA95</f>
        <v>1056</v>
      </c>
      <c r="AI74" s="23">
        <f>+Group!BB95</f>
        <v>1056</v>
      </c>
      <c r="AJ74" s="23">
        <f>+Group!BC95</f>
        <v>981.6</v>
      </c>
      <c r="AK74" s="23">
        <f>+Group!BD95</f>
        <v>1360.1</v>
      </c>
      <c r="AL74" s="23">
        <f>+Group!BE95</f>
        <v>1360.1</v>
      </c>
      <c r="AM74" s="23">
        <f>+Group!BF95</f>
        <v>1213.8</v>
      </c>
      <c r="AN74" s="23">
        <f>+Group!BG95</f>
        <v>1785.3</v>
      </c>
      <c r="AO74" s="23">
        <f>+Group!BH95</f>
        <v>1785.3</v>
      </c>
      <c r="AP74" s="23">
        <f>+Group!BI95</f>
        <v>1489.1</v>
      </c>
      <c r="AQ74" s="23">
        <f>+Group!BJ95</f>
        <v>3957.1</v>
      </c>
      <c r="AR74" s="23">
        <f>+Group!BK95</f>
        <v>3957.1</v>
      </c>
      <c r="AS74" s="23">
        <f>+Group!BL95</f>
        <v>2963.4</v>
      </c>
      <c r="AT74" s="23">
        <f ca="1">+Group!BM95</f>
        <v>2498.9259052301022</v>
      </c>
      <c r="AU74" s="23">
        <f ca="1">+Group!BN95</f>
        <v>2498.9259052301022</v>
      </c>
      <c r="AV74" s="23">
        <f ca="1">+Group!BO95</f>
        <v>1920.9987365894144</v>
      </c>
      <c r="AW74" s="23">
        <f ca="1">+Group!BP95</f>
        <v>1692.2161823965703</v>
      </c>
      <c r="AX74" s="23">
        <f ca="1">+Group!BQ95</f>
        <v>1692.2161823965703</v>
      </c>
      <c r="AY74" s="23">
        <f ca="1">+Group!BR95</f>
        <v>1784.6046035426352</v>
      </c>
      <c r="AZ74" s="23">
        <f ca="1">+Group!BS95</f>
        <v>2024.8704927472695</v>
      </c>
      <c r="BA74" s="23">
        <f ca="1">+Group!BT95</f>
        <v>2024.8704927472695</v>
      </c>
      <c r="BB74" s="23">
        <f ca="1">+Group!BU95</f>
        <v>2390.4734376432198</v>
      </c>
      <c r="BC74" s="23">
        <f ca="1">+Group!BV95</f>
        <v>2778.8455851857898</v>
      </c>
      <c r="BD74" s="23">
        <f ca="1">+Group!BW95</f>
        <v>2778.8455851857898</v>
      </c>
      <c r="BE74" s="23">
        <f ca="1">+Group!BX95</f>
        <v>3253.2810815883745</v>
      </c>
      <c r="BF74" s="23">
        <f ca="1">+Group!BY95</f>
        <v>3741.5619248732373</v>
      </c>
      <c r="BG74" s="23">
        <f ca="1">+Group!BZ95</f>
        <v>3741.5619248732373</v>
      </c>
      <c r="BH74" s="23">
        <f ca="1">+Group!CA95</f>
        <v>4331.1661130608545</v>
      </c>
      <c r="BI74" s="23">
        <f ca="1">+Group!CB95</f>
        <v>4939.0397282790082</v>
      </c>
      <c r="BJ74" s="23">
        <f ca="1">+Group!CC95</f>
        <v>4939.0397282790091</v>
      </c>
    </row>
    <row r="75" spans="1:62" s="1" customFormat="1">
      <c r="A75" s="1" t="s">
        <v>290</v>
      </c>
      <c r="F75" s="311"/>
      <c r="G75" s="311"/>
      <c r="H75" s="311"/>
      <c r="I75" s="317">
        <v>0.01</v>
      </c>
      <c r="J75" s="317">
        <v>0.01</v>
      </c>
      <c r="K75" s="311">
        <v>0.01</v>
      </c>
      <c r="L75" s="311">
        <v>0.01</v>
      </c>
      <c r="M75" s="311">
        <f>L75</f>
        <v>0.01</v>
      </c>
      <c r="N75" s="311">
        <f t="shared" ref="N75:AC75" si="75">+M75</f>
        <v>0.01</v>
      </c>
      <c r="O75" s="311">
        <f t="shared" si="75"/>
        <v>0.01</v>
      </c>
      <c r="P75" s="311">
        <f>P76*2/AVERAGE(O74:P74)</f>
        <v>6.4170142549388118E-3</v>
      </c>
      <c r="Q75" s="311">
        <f t="shared" si="75"/>
        <v>6.4170142549388118E-3</v>
      </c>
      <c r="R75" s="311">
        <f>R76*2/AVERAGE(Q74:R74)</f>
        <v>1.3392417528311183E-2</v>
      </c>
      <c r="S75" s="311">
        <f>S76*2/AVERAGE(R74:S74)</f>
        <v>1.2826578352520639E-2</v>
      </c>
      <c r="T75" s="311">
        <f t="shared" si="75"/>
        <v>1.2826578352520639E-2</v>
      </c>
      <c r="U75" s="311">
        <f>U76*2/AVERAGE(T74:U74)</f>
        <v>1.3606974700939429E-2</v>
      </c>
      <c r="V75" s="311">
        <f>V76*2/AVERAGE(U74:V74)</f>
        <v>1.6334778764787609E-2</v>
      </c>
      <c r="W75" s="311">
        <f t="shared" si="75"/>
        <v>1.6334778764787609E-2</v>
      </c>
      <c r="X75" s="311">
        <f>X76*2/AVERAGE(W74:X74)</f>
        <v>1.8794469056249166E-2</v>
      </c>
      <c r="Y75" s="311">
        <f t="shared" si="75"/>
        <v>1.8794469056249166E-2</v>
      </c>
      <c r="Z75" s="311">
        <f t="shared" si="75"/>
        <v>1.8794469056249166E-2</v>
      </c>
      <c r="AA75" s="311">
        <f>AA76*2/AVERAGE(Z74:AA74)</f>
        <v>1.0371767241379316E-2</v>
      </c>
      <c r="AB75" s="311">
        <f>AB76*2/AVERAGE(AA74:AB74)</f>
        <v>5.3428317008014266E-3</v>
      </c>
      <c r="AC75" s="311">
        <f t="shared" si="75"/>
        <v>5.3428317008014266E-3</v>
      </c>
      <c r="AD75" s="311">
        <f>AD76*2/AVERAGE(AC74:AD74)</f>
        <v>2.2243302476202933E-3</v>
      </c>
      <c r="AE75" s="311">
        <f>AE76*2/AVERAGE(AD74:AE74)</f>
        <v>1.0930952814720348E-3</v>
      </c>
      <c r="AF75" s="311">
        <f t="shared" ref="AF75:AR75" si="76">+AE75</f>
        <v>1.0930952814720348E-3</v>
      </c>
      <c r="AG75" s="311">
        <f>AG76*2/AVERAGE(AF74:AG74)</f>
        <v>1.2195121951219512E-3</v>
      </c>
      <c r="AH75" s="311">
        <f>AH76*2/AVERAGE(AG74:AH74)</f>
        <v>2.9285875197116468E-3</v>
      </c>
      <c r="AI75" s="311">
        <f t="shared" si="76"/>
        <v>2.9285875197116468E-3</v>
      </c>
      <c r="AJ75" s="311">
        <f>AJ76*2/AVERAGE(AI74:AJ74)</f>
        <v>1.1974872398900667E-2</v>
      </c>
      <c r="AK75" s="311">
        <f>AK76*2/AVERAGE(AJ74:AK74)</f>
        <v>2.37434342571636E-2</v>
      </c>
      <c r="AL75" s="311">
        <f t="shared" si="76"/>
        <v>2.37434342571636E-2</v>
      </c>
      <c r="AM75" s="311">
        <f>AM76*2/AVERAGE(AL74:AM74)</f>
        <v>2.8439333307432306E-2</v>
      </c>
      <c r="AN75" s="311">
        <f>AN76*2/AVERAGE(AM74:AN74)</f>
        <v>2.8008402520756225E-2</v>
      </c>
      <c r="AO75" s="311">
        <f t="shared" si="76"/>
        <v>2.8008402520756225E-2</v>
      </c>
      <c r="AP75" s="311">
        <f>AP76*2/AVERAGE(AO74:AP74)</f>
        <v>3.334962130466651E-2</v>
      </c>
      <c r="AQ75" s="311">
        <f>AQ76*2/AVERAGE(AP74:AQ74)</f>
        <v>4.0174800778524478E-2</v>
      </c>
      <c r="AR75" s="311">
        <f t="shared" si="76"/>
        <v>4.0174800778524478E-2</v>
      </c>
      <c r="AS75" s="311">
        <f>AS76*2/AVERAGE(AR74:AS74)</f>
        <v>4.2829275341377065E-2</v>
      </c>
      <c r="AT75" s="311">
        <v>0.03</v>
      </c>
      <c r="AU75" s="311">
        <f t="shared" ref="AU75" si="77">+AT75</f>
        <v>0.03</v>
      </c>
      <c r="AV75" s="311">
        <f t="shared" ref="AV75" si="78">+AU75</f>
        <v>0.03</v>
      </c>
      <c r="AW75" s="311">
        <f t="shared" ref="AW75" si="79">+AV75</f>
        <v>0.03</v>
      </c>
      <c r="AX75" s="311">
        <f t="shared" ref="AX75" si="80">+AW75</f>
        <v>0.03</v>
      </c>
      <c r="AY75" s="311">
        <f t="shared" ref="AY75" si="81">+AX75</f>
        <v>0.03</v>
      </c>
      <c r="AZ75" s="311">
        <f t="shared" ref="AZ75" si="82">+AY75</f>
        <v>0.03</v>
      </c>
      <c r="BA75" s="311">
        <f t="shared" ref="BA75" si="83">+AZ75</f>
        <v>0.03</v>
      </c>
      <c r="BB75" s="311">
        <f t="shared" ref="BB75" si="84">+BA75</f>
        <v>0.03</v>
      </c>
      <c r="BC75" s="311">
        <f t="shared" ref="BC75" si="85">+BB75</f>
        <v>0.03</v>
      </c>
      <c r="BD75" s="311">
        <f t="shared" ref="BD75" si="86">+BC75</f>
        <v>0.03</v>
      </c>
      <c r="BE75" s="311">
        <f t="shared" ref="BE75" si="87">+BD75</f>
        <v>0.03</v>
      </c>
      <c r="BF75" s="311">
        <f t="shared" ref="BF75" si="88">+BE75</f>
        <v>0.03</v>
      </c>
      <c r="BG75" s="311">
        <f t="shared" ref="BG75" si="89">+BF75</f>
        <v>0.03</v>
      </c>
      <c r="BH75" s="311">
        <f t="shared" ref="BH75" si="90">+BG75</f>
        <v>0.03</v>
      </c>
      <c r="BI75" s="311">
        <f t="shared" ref="BI75" si="91">+BH75</f>
        <v>0.03</v>
      </c>
      <c r="BJ75" s="311">
        <f t="shared" ref="BJ75" si="92">+BI75</f>
        <v>0.03</v>
      </c>
    </row>
    <row r="76" spans="1:62" s="301" customFormat="1">
      <c r="A76" s="301" t="s">
        <v>291</v>
      </c>
      <c r="F76" s="302"/>
      <c r="G76" s="302"/>
      <c r="H76" s="302"/>
      <c r="I76" s="303">
        <v>3.9000000000000004</v>
      </c>
      <c r="J76" s="303">
        <f>5.1-I76</f>
        <v>1.1999999999999993</v>
      </c>
      <c r="K76" s="303">
        <f>SUM(I76:J76)</f>
        <v>5.0999999999999996</v>
      </c>
      <c r="L76" s="303">
        <f>1.1+1.6</f>
        <v>2.7</v>
      </c>
      <c r="M76" s="303">
        <f>3.5-L76</f>
        <v>0.79999999999999982</v>
      </c>
      <c r="N76" s="303">
        <f>SUM(L76:M76)</f>
        <v>3.5</v>
      </c>
      <c r="O76" s="303">
        <f>4.6+0.2</f>
        <v>4.8</v>
      </c>
      <c r="P76" s="303">
        <f>Q76-O76</f>
        <v>3.5000000000000009</v>
      </c>
      <c r="Q76" s="303">
        <v>8.3000000000000007</v>
      </c>
      <c r="R76" s="303">
        <v>10.199999999999999</v>
      </c>
      <c r="S76" s="303">
        <f>22.4-R76</f>
        <v>12.2</v>
      </c>
      <c r="T76" s="302">
        <f>SUM(R76:S76)</f>
        <v>22.4</v>
      </c>
      <c r="U76" s="303">
        <v>15.1</v>
      </c>
      <c r="V76" s="303">
        <f>34.5-U76</f>
        <v>19.399999999999999</v>
      </c>
      <c r="W76" s="303">
        <f>SUM(U76:V76)</f>
        <v>34.5</v>
      </c>
      <c r="X76" s="303">
        <v>21</v>
      </c>
      <c r="Y76" s="303">
        <f>39.1-X76</f>
        <v>18.100000000000001</v>
      </c>
      <c r="Z76" s="303">
        <f>SUM(X76:Y76)</f>
        <v>39.1</v>
      </c>
      <c r="AA76" s="303">
        <v>7.7</v>
      </c>
      <c r="AB76" s="303">
        <f>11.9-AA76</f>
        <v>4.2</v>
      </c>
      <c r="AC76" s="303">
        <f>SUM(AA76:AB76)</f>
        <v>11.9</v>
      </c>
      <c r="AD76" s="303">
        <v>1.7</v>
      </c>
      <c r="AE76" s="303">
        <v>0.59999999999999987</v>
      </c>
      <c r="AF76" s="302">
        <f>SUM(AD76:AE76)</f>
        <v>2.2999999999999998</v>
      </c>
      <c r="AG76" s="303">
        <v>0.5</v>
      </c>
      <c r="AH76" s="303">
        <f>1.8-AG76</f>
        <v>1.3</v>
      </c>
      <c r="AI76" s="302">
        <f>SUM(AG76:AH76)</f>
        <v>1.8</v>
      </c>
      <c r="AJ76" s="303">
        <v>6.1</v>
      </c>
      <c r="AK76" s="303">
        <f>20-AJ76</f>
        <v>13.9</v>
      </c>
      <c r="AL76" s="303">
        <f>SUM(AJ76:AK76)</f>
        <v>20</v>
      </c>
      <c r="AM76" s="303">
        <v>18.3</v>
      </c>
      <c r="AN76" s="303">
        <f>39.3-AM76</f>
        <v>20.999999999999996</v>
      </c>
      <c r="AO76" s="302">
        <f>SUM(AM76:AN76)</f>
        <v>39.299999999999997</v>
      </c>
      <c r="AP76" s="303">
        <v>27.3</v>
      </c>
      <c r="AQ76" s="303">
        <f>82-AP76</f>
        <v>54.7</v>
      </c>
      <c r="AR76" s="302">
        <f>SUM(AP76:AQ76)</f>
        <v>82</v>
      </c>
      <c r="AS76" s="303">
        <v>74.099999999999994</v>
      </c>
      <c r="AT76" s="302">
        <f ca="1">+AVERAGE(AS74:AT74)*AT75*0.5</f>
        <v>40.96744428922576</v>
      </c>
      <c r="AU76" s="302">
        <f ca="1">SUM(AS76:AT76)</f>
        <v>115.06744428922576</v>
      </c>
      <c r="AV76" s="302">
        <f ca="1">+AVERAGE(AU74:AV74)*AV75*0.5</f>
        <v>33.149434813646373</v>
      </c>
      <c r="AW76" s="302">
        <f ca="1">+AVERAGE(AV74:AW74)*AW75*0.5</f>
        <v>27.099111892394884</v>
      </c>
      <c r="AX76" s="302">
        <f ca="1">SUM(AV76:AW76)</f>
        <v>60.248546706041253</v>
      </c>
      <c r="AY76" s="302">
        <f ca="1">+AVERAGE(AX74:AY74)*AY75*0.5</f>
        <v>26.076155894544041</v>
      </c>
      <c r="AZ76" s="302">
        <f ca="1">+AVERAGE(AY74:AZ74)*AZ75*0.5</f>
        <v>28.571063222174285</v>
      </c>
      <c r="BA76" s="302">
        <f ca="1">SUM(AY76:AZ76)</f>
        <v>54.647219116718325</v>
      </c>
      <c r="BB76" s="302">
        <f ca="1">+AVERAGE(BA74:BB74)*BB75*0.5</f>
        <v>33.115079477928667</v>
      </c>
      <c r="BC76" s="302">
        <f ca="1">+AVERAGE(BB74:BC74)*BC75*0.5</f>
        <v>38.769892671217569</v>
      </c>
      <c r="BD76" s="302">
        <f ca="1">SUM(BB76:BC76)</f>
        <v>71.884972149146236</v>
      </c>
      <c r="BE76" s="302">
        <f ca="1">+AVERAGE(BD74:BE74)*BE75*0.5</f>
        <v>45.24095000080623</v>
      </c>
      <c r="BF76" s="302">
        <f ca="1">+AVERAGE(BE74:BF74)*BF75*0.5</f>
        <v>52.461322548462086</v>
      </c>
      <c r="BG76" s="302">
        <f ca="1">SUM(BE76:BF76)</f>
        <v>97.702272549268315</v>
      </c>
      <c r="BH76" s="302">
        <f ca="1">+AVERAGE(BG74:BH74)*BH75*0.5</f>
        <v>60.545460284505687</v>
      </c>
      <c r="BI76" s="302">
        <f ca="1">+AVERAGE(BH74:BI74)*BI75*0.5</f>
        <v>69.526543810048963</v>
      </c>
      <c r="BJ76" s="302">
        <f ca="1">SUM(BH76:BI76)</f>
        <v>130.07200409455464</v>
      </c>
    </row>
    <row r="77" spans="1:62" s="1" customFormat="1">
      <c r="N77" s="23"/>
    </row>
    <row r="78" spans="1:62" s="301" customFormat="1">
      <c r="A78" s="301" t="s">
        <v>292</v>
      </c>
      <c r="F78" s="302"/>
      <c r="G78" s="302"/>
      <c r="H78" s="302"/>
      <c r="I78" s="302">
        <f>I70</f>
        <v>10.5</v>
      </c>
      <c r="J78" s="302">
        <f t="shared" ref="J78:AR78" si="93">J70-J76</f>
        <v>19.8</v>
      </c>
      <c r="K78" s="302">
        <f>K70-K76</f>
        <v>26.4</v>
      </c>
      <c r="L78" s="302">
        <f>L70-L76</f>
        <v>6.4999999999999991</v>
      </c>
      <c r="M78" s="302">
        <f t="shared" si="93"/>
        <v>14.900000000000002</v>
      </c>
      <c r="N78" s="302">
        <f t="shared" si="93"/>
        <v>21.400000000000002</v>
      </c>
      <c r="O78" s="302">
        <f t="shared" si="93"/>
        <v>47.8</v>
      </c>
      <c r="P78" s="302">
        <f t="shared" si="93"/>
        <v>41.100000000000009</v>
      </c>
      <c r="Q78" s="302">
        <f t="shared" si="93"/>
        <v>88.9</v>
      </c>
      <c r="R78" s="302">
        <f t="shared" si="93"/>
        <v>38.899999999999991</v>
      </c>
      <c r="S78" s="302">
        <f t="shared" si="93"/>
        <v>15.099999999999994</v>
      </c>
      <c r="T78" s="302">
        <f t="shared" si="93"/>
        <v>53.999999999999993</v>
      </c>
      <c r="U78" s="302">
        <f t="shared" si="93"/>
        <v>21.4</v>
      </c>
      <c r="V78" s="302">
        <f t="shared" si="93"/>
        <v>23.000000000000007</v>
      </c>
      <c r="W78" s="303">
        <f t="shared" si="93"/>
        <v>44.400000000000006</v>
      </c>
      <c r="X78" s="302">
        <f t="shared" si="93"/>
        <v>20.299999999999997</v>
      </c>
      <c r="Y78" s="302">
        <f t="shared" si="93"/>
        <v>25.6</v>
      </c>
      <c r="Z78" s="303">
        <f t="shared" si="93"/>
        <v>45.9</v>
      </c>
      <c r="AA78" s="303">
        <f t="shared" si="93"/>
        <v>29.900000000000002</v>
      </c>
      <c r="AB78" s="302">
        <f t="shared" si="93"/>
        <v>40.899999999999991</v>
      </c>
      <c r="AC78" s="302">
        <f t="shared" si="93"/>
        <v>70.799999999999983</v>
      </c>
      <c r="AD78" s="302">
        <f t="shared" si="93"/>
        <v>28.400000000000006</v>
      </c>
      <c r="AE78" s="302">
        <f t="shared" si="93"/>
        <v>-12.000000000000005</v>
      </c>
      <c r="AF78" s="302">
        <f t="shared" si="93"/>
        <v>16.399999999999999</v>
      </c>
      <c r="AG78" s="302">
        <f t="shared" si="93"/>
        <v>20.7</v>
      </c>
      <c r="AH78" s="302">
        <f t="shared" si="93"/>
        <v>18.599999999999998</v>
      </c>
      <c r="AI78" s="302">
        <f t="shared" si="93"/>
        <v>39.299999999999997</v>
      </c>
      <c r="AJ78" s="302">
        <f t="shared" si="93"/>
        <v>1.0000000000000018</v>
      </c>
      <c r="AK78" s="302">
        <f t="shared" si="93"/>
        <v>12.500000000000002</v>
      </c>
      <c r="AL78" s="302">
        <f t="shared" si="93"/>
        <v>13.5</v>
      </c>
      <c r="AM78" s="302">
        <f t="shared" si="93"/>
        <v>17.499999999999996</v>
      </c>
      <c r="AN78" s="302">
        <f t="shared" si="93"/>
        <v>1</v>
      </c>
      <c r="AO78" s="302">
        <f t="shared" si="93"/>
        <v>18.5</v>
      </c>
      <c r="AP78" s="302">
        <f t="shared" si="93"/>
        <v>-2.7999999999999936</v>
      </c>
      <c r="AQ78" s="302">
        <f>-33.9-AP78</f>
        <v>-31.100000000000005</v>
      </c>
      <c r="AR78" s="302">
        <f t="shared" si="93"/>
        <v>-33.899999999999991</v>
      </c>
      <c r="AS78" s="302">
        <v>-65.900000000000006</v>
      </c>
      <c r="AT78" s="302">
        <f t="shared" ref="AT78:AU78" ca="1" si="94">AT70-AT76</f>
        <v>-50.949293632870337</v>
      </c>
      <c r="AU78" s="302">
        <f t="shared" ca="1" si="94"/>
        <v>-116.84929363287034</v>
      </c>
      <c r="AV78" s="302">
        <f t="shared" ref="AV78:AX78" ca="1" si="95">AV70-AV76</f>
        <v>-40.905615441138757</v>
      </c>
      <c r="AW78" s="302">
        <f t="shared" ca="1" si="95"/>
        <v>-30.984264006754838</v>
      </c>
      <c r="AX78" s="302">
        <f t="shared" ca="1" si="95"/>
        <v>-71.889879447893591</v>
      </c>
      <c r="AY78" s="302">
        <f t="shared" ref="AY78:BA78" ca="1" si="96">AY70-AY76</f>
        <v>-26.715499893106216</v>
      </c>
      <c r="AZ78" s="302">
        <f t="shared" ca="1" si="96"/>
        <v>-26.033395311923638</v>
      </c>
      <c r="BA78" s="302">
        <f t="shared" ca="1" si="96"/>
        <v>-52.748895205029854</v>
      </c>
      <c r="BB78" s="302">
        <f t="shared" ref="BB78:BG78" ca="1" si="97">BB70-BB76</f>
        <v>-26.192214066301901</v>
      </c>
      <c r="BC78" s="302">
        <f t="shared" ca="1" si="97"/>
        <v>-28.586095789383393</v>
      </c>
      <c r="BD78" s="302">
        <f t="shared" ca="1" si="97"/>
        <v>-54.778309855685293</v>
      </c>
      <c r="BE78" s="302">
        <f t="shared" ca="1" si="97"/>
        <v>-3.7900841533180341</v>
      </c>
      <c r="BF78" s="302">
        <f t="shared" ca="1" si="97"/>
        <v>-9.2097424457898711</v>
      </c>
      <c r="BG78" s="302">
        <f t="shared" ca="1" si="97"/>
        <v>-12.999826599107905</v>
      </c>
      <c r="BH78" s="302">
        <f t="shared" ref="BH78:BJ78" ca="1" si="98">BH70-BH76</f>
        <v>-10.287888957563069</v>
      </c>
      <c r="BI78" s="302">
        <f t="shared" ca="1" si="98"/>
        <v>-17.370004969469271</v>
      </c>
      <c r="BJ78" s="302">
        <f t="shared" ca="1" si="98"/>
        <v>-27.657893927032333</v>
      </c>
    </row>
    <row r="79" spans="1:62" s="1" customFormat="1">
      <c r="M79" s="23">
        <f>M56-M66-M76</f>
        <v>14.900000000000002</v>
      </c>
    </row>
    <row r="80" spans="1:62" s="1" customFormat="1">
      <c r="AG80" s="1">
        <f>20.7+0.5+4</f>
        <v>25.2</v>
      </c>
      <c r="AH80" s="1">
        <v>39.299999999999997</v>
      </c>
      <c r="AJ80" s="1">
        <v>1</v>
      </c>
      <c r="AK80" s="1">
        <f>13.5-AJ80</f>
        <v>12.5</v>
      </c>
      <c r="AM80" s="1">
        <v>17.5</v>
      </c>
      <c r="AN80" s="1">
        <f>18.5-AM80</f>
        <v>1</v>
      </c>
    </row>
    <row r="81" spans="6:61" s="1" customFormat="1"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D81" s="23"/>
      <c r="AE81" s="23"/>
      <c r="AG81" s="23"/>
      <c r="AH81" s="23">
        <f>AH80-AG78</f>
        <v>18.599999999999998</v>
      </c>
      <c r="AJ81" s="23">
        <f>AJ80+AJ76+AJ66</f>
        <v>19.100000000000001</v>
      </c>
      <c r="AK81" s="23">
        <f>AK80+AK76+AK66</f>
        <v>43.2</v>
      </c>
      <c r="AM81" s="23">
        <f>AM76</f>
        <v>18.3</v>
      </c>
      <c r="AN81" s="23">
        <f>AN76</f>
        <v>20.999999999999996</v>
      </c>
      <c r="AP81" s="23"/>
      <c r="AQ81" s="23"/>
      <c r="AS81" s="23"/>
      <c r="AT81" s="23"/>
      <c r="AV81" s="23"/>
      <c r="AW81" s="23"/>
      <c r="AY81" s="23"/>
      <c r="AZ81" s="23"/>
      <c r="BB81" s="23"/>
      <c r="BC81" s="23"/>
      <c r="BE81" s="23"/>
      <c r="BF81" s="23"/>
      <c r="BH81" s="23"/>
      <c r="BI81" s="23"/>
    </row>
    <row r="82" spans="6:61" s="1" customFormat="1"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D82" s="23"/>
      <c r="AE82" s="23"/>
      <c r="AG82" s="23"/>
      <c r="AH82" s="23">
        <f>AH76</f>
        <v>1.3</v>
      </c>
      <c r="AJ82" s="23"/>
      <c r="AK82" s="23"/>
      <c r="AM82" s="23">
        <f>AM66</f>
        <v>11.2</v>
      </c>
      <c r="AN82" s="23">
        <f>AN66</f>
        <v>26.400000000000002</v>
      </c>
      <c r="AP82" s="23"/>
      <c r="AQ82" s="23"/>
      <c r="AS82" s="23"/>
      <c r="AT82" s="23"/>
      <c r="AV82" s="23"/>
      <c r="AW82" s="23"/>
      <c r="AY82" s="23"/>
      <c r="AZ82" s="23"/>
      <c r="BB82" s="23"/>
      <c r="BC82" s="23"/>
      <c r="BE82" s="23"/>
      <c r="BF82" s="23"/>
      <c r="BH82" s="23"/>
      <c r="BI82" s="23"/>
    </row>
    <row r="83" spans="6:61" s="1" customFormat="1">
      <c r="AH83" s="23">
        <f>AH66</f>
        <v>6.8000000000000007</v>
      </c>
      <c r="AM83" s="1">
        <f>SUM(AM80:AM82)</f>
        <v>47</v>
      </c>
      <c r="AN83" s="1">
        <f>SUM(AN80:AN82)</f>
        <v>48.4</v>
      </c>
    </row>
    <row r="84" spans="6:61" s="1" customFormat="1">
      <c r="AH84" s="23">
        <f>SUM(AH81:AH83)</f>
        <v>26.7</v>
      </c>
    </row>
    <row r="85" spans="6:61" s="1" customFormat="1"/>
    <row r="86" spans="6:61" s="1" customFormat="1"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D86" s="23"/>
      <c r="AE86" s="23"/>
      <c r="AG86" s="23"/>
      <c r="AH86" s="23"/>
      <c r="AJ86" s="23"/>
      <c r="AK86" s="23"/>
      <c r="AM86" s="23"/>
      <c r="AN86" s="23"/>
      <c r="AP86" s="23"/>
      <c r="AQ86" s="23"/>
      <c r="AS86" s="23"/>
      <c r="AT86" s="23"/>
      <c r="AV86" s="23"/>
      <c r="AW86" s="23"/>
      <c r="AY86" s="23"/>
      <c r="AZ86" s="23"/>
      <c r="BB86" s="23"/>
      <c r="BC86" s="23"/>
      <c r="BE86" s="23"/>
      <c r="BF86" s="23"/>
      <c r="BH86" s="23"/>
      <c r="BI86" s="23"/>
    </row>
    <row r="87" spans="6:61" s="1" customFormat="1"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D87" s="23"/>
      <c r="AE87" s="23"/>
      <c r="AG87" s="23"/>
      <c r="AH87" s="23"/>
      <c r="AJ87" s="23"/>
      <c r="AK87" s="23"/>
      <c r="AM87" s="23"/>
      <c r="AN87" s="23"/>
      <c r="AP87" s="23"/>
      <c r="AQ87" s="23"/>
      <c r="AS87" s="23"/>
      <c r="AT87" s="23"/>
      <c r="AV87" s="23"/>
      <c r="AW87" s="23"/>
      <c r="AY87" s="23"/>
      <c r="AZ87" s="23"/>
      <c r="BB87" s="23"/>
      <c r="BC87" s="23"/>
      <c r="BE87" s="23"/>
      <c r="BF87" s="23"/>
      <c r="BH87" s="23"/>
      <c r="BI87" s="23"/>
    </row>
    <row r="88" spans="6:61" s="1" customFormat="1"/>
    <row r="89" spans="6:61" s="1" customFormat="1"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D89" s="23"/>
      <c r="AE89" s="23"/>
      <c r="AG89" s="23"/>
      <c r="AH89" s="23"/>
      <c r="AJ89" s="23"/>
      <c r="AK89" s="23"/>
      <c r="AM89" s="23"/>
      <c r="AN89" s="23"/>
      <c r="AP89" s="23"/>
      <c r="AQ89" s="23"/>
      <c r="AS89" s="23"/>
      <c r="AT89" s="23"/>
      <c r="AV89" s="23"/>
      <c r="AW89" s="23"/>
      <c r="AY89" s="23"/>
      <c r="AZ89" s="23"/>
      <c r="BB89" s="23"/>
      <c r="BC89" s="23"/>
      <c r="BE89" s="23"/>
      <c r="BF89" s="23"/>
      <c r="BH89" s="23"/>
      <c r="BI89" s="23"/>
    </row>
    <row r="90" spans="6:61" s="1" customFormat="1"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D90" s="23"/>
      <c r="AE90" s="23"/>
      <c r="AG90" s="23"/>
      <c r="AH90" s="23"/>
      <c r="AJ90" s="23"/>
      <c r="AK90" s="23"/>
      <c r="AM90" s="23"/>
      <c r="AN90" s="23"/>
      <c r="AP90" s="23"/>
      <c r="AQ90" s="23"/>
      <c r="AS90" s="23"/>
      <c r="AT90" s="23"/>
      <c r="AV90" s="23"/>
      <c r="AW90" s="23"/>
      <c r="AY90" s="23"/>
      <c r="AZ90" s="23"/>
      <c r="BB90" s="23"/>
      <c r="BC90" s="23"/>
      <c r="BE90" s="23"/>
      <c r="BF90" s="23"/>
      <c r="BH90" s="23"/>
      <c r="BI90" s="23"/>
    </row>
    <row r="91" spans="6:61" s="1" customFormat="1"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D91" s="23"/>
      <c r="AE91" s="23"/>
      <c r="AG91" s="23"/>
      <c r="AH91" s="23"/>
      <c r="AJ91" s="23"/>
      <c r="AK91" s="23"/>
      <c r="AM91" s="23"/>
      <c r="AN91" s="23"/>
      <c r="AP91" s="23"/>
      <c r="AQ91" s="23"/>
      <c r="AS91" s="23"/>
      <c r="AT91" s="23"/>
      <c r="AV91" s="23"/>
      <c r="AW91" s="23"/>
      <c r="AY91" s="23"/>
      <c r="AZ91" s="23"/>
      <c r="BB91" s="23"/>
      <c r="BC91" s="23"/>
      <c r="BE91" s="23"/>
      <c r="BF91" s="23"/>
      <c r="BH91" s="23"/>
      <c r="BI91" s="23"/>
    </row>
    <row r="92" spans="6:61">
      <c r="F92" s="318"/>
      <c r="G92" s="318"/>
      <c r="H92" s="318"/>
      <c r="I92" s="318"/>
      <c r="J92" s="318"/>
      <c r="K92" s="318"/>
      <c r="L92" s="318"/>
      <c r="M92" s="318"/>
      <c r="N92" s="318"/>
      <c r="O92" s="318"/>
      <c r="P92" s="318"/>
      <c r="Q92" s="318"/>
      <c r="R92" s="318"/>
      <c r="S92" s="318"/>
      <c r="T92" s="318"/>
      <c r="U92" s="318"/>
      <c r="V92" s="318"/>
      <c r="W92" s="318"/>
      <c r="X92" s="318"/>
      <c r="Y92" s="318"/>
      <c r="Z92" s="318"/>
      <c r="AA92" s="318"/>
      <c r="AB92" s="318"/>
      <c r="AD92" s="318"/>
      <c r="AE92" s="318"/>
      <c r="AG92" s="318"/>
      <c r="AH92" s="318"/>
      <c r="AJ92" s="318"/>
      <c r="AK92" s="318"/>
      <c r="AM92" s="318"/>
      <c r="AN92" s="318"/>
      <c r="AP92" s="318"/>
      <c r="AQ92" s="318"/>
      <c r="AS92" s="318"/>
      <c r="AT92" s="318"/>
      <c r="AV92" s="318"/>
      <c r="AW92" s="318"/>
      <c r="AY92" s="318"/>
      <c r="AZ92" s="318"/>
      <c r="BB92" s="318"/>
      <c r="BC92" s="318"/>
      <c r="BE92" s="318"/>
      <c r="BF92" s="318"/>
      <c r="BH92" s="318"/>
      <c r="BI92" s="318"/>
    </row>
    <row r="93" spans="6:61">
      <c r="F93" s="318"/>
      <c r="G93" s="318"/>
      <c r="H93" s="318"/>
      <c r="I93" s="318"/>
      <c r="J93" s="318"/>
      <c r="K93" s="318"/>
      <c r="L93" s="318"/>
      <c r="M93" s="318"/>
      <c r="N93" s="318"/>
      <c r="O93" s="318"/>
      <c r="P93" s="318"/>
      <c r="Q93" s="318"/>
      <c r="R93" s="318"/>
      <c r="S93" s="318"/>
      <c r="T93" s="318"/>
      <c r="U93" s="318"/>
      <c r="V93" s="318"/>
      <c r="W93" s="318"/>
      <c r="X93" s="318"/>
      <c r="Y93" s="318"/>
      <c r="Z93" s="318"/>
      <c r="AA93" s="318"/>
      <c r="AB93" s="318"/>
      <c r="AD93" s="318"/>
      <c r="AE93" s="318"/>
      <c r="AG93" s="318"/>
      <c r="AH93" s="318"/>
      <c r="AJ93" s="318"/>
      <c r="AK93" s="318"/>
      <c r="AM93" s="318"/>
      <c r="AN93" s="318"/>
      <c r="AP93" s="318"/>
      <c r="AQ93" s="318"/>
      <c r="AS93" s="318"/>
      <c r="AT93" s="318"/>
      <c r="AV93" s="318"/>
      <c r="AW93" s="318"/>
      <c r="AY93" s="318"/>
      <c r="AZ93" s="318"/>
      <c r="BB93" s="318"/>
      <c r="BC93" s="318"/>
      <c r="BE93" s="318"/>
      <c r="BF93" s="318"/>
      <c r="BH93" s="318"/>
      <c r="BI93" s="318"/>
    </row>
  </sheetData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rgb="FFC00000"/>
  </sheetPr>
  <dimension ref="A1:DL110"/>
  <sheetViews>
    <sheetView topLeftCell="A5" zoomScaleNormal="100" workbookViewId="0">
      <pane xSplit="12" ySplit="1" topLeftCell="M6" activePane="bottomRight" state="frozen"/>
      <selection activeCell="F23" sqref="F23"/>
      <selection pane="topRight" activeCell="F23" sqref="F23"/>
      <selection pane="bottomLeft" activeCell="F23" sqref="F23"/>
      <selection pane="bottomRight" activeCell="BA38" sqref="BA38"/>
    </sheetView>
  </sheetViews>
  <sheetFormatPr defaultColWidth="9.09765625" defaultRowHeight="12.75" outlineLevelCol="1"/>
  <cols>
    <col min="1" max="1" width="44.09765625" style="197" customWidth="1"/>
    <col min="2" max="10" width="9.09765625" style="197" hidden="1" customWidth="1" outlineLevel="1"/>
    <col min="11" max="11" width="10.59765625" style="197" hidden="1" customWidth="1" outlineLevel="1"/>
    <col min="12" max="12" width="9.09765625" style="197" hidden="1" customWidth="1" outlineLevel="1"/>
    <col min="13" max="13" width="9.09765625" style="197" customWidth="1" collapsed="1"/>
    <col min="14" max="51" width="9.09765625" style="197"/>
    <col min="52" max="52" width="9" style="197" customWidth="1"/>
    <col min="53" max="16384" width="9.09765625" style="197"/>
  </cols>
  <sheetData>
    <row r="1" spans="1:116" s="2" customFormat="1" hidden="1">
      <c r="A1" s="25">
        <f ca="1">TODAY()</f>
        <v>46073</v>
      </c>
      <c r="B1" s="2" t="s">
        <v>44</v>
      </c>
      <c r="C1" s="2" t="s">
        <v>45</v>
      </c>
      <c r="D1" s="2" t="s">
        <v>46</v>
      </c>
      <c r="E1" s="2" t="s">
        <v>44</v>
      </c>
      <c r="F1" s="2" t="s">
        <v>45</v>
      </c>
      <c r="G1" s="2" t="s">
        <v>46</v>
      </c>
      <c r="H1" s="2" t="s">
        <v>44</v>
      </c>
      <c r="I1" s="2" t="s">
        <v>45</v>
      </c>
      <c r="J1" s="2" t="s">
        <v>46</v>
      </c>
      <c r="K1" s="2" t="s">
        <v>44</v>
      </c>
      <c r="L1" s="2" t="s">
        <v>45</v>
      </c>
      <c r="M1" s="2" t="s">
        <v>46</v>
      </c>
      <c r="N1" s="2" t="s">
        <v>44</v>
      </c>
      <c r="O1" s="2" t="s">
        <v>45</v>
      </c>
      <c r="P1" s="2" t="s">
        <v>46</v>
      </c>
      <c r="Q1" s="2" t="s">
        <v>44</v>
      </c>
      <c r="R1" s="2" t="s">
        <v>45</v>
      </c>
      <c r="S1" s="2" t="s">
        <v>46</v>
      </c>
      <c r="T1" s="2" t="s">
        <v>44</v>
      </c>
      <c r="U1" s="2" t="s">
        <v>45</v>
      </c>
      <c r="V1" s="2" t="s">
        <v>46</v>
      </c>
      <c r="W1" s="2" t="s">
        <v>44</v>
      </c>
      <c r="X1" s="2" t="s">
        <v>45</v>
      </c>
      <c r="Y1" s="2" t="s">
        <v>46</v>
      </c>
      <c r="Z1" s="2" t="s">
        <v>44</v>
      </c>
      <c r="AA1" s="2" t="s">
        <v>45</v>
      </c>
      <c r="AB1" s="2" t="s">
        <v>46</v>
      </c>
      <c r="AC1" s="2" t="s">
        <v>44</v>
      </c>
      <c r="AD1" s="2" t="s">
        <v>45</v>
      </c>
      <c r="AE1" s="2" t="s">
        <v>46</v>
      </c>
      <c r="AF1" s="2" t="s">
        <v>44</v>
      </c>
      <c r="AG1" s="2" t="s">
        <v>45</v>
      </c>
      <c r="AH1" s="2" t="s">
        <v>46</v>
      </c>
      <c r="AI1" s="2" t="s">
        <v>44</v>
      </c>
      <c r="AJ1" s="2" t="s">
        <v>45</v>
      </c>
      <c r="AK1" s="2" t="s">
        <v>46</v>
      </c>
      <c r="AL1" s="2" t="s">
        <v>44</v>
      </c>
      <c r="AM1" s="2" t="s">
        <v>45</v>
      </c>
      <c r="AN1" s="2" t="s">
        <v>46</v>
      </c>
      <c r="AO1" s="2" t="s">
        <v>44</v>
      </c>
      <c r="AP1" s="2" t="s">
        <v>45</v>
      </c>
      <c r="AQ1" s="2" t="s">
        <v>46</v>
      </c>
      <c r="AR1" s="2" t="s">
        <v>44</v>
      </c>
      <c r="AS1" s="2" t="s">
        <v>45</v>
      </c>
      <c r="AT1" s="2" t="s">
        <v>46</v>
      </c>
      <c r="AU1" s="2" t="s">
        <v>44</v>
      </c>
      <c r="AV1" s="2" t="s">
        <v>45</v>
      </c>
      <c r="AW1" s="2" t="s">
        <v>46</v>
      </c>
      <c r="AX1" s="2" t="s">
        <v>44</v>
      </c>
      <c r="AY1" s="2" t="s">
        <v>45</v>
      </c>
      <c r="AZ1" s="2" t="s">
        <v>46</v>
      </c>
      <c r="BA1" s="2" t="s">
        <v>44</v>
      </c>
      <c r="BB1" s="2" t="s">
        <v>45</v>
      </c>
      <c r="BC1" s="2" t="s">
        <v>46</v>
      </c>
      <c r="BD1" s="2" t="s">
        <v>44</v>
      </c>
      <c r="BE1" s="2" t="s">
        <v>45</v>
      </c>
      <c r="BF1" s="2" t="s">
        <v>46</v>
      </c>
      <c r="BG1" s="2" t="s">
        <v>44</v>
      </c>
      <c r="BH1" s="2" t="s">
        <v>45</v>
      </c>
      <c r="BI1" s="2" t="s">
        <v>46</v>
      </c>
      <c r="BJ1" s="2" t="s">
        <v>44</v>
      </c>
      <c r="BK1" s="2" t="s">
        <v>45</v>
      </c>
      <c r="BL1" s="2" t="s">
        <v>46</v>
      </c>
      <c r="BM1" s="2" t="s">
        <v>44</v>
      </c>
      <c r="BN1" s="2" t="s">
        <v>45</v>
      </c>
      <c r="BO1" s="2" t="s">
        <v>46</v>
      </c>
    </row>
    <row r="2" spans="1:116" s="2" customFormat="1" hidden="1">
      <c r="A2" s="25"/>
      <c r="B2" s="2" t="e">
        <f>#REF!+1</f>
        <v>#REF!</v>
      </c>
      <c r="C2" s="2" t="e">
        <f>#REF!+1</f>
        <v>#REF!</v>
      </c>
      <c r="D2" s="2" t="e">
        <f>#REF!+1</f>
        <v>#REF!</v>
      </c>
      <c r="E2" s="2" t="e">
        <f t="shared" ref="E2:AW2" si="0">B2+1</f>
        <v>#REF!</v>
      </c>
      <c r="F2" s="2" t="e">
        <f t="shared" si="0"/>
        <v>#REF!</v>
      </c>
      <c r="G2" s="2" t="e">
        <f t="shared" si="0"/>
        <v>#REF!</v>
      </c>
      <c r="H2" s="2" t="e">
        <f t="shared" si="0"/>
        <v>#REF!</v>
      </c>
      <c r="I2" s="2" t="e">
        <f t="shared" si="0"/>
        <v>#REF!</v>
      </c>
      <c r="J2" s="2" t="e">
        <f t="shared" si="0"/>
        <v>#REF!</v>
      </c>
      <c r="K2" s="2" t="e">
        <f t="shared" si="0"/>
        <v>#REF!</v>
      </c>
      <c r="L2" s="2" t="e">
        <f t="shared" si="0"/>
        <v>#REF!</v>
      </c>
      <c r="M2" s="2" t="e">
        <f t="shared" si="0"/>
        <v>#REF!</v>
      </c>
      <c r="N2" s="2" t="e">
        <f t="shared" si="0"/>
        <v>#REF!</v>
      </c>
      <c r="O2" s="2" t="e">
        <f t="shared" si="0"/>
        <v>#REF!</v>
      </c>
      <c r="P2" s="2" t="e">
        <f t="shared" si="0"/>
        <v>#REF!</v>
      </c>
      <c r="Q2" s="2" t="e">
        <f t="shared" si="0"/>
        <v>#REF!</v>
      </c>
      <c r="R2" s="2" t="e">
        <f t="shared" si="0"/>
        <v>#REF!</v>
      </c>
      <c r="S2" s="2" t="e">
        <f t="shared" si="0"/>
        <v>#REF!</v>
      </c>
      <c r="T2" s="2" t="e">
        <f t="shared" si="0"/>
        <v>#REF!</v>
      </c>
      <c r="U2" s="2" t="e">
        <f t="shared" si="0"/>
        <v>#REF!</v>
      </c>
      <c r="V2" s="2" t="e">
        <f t="shared" si="0"/>
        <v>#REF!</v>
      </c>
      <c r="W2" s="2" t="e">
        <f t="shared" si="0"/>
        <v>#REF!</v>
      </c>
      <c r="X2" s="2" t="e">
        <f t="shared" si="0"/>
        <v>#REF!</v>
      </c>
      <c r="Y2" s="2" t="e">
        <f t="shared" si="0"/>
        <v>#REF!</v>
      </c>
      <c r="Z2" s="2" t="e">
        <f t="shared" si="0"/>
        <v>#REF!</v>
      </c>
      <c r="AA2" s="2" t="e">
        <f t="shared" si="0"/>
        <v>#REF!</v>
      </c>
      <c r="AB2" s="2" t="e">
        <f t="shared" si="0"/>
        <v>#REF!</v>
      </c>
      <c r="AC2" s="2" t="e">
        <f t="shared" si="0"/>
        <v>#REF!</v>
      </c>
      <c r="AD2" s="2" t="e">
        <f t="shared" si="0"/>
        <v>#REF!</v>
      </c>
      <c r="AE2" s="2" t="e">
        <f t="shared" si="0"/>
        <v>#REF!</v>
      </c>
      <c r="AF2" s="2" t="e">
        <f t="shared" si="0"/>
        <v>#REF!</v>
      </c>
      <c r="AG2" s="2" t="e">
        <f t="shared" si="0"/>
        <v>#REF!</v>
      </c>
      <c r="AH2" s="2" t="e">
        <f t="shared" si="0"/>
        <v>#REF!</v>
      </c>
      <c r="AI2" s="2" t="e">
        <f t="shared" si="0"/>
        <v>#REF!</v>
      </c>
      <c r="AJ2" s="2" t="e">
        <f t="shared" si="0"/>
        <v>#REF!</v>
      </c>
      <c r="AK2" s="2" t="e">
        <f t="shared" si="0"/>
        <v>#REF!</v>
      </c>
      <c r="AL2" s="2" t="e">
        <f t="shared" si="0"/>
        <v>#REF!</v>
      </c>
      <c r="AM2" s="2" t="e">
        <f t="shared" si="0"/>
        <v>#REF!</v>
      </c>
      <c r="AN2" s="2" t="e">
        <f t="shared" si="0"/>
        <v>#REF!</v>
      </c>
      <c r="AO2" s="2" t="e">
        <f t="shared" si="0"/>
        <v>#REF!</v>
      </c>
      <c r="AP2" s="2" t="e">
        <f t="shared" si="0"/>
        <v>#REF!</v>
      </c>
      <c r="AQ2" s="2" t="e">
        <f t="shared" si="0"/>
        <v>#REF!</v>
      </c>
      <c r="AR2" s="2" t="e">
        <f t="shared" si="0"/>
        <v>#REF!</v>
      </c>
      <c r="AS2" s="2" t="e">
        <f t="shared" si="0"/>
        <v>#REF!</v>
      </c>
      <c r="AT2" s="2" t="e">
        <f t="shared" si="0"/>
        <v>#REF!</v>
      </c>
      <c r="AU2" s="2" t="e">
        <f t="shared" si="0"/>
        <v>#REF!</v>
      </c>
      <c r="AV2" s="2" t="e">
        <f t="shared" si="0"/>
        <v>#REF!</v>
      </c>
      <c r="AW2" s="2" t="e">
        <f t="shared" si="0"/>
        <v>#REF!</v>
      </c>
      <c r="AX2" s="2" t="e">
        <f t="shared" ref="AX2" si="1">AU2+1</f>
        <v>#REF!</v>
      </c>
      <c r="AY2" s="2" t="e">
        <f t="shared" ref="AY2" si="2">AV2+1</f>
        <v>#REF!</v>
      </c>
      <c r="AZ2" s="2" t="e">
        <f t="shared" ref="AZ2" si="3">AW2+1</f>
        <v>#REF!</v>
      </c>
      <c r="BA2" s="2" t="e">
        <f t="shared" ref="BA2" si="4">AX2+1</f>
        <v>#REF!</v>
      </c>
      <c r="BB2" s="2" t="e">
        <f t="shared" ref="BB2" si="5">AY2+1</f>
        <v>#REF!</v>
      </c>
      <c r="BC2" s="2" t="e">
        <f t="shared" ref="BC2" si="6">AZ2+1</f>
        <v>#REF!</v>
      </c>
      <c r="BD2" s="2" t="e">
        <f t="shared" ref="BD2" si="7">BA2+1</f>
        <v>#REF!</v>
      </c>
      <c r="BE2" s="2" t="e">
        <f t="shared" ref="BE2" si="8">BB2+1</f>
        <v>#REF!</v>
      </c>
      <c r="BF2" s="2" t="e">
        <f t="shared" ref="BF2" si="9">BC2+1</f>
        <v>#REF!</v>
      </c>
      <c r="BG2" s="2" t="e">
        <f t="shared" ref="BG2" si="10">BD2+1</f>
        <v>#REF!</v>
      </c>
      <c r="BH2" s="2" t="e">
        <f t="shared" ref="BH2" si="11">BE2+1</f>
        <v>#REF!</v>
      </c>
      <c r="BI2" s="2" t="e">
        <f t="shared" ref="BI2" si="12">BF2+1</f>
        <v>#REF!</v>
      </c>
      <c r="BJ2" s="2" t="e">
        <f t="shared" ref="BJ2" si="13">BG2+1</f>
        <v>#REF!</v>
      </c>
      <c r="BK2" s="2" t="e">
        <f t="shared" ref="BK2" si="14">BH2+1</f>
        <v>#REF!</v>
      </c>
      <c r="BL2" s="2" t="e">
        <f t="shared" ref="BL2" si="15">BI2+1</f>
        <v>#REF!</v>
      </c>
      <c r="BM2" s="2" t="e">
        <f t="shared" ref="BM2" si="16">BJ2+1</f>
        <v>#REF!</v>
      </c>
      <c r="BN2" s="2" t="e">
        <f t="shared" ref="BN2" si="17">BK2+1</f>
        <v>#REF!</v>
      </c>
      <c r="BO2" s="2" t="e">
        <f t="shared" ref="BO2" si="18">BL2+1</f>
        <v>#REF!</v>
      </c>
    </row>
    <row r="3" spans="1:116" s="8" customFormat="1" hidden="1">
      <c r="B3" s="8" t="e">
        <f>DATE(B2,2,28)</f>
        <v>#REF!</v>
      </c>
      <c r="C3" s="8" t="e">
        <f>DATE(C2,7,30)</f>
        <v>#REF!</v>
      </c>
      <c r="D3" s="8" t="e">
        <f>DATE(D2,12,30)</f>
        <v>#REF!</v>
      </c>
      <c r="E3" s="8" t="e">
        <f>DATE(E2,2,28)</f>
        <v>#REF!</v>
      </c>
      <c r="F3" s="8" t="e">
        <f>DATE(F2,7,30)</f>
        <v>#REF!</v>
      </c>
      <c r="G3" s="8" t="e">
        <f>DATE(G2,12,30)</f>
        <v>#REF!</v>
      </c>
      <c r="H3" s="8" t="e">
        <f>DATE(H2,2,28)</f>
        <v>#REF!</v>
      </c>
      <c r="I3" s="8" t="e">
        <f>DATE(I2,7,30)</f>
        <v>#REF!</v>
      </c>
      <c r="J3" s="8" t="e">
        <f>DATE(J2,12,30)</f>
        <v>#REF!</v>
      </c>
      <c r="K3" s="8" t="e">
        <f>DATE(K2,2,28)</f>
        <v>#REF!</v>
      </c>
      <c r="L3" s="8" t="e">
        <f>DATE(L2,7,30)</f>
        <v>#REF!</v>
      </c>
      <c r="M3" s="8" t="e">
        <f>DATE(M2,12,30)</f>
        <v>#REF!</v>
      </c>
      <c r="N3" s="8" t="e">
        <f>DATE(N2,2,28)</f>
        <v>#REF!</v>
      </c>
      <c r="O3" s="8" t="e">
        <f>DATE(O2,7,30)</f>
        <v>#REF!</v>
      </c>
      <c r="P3" s="8" t="e">
        <f>DATE(P2,12,30)</f>
        <v>#REF!</v>
      </c>
      <c r="Q3" s="8" t="e">
        <f>DATE(Q2,2,28)</f>
        <v>#REF!</v>
      </c>
      <c r="R3" s="8" t="e">
        <f>DATE(R2,7,30)</f>
        <v>#REF!</v>
      </c>
      <c r="S3" s="8" t="e">
        <f>DATE(S2,12,30)</f>
        <v>#REF!</v>
      </c>
      <c r="T3" s="8" t="e">
        <f>DATE(T2,2,28)</f>
        <v>#REF!</v>
      </c>
      <c r="U3" s="8" t="e">
        <f>DATE(U2,7,30)</f>
        <v>#REF!</v>
      </c>
      <c r="V3" s="8" t="e">
        <f>DATE(V2,12,30)</f>
        <v>#REF!</v>
      </c>
      <c r="W3" s="8" t="e">
        <f>DATE(W2,2,28)</f>
        <v>#REF!</v>
      </c>
      <c r="X3" s="8" t="e">
        <f>DATE(X2,7,30)</f>
        <v>#REF!</v>
      </c>
      <c r="Y3" s="8" t="e">
        <f>DATE(Y2,12,30)</f>
        <v>#REF!</v>
      </c>
      <c r="Z3" s="8" t="e">
        <f>DATE(Z2,2,28)</f>
        <v>#REF!</v>
      </c>
      <c r="AA3" s="8" t="e">
        <f>DATE(AA2,7,30)</f>
        <v>#REF!</v>
      </c>
      <c r="AB3" s="8" t="e">
        <f>DATE(AB2,12,30)</f>
        <v>#REF!</v>
      </c>
      <c r="AC3" s="8" t="e">
        <f>DATE(AC2,2,28)</f>
        <v>#REF!</v>
      </c>
      <c r="AD3" s="8" t="e">
        <f>DATE(AD2,7,30)</f>
        <v>#REF!</v>
      </c>
      <c r="AE3" s="8" t="e">
        <f>DATE(AE2,12,30)</f>
        <v>#REF!</v>
      </c>
      <c r="AF3" s="8" t="e">
        <f>DATE(AF2,2,28)</f>
        <v>#REF!</v>
      </c>
      <c r="AG3" s="8" t="e">
        <f>DATE(AG2,7,30)</f>
        <v>#REF!</v>
      </c>
      <c r="AH3" s="8" t="e">
        <f>DATE(AH2,12,30)</f>
        <v>#REF!</v>
      </c>
      <c r="AI3" s="8" t="e">
        <f>DATE(AI2,2,28)</f>
        <v>#REF!</v>
      </c>
      <c r="AJ3" s="8" t="e">
        <f>DATE(AJ2,7,30)</f>
        <v>#REF!</v>
      </c>
      <c r="AK3" s="8" t="e">
        <f>DATE(AK2,12,30)</f>
        <v>#REF!</v>
      </c>
      <c r="AL3" s="8" t="e">
        <f>DATE(AL2,2,28)</f>
        <v>#REF!</v>
      </c>
      <c r="AM3" s="8" t="e">
        <f>DATE(AM2,7,30)</f>
        <v>#REF!</v>
      </c>
      <c r="AN3" s="8" t="e">
        <f>DATE(AN2,12,30)</f>
        <v>#REF!</v>
      </c>
      <c r="AO3" s="8" t="e">
        <f>DATE(AO2,2,28)</f>
        <v>#REF!</v>
      </c>
      <c r="AP3" s="8" t="e">
        <f>DATE(AP2,7,30)</f>
        <v>#REF!</v>
      </c>
      <c r="AQ3" s="8" t="e">
        <f>DATE(AQ2,12,30)</f>
        <v>#REF!</v>
      </c>
      <c r="AR3" s="8" t="e">
        <f>DATE(AR2,2,28)</f>
        <v>#REF!</v>
      </c>
      <c r="AS3" s="8" t="e">
        <f>DATE(AS2,7,30)</f>
        <v>#REF!</v>
      </c>
      <c r="AT3" s="8" t="e">
        <f>DATE(AT2,12,30)</f>
        <v>#REF!</v>
      </c>
      <c r="AU3" s="8" t="e">
        <f>DATE(AU2,2,28)</f>
        <v>#REF!</v>
      </c>
      <c r="AV3" s="8" t="e">
        <f>DATE(AV2,7,30)</f>
        <v>#REF!</v>
      </c>
      <c r="AW3" s="8" t="e">
        <f>DATE(AW2,12,30)</f>
        <v>#REF!</v>
      </c>
      <c r="AX3" s="8" t="e">
        <f>DATE(AX2,2,28)</f>
        <v>#REF!</v>
      </c>
      <c r="AY3" s="8" t="e">
        <f>DATE(AY2,7,30)</f>
        <v>#REF!</v>
      </c>
      <c r="AZ3" s="8" t="e">
        <f>DATE(AZ2,12,30)</f>
        <v>#REF!</v>
      </c>
      <c r="BA3" s="8" t="e">
        <f>DATE(BA2,2,28)</f>
        <v>#REF!</v>
      </c>
      <c r="BB3" s="8" t="e">
        <f>DATE(BB2,7,30)</f>
        <v>#REF!</v>
      </c>
      <c r="BC3" s="8" t="e">
        <f>DATE(BC2,12,30)</f>
        <v>#REF!</v>
      </c>
      <c r="BD3" s="8" t="e">
        <f>DATE(BD2,2,28)</f>
        <v>#REF!</v>
      </c>
      <c r="BE3" s="8" t="e">
        <f>DATE(BE2,7,30)</f>
        <v>#REF!</v>
      </c>
      <c r="BF3" s="8" t="e">
        <f>DATE(BF2,12,30)</f>
        <v>#REF!</v>
      </c>
      <c r="BG3" s="8" t="e">
        <f>DATE(BG2,2,28)</f>
        <v>#REF!</v>
      </c>
      <c r="BH3" s="8" t="e">
        <f>DATE(BH2,7,30)</f>
        <v>#REF!</v>
      </c>
      <c r="BI3" s="8" t="e">
        <f>DATE(BI2,12,30)</f>
        <v>#REF!</v>
      </c>
      <c r="BJ3" s="8" t="e">
        <f>DATE(BJ2,2,28)</f>
        <v>#REF!</v>
      </c>
      <c r="BK3" s="8" t="e">
        <f>DATE(BK2,7,30)</f>
        <v>#REF!</v>
      </c>
      <c r="BL3" s="8" t="e">
        <f>DATE(BL2,12,30)</f>
        <v>#REF!</v>
      </c>
      <c r="BM3" s="8" t="e">
        <f>DATE(BM2,2,28)</f>
        <v>#REF!</v>
      </c>
      <c r="BN3" s="8" t="e">
        <f>DATE(BN2,7,30)</f>
        <v>#REF!</v>
      </c>
      <c r="BO3" s="8" t="e">
        <f>DATE(BO2,12,30)</f>
        <v>#REF!</v>
      </c>
    </row>
    <row r="4" spans="1:116" s="9" customFormat="1" hidden="1">
      <c r="B4" s="9" t="e">
        <f t="shared" ref="B4:AW4" ca="1" si="19">IF($A$1&gt;B3,"Actuals","Estimate")</f>
        <v>#REF!</v>
      </c>
      <c r="C4" s="9" t="e">
        <f t="shared" ca="1" si="19"/>
        <v>#REF!</v>
      </c>
      <c r="D4" s="9" t="e">
        <f t="shared" ca="1" si="19"/>
        <v>#REF!</v>
      </c>
      <c r="E4" s="9" t="e">
        <f t="shared" ca="1" si="19"/>
        <v>#REF!</v>
      </c>
      <c r="F4" s="9" t="e">
        <f t="shared" ca="1" si="19"/>
        <v>#REF!</v>
      </c>
      <c r="G4" s="9" t="e">
        <f t="shared" ca="1" si="19"/>
        <v>#REF!</v>
      </c>
      <c r="H4" s="9" t="e">
        <f t="shared" ca="1" si="19"/>
        <v>#REF!</v>
      </c>
      <c r="I4" s="9" t="e">
        <f t="shared" ca="1" si="19"/>
        <v>#REF!</v>
      </c>
      <c r="J4" s="9" t="e">
        <f t="shared" ca="1" si="19"/>
        <v>#REF!</v>
      </c>
      <c r="K4" s="9" t="e">
        <f t="shared" ca="1" si="19"/>
        <v>#REF!</v>
      </c>
      <c r="L4" s="9" t="e">
        <f t="shared" ca="1" si="19"/>
        <v>#REF!</v>
      </c>
      <c r="M4" s="9" t="e">
        <f t="shared" ca="1" si="19"/>
        <v>#REF!</v>
      </c>
      <c r="N4" s="9" t="e">
        <f t="shared" ca="1" si="19"/>
        <v>#REF!</v>
      </c>
      <c r="O4" s="9" t="e">
        <f t="shared" ca="1" si="19"/>
        <v>#REF!</v>
      </c>
      <c r="P4" s="9" t="e">
        <f t="shared" ca="1" si="19"/>
        <v>#REF!</v>
      </c>
      <c r="Q4" s="9" t="e">
        <f t="shared" ca="1" si="19"/>
        <v>#REF!</v>
      </c>
      <c r="R4" s="9" t="e">
        <f t="shared" ca="1" si="19"/>
        <v>#REF!</v>
      </c>
      <c r="S4" s="9" t="e">
        <f t="shared" ca="1" si="19"/>
        <v>#REF!</v>
      </c>
      <c r="T4" s="9" t="e">
        <f t="shared" ca="1" si="19"/>
        <v>#REF!</v>
      </c>
      <c r="U4" s="9" t="e">
        <f t="shared" ca="1" si="19"/>
        <v>#REF!</v>
      </c>
      <c r="V4" s="9" t="e">
        <f t="shared" ca="1" si="19"/>
        <v>#REF!</v>
      </c>
      <c r="W4" s="9" t="e">
        <f t="shared" ca="1" si="19"/>
        <v>#REF!</v>
      </c>
      <c r="X4" s="9" t="e">
        <f t="shared" ca="1" si="19"/>
        <v>#REF!</v>
      </c>
      <c r="Y4" s="9" t="e">
        <f t="shared" ca="1" si="19"/>
        <v>#REF!</v>
      </c>
      <c r="Z4" s="9" t="e">
        <f t="shared" ca="1" si="19"/>
        <v>#REF!</v>
      </c>
      <c r="AA4" s="9" t="e">
        <f t="shared" ca="1" si="19"/>
        <v>#REF!</v>
      </c>
      <c r="AB4" s="9" t="e">
        <f t="shared" ca="1" si="19"/>
        <v>#REF!</v>
      </c>
      <c r="AC4" s="9" t="e">
        <f t="shared" ca="1" si="19"/>
        <v>#REF!</v>
      </c>
      <c r="AD4" s="9" t="e">
        <f t="shared" ca="1" si="19"/>
        <v>#REF!</v>
      </c>
      <c r="AE4" s="9" t="e">
        <f t="shared" ca="1" si="19"/>
        <v>#REF!</v>
      </c>
      <c r="AF4" s="9" t="e">
        <f t="shared" ca="1" si="19"/>
        <v>#REF!</v>
      </c>
      <c r="AG4" s="9" t="e">
        <f t="shared" ca="1" si="19"/>
        <v>#REF!</v>
      </c>
      <c r="AH4" s="9" t="e">
        <f t="shared" ca="1" si="19"/>
        <v>#REF!</v>
      </c>
      <c r="AI4" s="9" t="e">
        <f t="shared" ca="1" si="19"/>
        <v>#REF!</v>
      </c>
      <c r="AJ4" s="9" t="e">
        <f t="shared" ca="1" si="19"/>
        <v>#REF!</v>
      </c>
      <c r="AK4" s="9" t="e">
        <f t="shared" ca="1" si="19"/>
        <v>#REF!</v>
      </c>
      <c r="AL4" s="9" t="e">
        <f t="shared" ca="1" si="19"/>
        <v>#REF!</v>
      </c>
      <c r="AM4" s="9" t="e">
        <f t="shared" ca="1" si="19"/>
        <v>#REF!</v>
      </c>
      <c r="AN4" s="9" t="e">
        <f t="shared" ca="1" si="19"/>
        <v>#REF!</v>
      </c>
      <c r="AO4" s="9" t="e">
        <f t="shared" ca="1" si="19"/>
        <v>#REF!</v>
      </c>
      <c r="AP4" s="9" t="e">
        <f t="shared" ca="1" si="19"/>
        <v>#REF!</v>
      </c>
      <c r="AQ4" s="9" t="e">
        <f t="shared" ca="1" si="19"/>
        <v>#REF!</v>
      </c>
      <c r="AR4" s="9" t="e">
        <f t="shared" ca="1" si="19"/>
        <v>#REF!</v>
      </c>
      <c r="AS4" s="9" t="e">
        <f t="shared" ca="1" si="19"/>
        <v>#REF!</v>
      </c>
      <c r="AT4" s="9" t="e">
        <f t="shared" ca="1" si="19"/>
        <v>#REF!</v>
      </c>
      <c r="AU4" s="9" t="e">
        <f t="shared" ca="1" si="19"/>
        <v>#REF!</v>
      </c>
      <c r="AV4" s="9" t="e">
        <f t="shared" ca="1" si="19"/>
        <v>#REF!</v>
      </c>
      <c r="AW4" s="9" t="e">
        <f t="shared" ca="1" si="19"/>
        <v>#REF!</v>
      </c>
      <c r="AX4" s="9" t="e">
        <f t="shared" ref="AX4:AZ4" ca="1" si="20">IF($A$1&gt;AX3,"Actuals","Estimate")</f>
        <v>#REF!</v>
      </c>
      <c r="AY4" s="9" t="e">
        <f t="shared" ca="1" si="20"/>
        <v>#REF!</v>
      </c>
      <c r="AZ4" s="9" t="e">
        <f t="shared" ca="1" si="20"/>
        <v>#REF!</v>
      </c>
      <c r="BA4" s="9" t="e">
        <f t="shared" ref="BA4:BC4" ca="1" si="21">IF($A$1&gt;BA3,"Actuals","Estimate")</f>
        <v>#REF!</v>
      </c>
      <c r="BB4" s="9" t="e">
        <f t="shared" ca="1" si="21"/>
        <v>#REF!</v>
      </c>
      <c r="BC4" s="9" t="e">
        <f t="shared" ca="1" si="21"/>
        <v>#REF!</v>
      </c>
      <c r="BD4" s="9" t="e">
        <f t="shared" ref="BD4:BF4" ca="1" si="22">IF($A$1&gt;BD3,"Actuals","Estimate")</f>
        <v>#REF!</v>
      </c>
      <c r="BE4" s="9" t="e">
        <f t="shared" ca="1" si="22"/>
        <v>#REF!</v>
      </c>
      <c r="BF4" s="9" t="e">
        <f t="shared" ca="1" si="22"/>
        <v>#REF!</v>
      </c>
      <c r="BG4" s="9" t="e">
        <f t="shared" ref="BG4:BL4" ca="1" si="23">IF($A$1&gt;BG3,"Actuals","Estimate")</f>
        <v>#REF!</v>
      </c>
      <c r="BH4" s="9" t="e">
        <f t="shared" ca="1" si="23"/>
        <v>#REF!</v>
      </c>
      <c r="BI4" s="9" t="e">
        <f t="shared" ca="1" si="23"/>
        <v>#REF!</v>
      </c>
      <c r="BJ4" s="9" t="e">
        <f t="shared" ca="1" si="23"/>
        <v>#REF!</v>
      </c>
      <c r="BK4" s="9" t="e">
        <f t="shared" ca="1" si="23"/>
        <v>#REF!</v>
      </c>
      <c r="BL4" s="9" t="e">
        <f t="shared" ca="1" si="23"/>
        <v>#REF!</v>
      </c>
      <c r="BM4" s="9" t="e">
        <f t="shared" ref="BM4:BO4" ca="1" si="24">IF($A$1&gt;BM3,"Actuals","Estimate")</f>
        <v>#REF!</v>
      </c>
      <c r="BN4" s="9" t="e">
        <f t="shared" ca="1" si="24"/>
        <v>#REF!</v>
      </c>
      <c r="BO4" s="9" t="e">
        <f t="shared" ca="1" si="24"/>
        <v>#REF!</v>
      </c>
    </row>
    <row r="5" spans="1:116" s="9" customFormat="1">
      <c r="B5" s="9" t="s">
        <v>293</v>
      </c>
      <c r="C5" s="9" t="s">
        <v>294</v>
      </c>
      <c r="D5" s="9" t="s">
        <v>295</v>
      </c>
      <c r="E5" s="9" t="s">
        <v>16</v>
      </c>
      <c r="F5" s="9" t="s">
        <v>17</v>
      </c>
      <c r="G5" s="9" t="s">
        <v>296</v>
      </c>
      <c r="H5" s="9" t="s">
        <v>18</v>
      </c>
      <c r="I5" s="9" t="s">
        <v>19</v>
      </c>
      <c r="J5" s="9" t="s">
        <v>297</v>
      </c>
      <c r="K5" s="9" t="s">
        <v>11</v>
      </c>
      <c r="L5" s="9" t="s">
        <v>12</v>
      </c>
      <c r="M5" s="9" t="s">
        <v>298</v>
      </c>
      <c r="N5" s="9" t="s">
        <v>13</v>
      </c>
      <c r="O5" s="9" t="s">
        <v>299</v>
      </c>
      <c r="P5" s="9" t="s">
        <v>300</v>
      </c>
      <c r="Q5" s="9" t="s">
        <v>301</v>
      </c>
      <c r="R5" s="9" t="s">
        <v>302</v>
      </c>
      <c r="S5" s="9" t="s">
        <v>220</v>
      </c>
      <c r="T5" s="9" t="s">
        <v>303</v>
      </c>
      <c r="U5" s="9" t="s">
        <v>304</v>
      </c>
      <c r="V5" s="9" t="s">
        <v>221</v>
      </c>
      <c r="W5" s="9" t="s">
        <v>305</v>
      </c>
      <c r="X5" s="9" t="s">
        <v>14</v>
      </c>
      <c r="Y5" s="9" t="s">
        <v>15</v>
      </c>
      <c r="Z5" s="9" t="str">
        <f>Debt!U8</f>
        <v>1H18</v>
      </c>
      <c r="AA5" s="9" t="str">
        <f>Debt!V8</f>
        <v>2H18</v>
      </c>
      <c r="AB5" s="9" t="str">
        <f>Debt!W8</f>
        <v>FY18</v>
      </c>
      <c r="AC5" s="9" t="str">
        <f>Debt!X8</f>
        <v>1H19</v>
      </c>
      <c r="AD5" s="9" t="str">
        <f>Debt!Y8</f>
        <v>2H19</v>
      </c>
      <c r="AE5" s="9" t="str">
        <f>Debt!Z8</f>
        <v>FY19</v>
      </c>
      <c r="AF5" s="9" t="str">
        <f>Debt!AA8</f>
        <v>1H20</v>
      </c>
      <c r="AG5" s="9" t="str">
        <f>Debt!AB8</f>
        <v>2H20</v>
      </c>
      <c r="AH5" s="9" t="str">
        <f>Debt!AC8</f>
        <v>FY20</v>
      </c>
      <c r="AI5" s="9" t="str">
        <f>Debt!AD8</f>
        <v>1H21</v>
      </c>
      <c r="AJ5" s="9" t="str">
        <f>Debt!AE8</f>
        <v>2H21</v>
      </c>
      <c r="AK5" s="9" t="str">
        <f>Debt!AF8</f>
        <v>FY21</v>
      </c>
      <c r="AL5" s="9" t="str">
        <f>Debt!AG8</f>
        <v>1H22</v>
      </c>
      <c r="AM5" s="9" t="str">
        <f>Debt!AH8</f>
        <v>2H22</v>
      </c>
      <c r="AN5" s="9" t="str">
        <f>Debt!AI8</f>
        <v>FY22</v>
      </c>
      <c r="AO5" s="9" t="str">
        <f>Debt!AJ8</f>
        <v>1H23</v>
      </c>
      <c r="AP5" s="9" t="str">
        <f>Debt!AK8</f>
        <v>2H23</v>
      </c>
      <c r="AQ5" s="9" t="str">
        <f>Debt!AL8</f>
        <v>FY23</v>
      </c>
      <c r="AR5" s="9" t="str">
        <f>Debt!AM8</f>
        <v>1H24</v>
      </c>
      <c r="AS5" s="9" t="str">
        <f>Debt!AN8</f>
        <v>2H24</v>
      </c>
      <c r="AT5" s="9" t="str">
        <f>Debt!AO8</f>
        <v>FY24</v>
      </c>
      <c r="AU5" s="9" t="str">
        <f>Debt!AP8</f>
        <v>1H25</v>
      </c>
      <c r="AV5" s="9" t="str">
        <f>Debt!AQ8</f>
        <v>2H25</v>
      </c>
      <c r="AW5" s="9" t="str">
        <f>Debt!AR8</f>
        <v>FY25</v>
      </c>
      <c r="AX5" s="9" t="str">
        <f>Debt!AS8</f>
        <v>1H26</v>
      </c>
      <c r="AY5" s="9" t="str">
        <f>Debt!AT8</f>
        <v>2H26</v>
      </c>
      <c r="AZ5" s="9" t="str">
        <f>Debt!AU8</f>
        <v>FY26</v>
      </c>
      <c r="BA5" s="9" t="str">
        <f>Debt!AV8</f>
        <v>1H27</v>
      </c>
      <c r="BB5" s="9" t="str">
        <f>Debt!AW8</f>
        <v>2H27</v>
      </c>
      <c r="BC5" s="9" t="str">
        <f>Debt!AX8</f>
        <v>FY27</v>
      </c>
      <c r="BD5" s="9" t="str">
        <f>Debt!AY8</f>
        <v>1H28</v>
      </c>
      <c r="BE5" s="9" t="str">
        <f>Debt!AZ8</f>
        <v>2H28</v>
      </c>
      <c r="BF5" s="9" t="str">
        <f>Debt!BA8</f>
        <v>FY28</v>
      </c>
      <c r="BG5" s="9" t="str">
        <f>Debt!BB8</f>
        <v>1H29</v>
      </c>
      <c r="BH5" s="9" t="str">
        <f>Debt!BC8</f>
        <v>2H29</v>
      </c>
      <c r="BI5" s="9" t="str">
        <f>Debt!BD8</f>
        <v>FY29</v>
      </c>
      <c r="BJ5" s="9" t="str">
        <f>Debt!BE8</f>
        <v>1H30</v>
      </c>
      <c r="BK5" s="9" t="str">
        <f>Debt!BF8</f>
        <v>2H30</v>
      </c>
      <c r="BL5" s="9" t="str">
        <f>Debt!BG8</f>
        <v>FY30</v>
      </c>
      <c r="BM5" s="9" t="str">
        <f>Debt!BH8</f>
        <v>1H31</v>
      </c>
      <c r="BN5" s="9" t="str">
        <f>Debt!BI8</f>
        <v>2H31</v>
      </c>
      <c r="BO5" s="9" t="str">
        <f>Debt!BJ8</f>
        <v>FY31</v>
      </c>
    </row>
    <row r="6" spans="1:116" s="299" customFormat="1" ht="12.75" customHeight="1">
      <c r="A6" s="297"/>
      <c r="B6" s="319"/>
      <c r="C6" s="320"/>
      <c r="D6" s="320"/>
      <c r="E6" s="320"/>
      <c r="F6" s="320"/>
      <c r="G6" s="320"/>
      <c r="H6" s="320"/>
      <c r="I6" s="320"/>
      <c r="J6" s="320"/>
      <c r="K6" s="320"/>
      <c r="L6" s="320"/>
      <c r="M6" s="321"/>
      <c r="N6" s="321"/>
      <c r="O6" s="321"/>
      <c r="P6" s="321"/>
      <c r="Q6" s="321"/>
      <c r="R6" s="321"/>
      <c r="S6" s="321"/>
      <c r="T6" s="321"/>
      <c r="U6" s="321"/>
      <c r="V6" s="321"/>
      <c r="W6" s="321"/>
      <c r="X6" s="321"/>
      <c r="Y6" s="321"/>
      <c r="Z6" s="321"/>
      <c r="AA6" s="321"/>
      <c r="AB6" s="321"/>
      <c r="AC6" s="321"/>
      <c r="AD6" s="321"/>
      <c r="AE6" s="322">
        <f>AE12/AVERAGE(AE11,AB11)</f>
        <v>1.2043589743589742E-2</v>
      </c>
      <c r="AF6" s="321"/>
      <c r="AG6" s="321"/>
      <c r="AH6" s="60"/>
      <c r="AI6" s="321"/>
      <c r="AJ6" s="321"/>
      <c r="AK6" s="60"/>
      <c r="AL6" s="321"/>
      <c r="AM6" s="321"/>
      <c r="AN6" s="60"/>
      <c r="AO6" s="321"/>
      <c r="AP6" s="321"/>
      <c r="AQ6" s="60"/>
      <c r="AR6" s="321"/>
      <c r="AS6" s="321"/>
      <c r="AT6" s="60"/>
      <c r="AU6" s="321"/>
      <c r="AV6" s="321"/>
      <c r="AW6" s="60"/>
      <c r="AX6" s="321">
        <f>0.9%*67000</f>
        <v>603.00000000000011</v>
      </c>
      <c r="AY6" s="321"/>
      <c r="AZ6" s="321"/>
      <c r="BA6" s="321"/>
      <c r="BB6" s="321"/>
      <c r="BC6" s="378"/>
      <c r="BD6" s="378"/>
      <c r="BE6" s="378"/>
      <c r="BF6" s="378"/>
      <c r="BG6" s="378"/>
      <c r="BH6" s="378"/>
      <c r="BI6" s="378"/>
      <c r="BJ6" s="378"/>
      <c r="BK6" s="378"/>
      <c r="BL6" s="378"/>
      <c r="BM6" s="378"/>
      <c r="BN6" s="378"/>
      <c r="BO6" s="378"/>
    </row>
    <row r="7" spans="1:116" s="9" customFormat="1">
      <c r="A7" s="9" t="s">
        <v>306</v>
      </c>
    </row>
    <row r="8" spans="1:116" s="299" customFormat="1" ht="12.75" customHeight="1">
      <c r="A8" s="297"/>
      <c r="B8" s="319"/>
      <c r="C8" s="323"/>
      <c r="D8" s="323"/>
      <c r="E8" s="323"/>
      <c r="F8" s="323"/>
      <c r="G8" s="323"/>
      <c r="H8" s="323"/>
      <c r="I8" s="323"/>
      <c r="J8" s="323"/>
      <c r="K8" s="323"/>
      <c r="L8" s="323"/>
      <c r="M8" s="324"/>
      <c r="N8" s="324"/>
      <c r="O8" s="324"/>
      <c r="P8" s="324"/>
      <c r="Q8" s="324"/>
      <c r="R8" s="324"/>
      <c r="S8" s="324"/>
      <c r="T8" s="324"/>
      <c r="U8" s="324"/>
      <c r="V8" s="324"/>
      <c r="W8" s="324"/>
      <c r="X8" s="324"/>
      <c r="Y8" s="324"/>
      <c r="Z8" s="324"/>
      <c r="AA8" s="324"/>
      <c r="AB8" s="324"/>
      <c r="AC8" s="324">
        <f>AC12-AC14</f>
        <v>55</v>
      </c>
      <c r="AD8" s="324">
        <f>AD12-AD14</f>
        <v>134.69999999999996</v>
      </c>
      <c r="AE8" s="325">
        <f>AE11/AB11-1</f>
        <v>0.22222222222222232</v>
      </c>
      <c r="AF8" s="324">
        <f>AF12-AF14</f>
        <v>65</v>
      </c>
      <c r="AG8" s="324">
        <f>AG12-AG14</f>
        <v>142</v>
      </c>
      <c r="AH8" s="325">
        <f>AH11/AE11-1</f>
        <v>0.11888111888111896</v>
      </c>
      <c r="AI8" s="324">
        <v>67</v>
      </c>
      <c r="AJ8" s="324">
        <f>149-AI8</f>
        <v>82</v>
      </c>
      <c r="AK8" s="325">
        <f>AK11/AH11-1</f>
        <v>0.125</v>
      </c>
      <c r="AL8" s="324">
        <v>74</v>
      </c>
      <c r="AM8" s="324">
        <f>208-AL8</f>
        <v>134</v>
      </c>
      <c r="AN8" s="60"/>
      <c r="AO8" s="324">
        <v>42</v>
      </c>
      <c r="AP8" s="324"/>
      <c r="AQ8" s="376"/>
      <c r="AR8" s="324">
        <v>136</v>
      </c>
      <c r="AS8" s="324">
        <f>331-AR8</f>
        <v>195</v>
      </c>
      <c r="AT8" s="60"/>
      <c r="AU8" s="324">
        <v>238</v>
      </c>
      <c r="AV8" s="324">
        <f>372-AU8</f>
        <v>134</v>
      </c>
      <c r="AW8" s="60"/>
      <c r="AX8" s="324">
        <v>79</v>
      </c>
      <c r="AY8" s="324"/>
      <c r="AZ8" s="60"/>
      <c r="BA8" s="324"/>
      <c r="BB8" s="324"/>
      <c r="BC8" s="60"/>
      <c r="BD8" s="324"/>
      <c r="BE8" s="324"/>
      <c r="BF8" s="60"/>
      <c r="BG8" s="324"/>
      <c r="BH8" s="324"/>
      <c r="BI8" s="60"/>
      <c r="BJ8" s="324"/>
      <c r="BK8" s="324"/>
      <c r="BL8" s="60"/>
      <c r="BM8" s="324"/>
      <c r="BN8" s="324"/>
      <c r="BO8" s="60"/>
    </row>
    <row r="9" spans="1:116" s="299" customFormat="1" ht="12.75" customHeight="1">
      <c r="A9" s="299" t="s">
        <v>307</v>
      </c>
      <c r="B9" s="319"/>
      <c r="C9" s="323"/>
      <c r="D9" s="323"/>
      <c r="E9" s="323"/>
      <c r="F9" s="323"/>
      <c r="G9" s="323"/>
      <c r="H9" s="323"/>
      <c r="I9" s="323"/>
      <c r="J9" s="326"/>
      <c r="K9" s="327"/>
      <c r="Q9" s="299" t="s">
        <v>308</v>
      </c>
      <c r="AQ9" s="370"/>
    </row>
    <row r="10" spans="1:116" s="299" customFormat="1" ht="12.75" customHeight="1">
      <c r="A10" s="297" t="s">
        <v>309</v>
      </c>
      <c r="B10" s="319"/>
      <c r="C10" s="323"/>
      <c r="D10" s="323"/>
      <c r="E10" s="323"/>
      <c r="F10" s="323"/>
      <c r="G10" s="323"/>
      <c r="H10" s="323"/>
      <c r="I10" s="323"/>
      <c r="J10" s="326"/>
      <c r="K10" s="327"/>
      <c r="O10" s="297">
        <v>26800</v>
      </c>
      <c r="P10" s="297">
        <f>+O10</f>
        <v>26800</v>
      </c>
      <c r="Q10" s="298">
        <f>+Q11/O11*O10</f>
        <v>29432.142857142859</v>
      </c>
      <c r="R10" s="298">
        <v>30300</v>
      </c>
      <c r="S10" s="298">
        <f>+R10</f>
        <v>30300</v>
      </c>
      <c r="T10" s="328">
        <v>33400</v>
      </c>
      <c r="U10" s="328">
        <v>34100</v>
      </c>
      <c r="V10" s="298">
        <f>+U10</f>
        <v>34100</v>
      </c>
      <c r="W10" s="298">
        <f>+W11/U11*U10</f>
        <v>35031.058020477816</v>
      </c>
      <c r="X10" s="298">
        <v>34600</v>
      </c>
      <c r="Y10" s="298">
        <f>+X10</f>
        <v>34600</v>
      </c>
      <c r="Z10" s="298">
        <f>+Z11/X11*X10</f>
        <v>35280.655737704918</v>
      </c>
      <c r="AA10" s="298">
        <v>38300</v>
      </c>
      <c r="AB10" s="298">
        <f>+AA10</f>
        <v>38300</v>
      </c>
      <c r="AC10" s="298">
        <v>42900</v>
      </c>
      <c r="AD10" s="298">
        <v>46200</v>
      </c>
      <c r="AE10" s="298">
        <f>+AD10</f>
        <v>46200</v>
      </c>
      <c r="AF10" s="298">
        <v>49200</v>
      </c>
      <c r="AG10" s="298">
        <v>51600</v>
      </c>
      <c r="AH10" s="298">
        <f>+AG10</f>
        <v>51600</v>
      </c>
      <c r="AI10" s="298">
        <v>51800</v>
      </c>
      <c r="AJ10" s="298">
        <v>57900</v>
      </c>
      <c r="AK10" s="298">
        <f>+AJ10</f>
        <v>57900</v>
      </c>
      <c r="AL10" s="298">
        <v>68100</v>
      </c>
      <c r="AM10" s="298">
        <v>73000</v>
      </c>
      <c r="AN10" s="298">
        <f>+AM10</f>
        <v>73000</v>
      </c>
      <c r="AO10" s="298">
        <v>79500</v>
      </c>
      <c r="AP10" s="298">
        <v>81000</v>
      </c>
      <c r="AQ10" s="298">
        <f>+AP10</f>
        <v>81000</v>
      </c>
      <c r="AR10" s="298">
        <v>79000</v>
      </c>
      <c r="AS10" s="298">
        <f>+AS11/AR11*AR10</f>
        <v>83341.823056300258</v>
      </c>
      <c r="AT10" s="298">
        <f>+AS10</f>
        <v>83341.823056300258</v>
      </c>
      <c r="AU10" s="298">
        <f>+AU11/AS11*AS10</f>
        <v>89378.016085790878</v>
      </c>
      <c r="AV10" s="298">
        <f>+AV11/AU11*AU10</f>
        <v>90648.793565683649</v>
      </c>
      <c r="AW10" s="298">
        <f>+AV10</f>
        <v>90648.793565683649</v>
      </c>
      <c r="AX10" s="298">
        <f>+AX11/AV11*AV10</f>
        <v>92554.959785522777</v>
      </c>
      <c r="AY10" s="298">
        <f>+AY11/AX11*AX10</f>
        <v>97244.9169378558</v>
      </c>
      <c r="AZ10" s="298">
        <f>+AY10</f>
        <v>97244.9169378558</v>
      </c>
      <c r="BA10" s="298">
        <f>+BA11/AY11*AY10</f>
        <v>103612.8418230563</v>
      </c>
      <c r="BB10" s="298">
        <f>+BB11/BA11*BA10</f>
        <v>108858.02235722741</v>
      </c>
      <c r="BC10" s="298">
        <f>+BB10</f>
        <v>108858.02235722741</v>
      </c>
      <c r="BD10" s="298">
        <f>+BD11/BB11*BB10</f>
        <v>114786.53404825741</v>
      </c>
      <c r="BE10" s="298">
        <f>+BE11/BD11*BD10</f>
        <v>120874.9215184598</v>
      </c>
      <c r="BF10" s="298">
        <f>+BE10</f>
        <v>120874.9215184598</v>
      </c>
      <c r="BG10" s="298">
        <f>+BG11/BE11*BE10</f>
        <v>127129.45677211801</v>
      </c>
      <c r="BH10" s="298">
        <f>+BH11/BG11*BG10</f>
        <v>133556.65786728248</v>
      </c>
      <c r="BI10" s="298">
        <f>+BH10</f>
        <v>133556.65786728248</v>
      </c>
      <c r="BJ10" s="298">
        <f>+BJ11/BH11*BH10</f>
        <v>140189.77309941029</v>
      </c>
      <c r="BK10" s="298">
        <f>+BK11/BJ11*BJ10</f>
        <v>146982.89290953375</v>
      </c>
      <c r="BL10" s="298">
        <f>+BK10</f>
        <v>146982.89290953375</v>
      </c>
      <c r="BM10" s="298">
        <f>+BM11/BK11*BK10</f>
        <v>153996.28202511114</v>
      </c>
      <c r="BN10" s="298">
        <f>+BN11/BM11*BM10</f>
        <v>161184.59404739033</v>
      </c>
      <c r="BO10" s="298">
        <f>+BN10</f>
        <v>161184.59404739033</v>
      </c>
    </row>
    <row r="11" spans="1:116" s="299" customFormat="1" ht="12.75" customHeight="1">
      <c r="A11" s="297" t="s">
        <v>310</v>
      </c>
      <c r="B11" s="324">
        <v>12600</v>
      </c>
      <c r="C11" s="324">
        <v>12600</v>
      </c>
      <c r="D11" s="324">
        <v>12600</v>
      </c>
      <c r="E11" s="324">
        <v>11600</v>
      </c>
      <c r="F11" s="324">
        <v>14400</v>
      </c>
      <c r="G11" s="324">
        <v>14400</v>
      </c>
      <c r="H11" s="324">
        <v>15300</v>
      </c>
      <c r="I11" s="324">
        <v>15367.748922690687</v>
      </c>
      <c r="J11" s="324">
        <v>15367.748922690687</v>
      </c>
      <c r="K11" s="324">
        <v>16231.318910212802</v>
      </c>
      <c r="L11" s="324">
        <v>17700</v>
      </c>
      <c r="M11" s="324">
        <v>17700</v>
      </c>
      <c r="N11" s="324">
        <v>21600</v>
      </c>
      <c r="O11" s="324">
        <v>22400</v>
      </c>
      <c r="P11" s="324">
        <v>22400</v>
      </c>
      <c r="Q11" s="324">
        <v>24600</v>
      </c>
      <c r="R11" s="324">
        <v>25300</v>
      </c>
      <c r="S11" s="324">
        <v>25300</v>
      </c>
      <c r="T11" s="329">
        <v>28100</v>
      </c>
      <c r="U11" s="329">
        <v>29300</v>
      </c>
      <c r="V11" s="324">
        <v>29300</v>
      </c>
      <c r="W11" s="324">
        <v>30100</v>
      </c>
      <c r="X11" s="324">
        <v>30500</v>
      </c>
      <c r="Y11" s="324">
        <v>30500</v>
      </c>
      <c r="Z11" s="324">
        <v>31100</v>
      </c>
      <c r="AA11" s="324">
        <v>35100</v>
      </c>
      <c r="AB11" s="324">
        <v>35100</v>
      </c>
      <c r="AC11" s="324">
        <v>39600</v>
      </c>
      <c r="AD11" s="324">
        <v>42900</v>
      </c>
      <c r="AE11" s="324">
        <v>42900</v>
      </c>
      <c r="AF11" s="324">
        <v>45700</v>
      </c>
      <c r="AG11" s="324">
        <v>48000</v>
      </c>
      <c r="AH11" s="324">
        <v>48000</v>
      </c>
      <c r="AI11" s="324">
        <v>48500</v>
      </c>
      <c r="AJ11" s="324">
        <v>54000</v>
      </c>
      <c r="AK11" s="324">
        <v>54000</v>
      </c>
      <c r="AL11" s="324">
        <v>64100</v>
      </c>
      <c r="AM11" s="324">
        <v>68700</v>
      </c>
      <c r="AN11" s="324">
        <v>68700</v>
      </c>
      <c r="AO11" s="324">
        <v>75500</v>
      </c>
      <c r="AP11" s="324">
        <v>76300</v>
      </c>
      <c r="AQ11" s="324">
        <v>76300</v>
      </c>
      <c r="AR11" s="324">
        <v>74600</v>
      </c>
      <c r="AS11" s="324">
        <v>78700</v>
      </c>
      <c r="AT11" s="324">
        <v>78700</v>
      </c>
      <c r="AU11" s="324">
        <v>84400</v>
      </c>
      <c r="AV11" s="324">
        <v>85600</v>
      </c>
      <c r="AW11" s="324">
        <v>85600</v>
      </c>
      <c r="AX11" s="324">
        <v>87400</v>
      </c>
      <c r="AY11" s="324">
        <v>91828.744348911947</v>
      </c>
      <c r="AZ11" s="324">
        <v>91828.744348911947</v>
      </c>
      <c r="BA11" s="324">
        <v>97842.000000000015</v>
      </c>
      <c r="BB11" s="324">
        <v>102795.04389682489</v>
      </c>
      <c r="BC11" s="324">
        <v>101995.04389682489</v>
      </c>
      <c r="BD11" s="324">
        <v>108393.36000000006</v>
      </c>
      <c r="BE11" s="324">
        <v>114142.64740857093</v>
      </c>
      <c r="BF11" s="324">
        <v>113342.64740857093</v>
      </c>
      <c r="BG11" s="324">
        <v>120048.82880000008</v>
      </c>
      <c r="BH11" s="324">
        <v>126118.05920125665</v>
      </c>
      <c r="BI11" s="324">
        <v>125318.05920125665</v>
      </c>
      <c r="BJ11" s="324">
        <v>132381.73510400011</v>
      </c>
      <c r="BK11" s="324">
        <v>138796.50393735719</v>
      </c>
      <c r="BL11" s="324">
        <v>137996.50393735719</v>
      </c>
      <c r="BM11" s="324">
        <v>145419.27391232015</v>
      </c>
      <c r="BN11" s="324">
        <v>152207.2242523458</v>
      </c>
      <c r="BO11" s="324">
        <v>151407.2242523458</v>
      </c>
    </row>
    <row r="12" spans="1:116" s="336" customFormat="1" ht="12.75" customHeight="1" thickBot="1">
      <c r="A12" s="330" t="s">
        <v>311</v>
      </c>
      <c r="B12" s="331">
        <v>61.7</v>
      </c>
      <c r="C12" s="331">
        <f>+D12-B12</f>
        <v>63.899999999999991</v>
      </c>
      <c r="D12" s="331">
        <v>125.6</v>
      </c>
      <c r="E12" s="331">
        <v>59.8</v>
      </c>
      <c r="F12" s="331">
        <v>61.2</v>
      </c>
      <c r="G12" s="331">
        <v>121</v>
      </c>
      <c r="H12" s="331">
        <v>67.099999999999994</v>
      </c>
      <c r="I12" s="331">
        <v>72</v>
      </c>
      <c r="J12" s="331">
        <v>139.10000000000002</v>
      </c>
      <c r="K12" s="331">
        <v>86.800000000000011</v>
      </c>
      <c r="L12" s="331">
        <v>94.199999999999989</v>
      </c>
      <c r="M12" s="331">
        <v>181</v>
      </c>
      <c r="N12" s="331">
        <v>97.6</v>
      </c>
      <c r="O12" s="331">
        <v>108.3</v>
      </c>
      <c r="P12" s="331">
        <f>+O12+N12</f>
        <v>205.89999999999998</v>
      </c>
      <c r="Q12" s="331">
        <v>105</v>
      </c>
      <c r="R12" s="331">
        <f>215.7-Q12</f>
        <v>110.69999999999999</v>
      </c>
      <c r="S12" s="331">
        <f>+R12+Q12</f>
        <v>215.7</v>
      </c>
      <c r="T12" s="331">
        <v>147.19999999999999</v>
      </c>
      <c r="U12" s="331">
        <f>259.7-T12</f>
        <v>112.5</v>
      </c>
      <c r="V12" s="332">
        <f>+U12+T12</f>
        <v>259.7</v>
      </c>
      <c r="W12" s="332">
        <v>156.5</v>
      </c>
      <c r="X12" s="332">
        <f>266.6-W12</f>
        <v>110.10000000000002</v>
      </c>
      <c r="Y12" s="333">
        <f>+X12+W12</f>
        <v>266.60000000000002</v>
      </c>
      <c r="Z12" s="333">
        <v>164.7</v>
      </c>
      <c r="AA12" s="332">
        <f>316.5-Z12</f>
        <v>151.80000000000001</v>
      </c>
      <c r="AB12" s="332">
        <f>+AA12+Z12</f>
        <v>316.5</v>
      </c>
      <c r="AC12" s="331">
        <v>189.4</v>
      </c>
      <c r="AD12" s="331">
        <f>469.7-AC12</f>
        <v>280.29999999999995</v>
      </c>
      <c r="AE12" s="331">
        <f>+AD12+AC12</f>
        <v>469.69999999999993</v>
      </c>
      <c r="AF12" s="332">
        <v>219</v>
      </c>
      <c r="AG12" s="332">
        <f>511.2-AF12</f>
        <v>292.2</v>
      </c>
      <c r="AH12" s="332">
        <f t="shared" ref="AH12" si="25">+AG12+AF12</f>
        <v>511.2</v>
      </c>
      <c r="AI12" s="332">
        <v>219.2</v>
      </c>
      <c r="AJ12" s="332">
        <f>459.1-AI12</f>
        <v>239.90000000000003</v>
      </c>
      <c r="AK12" s="332">
        <f t="shared" ref="AK12" si="26">+AJ12+AI12</f>
        <v>459.1</v>
      </c>
      <c r="AL12" s="332">
        <v>258.2</v>
      </c>
      <c r="AM12" s="332">
        <f>588.4-AL12</f>
        <v>330.2</v>
      </c>
      <c r="AN12" s="332">
        <f t="shared" ref="AN12" si="27">+AM12+AL12</f>
        <v>588.4</v>
      </c>
      <c r="AO12" s="332">
        <v>264.7</v>
      </c>
      <c r="AP12" s="332">
        <f>480.6-AO12</f>
        <v>215.90000000000003</v>
      </c>
      <c r="AQ12" s="332">
        <f t="shared" ref="AQ12" si="28">+AP12+AO12</f>
        <v>480.6</v>
      </c>
      <c r="AR12" s="332">
        <v>360.8</v>
      </c>
      <c r="AS12" s="332">
        <f>776.4-AR12</f>
        <v>415.59999999999997</v>
      </c>
      <c r="AT12" s="332">
        <f t="shared" ref="AT12" si="29">+AS12+AR12</f>
        <v>776.4</v>
      </c>
      <c r="AU12" s="332">
        <v>462.3</v>
      </c>
      <c r="AV12" s="332">
        <f>837.4-AU12</f>
        <v>375.09999999999997</v>
      </c>
      <c r="AW12" s="332">
        <f t="shared" ref="AW12" si="30">+AV12+AU12</f>
        <v>837.4</v>
      </c>
      <c r="AX12" s="332">
        <v>325</v>
      </c>
      <c r="AY12" s="332">
        <f t="shared" ref="AY12" si="31">+AY11*AY13*0.5</f>
        <v>381.08928904798461</v>
      </c>
      <c r="AZ12" s="332">
        <f t="shared" ref="AZ12" si="32">+AY12+AX12</f>
        <v>706.08928904798461</v>
      </c>
      <c r="BA12" s="332">
        <f t="shared" ref="BA12:BB12" si="33">+BA11*BA13*0.5</f>
        <v>366.90750000000003</v>
      </c>
      <c r="BB12" s="332">
        <f t="shared" si="33"/>
        <v>385.48141461309331</v>
      </c>
      <c r="BC12" s="332">
        <f t="shared" ref="BC12" si="34">+BB12+BA12</f>
        <v>752.38891461309333</v>
      </c>
      <c r="BD12" s="332">
        <f t="shared" ref="BD12:BE12" si="35">+BD11*BD13*0.5</f>
        <v>468.50049042600023</v>
      </c>
      <c r="BE12" s="332">
        <f t="shared" si="35"/>
        <v>493.35020419551051</v>
      </c>
      <c r="BF12" s="332">
        <f t="shared" ref="BF12" si="36">+BE12+BD12</f>
        <v>961.85069462151068</v>
      </c>
      <c r="BG12" s="332">
        <f t="shared" ref="BG12:BH12" si="37">+BG11*BG13*0.5</f>
        <v>518.47108353044837</v>
      </c>
      <c r="BH12" s="332">
        <f t="shared" si="37"/>
        <v>544.68308821045923</v>
      </c>
      <c r="BI12" s="332">
        <f t="shared" ref="BI12" si="38">+BH12+BG12</f>
        <v>1063.1541717409077</v>
      </c>
      <c r="BJ12" s="332">
        <f t="shared" ref="BJ12:BK12" si="39">+BJ11*BJ13*0.5</f>
        <v>572.11222506379829</v>
      </c>
      <c r="BK12" s="332">
        <f t="shared" si="39"/>
        <v>599.83483851676954</v>
      </c>
      <c r="BL12" s="332">
        <f t="shared" ref="BL12" si="40">+BK12+BJ12</f>
        <v>1171.9470635805678</v>
      </c>
      <c r="BM12" s="332">
        <f t="shared" ref="BM12:BN12" si="41">+BM11*BM13*0.5</f>
        <v>628.4563674874023</v>
      </c>
      <c r="BN12" s="332">
        <f t="shared" si="41"/>
        <v>657.79175404661123</v>
      </c>
      <c r="BO12" s="332">
        <f t="shared" ref="BO12" si="42">+BN12+BM12</f>
        <v>1286.2481215340135</v>
      </c>
      <c r="BP12" s="334"/>
      <c r="BQ12" s="334"/>
      <c r="BR12" s="334"/>
      <c r="BS12" s="334"/>
      <c r="BT12" s="334"/>
      <c r="BU12" s="334"/>
      <c r="BV12" s="334"/>
      <c r="BW12" s="334"/>
      <c r="BX12" s="334"/>
      <c r="BY12" s="334"/>
      <c r="BZ12" s="334"/>
      <c r="CA12" s="334"/>
      <c r="CB12" s="334"/>
      <c r="CC12" s="334"/>
      <c r="CD12" s="334"/>
      <c r="CE12" s="334"/>
      <c r="CF12" s="334"/>
      <c r="CG12" s="334"/>
      <c r="CH12" s="334"/>
      <c r="CI12" s="334"/>
      <c r="CJ12" s="334"/>
      <c r="CK12" s="334"/>
      <c r="CL12" s="334"/>
      <c r="CM12" s="334"/>
      <c r="CN12" s="334"/>
      <c r="CO12" s="334"/>
      <c r="CP12" s="334"/>
      <c r="CQ12" s="334"/>
      <c r="CR12" s="334"/>
      <c r="CS12" s="334"/>
      <c r="CT12" s="334"/>
      <c r="CU12" s="334"/>
      <c r="CV12" s="334"/>
      <c r="CW12" s="334"/>
      <c r="CX12" s="334"/>
      <c r="CY12" s="334"/>
      <c r="CZ12" s="334"/>
      <c r="DA12" s="334"/>
      <c r="DB12" s="334"/>
      <c r="DC12" s="334"/>
      <c r="DD12" s="334"/>
      <c r="DE12" s="334"/>
      <c r="DF12" s="334"/>
      <c r="DG12" s="334"/>
      <c r="DH12" s="334"/>
      <c r="DI12" s="335"/>
      <c r="DJ12" s="335"/>
      <c r="DK12" s="335"/>
      <c r="DL12" s="335"/>
    </row>
    <row r="13" spans="1:116" s="278" customFormat="1" ht="13.3" thickTop="1">
      <c r="A13" s="337" t="s">
        <v>312</v>
      </c>
      <c r="B13" s="338">
        <f>+B12*2/B11</f>
        <v>9.7936507936507936E-3</v>
      </c>
      <c r="C13" s="338">
        <f>+C12*2/C11</f>
        <v>1.0142857142857141E-2</v>
      </c>
      <c r="D13" s="338">
        <f>+D12/D11</f>
        <v>9.9682539682539682E-3</v>
      </c>
      <c r="E13" s="338">
        <f>+E12*2/E11</f>
        <v>1.0310344827586207E-2</v>
      </c>
      <c r="F13" s="338">
        <f>+F12*2/F11</f>
        <v>8.5000000000000006E-3</v>
      </c>
      <c r="G13" s="338">
        <f>+G12/G11</f>
        <v>8.4027777777777781E-3</v>
      </c>
      <c r="H13" s="338">
        <f>+H12*2/H11</f>
        <v>8.7712418300653593E-3</v>
      </c>
      <c r="I13" s="338">
        <f>+I12*2/I11</f>
        <v>9.3702728177307779E-3</v>
      </c>
      <c r="J13" s="338">
        <f>+J12/J11</f>
        <v>9.0514232565718847E-3</v>
      </c>
      <c r="K13" s="338">
        <f>+K12*2/K11</f>
        <v>1.0695372382263422E-2</v>
      </c>
      <c r="L13" s="338">
        <f>+L12*2/L11</f>
        <v>1.0644067796610169E-2</v>
      </c>
      <c r="M13" s="338">
        <f>+M12/M11</f>
        <v>1.0225988700564972E-2</v>
      </c>
      <c r="N13" s="338">
        <f>+N12*2/N11</f>
        <v>9.0370370370370361E-3</v>
      </c>
      <c r="O13" s="338">
        <f>+O12*2/O10</f>
        <v>8.0820895522388057E-3</v>
      </c>
      <c r="P13" s="338">
        <f>+P12/P10</f>
        <v>7.6828358208955215E-3</v>
      </c>
      <c r="Q13" s="338">
        <f>+Q12*2/Q10</f>
        <v>7.1350564251911174E-3</v>
      </c>
      <c r="R13" s="338">
        <f>+R12*2/R10</f>
        <v>7.3069306930693065E-3</v>
      </c>
      <c r="S13" s="338">
        <f t="shared" ref="S13:V13" si="43">+R13</f>
        <v>7.3069306930693065E-3</v>
      </c>
      <c r="T13" s="339">
        <f>+T12*2/T10</f>
        <v>8.8143712574850295E-3</v>
      </c>
      <c r="U13" s="339">
        <f>+U12*2/U10</f>
        <v>6.5982404692082114E-3</v>
      </c>
      <c r="V13" s="338">
        <f t="shared" si="43"/>
        <v>6.5982404692082114E-3</v>
      </c>
      <c r="W13" s="338">
        <f>+W12*2/W10</f>
        <v>8.9349285373291377E-3</v>
      </c>
      <c r="X13" s="338">
        <f>+X12*2/X10</f>
        <v>6.364161849710984E-3</v>
      </c>
      <c r="Y13" s="338">
        <f>+Y12/Y10</f>
        <v>7.7052023121387293E-3</v>
      </c>
      <c r="Z13" s="340">
        <f>+Z12*2/Z11</f>
        <v>1.0591639871382636E-2</v>
      </c>
      <c r="AA13" s="340">
        <f>+AA12*2/AA11</f>
        <v>8.6495726495726503E-3</v>
      </c>
      <c r="AB13" s="340">
        <f>+AB12/AB11</f>
        <v>9.017094017094017E-3</v>
      </c>
      <c r="AC13" s="341">
        <f>+AC12*2/AC11</f>
        <v>9.5656565656565655E-3</v>
      </c>
      <c r="AD13" s="341">
        <f>+AD12*2/AD11</f>
        <v>1.3067599067599066E-2</v>
      </c>
      <c r="AE13" s="342">
        <f>+AE12/AE11</f>
        <v>1.0948717948717946E-2</v>
      </c>
      <c r="AF13" s="341">
        <f>+AF12*2/AF11</f>
        <v>9.5842450765864333E-3</v>
      </c>
      <c r="AG13" s="341">
        <f>+AG12*2/AG11</f>
        <v>1.2175E-2</v>
      </c>
      <c r="AH13" s="342">
        <f>+AH12/AH11</f>
        <v>1.065E-2</v>
      </c>
      <c r="AI13" s="341">
        <f>+AI12*2/AI11</f>
        <v>9.039175257731959E-3</v>
      </c>
      <c r="AJ13" s="341">
        <f>+AJ12*2/AJ11</f>
        <v>8.8851851851851869E-3</v>
      </c>
      <c r="AK13" s="342">
        <f>+AK12/AK11</f>
        <v>8.5018518518518525E-3</v>
      </c>
      <c r="AL13" s="341">
        <f>+AL12*2/AL11</f>
        <v>8.0561622464898584E-3</v>
      </c>
      <c r="AM13" s="341">
        <f>+AM12*2/AM11</f>
        <v>9.612809315866085E-3</v>
      </c>
      <c r="AN13" s="341">
        <f>+AN12/AN11</f>
        <v>8.5647743813682675E-3</v>
      </c>
      <c r="AO13" s="341">
        <f>+AO12*2/AO11</f>
        <v>7.011920529801324E-3</v>
      </c>
      <c r="AP13" s="341">
        <f>+AP12*2/AP11</f>
        <v>5.6592398427260824E-3</v>
      </c>
      <c r="AQ13" s="342">
        <f>+AQ12/AQ11</f>
        <v>6.2988204456094366E-3</v>
      </c>
      <c r="AR13" s="341">
        <f>+AR12*2/AR11</f>
        <v>9.6729222520107235E-3</v>
      </c>
      <c r="AS13" s="341">
        <f>+AS12*2/AS11</f>
        <v>1.0561626429479033E-2</v>
      </c>
      <c r="AT13" s="342">
        <f>+AT12/AT11</f>
        <v>9.8653113087674715E-3</v>
      </c>
      <c r="AU13" s="341">
        <f>+AU12*2/AU11</f>
        <v>1.0954976303317536E-2</v>
      </c>
      <c r="AV13" s="341">
        <f>+AV12*2/AV11</f>
        <v>8.7640186915887847E-3</v>
      </c>
      <c r="AW13" s="342">
        <f>+AW12/AW11</f>
        <v>9.7827102803738318E-3</v>
      </c>
      <c r="AX13" s="338">
        <v>1.2E-2</v>
      </c>
      <c r="AY13" s="338">
        <v>8.3000000000000001E-3</v>
      </c>
      <c r="AZ13" s="342">
        <f>+AZ12/AZ11</f>
        <v>7.6891968201713828E-3</v>
      </c>
      <c r="BA13" s="338">
        <v>7.4999999999999997E-3</v>
      </c>
      <c r="BB13" s="338">
        <f t="shared" ref="BB13" si="44">+BA13</f>
        <v>7.4999999999999997E-3</v>
      </c>
      <c r="BC13" s="342">
        <f>+BC12/BC11</f>
        <v>7.3767203372566538E-3</v>
      </c>
      <c r="BD13" s="338">
        <v>8.6444499999999997E-3</v>
      </c>
      <c r="BE13" s="338">
        <f t="shared" ref="BE13" si="45">+BD13</f>
        <v>8.6444499999999997E-3</v>
      </c>
      <c r="BF13" s="342">
        <f>+BF12/BF11</f>
        <v>8.4862204705196953E-3</v>
      </c>
      <c r="BG13" s="338">
        <v>8.6376700000000001E-3</v>
      </c>
      <c r="BH13" s="338">
        <f t="shared" ref="BH13" si="46">+BG13</f>
        <v>8.6376700000000001E-3</v>
      </c>
      <c r="BI13" s="342">
        <f>+BI12/BI11</f>
        <v>8.483646958125304E-3</v>
      </c>
      <c r="BJ13" s="338">
        <v>8.6433710000000004E-3</v>
      </c>
      <c r="BK13" s="338">
        <f t="shared" ref="BK13" si="47">+BJ13</f>
        <v>8.6433710000000004E-3</v>
      </c>
      <c r="BL13" s="342">
        <f>+BL12/BL11</f>
        <v>8.4925851752923193E-3</v>
      </c>
      <c r="BM13" s="338">
        <v>8.6433710000000004E-3</v>
      </c>
      <c r="BN13" s="338">
        <f t="shared" ref="BN13" si="48">+BM13</f>
        <v>8.6433710000000004E-3</v>
      </c>
      <c r="BO13" s="342">
        <f>+BO12/BO11</f>
        <v>8.4952889658043203E-3</v>
      </c>
    </row>
    <row r="14" spans="1:116" s="278" customFormat="1">
      <c r="A14" s="337"/>
      <c r="C14" s="338"/>
      <c r="D14" s="338"/>
      <c r="E14" s="338"/>
      <c r="F14" s="338"/>
      <c r="G14" s="338"/>
      <c r="H14" s="338"/>
      <c r="I14" s="338"/>
      <c r="J14" s="338"/>
      <c r="K14" s="338"/>
      <c r="L14" s="338"/>
      <c r="M14" s="338"/>
      <c r="N14" s="338"/>
      <c r="O14" s="338"/>
      <c r="P14" s="338"/>
      <c r="Q14" s="338"/>
      <c r="R14" s="338"/>
      <c r="S14" s="338"/>
      <c r="T14" s="338"/>
      <c r="U14" s="338">
        <f>U12*2/U11</f>
        <v>7.6791808873720134E-3</v>
      </c>
      <c r="V14" s="338"/>
      <c r="W14" s="338">
        <f>W12*2/W11</f>
        <v>1.0398671096345515E-2</v>
      </c>
      <c r="X14" s="338"/>
      <c r="Y14" s="338"/>
      <c r="Z14" s="343">
        <f>Z12-40</f>
        <v>124.69999999999999</v>
      </c>
      <c r="AA14" s="343">
        <f>AA12-40</f>
        <v>111.80000000000001</v>
      </c>
      <c r="AB14" s="338"/>
      <c r="AC14" s="343">
        <f>AC12-55</f>
        <v>134.4</v>
      </c>
      <c r="AD14" s="343">
        <f>AD19*AD11/2</f>
        <v>145.6</v>
      </c>
      <c r="AE14" s="338"/>
      <c r="AF14" s="371">
        <f>AF12-65</f>
        <v>154</v>
      </c>
      <c r="AG14" s="371">
        <f>AG12-142</f>
        <v>150.19999999999999</v>
      </c>
      <c r="AH14" s="346">
        <f>SUM(AF14:AG14)</f>
        <v>304.2</v>
      </c>
      <c r="AI14" s="371">
        <f>AI12-AI8</f>
        <v>152.19999999999999</v>
      </c>
      <c r="AJ14" s="371">
        <f>AJ12-AJ8</f>
        <v>157.90000000000003</v>
      </c>
      <c r="AK14" s="346">
        <f>SUM(AI14:AJ14)</f>
        <v>310.10000000000002</v>
      </c>
      <c r="AL14" s="371">
        <f>AL12-AL8</f>
        <v>184.2</v>
      </c>
      <c r="AM14" s="371">
        <f>AM12-AM8</f>
        <v>196.2</v>
      </c>
      <c r="AO14" s="371">
        <f>AO12-AO8</f>
        <v>222.7</v>
      </c>
      <c r="AP14" s="371">
        <f>AP12-AP8</f>
        <v>215.90000000000003</v>
      </c>
      <c r="AR14" s="371">
        <f>AR12-AR8</f>
        <v>224.8</v>
      </c>
      <c r="AS14" s="371">
        <f>AS12-AS8</f>
        <v>220.59999999999997</v>
      </c>
      <c r="AU14" s="371">
        <f>AU12-AU8</f>
        <v>224.3</v>
      </c>
      <c r="AV14" s="371">
        <f>AV12-AV8</f>
        <v>241.09999999999997</v>
      </c>
      <c r="AX14" s="371">
        <f>AX12-AX8</f>
        <v>246</v>
      </c>
      <c r="AY14" s="371"/>
      <c r="BA14" s="338"/>
      <c r="BB14" s="338"/>
      <c r="BD14" s="338"/>
      <c r="BE14" s="338"/>
      <c r="BG14" s="338"/>
      <c r="BH14" s="338"/>
      <c r="BJ14" s="338"/>
      <c r="BK14" s="338"/>
      <c r="BM14" s="338"/>
      <c r="BN14" s="338"/>
    </row>
    <row r="15" spans="1:116" s="278" customFormat="1" hidden="1">
      <c r="A15" s="299" t="s">
        <v>313</v>
      </c>
      <c r="C15" s="344"/>
      <c r="D15" s="344"/>
      <c r="E15" s="344"/>
      <c r="F15" s="344"/>
      <c r="G15" s="344"/>
      <c r="H15" s="344"/>
      <c r="I15" s="344"/>
      <c r="J15" s="344"/>
      <c r="K15" s="344"/>
      <c r="L15" s="344"/>
      <c r="M15" s="338"/>
      <c r="N15" s="338"/>
      <c r="O15" s="344"/>
      <c r="P15" s="338"/>
      <c r="Q15" s="338"/>
      <c r="R15" s="344"/>
      <c r="S15" s="338"/>
      <c r="T15" s="338"/>
      <c r="U15" s="344"/>
      <c r="V15" s="338"/>
      <c r="W15" s="338"/>
      <c r="X15" s="344"/>
      <c r="Y15" s="338"/>
      <c r="Z15" s="338"/>
      <c r="AA15" s="344"/>
      <c r="AB15" s="338"/>
      <c r="AC15" s="338"/>
      <c r="AD15" s="344"/>
      <c r="AE15" s="338"/>
      <c r="AF15" s="338"/>
      <c r="AG15" s="344"/>
      <c r="AI15" s="338"/>
      <c r="AJ15" s="344"/>
      <c r="AL15" s="338"/>
      <c r="AM15" s="344"/>
      <c r="AO15" s="344"/>
      <c r="AP15" s="344"/>
      <c r="AR15" s="344"/>
      <c r="AS15" s="344"/>
      <c r="AU15" s="344"/>
      <c r="AV15" s="344"/>
      <c r="AX15" s="344"/>
      <c r="AY15" s="344"/>
      <c r="BA15" s="338"/>
      <c r="BB15" s="344"/>
      <c r="BD15" s="338"/>
      <c r="BE15" s="344"/>
      <c r="BG15" s="338"/>
      <c r="BH15" s="344"/>
      <c r="BJ15" s="338"/>
      <c r="BK15" s="344"/>
      <c r="BM15" s="338"/>
      <c r="BN15" s="344"/>
    </row>
    <row r="16" spans="1:116" s="278" customFormat="1" hidden="1">
      <c r="A16" s="278" t="s">
        <v>314</v>
      </c>
      <c r="B16" s="323">
        <v>-35.700000000000003</v>
      </c>
      <c r="C16" s="323">
        <v>-71.899999999999991</v>
      </c>
      <c r="D16" s="323">
        <v>-71.899999999999991</v>
      </c>
      <c r="E16" s="323">
        <v>-29.199999999999996</v>
      </c>
      <c r="F16" s="323">
        <v>-29.200000000000003</v>
      </c>
      <c r="G16" s="323">
        <v>-58.4</v>
      </c>
      <c r="H16" s="323">
        <v>-31.099999999999994</v>
      </c>
      <c r="I16" s="323">
        <v>-28.700000000000003</v>
      </c>
      <c r="J16" s="323">
        <v>-59.8</v>
      </c>
      <c r="K16" s="323">
        <v>-30.800000000000011</v>
      </c>
      <c r="L16" s="323">
        <v>-41.599999999999994</v>
      </c>
      <c r="M16" s="323">
        <v>-72.400000000000006</v>
      </c>
      <c r="N16" s="345">
        <f>57.5-97.6</f>
        <v>-40.099999999999994</v>
      </c>
      <c r="O16" s="345">
        <v>-48.7</v>
      </c>
      <c r="P16" s="345">
        <f>+N16+O16</f>
        <v>-88.8</v>
      </c>
      <c r="Q16" s="345">
        <f>-(Q12-Q18)</f>
        <v>-45.3</v>
      </c>
      <c r="R16" s="345">
        <f>-(R12-R18)</f>
        <v>-45.199999999999989</v>
      </c>
      <c r="S16" s="346">
        <f>+Q16+R16</f>
        <v>-90.499999999999986</v>
      </c>
      <c r="T16" s="345">
        <f>-(T12-T18)</f>
        <v>-47.899999999999991</v>
      </c>
      <c r="U16" s="345">
        <f>-(U12-U18)</f>
        <v>-45.499999999999986</v>
      </c>
      <c r="V16" s="346">
        <f>+T16+U16</f>
        <v>-93.399999999999977</v>
      </c>
      <c r="W16" s="346">
        <f>-W12*(1-W17)</f>
        <v>-46.3</v>
      </c>
      <c r="X16" s="346">
        <f>-X12*(1-X17)</f>
        <v>-32.572715654952084</v>
      </c>
      <c r="Y16" s="346">
        <f>+W16+X16</f>
        <v>-78.872715654952088</v>
      </c>
      <c r="Z16" s="346">
        <f>-Z12*(1-Z17)</f>
        <v>-48.72594249201277</v>
      </c>
      <c r="AA16" s="346">
        <f>-AA12*(1-AA17)</f>
        <v>-44.909520766773163</v>
      </c>
      <c r="AB16" s="346">
        <f>+Z16+AA16</f>
        <v>-93.635463258785933</v>
      </c>
      <c r="AC16" s="346">
        <f>-AC12*(1-AC17)</f>
        <v>-56.033354632587859</v>
      </c>
      <c r="AD16" s="346">
        <f>-AD12*(1-AD17)</f>
        <v>-82.925814696485602</v>
      </c>
      <c r="AE16" s="346">
        <f>+AC16+AD16</f>
        <v>-138.95916932907346</v>
      </c>
      <c r="AF16" s="346">
        <f>-AF12*(1-AF17)</f>
        <v>-62.600415335463254</v>
      </c>
      <c r="AG16" s="346">
        <f>-AG12*(1-AG17)</f>
        <v>-80.602389776357811</v>
      </c>
      <c r="AH16" s="346">
        <f>+AF16+AG16</f>
        <v>-143.20280511182108</v>
      </c>
      <c r="AI16" s="346">
        <f>-AI12*(1-AI17)</f>
        <v>-58.273584664536727</v>
      </c>
      <c r="AJ16" s="346">
        <f>-AJ12*(1-AJ17)</f>
        <v>-61.377610223642165</v>
      </c>
      <c r="AK16" s="346">
        <f>+AI16+AJ16</f>
        <v>-119.65119488817889</v>
      </c>
      <c r="AL16" s="346">
        <f>-AL12*(1-AL17)</f>
        <v>-63.477603833865793</v>
      </c>
      <c r="AM16" s="346">
        <f>-AM12*(1-AM17)</f>
        <v>-77.876562300319463</v>
      </c>
      <c r="AN16" s="346">
        <f>+AL16+AM16</f>
        <v>-141.35416613418525</v>
      </c>
      <c r="AO16" s="346">
        <f>-AO12*(1-AO17)</f>
        <v>-59.781607028753967</v>
      </c>
      <c r="AP16" s="346">
        <f>-AP12*(1-AP17)</f>
        <v>-46.601290734824268</v>
      </c>
      <c r="AQ16" s="346">
        <f>+AO16+AP16</f>
        <v>-106.38289776357823</v>
      </c>
      <c r="AR16" s="346">
        <f>-AR12*(1-AR17)</f>
        <v>-74.269469648562264</v>
      </c>
      <c r="AS16" s="346">
        <f>-AS12*(1-AS17)</f>
        <v>-81.39386581469644</v>
      </c>
      <c r="AT16" s="346">
        <f>+AR16+AS16</f>
        <v>-155.6633354632587</v>
      </c>
      <c r="AU16" s="346">
        <f>-AU12*(1-AU17)</f>
        <v>-85.916904153354579</v>
      </c>
      <c r="AV16" s="346">
        <f>-AV12*(1-AV17)</f>
        <v>-65.960076677316238</v>
      </c>
      <c r="AW16" s="346">
        <f>+AU16+AV16</f>
        <v>-151.87698083067082</v>
      </c>
      <c r="AX16" s="346">
        <f>-AX12*(1-AX17)</f>
        <v>-53.900159744408903</v>
      </c>
      <c r="AY16" s="346"/>
      <c r="AZ16" s="346">
        <f>+AX16+AY16</f>
        <v>-53.900159744408903</v>
      </c>
      <c r="BA16" s="346">
        <f>-BA12*(1-BA17)</f>
        <v>-363.23842500000001</v>
      </c>
      <c r="BB16" s="346">
        <f>-BB12*(1-BB17)</f>
        <v>-377.77178632083144</v>
      </c>
      <c r="BC16" s="346">
        <f>+BA16+BB16</f>
        <v>-741.01021132083144</v>
      </c>
      <c r="BD16" s="346">
        <f>-BD12*(1-BD17)</f>
        <v>-454.44547571322022</v>
      </c>
      <c r="BE16" s="346">
        <f>-BE12*(1-BE17)</f>
        <v>-473.61619602769008</v>
      </c>
      <c r="BF16" s="346">
        <f>+BD16+BE16</f>
        <v>-928.06167174091024</v>
      </c>
      <c r="BG16" s="346">
        <f>-BG12*(1-BG17)</f>
        <v>-492.54752935392594</v>
      </c>
      <c r="BH16" s="346">
        <f>-BH12*(1-BH17)</f>
        <v>-512.00210291783162</v>
      </c>
      <c r="BI16" s="346">
        <f>+BG16+BH16</f>
        <v>-1004.5496322717576</v>
      </c>
      <c r="BJ16" s="346">
        <f>-BJ12*(1-BJ17)</f>
        <v>-532.06436930933239</v>
      </c>
      <c r="BK16" s="346">
        <f>-BK12*(1-BK17)</f>
        <v>-551.84805143542803</v>
      </c>
      <c r="BL16" s="346">
        <f>+BJ16+BK16</f>
        <v>-1083.9124207447603</v>
      </c>
      <c r="BM16" s="346">
        <f>-BM12*(1-BM17)</f>
        <v>-571.89529441353613</v>
      </c>
      <c r="BN16" s="346">
        <f>-BN12*(1-BN17)</f>
        <v>-592.01257864195009</v>
      </c>
      <c r="BO16" s="346">
        <f>+BM16+BN16</f>
        <v>-1163.9078730554861</v>
      </c>
    </row>
    <row r="17" spans="1:116" s="278" customFormat="1" hidden="1">
      <c r="A17" s="278" t="s">
        <v>315</v>
      </c>
      <c r="B17" s="347">
        <f t="shared" ref="B17:W17" si="49">+B18/B12</f>
        <v>0.42139384116693679</v>
      </c>
      <c r="C17" s="347">
        <f t="shared" si="49"/>
        <v>-0.12519561815336466</v>
      </c>
      <c r="D17" s="347">
        <f t="shared" si="49"/>
        <v>0.42754777070063699</v>
      </c>
      <c r="E17" s="347">
        <f t="shared" si="49"/>
        <v>0.5117056856187292</v>
      </c>
      <c r="F17" s="347">
        <f t="shared" si="49"/>
        <v>0.52287581699346408</v>
      </c>
      <c r="G17" s="347">
        <f t="shared" si="49"/>
        <v>0.51735537190082648</v>
      </c>
      <c r="H17" s="347">
        <f t="shared" si="49"/>
        <v>0.53651266766020866</v>
      </c>
      <c r="I17" s="347">
        <f t="shared" si="49"/>
        <v>0.60138888888888886</v>
      </c>
      <c r="J17" s="347">
        <f t="shared" si="49"/>
        <v>0.5700934579439253</v>
      </c>
      <c r="K17" s="347">
        <f t="shared" si="49"/>
        <v>0.64516129032258052</v>
      </c>
      <c r="L17" s="347">
        <f t="shared" si="49"/>
        <v>0.55838641188959659</v>
      </c>
      <c r="M17" s="347">
        <f t="shared" si="49"/>
        <v>0.6</v>
      </c>
      <c r="N17" s="347">
        <f t="shared" si="49"/>
        <v>0.58913934426229508</v>
      </c>
      <c r="O17" s="347">
        <f t="shared" si="49"/>
        <v>0.55032317636195749</v>
      </c>
      <c r="P17" s="347">
        <f t="shared" si="49"/>
        <v>0.56872268091306466</v>
      </c>
      <c r="Q17" s="347">
        <f t="shared" si="49"/>
        <v>0.56857142857142862</v>
      </c>
      <c r="R17" s="347">
        <f t="shared" si="49"/>
        <v>0.59168925022583563</v>
      </c>
      <c r="S17" s="348">
        <f>AVERAGE(Q17:R17)</f>
        <v>0.58013033939863212</v>
      </c>
      <c r="T17" s="349">
        <f>+V17</f>
        <v>0.59555555555555573</v>
      </c>
      <c r="U17" s="347">
        <f t="shared" si="49"/>
        <v>0.59555555555555573</v>
      </c>
      <c r="V17" s="348">
        <f>U17</f>
        <v>0.59555555555555573</v>
      </c>
      <c r="W17" s="347">
        <f t="shared" si="49"/>
        <v>0.70415335463258788</v>
      </c>
      <c r="X17" s="349">
        <f t="shared" ref="X17:AH17" si="50">W17</f>
        <v>0.70415335463258788</v>
      </c>
      <c r="Y17" s="349">
        <f t="shared" si="50"/>
        <v>0.70415335463258788</v>
      </c>
      <c r="Z17" s="349">
        <f t="shared" si="50"/>
        <v>0.70415335463258788</v>
      </c>
      <c r="AA17" s="349">
        <f t="shared" si="50"/>
        <v>0.70415335463258788</v>
      </c>
      <c r="AB17" s="349">
        <f t="shared" si="50"/>
        <v>0.70415335463258788</v>
      </c>
      <c r="AC17" s="349">
        <f t="shared" si="50"/>
        <v>0.70415335463258788</v>
      </c>
      <c r="AD17" s="349">
        <f t="shared" si="50"/>
        <v>0.70415335463258788</v>
      </c>
      <c r="AE17" s="349">
        <f t="shared" si="50"/>
        <v>0.70415335463258788</v>
      </c>
      <c r="AF17" s="349">
        <f>AE17+1%</f>
        <v>0.71415335463258789</v>
      </c>
      <c r="AG17" s="349">
        <f>AF17+1%</f>
        <v>0.7241533546325879</v>
      </c>
      <c r="AH17" s="349">
        <f t="shared" si="50"/>
        <v>0.7241533546325879</v>
      </c>
      <c r="AI17" s="349">
        <f>AH17+1%</f>
        <v>0.73415335463258791</v>
      </c>
      <c r="AJ17" s="349">
        <f>AI17+1%</f>
        <v>0.74415335463258792</v>
      </c>
      <c r="AK17" s="349">
        <f t="shared" ref="AK17:AN17" si="51">AJ17</f>
        <v>0.74415335463258792</v>
      </c>
      <c r="AL17" s="349">
        <f>AK17+1%</f>
        <v>0.75415335463258792</v>
      </c>
      <c r="AM17" s="349">
        <f>AL17+1%</f>
        <v>0.76415335463258793</v>
      </c>
      <c r="AN17" s="349">
        <f t="shared" si="51"/>
        <v>0.76415335463258793</v>
      </c>
      <c r="AO17" s="349">
        <f>AN17+1%</f>
        <v>0.77415335463258794</v>
      </c>
      <c r="AP17" s="349">
        <f>AO17+1%</f>
        <v>0.78415335463258795</v>
      </c>
      <c r="AQ17" s="349">
        <f t="shared" ref="AQ17" si="52">AP17</f>
        <v>0.78415335463258795</v>
      </c>
      <c r="AR17" s="349">
        <f>AQ17+1%</f>
        <v>0.79415335463258796</v>
      </c>
      <c r="AS17" s="349">
        <f>AR17+1%</f>
        <v>0.80415335463258797</v>
      </c>
      <c r="AT17" s="349">
        <f t="shared" ref="AT17" si="53">AS17</f>
        <v>0.80415335463258797</v>
      </c>
      <c r="AU17" s="349">
        <f>AT17+1%</f>
        <v>0.81415335463258798</v>
      </c>
      <c r="AV17" s="349">
        <f>AU17+1%</f>
        <v>0.82415335463258799</v>
      </c>
      <c r="AW17" s="349">
        <f t="shared" ref="AW17" si="54">AV17</f>
        <v>0.82415335463258799</v>
      </c>
      <c r="AX17" s="349">
        <f>AW17+1%</f>
        <v>0.834153354632588</v>
      </c>
      <c r="AY17" s="349"/>
      <c r="AZ17" s="349">
        <f t="shared" ref="AZ17" si="55">AY17</f>
        <v>0</v>
      </c>
      <c r="BA17" s="349">
        <f>AZ17+1%</f>
        <v>0.01</v>
      </c>
      <c r="BB17" s="349">
        <f>BA17+1%</f>
        <v>0.02</v>
      </c>
      <c r="BC17" s="349">
        <f t="shared" ref="BC17" si="56">BB17</f>
        <v>0.02</v>
      </c>
      <c r="BD17" s="349">
        <f>BC17+1%</f>
        <v>0.03</v>
      </c>
      <c r="BE17" s="349">
        <f>BD17+1%</f>
        <v>0.04</v>
      </c>
      <c r="BF17" s="349">
        <f t="shared" ref="BF17" si="57">BE17</f>
        <v>0.04</v>
      </c>
      <c r="BG17" s="349">
        <f>BF17+1%</f>
        <v>0.05</v>
      </c>
      <c r="BH17" s="349">
        <f>BG17+1%</f>
        <v>6.0000000000000005E-2</v>
      </c>
      <c r="BI17" s="349">
        <f t="shared" ref="BI17" si="58">BH17</f>
        <v>6.0000000000000005E-2</v>
      </c>
      <c r="BJ17" s="349">
        <f>BI17+1%</f>
        <v>7.0000000000000007E-2</v>
      </c>
      <c r="BK17" s="349">
        <f>BJ17+1%</f>
        <v>0.08</v>
      </c>
      <c r="BL17" s="349">
        <f t="shared" ref="BL17" si="59">BK17</f>
        <v>0.08</v>
      </c>
      <c r="BM17" s="349">
        <f>BL17+1%</f>
        <v>0.09</v>
      </c>
      <c r="BN17" s="349">
        <f>BM17+1%</f>
        <v>9.9999999999999992E-2</v>
      </c>
      <c r="BO17" s="349">
        <f t="shared" ref="BO17" si="60">BN17</f>
        <v>9.9999999999999992E-2</v>
      </c>
    </row>
    <row r="18" spans="1:116" s="336" customFormat="1" ht="12.75" hidden="1" customHeight="1" thickBot="1">
      <c r="A18" s="330" t="s">
        <v>316</v>
      </c>
      <c r="B18" s="332">
        <v>26</v>
      </c>
      <c r="C18" s="333">
        <f t="shared" ref="C18:N18" si="61">+C12+C16</f>
        <v>-8</v>
      </c>
      <c r="D18" s="333">
        <f t="shared" si="61"/>
        <v>53.7</v>
      </c>
      <c r="E18" s="333">
        <f t="shared" si="61"/>
        <v>30.6</v>
      </c>
      <c r="F18" s="333">
        <f t="shared" si="61"/>
        <v>32</v>
      </c>
      <c r="G18" s="333">
        <f t="shared" si="61"/>
        <v>62.6</v>
      </c>
      <c r="H18" s="333">
        <f t="shared" si="61"/>
        <v>36</v>
      </c>
      <c r="I18" s="333">
        <f t="shared" si="61"/>
        <v>43.3</v>
      </c>
      <c r="J18" s="333">
        <f t="shared" si="61"/>
        <v>79.300000000000026</v>
      </c>
      <c r="K18" s="333">
        <f t="shared" si="61"/>
        <v>56</v>
      </c>
      <c r="L18" s="333">
        <f t="shared" si="61"/>
        <v>52.599999999999994</v>
      </c>
      <c r="M18" s="333">
        <f t="shared" si="61"/>
        <v>108.6</v>
      </c>
      <c r="N18" s="332">
        <f t="shared" si="61"/>
        <v>57.5</v>
      </c>
      <c r="O18" s="332">
        <f>+O12+O16</f>
        <v>59.599999999999994</v>
      </c>
      <c r="P18" s="332">
        <f>+N18+O18</f>
        <v>117.1</v>
      </c>
      <c r="Q18" s="331">
        <v>59.7</v>
      </c>
      <c r="R18" s="331">
        <f>125.2-Q18</f>
        <v>65.5</v>
      </c>
      <c r="S18" s="331">
        <f>+Q18+R18</f>
        <v>125.2</v>
      </c>
      <c r="T18" s="331">
        <v>99.3</v>
      </c>
      <c r="U18" s="331">
        <f>166.3-T18</f>
        <v>67.000000000000014</v>
      </c>
      <c r="V18" s="332">
        <f>+T18+U18</f>
        <v>166.3</v>
      </c>
      <c r="W18" s="332">
        <v>110.2</v>
      </c>
      <c r="X18" s="332">
        <f>+X12+X16</f>
        <v>77.527284345047946</v>
      </c>
      <c r="Y18" s="332">
        <f>+W18+X18</f>
        <v>187.72728434504796</v>
      </c>
      <c r="Z18" s="332">
        <f>+Z12+Z16</f>
        <v>115.97405750798723</v>
      </c>
      <c r="AA18" s="332">
        <f>+AA12+AA16</f>
        <v>106.89047923322684</v>
      </c>
      <c r="AB18" s="332">
        <f>+Z18+AA18</f>
        <v>222.86453674121407</v>
      </c>
      <c r="AC18" s="332">
        <f>+AC12+AC16</f>
        <v>133.36664536741216</v>
      </c>
      <c r="AD18" s="332">
        <f>+AD12+AD16</f>
        <v>197.37418530351437</v>
      </c>
      <c r="AE18" s="332">
        <f>+AC18+AD18</f>
        <v>330.74083067092653</v>
      </c>
      <c r="AF18" s="332">
        <f>+AF12+AF16</f>
        <v>156.39958466453675</v>
      </c>
      <c r="AG18" s="332">
        <f>+AG12+AG16</f>
        <v>211.59761022364216</v>
      </c>
      <c r="AH18" s="332">
        <f>+AF18+AG18</f>
        <v>367.99719488817891</v>
      </c>
      <c r="AI18" s="332">
        <f>+AI12+AI16</f>
        <v>160.92641533546328</v>
      </c>
      <c r="AJ18" s="332">
        <f>+AJ12+AJ16</f>
        <v>178.52238977635787</v>
      </c>
      <c r="AK18" s="332">
        <f>+AI18+AJ18</f>
        <v>339.44880511182112</v>
      </c>
      <c r="AL18" s="332">
        <f>+AL12+AL16</f>
        <v>194.72239616613419</v>
      </c>
      <c r="AM18" s="332">
        <f>+AM12+AM16</f>
        <v>252.32343769968054</v>
      </c>
      <c r="AN18" s="332">
        <f>+AL18+AM18</f>
        <v>447.04583386581476</v>
      </c>
      <c r="AO18" s="332">
        <f>+AO12+AO16</f>
        <v>204.91839297124602</v>
      </c>
      <c r="AP18" s="332">
        <f>+AP12+AP16</f>
        <v>169.29870926517577</v>
      </c>
      <c r="AQ18" s="332">
        <f>+AO18+AP18</f>
        <v>374.21710223642179</v>
      </c>
      <c r="AR18" s="332">
        <f>+AR12+AR16</f>
        <v>286.53053035143773</v>
      </c>
      <c r="AS18" s="332">
        <f>+AS12+AS16</f>
        <v>334.20613418530354</v>
      </c>
      <c r="AT18" s="332">
        <f>+AR18+AS18</f>
        <v>620.73666453674127</v>
      </c>
      <c r="AU18" s="332">
        <f>+AU12+AU16</f>
        <v>376.38309584664546</v>
      </c>
      <c r="AV18" s="332">
        <f>+AV12+AV16</f>
        <v>309.13992332268373</v>
      </c>
      <c r="AW18" s="332">
        <f>+AU18+AV18</f>
        <v>685.52301916932925</v>
      </c>
      <c r="AX18" s="332">
        <f>+AX12+AX16</f>
        <v>271.09984025559112</v>
      </c>
      <c r="AY18" s="332"/>
      <c r="AZ18" s="332">
        <f>+AX18+AY18</f>
        <v>271.09984025559112</v>
      </c>
      <c r="BA18" s="332">
        <f>+BA12+BA16</f>
        <v>3.6690750000000207</v>
      </c>
      <c r="BB18" s="332">
        <f>+BB12+BB16</f>
        <v>7.7096282922618684</v>
      </c>
      <c r="BC18" s="332">
        <f>+BA18+BB18</f>
        <v>11.378703292261889</v>
      </c>
      <c r="BD18" s="332">
        <f>+BD12+BD16</f>
        <v>14.055014712780007</v>
      </c>
      <c r="BE18" s="332">
        <f>+BE12+BE16</f>
        <v>19.734008167820434</v>
      </c>
      <c r="BF18" s="332">
        <f>+BD18+BE18</f>
        <v>33.789022880600442</v>
      </c>
      <c r="BG18" s="332">
        <f>+BG12+BG16</f>
        <v>25.92355417652243</v>
      </c>
      <c r="BH18" s="332">
        <f>+BH12+BH16</f>
        <v>32.680985292627611</v>
      </c>
      <c r="BI18" s="332">
        <f>+BG18+BH18</f>
        <v>58.604539469150041</v>
      </c>
      <c r="BJ18" s="332">
        <f>+BJ12+BJ16</f>
        <v>40.0478557544659</v>
      </c>
      <c r="BK18" s="332">
        <f>+BK12+BK16</f>
        <v>47.986787081341504</v>
      </c>
      <c r="BL18" s="332">
        <f>+BJ18+BK18</f>
        <v>88.034642835807404</v>
      </c>
      <c r="BM18" s="332">
        <f>+BM12+BM16</f>
        <v>56.561073073866169</v>
      </c>
      <c r="BN18" s="332">
        <f>+BN12+BN16</f>
        <v>65.779175404661146</v>
      </c>
      <c r="BO18" s="332">
        <f>+BM18+BN18</f>
        <v>122.34024847852731</v>
      </c>
      <c r="BP18" s="334"/>
      <c r="BQ18" s="334"/>
      <c r="BR18" s="334"/>
      <c r="BS18" s="334"/>
      <c r="BT18" s="334"/>
      <c r="BU18" s="334"/>
      <c r="BV18" s="334"/>
      <c r="BW18" s="334"/>
      <c r="BX18" s="334"/>
      <c r="BY18" s="334"/>
      <c r="BZ18" s="334"/>
      <c r="CA18" s="334"/>
      <c r="CB18" s="334"/>
      <c r="CC18" s="334"/>
      <c r="CD18" s="334"/>
      <c r="CE18" s="334"/>
      <c r="CF18" s="334"/>
      <c r="CG18" s="334"/>
      <c r="CH18" s="334"/>
      <c r="CI18" s="334"/>
      <c r="CJ18" s="334"/>
      <c r="CK18" s="334"/>
      <c r="CL18" s="334"/>
      <c r="CM18" s="334"/>
      <c r="CN18" s="334"/>
      <c r="CO18" s="334"/>
      <c r="CP18" s="334"/>
      <c r="CQ18" s="334"/>
      <c r="CR18" s="334"/>
      <c r="CS18" s="334"/>
      <c r="CT18" s="334"/>
      <c r="CU18" s="334"/>
      <c r="CV18" s="334"/>
      <c r="CW18" s="334"/>
      <c r="CX18" s="334"/>
      <c r="CY18" s="334"/>
      <c r="CZ18" s="334"/>
      <c r="DA18" s="334"/>
      <c r="DB18" s="334"/>
      <c r="DC18" s="334"/>
      <c r="DD18" s="334"/>
      <c r="DE18" s="334"/>
      <c r="DF18" s="334"/>
      <c r="DG18" s="334"/>
      <c r="DH18" s="334"/>
      <c r="DI18" s="335"/>
      <c r="DJ18" s="335"/>
      <c r="DK18" s="335"/>
      <c r="DL18" s="335"/>
    </row>
    <row r="19" spans="1:116" s="278" customFormat="1">
      <c r="Z19" s="350">
        <f>Z14/Z11*2</f>
        <v>8.0192926045016075E-3</v>
      </c>
      <c r="AA19" s="350">
        <f>AA14/AA11*2</f>
        <v>6.3703703703703709E-3</v>
      </c>
      <c r="AC19" s="341">
        <f>AC14*2/AC11</f>
        <v>6.787878787878788E-3</v>
      </c>
      <c r="AD19" s="350">
        <f>AC19</f>
        <v>6.787878787878788E-3</v>
      </c>
      <c r="AE19" s="278">
        <f>AE12/AB12-1</f>
        <v>0.4840442338072668</v>
      </c>
      <c r="AF19" s="341">
        <f>AF14*2/AF11</f>
        <v>6.7396061269146606E-3</v>
      </c>
      <c r="AG19" s="341">
        <f>AG14*2/AG11</f>
        <v>6.2583333333333328E-3</v>
      </c>
      <c r="AH19" s="341">
        <f>AH14/AH11</f>
        <v>6.3374999999999994E-3</v>
      </c>
      <c r="AI19" s="341">
        <f>AI14*2/AI11</f>
        <v>6.2762886597938139E-3</v>
      </c>
      <c r="AJ19" s="341">
        <f>AJ14*2/AJ11</f>
        <v>5.8481481481481492E-3</v>
      </c>
      <c r="AK19" s="341">
        <f>AK14/AK11</f>
        <v>5.7425925925925934E-3</v>
      </c>
      <c r="AL19" s="341">
        <f>AL14*2/AL11</f>
        <v>5.7472698907956319E-3</v>
      </c>
      <c r="AM19" s="341">
        <f>AM14*2/AM11</f>
        <v>5.7117903930130999E-3</v>
      </c>
      <c r="AN19" s="278">
        <f>AN12/AK12-1</f>
        <v>0.28163798736658663</v>
      </c>
      <c r="AO19" s="341">
        <f>AO14*2/AO11</f>
        <v>5.8993377483443701E-3</v>
      </c>
      <c r="AP19" s="341">
        <f>AP14*2/AP11</f>
        <v>5.6592398427260824E-3</v>
      </c>
      <c r="AQ19" s="278">
        <f>AQ12/AN12-1</f>
        <v>-0.18320870156356217</v>
      </c>
      <c r="AR19" s="341">
        <f>AR14*2/AR11</f>
        <v>6.0268096514745307E-3</v>
      </c>
      <c r="AS19" s="341">
        <f>AS14*2/AS11</f>
        <v>5.6060991105463774E-3</v>
      </c>
      <c r="AT19" s="278">
        <f>AT12/AQ12-1</f>
        <v>0.61548064918851431</v>
      </c>
      <c r="AU19" s="341">
        <f>AU14*2/AU11</f>
        <v>5.3151658767772517E-3</v>
      </c>
      <c r="AV19" s="341">
        <f>AV14*2/AV11</f>
        <v>5.6331775700934573E-3</v>
      </c>
      <c r="AW19" s="278">
        <f>AW12/AT12-1</f>
        <v>7.8567748583204589E-2</v>
      </c>
      <c r="AX19" s="341">
        <f>AX14*2/AX11</f>
        <v>5.6292906178489702E-3</v>
      </c>
      <c r="AY19" s="341"/>
      <c r="AZ19" s="278">
        <f>AZ12/AW12-1</f>
        <v>-0.15680763189875258</v>
      </c>
      <c r="BC19" s="278">
        <f>BC12/AZ12-1</f>
        <v>6.5571913188959607E-2</v>
      </c>
      <c r="BF19" s="278">
        <f>BF12/BC12-1</f>
        <v>0.27839562218447944</v>
      </c>
      <c r="BI19" s="278">
        <f>BI12/BF12-1</f>
        <v>0.10532141598053335</v>
      </c>
      <c r="BL19" s="278">
        <f>BL12/BI12-1</f>
        <v>0.10233030611309402</v>
      </c>
      <c r="BO19" s="278">
        <f>BO12/BL12-1</f>
        <v>9.7530905196544948E-2</v>
      </c>
    </row>
    <row r="20" spans="1:116" s="9" customFormat="1">
      <c r="A20" s="9" t="s">
        <v>317</v>
      </c>
    </row>
    <row r="21" spans="1:116" s="278" customFormat="1"/>
    <row r="22" spans="1:116" s="278" customFormat="1">
      <c r="A22" s="283" t="s">
        <v>318</v>
      </c>
    </row>
    <row r="23" spans="1:116" s="278" customFormat="1">
      <c r="A23" s="278" t="s">
        <v>319</v>
      </c>
      <c r="B23" s="351">
        <v>596</v>
      </c>
      <c r="C23" s="351">
        <f t="shared" ref="C23:C29" si="62">D23</f>
        <v>596</v>
      </c>
      <c r="D23" s="351">
        <v>596</v>
      </c>
      <c r="E23" s="351">
        <f>+D28</f>
        <v>1265</v>
      </c>
      <c r="F23" s="351">
        <f>+E28</f>
        <v>1500</v>
      </c>
      <c r="G23" s="351">
        <f>+D28</f>
        <v>1265</v>
      </c>
      <c r="H23" s="351">
        <f>+G28</f>
        <v>1817</v>
      </c>
      <c r="I23" s="351">
        <f>+H28</f>
        <v>2100</v>
      </c>
      <c r="J23" s="351">
        <f>+G28</f>
        <v>1817</v>
      </c>
      <c r="K23" s="351">
        <f>+J28</f>
        <v>1865</v>
      </c>
      <c r="L23" s="351">
        <f>+K28</f>
        <v>2000</v>
      </c>
      <c r="M23" s="345">
        <f>+J28</f>
        <v>1865</v>
      </c>
      <c r="N23" s="352">
        <f>+M28</f>
        <v>2345</v>
      </c>
      <c r="O23" s="352">
        <f>+N28</f>
        <v>2592</v>
      </c>
      <c r="P23" s="352">
        <f>+M28</f>
        <v>2345</v>
      </c>
      <c r="Q23" s="352">
        <f>+P28</f>
        <v>2589</v>
      </c>
      <c r="R23" s="352">
        <f>+Q28</f>
        <v>2867</v>
      </c>
      <c r="S23" s="352">
        <f>+P28</f>
        <v>2589</v>
      </c>
      <c r="T23" s="352">
        <f>+S28</f>
        <v>3074</v>
      </c>
      <c r="U23" s="353">
        <f>+T28</f>
        <v>3327</v>
      </c>
      <c r="V23" s="353">
        <f>+S28</f>
        <v>3074</v>
      </c>
      <c r="W23" s="353">
        <f>+V28</f>
        <v>3354</v>
      </c>
      <c r="X23" s="353">
        <f>+W28</f>
        <v>3554</v>
      </c>
      <c r="Y23" s="353">
        <f>+V28</f>
        <v>3354</v>
      </c>
      <c r="Z23" s="353">
        <f>+Y28</f>
        <v>3454</v>
      </c>
      <c r="AA23" s="353">
        <f>+Z28</f>
        <v>3454</v>
      </c>
      <c r="AB23" s="353">
        <f>+Y28</f>
        <v>3454</v>
      </c>
      <c r="AC23" s="353">
        <f>+AB28</f>
        <v>3600</v>
      </c>
      <c r="AD23" s="353">
        <f>+AC28</f>
        <v>3600</v>
      </c>
      <c r="AE23" s="353">
        <f>+AB28</f>
        <v>3600</v>
      </c>
      <c r="AF23" s="353">
        <f>+AE28</f>
        <v>4100</v>
      </c>
      <c r="AG23" s="353">
        <f>+AF28</f>
        <v>4300</v>
      </c>
      <c r="AH23" s="353">
        <f>+AE28</f>
        <v>4100</v>
      </c>
      <c r="AI23" s="353">
        <f>+AH28</f>
        <v>6500</v>
      </c>
      <c r="AJ23" s="353">
        <f>+AI28</f>
        <v>8500</v>
      </c>
      <c r="AK23" s="353">
        <f>+AH28</f>
        <v>6500</v>
      </c>
      <c r="AL23" s="353">
        <f>+AK28</f>
        <v>10600</v>
      </c>
      <c r="AM23" s="353">
        <f>+AL28</f>
        <v>12700</v>
      </c>
      <c r="AN23" s="353">
        <f>+AK28</f>
        <v>10600</v>
      </c>
      <c r="AO23" s="353">
        <f>+AN28</f>
        <v>13600</v>
      </c>
      <c r="AP23" s="353">
        <f>+AO28</f>
        <v>13900</v>
      </c>
      <c r="AQ23" s="353">
        <f>+AN28</f>
        <v>13600</v>
      </c>
      <c r="AR23" s="353">
        <f>+AQ28</f>
        <v>13000</v>
      </c>
      <c r="AS23" s="353">
        <f>+AR28</f>
        <v>12900</v>
      </c>
      <c r="AT23" s="353">
        <f>+AQ28</f>
        <v>13000</v>
      </c>
      <c r="AU23" s="353">
        <f>+AT28</f>
        <v>13000</v>
      </c>
      <c r="AV23" s="353">
        <f>+AU28</f>
        <v>13000</v>
      </c>
      <c r="AW23" s="353">
        <f>+AT28</f>
        <v>13000</v>
      </c>
      <c r="AX23" s="353">
        <f>+AW28</f>
        <v>12900</v>
      </c>
      <c r="AY23" s="353">
        <f>+AX28</f>
        <v>14400</v>
      </c>
      <c r="AZ23" s="353">
        <f>+AW28</f>
        <v>12900</v>
      </c>
      <c r="BA23" s="353">
        <f>+AZ28</f>
        <v>18400</v>
      </c>
      <c r="BB23" s="353">
        <f>+BA28</f>
        <v>19900</v>
      </c>
      <c r="BC23" s="353">
        <f>+AZ28</f>
        <v>18400</v>
      </c>
      <c r="BD23" s="353">
        <f>+BC28</f>
        <v>21400</v>
      </c>
      <c r="BE23" s="353">
        <f>+BD28</f>
        <v>21150</v>
      </c>
      <c r="BF23" s="353">
        <f>+BC28</f>
        <v>21400</v>
      </c>
      <c r="BG23" s="353">
        <f>+BF28</f>
        <v>20900</v>
      </c>
      <c r="BH23" s="353">
        <f>+BG28</f>
        <v>20650</v>
      </c>
      <c r="BI23" s="353">
        <f>+BF28</f>
        <v>20900</v>
      </c>
      <c r="BJ23" s="353">
        <f>+BI28</f>
        <v>20400</v>
      </c>
      <c r="BK23" s="353">
        <f>+BJ28</f>
        <v>20100</v>
      </c>
      <c r="BL23" s="353">
        <f>+BI28</f>
        <v>20400</v>
      </c>
      <c r="BM23" s="353">
        <f>+BL28</f>
        <v>19850</v>
      </c>
      <c r="BN23" s="353">
        <f>+BM28</f>
        <v>19550</v>
      </c>
      <c r="BO23" s="353">
        <f>+BL28</f>
        <v>19850</v>
      </c>
    </row>
    <row r="24" spans="1:116" s="278" customFormat="1">
      <c r="A24" s="278" t="s">
        <v>320</v>
      </c>
      <c r="B24" s="351">
        <v>300</v>
      </c>
      <c r="C24" s="351">
        <f t="shared" si="62"/>
        <v>1182</v>
      </c>
      <c r="D24" s="351">
        <v>1182</v>
      </c>
      <c r="E24" s="351">
        <v>700</v>
      </c>
      <c r="F24" s="351">
        <f>+G24-E24</f>
        <v>718</v>
      </c>
      <c r="G24" s="351">
        <v>1418</v>
      </c>
      <c r="H24" s="351">
        <v>900</v>
      </c>
      <c r="I24" s="351">
        <f>+J24-H24</f>
        <v>851</v>
      </c>
      <c r="J24" s="351">
        <v>1751</v>
      </c>
      <c r="K24" s="351">
        <v>1100</v>
      </c>
      <c r="L24" s="351">
        <f>+M24-K24</f>
        <v>1060</v>
      </c>
      <c r="M24" s="345">
        <v>2160</v>
      </c>
      <c r="N24" s="352">
        <v>1167</v>
      </c>
      <c r="O24" s="351">
        <f>+P24-N24</f>
        <v>1321</v>
      </c>
      <c r="P24" s="352">
        <v>2488</v>
      </c>
      <c r="Q24" s="352">
        <v>1440</v>
      </c>
      <c r="R24" s="352">
        <f>2729-Q24</f>
        <v>1289</v>
      </c>
      <c r="S24" s="352">
        <f>+Q24+R24</f>
        <v>2729</v>
      </c>
      <c r="T24" s="352">
        <v>1407</v>
      </c>
      <c r="U24" s="352">
        <f>3347-T24</f>
        <v>1940</v>
      </c>
      <c r="V24" s="353">
        <f>+T24+U24</f>
        <v>3347</v>
      </c>
      <c r="W24" s="353">
        <v>1500</v>
      </c>
      <c r="X24" s="353">
        <f>2800-W24</f>
        <v>1300</v>
      </c>
      <c r="Y24" s="353">
        <f>+W24+X24</f>
        <v>2800</v>
      </c>
      <c r="Z24" s="353">
        <v>1400</v>
      </c>
      <c r="AA24" s="353">
        <f>3200-Z24</f>
        <v>1800</v>
      </c>
      <c r="AB24" s="353">
        <f>+Z24+AA24</f>
        <v>3200</v>
      </c>
      <c r="AC24" s="353">
        <v>1900</v>
      </c>
      <c r="AD24" s="353">
        <f>4200-AC24</f>
        <v>2300</v>
      </c>
      <c r="AE24" s="353">
        <f>+AC24+AD24</f>
        <v>4200</v>
      </c>
      <c r="AF24" s="353">
        <v>1900</v>
      </c>
      <c r="AG24" s="353">
        <f>4500-AF24</f>
        <v>2600</v>
      </c>
      <c r="AH24" s="353">
        <f>+AF24+AG24</f>
        <v>4500</v>
      </c>
      <c r="AI24" s="353">
        <v>3500</v>
      </c>
      <c r="AJ24" s="353">
        <f>6600-AI24</f>
        <v>3100</v>
      </c>
      <c r="AK24" s="353">
        <f>+AI24+AJ24</f>
        <v>6600</v>
      </c>
      <c r="AL24" s="353">
        <v>5400</v>
      </c>
      <c r="AM24" s="353">
        <f>7900-AL24</f>
        <v>2500</v>
      </c>
      <c r="AN24" s="353">
        <f>+AL24+AM24</f>
        <v>7900</v>
      </c>
      <c r="AO24" s="353">
        <v>3600</v>
      </c>
      <c r="AP24" s="353">
        <f>6000-AO24</f>
        <v>2400</v>
      </c>
      <c r="AQ24" s="353">
        <f>+AO24+AP24</f>
        <v>6000</v>
      </c>
      <c r="AR24" s="353">
        <v>3000</v>
      </c>
      <c r="AS24" s="353">
        <f>5200-AR24</f>
        <v>2200</v>
      </c>
      <c r="AT24" s="353">
        <f>+AR24+AS24</f>
        <v>5200</v>
      </c>
      <c r="AU24" s="353">
        <v>600</v>
      </c>
      <c r="AV24" s="353">
        <f>4000-AU24</f>
        <v>3400</v>
      </c>
      <c r="AW24" s="353">
        <f>+AU24+AV24</f>
        <v>4000</v>
      </c>
      <c r="AX24" s="353">
        <v>3100</v>
      </c>
      <c r="AY24" s="353">
        <v>6000</v>
      </c>
      <c r="AZ24" s="353">
        <f>+AX24+AY24</f>
        <v>9100</v>
      </c>
      <c r="BA24" s="353">
        <v>4000</v>
      </c>
      <c r="BB24" s="353">
        <f>BA24</f>
        <v>4000</v>
      </c>
      <c r="BC24" s="353">
        <f>+BA24+BB24</f>
        <v>8000</v>
      </c>
      <c r="BD24" s="353">
        <v>3250</v>
      </c>
      <c r="BE24" s="353">
        <v>3250</v>
      </c>
      <c r="BF24" s="353">
        <f>+BD24+BE24</f>
        <v>6500</v>
      </c>
      <c r="BG24" s="353">
        <v>3250</v>
      </c>
      <c r="BH24" s="353">
        <v>3250</v>
      </c>
      <c r="BI24" s="353">
        <f>+BG24+BH24</f>
        <v>6500</v>
      </c>
      <c r="BJ24" s="353">
        <v>3250</v>
      </c>
      <c r="BK24" s="353">
        <v>3250</v>
      </c>
      <c r="BL24" s="353">
        <f>+BJ24+BK24</f>
        <v>6500</v>
      </c>
      <c r="BM24" s="353">
        <v>3250</v>
      </c>
      <c r="BN24" s="353">
        <v>3250</v>
      </c>
      <c r="BO24" s="353">
        <f>+BM24+BN24</f>
        <v>6500</v>
      </c>
    </row>
    <row r="25" spans="1:116" s="278" customFormat="1">
      <c r="A25" s="354" t="s">
        <v>321</v>
      </c>
      <c r="C25" s="278">
        <f t="shared" si="62"/>
        <v>0</v>
      </c>
      <c r="F25" s="323"/>
      <c r="G25" s="323"/>
      <c r="H25" s="323"/>
      <c r="I25" s="323"/>
      <c r="J25" s="323"/>
      <c r="K25" s="323"/>
      <c r="L25" s="348"/>
      <c r="M25" s="325"/>
      <c r="N25" s="355"/>
      <c r="O25" s="356"/>
      <c r="P25" s="355"/>
      <c r="Q25" s="355"/>
      <c r="R25" s="355"/>
      <c r="S25" s="355"/>
      <c r="T25" s="355"/>
      <c r="U25" s="355"/>
      <c r="V25" s="355">
        <f t="shared" ref="V25:AH25" si="63">U25</f>
        <v>0</v>
      </c>
      <c r="W25" s="355">
        <v>-0.3</v>
      </c>
      <c r="X25" s="355">
        <v>0.3</v>
      </c>
      <c r="Y25" s="355">
        <f t="shared" si="63"/>
        <v>0.3</v>
      </c>
      <c r="Z25" s="355">
        <v>0.1</v>
      </c>
      <c r="AA25" s="355">
        <v>0</v>
      </c>
      <c r="AB25" s="355">
        <f t="shared" si="63"/>
        <v>0</v>
      </c>
      <c r="AC25" s="355">
        <v>0</v>
      </c>
      <c r="AD25" s="355">
        <v>0.35</v>
      </c>
      <c r="AE25" s="355">
        <f t="shared" si="63"/>
        <v>0.35</v>
      </c>
      <c r="AF25" s="355">
        <v>0</v>
      </c>
      <c r="AG25" s="355">
        <v>0</v>
      </c>
      <c r="AH25" s="355">
        <f t="shared" si="63"/>
        <v>0</v>
      </c>
      <c r="AI25" s="355">
        <v>0.2</v>
      </c>
      <c r="AJ25" s="355">
        <v>0</v>
      </c>
      <c r="AK25" s="355">
        <f>AJ25</f>
        <v>0</v>
      </c>
      <c r="AL25" s="355">
        <v>0.1</v>
      </c>
      <c r="AM25" s="355">
        <f>AL25</f>
        <v>0.1</v>
      </c>
      <c r="AN25" s="355">
        <f t="shared" ref="AN25:AW25" si="64">AM25</f>
        <v>0.1</v>
      </c>
      <c r="AO25" s="355">
        <f t="shared" si="64"/>
        <v>0.1</v>
      </c>
      <c r="AP25" s="355">
        <v>0</v>
      </c>
      <c r="AQ25" s="355">
        <f t="shared" si="64"/>
        <v>0</v>
      </c>
      <c r="AR25" s="355">
        <v>0</v>
      </c>
      <c r="AS25" s="355">
        <f t="shared" si="64"/>
        <v>0</v>
      </c>
      <c r="AT25" s="355">
        <f t="shared" si="64"/>
        <v>0</v>
      </c>
      <c r="AU25" s="355">
        <f t="shared" si="64"/>
        <v>0</v>
      </c>
      <c r="AV25" s="355">
        <f t="shared" si="64"/>
        <v>0</v>
      </c>
      <c r="AW25" s="355">
        <f t="shared" si="64"/>
        <v>0</v>
      </c>
      <c r="AX25" s="355">
        <f t="shared" ref="AX25" si="65">AW25</f>
        <v>0</v>
      </c>
      <c r="AY25" s="355">
        <f t="shared" ref="AY25" si="66">AX25</f>
        <v>0</v>
      </c>
      <c r="AZ25" s="355">
        <f t="shared" ref="AZ25" si="67">AY25</f>
        <v>0</v>
      </c>
      <c r="BA25" s="355">
        <f t="shared" ref="BA25" si="68">AZ25</f>
        <v>0</v>
      </c>
      <c r="BB25" s="355">
        <f t="shared" ref="BB25" si="69">BA25</f>
        <v>0</v>
      </c>
      <c r="BC25" s="355">
        <f t="shared" ref="BC25" si="70">BB25</f>
        <v>0</v>
      </c>
      <c r="BD25" s="355">
        <f t="shared" ref="BD25" si="71">BC25</f>
        <v>0</v>
      </c>
      <c r="BE25" s="355">
        <f t="shared" ref="BE25" si="72">BD25</f>
        <v>0</v>
      </c>
      <c r="BF25" s="355">
        <f t="shared" ref="BF25" si="73">BE25</f>
        <v>0</v>
      </c>
      <c r="BG25" s="355">
        <f t="shared" ref="BG25" si="74">BF25</f>
        <v>0</v>
      </c>
      <c r="BH25" s="355">
        <f t="shared" ref="BH25" si="75">BG25</f>
        <v>0</v>
      </c>
      <c r="BI25" s="355">
        <f t="shared" ref="BI25" si="76">BH25</f>
        <v>0</v>
      </c>
      <c r="BJ25" s="355">
        <f t="shared" ref="BJ25" si="77">BI25</f>
        <v>0</v>
      </c>
      <c r="BK25" s="355">
        <f t="shared" ref="BK25" si="78">BJ25</f>
        <v>0</v>
      </c>
      <c r="BL25" s="355">
        <f t="shared" ref="BL25" si="79">BK25</f>
        <v>0</v>
      </c>
      <c r="BM25" s="355">
        <f t="shared" ref="BM25" si="80">BL25</f>
        <v>0</v>
      </c>
      <c r="BN25" s="355">
        <f t="shared" ref="BN25" si="81">BM25</f>
        <v>0</v>
      </c>
      <c r="BO25" s="355">
        <f t="shared" ref="BO25" si="82">BN25</f>
        <v>0</v>
      </c>
    </row>
    <row r="26" spans="1:116" s="278" customFormat="1">
      <c r="A26" s="278" t="s">
        <v>33</v>
      </c>
      <c r="B26" s="351">
        <v>300</v>
      </c>
      <c r="C26" s="351">
        <f t="shared" si="62"/>
        <v>411</v>
      </c>
      <c r="D26" s="351">
        <v>411</v>
      </c>
      <c r="E26" s="351">
        <v>400</v>
      </c>
      <c r="F26" s="351">
        <f>+G26-E26</f>
        <v>373</v>
      </c>
      <c r="G26" s="351">
        <v>773</v>
      </c>
      <c r="H26" s="351">
        <v>700</v>
      </c>
      <c r="I26" s="351">
        <f>+J26-H26</f>
        <v>1020</v>
      </c>
      <c r="J26" s="351">
        <v>1720</v>
      </c>
      <c r="K26" s="351">
        <v>900</v>
      </c>
      <c r="L26" s="351">
        <f>+M26-K26</f>
        <v>762</v>
      </c>
      <c r="M26" s="345">
        <v>1662</v>
      </c>
      <c r="N26" s="352">
        <v>978</v>
      </c>
      <c r="O26" s="352">
        <f>+P26-N26</f>
        <v>1249</v>
      </c>
      <c r="P26" s="352">
        <v>2227</v>
      </c>
      <c r="Q26" s="352">
        <v>1336</v>
      </c>
      <c r="R26" s="352">
        <f>2516-Q26</f>
        <v>1180</v>
      </c>
      <c r="S26" s="352">
        <f>+Q26+R26</f>
        <v>2516</v>
      </c>
      <c r="T26" s="352">
        <v>1154</v>
      </c>
      <c r="U26" s="352">
        <f>3161-T26</f>
        <v>2007</v>
      </c>
      <c r="V26" s="353">
        <f>+T26+U26</f>
        <v>3161</v>
      </c>
      <c r="W26" s="353">
        <v>1300</v>
      </c>
      <c r="X26" s="353">
        <f>2700-W26</f>
        <v>1400</v>
      </c>
      <c r="Y26" s="353">
        <f>+W26+X26</f>
        <v>2700</v>
      </c>
      <c r="Z26" s="353">
        <v>1400</v>
      </c>
      <c r="AA26" s="353">
        <f>3500-Z26</f>
        <v>2100</v>
      </c>
      <c r="AB26" s="353">
        <f>+Z26+AA26</f>
        <v>3500</v>
      </c>
      <c r="AC26" s="353">
        <v>2100</v>
      </c>
      <c r="AD26" s="353">
        <f>3900-AC26</f>
        <v>1800</v>
      </c>
      <c r="AE26" s="353">
        <f>+AC26+AD26</f>
        <v>3900</v>
      </c>
      <c r="AF26" s="353">
        <v>1700</v>
      </c>
      <c r="AG26" s="353">
        <f>2400-AF26</f>
        <v>700</v>
      </c>
      <c r="AH26" s="353">
        <f>+AF26+AG26</f>
        <v>2400</v>
      </c>
      <c r="AI26" s="353">
        <v>1500</v>
      </c>
      <c r="AJ26" s="353">
        <f>2400-AI26</f>
        <v>900</v>
      </c>
      <c r="AK26" s="353">
        <f>+AI26+AJ26</f>
        <v>2400</v>
      </c>
      <c r="AL26" s="353">
        <v>4100</v>
      </c>
      <c r="AM26" s="353">
        <f>6000-AL26</f>
        <v>1900</v>
      </c>
      <c r="AN26" s="353">
        <f>+AL26+AM26</f>
        <v>6000</v>
      </c>
      <c r="AO26" s="353">
        <v>3600</v>
      </c>
      <c r="AP26" s="353">
        <f>6900-AO26</f>
        <v>3300</v>
      </c>
      <c r="AQ26" s="353">
        <f>+AO26+AP26</f>
        <v>6900</v>
      </c>
      <c r="AR26" s="353">
        <v>2800</v>
      </c>
      <c r="AS26" s="353">
        <f>4200-AR26</f>
        <v>1400</v>
      </c>
      <c r="AT26" s="353">
        <f>+AR26+AS26</f>
        <v>4200</v>
      </c>
      <c r="AU26" s="353">
        <v>1400</v>
      </c>
      <c r="AV26" s="353">
        <f>5100-AU26</f>
        <v>3700</v>
      </c>
      <c r="AW26" s="353">
        <f t="shared" ref="AW26" si="83">+AU26+AV26</f>
        <v>5100</v>
      </c>
      <c r="AX26" s="353">
        <v>2500</v>
      </c>
      <c r="AY26" s="353">
        <v>2000</v>
      </c>
      <c r="AZ26" s="353">
        <f t="shared" ref="AZ26" si="84">+AX26+AY26</f>
        <v>4500</v>
      </c>
      <c r="BA26" s="353">
        <v>2500</v>
      </c>
      <c r="BB26" s="353">
        <f>BA26</f>
        <v>2500</v>
      </c>
      <c r="BC26" s="353">
        <f t="shared" ref="BC26" si="85">+BA26+BB26</f>
        <v>5000</v>
      </c>
      <c r="BD26" s="353">
        <v>3500</v>
      </c>
      <c r="BE26" s="353">
        <f>BD26</f>
        <v>3500</v>
      </c>
      <c r="BF26" s="353">
        <f t="shared" ref="BF26" si="86">+BD26+BE26</f>
        <v>7000</v>
      </c>
      <c r="BG26" s="353">
        <v>3500</v>
      </c>
      <c r="BH26" s="353">
        <f>BG26</f>
        <v>3500</v>
      </c>
      <c r="BI26" s="353">
        <f t="shared" ref="BI26" si="87">+BG26+BH26</f>
        <v>7000</v>
      </c>
      <c r="BJ26" s="353">
        <v>3550</v>
      </c>
      <c r="BK26" s="353">
        <f>BH26</f>
        <v>3500</v>
      </c>
      <c r="BL26" s="353">
        <f t="shared" ref="BL26" si="88">+BJ26+BK26</f>
        <v>7050</v>
      </c>
      <c r="BM26" s="353">
        <v>3550</v>
      </c>
      <c r="BN26" s="353">
        <f>BK26</f>
        <v>3500</v>
      </c>
      <c r="BO26" s="353">
        <f t="shared" ref="BO26" si="89">+BM26+BN26</f>
        <v>7050</v>
      </c>
    </row>
    <row r="27" spans="1:116" s="278" customFormat="1">
      <c r="A27" s="354" t="s">
        <v>322</v>
      </c>
      <c r="C27" s="278">
        <f t="shared" si="62"/>
        <v>0</v>
      </c>
      <c r="E27" s="357"/>
      <c r="F27" s="323"/>
      <c r="G27" s="323"/>
      <c r="H27" s="323"/>
      <c r="I27" s="323"/>
      <c r="J27" s="323"/>
      <c r="K27" s="323"/>
      <c r="L27" s="323"/>
      <c r="M27" s="325"/>
      <c r="N27" s="325"/>
      <c r="O27" s="356"/>
      <c r="P27" s="355"/>
      <c r="Q27" s="355"/>
      <c r="R27" s="355"/>
      <c r="S27" s="355"/>
      <c r="T27" s="355"/>
      <c r="U27" s="355"/>
      <c r="V27" s="355"/>
      <c r="W27" s="355"/>
      <c r="X27" s="355"/>
      <c r="Y27" s="355"/>
      <c r="Z27" s="355"/>
      <c r="AA27" s="355"/>
      <c r="AB27" s="355"/>
      <c r="AC27" s="355">
        <f>AC26/Z26</f>
        <v>1.5</v>
      </c>
      <c r="AD27" s="355"/>
      <c r="AE27" s="355"/>
      <c r="AF27" s="355"/>
      <c r="AG27" s="355"/>
      <c r="AH27" s="355"/>
      <c r="AI27" s="355"/>
      <c r="AJ27" s="355"/>
      <c r="AK27" s="355"/>
      <c r="AL27" s="355"/>
      <c r="AM27" s="355"/>
      <c r="AN27" s="355"/>
      <c r="AO27" s="355"/>
      <c r="AP27" s="355"/>
      <c r="AQ27" s="355"/>
      <c r="AR27" s="355"/>
      <c r="AS27" s="355"/>
      <c r="AT27" s="355"/>
      <c r="AU27" s="355"/>
      <c r="AV27" s="355"/>
      <c r="AW27" s="355"/>
      <c r="AX27" s="355"/>
      <c r="AY27" s="355"/>
      <c r="AZ27" s="355"/>
      <c r="BA27" s="355"/>
      <c r="BB27" s="355"/>
      <c r="BC27" s="355"/>
      <c r="BD27" s="355"/>
      <c r="BE27" s="355"/>
      <c r="BF27" s="355"/>
      <c r="BG27" s="355"/>
      <c r="BH27" s="355"/>
      <c r="BI27" s="355"/>
      <c r="BJ27" s="355"/>
      <c r="BK27" s="355"/>
      <c r="BL27" s="355"/>
      <c r="BM27" s="355"/>
      <c r="BN27" s="355"/>
      <c r="BO27" s="355"/>
    </row>
    <row r="28" spans="1:116" s="336" customFormat="1" ht="12.75" customHeight="1" thickBot="1">
      <c r="A28" s="330" t="s">
        <v>323</v>
      </c>
      <c r="B28" s="331">
        <v>596</v>
      </c>
      <c r="C28" s="331">
        <f t="shared" si="62"/>
        <v>1265</v>
      </c>
      <c r="D28" s="331">
        <v>1265</v>
      </c>
      <c r="E28" s="331">
        <v>1500</v>
      </c>
      <c r="F28" s="331">
        <f>+G28</f>
        <v>1817</v>
      </c>
      <c r="G28" s="331">
        <v>1817</v>
      </c>
      <c r="H28" s="331">
        <v>2100</v>
      </c>
      <c r="I28" s="331">
        <f>+J28</f>
        <v>1865</v>
      </c>
      <c r="J28" s="331">
        <v>1865</v>
      </c>
      <c r="K28" s="331">
        <v>2000</v>
      </c>
      <c r="L28" s="331">
        <f>+M28</f>
        <v>2345</v>
      </c>
      <c r="M28" s="331">
        <v>2345</v>
      </c>
      <c r="N28" s="331">
        <v>2592</v>
      </c>
      <c r="O28" s="331">
        <v>2589</v>
      </c>
      <c r="P28" s="331">
        <f>+O28</f>
        <v>2589</v>
      </c>
      <c r="Q28" s="331">
        <v>2867</v>
      </c>
      <c r="R28" s="331">
        <v>3074</v>
      </c>
      <c r="S28" s="332">
        <f>+R28</f>
        <v>3074</v>
      </c>
      <c r="T28" s="331">
        <f>+T23+T24-T26</f>
        <v>3327</v>
      </c>
      <c r="U28" s="331">
        <v>3354</v>
      </c>
      <c r="V28" s="332">
        <f>+U28</f>
        <v>3354</v>
      </c>
      <c r="W28" s="358">
        <f>+W23+W24-W26</f>
        <v>3554</v>
      </c>
      <c r="X28" s="332">
        <f>+X23+X24-X26</f>
        <v>3454</v>
      </c>
      <c r="Y28" s="358">
        <f>+X28</f>
        <v>3454</v>
      </c>
      <c r="Z28" s="332">
        <f>+Z23+Z24-Z26</f>
        <v>3454</v>
      </c>
      <c r="AA28" s="332">
        <v>3600</v>
      </c>
      <c r="AB28" s="332">
        <f>AA28</f>
        <v>3600</v>
      </c>
      <c r="AC28" s="332">
        <f>+AC23+AC24-AC26+200</f>
        <v>3600</v>
      </c>
      <c r="AD28" s="332">
        <v>4100</v>
      </c>
      <c r="AE28" s="332">
        <f>+AD28</f>
        <v>4100</v>
      </c>
      <c r="AF28" s="332">
        <f>+AF23+AF24-AF26</f>
        <v>4300</v>
      </c>
      <c r="AG28" s="332">
        <f>+AG23+AG24-AG26+AG29</f>
        <v>6500</v>
      </c>
      <c r="AH28" s="332">
        <f>+AG28</f>
        <v>6500</v>
      </c>
      <c r="AI28" s="332">
        <f>+AI23+AI24-AI26</f>
        <v>8500</v>
      </c>
      <c r="AJ28" s="332">
        <v>10600</v>
      </c>
      <c r="AK28" s="332">
        <f>+AJ28</f>
        <v>10600</v>
      </c>
      <c r="AL28" s="332">
        <v>12700</v>
      </c>
      <c r="AM28" s="332">
        <v>13600</v>
      </c>
      <c r="AN28" s="332">
        <f>+AM28</f>
        <v>13600</v>
      </c>
      <c r="AO28" s="332">
        <v>13900</v>
      </c>
      <c r="AP28" s="332">
        <f>+AP23+AP24-AP26</f>
        <v>13000</v>
      </c>
      <c r="AQ28" s="332">
        <f>+AP28</f>
        <v>13000</v>
      </c>
      <c r="AR28" s="332">
        <v>12900</v>
      </c>
      <c r="AS28" s="332">
        <v>13000</v>
      </c>
      <c r="AT28" s="332">
        <f>+AS28</f>
        <v>13000</v>
      </c>
      <c r="AU28" s="332">
        <v>13000</v>
      </c>
      <c r="AV28" s="332">
        <v>12900</v>
      </c>
      <c r="AW28" s="332">
        <f>+AV28</f>
        <v>12900</v>
      </c>
      <c r="AX28" s="332">
        <v>14400</v>
      </c>
      <c r="AY28" s="332">
        <f>+AY23+AY24-AY26</f>
        <v>18400</v>
      </c>
      <c r="AZ28" s="332">
        <f>+AY28</f>
        <v>18400</v>
      </c>
      <c r="BA28" s="332">
        <f>+BA23+BA24-BA26</f>
        <v>19900</v>
      </c>
      <c r="BB28" s="332">
        <f>+BB23+BB24-BB26</f>
        <v>21400</v>
      </c>
      <c r="BC28" s="332">
        <f>+BB28</f>
        <v>21400</v>
      </c>
      <c r="BD28" s="332">
        <f>+BD23+BD24-BD26</f>
        <v>21150</v>
      </c>
      <c r="BE28" s="332">
        <f>+BE23+BE24-BE26</f>
        <v>20900</v>
      </c>
      <c r="BF28" s="332">
        <f>+BE28</f>
        <v>20900</v>
      </c>
      <c r="BG28" s="332">
        <f>+BG23+BG24-BG26</f>
        <v>20650</v>
      </c>
      <c r="BH28" s="332">
        <f>+BH23+BH24-BH26</f>
        <v>20400</v>
      </c>
      <c r="BI28" s="332">
        <f>+BH28</f>
        <v>20400</v>
      </c>
      <c r="BJ28" s="332">
        <f>+BJ23+BJ24-BJ26</f>
        <v>20100</v>
      </c>
      <c r="BK28" s="332">
        <f>+BK23+BK24-BK26</f>
        <v>19850</v>
      </c>
      <c r="BL28" s="332">
        <f>+BK28</f>
        <v>19850</v>
      </c>
      <c r="BM28" s="332">
        <f>+BM23+BM24-BM26</f>
        <v>19550</v>
      </c>
      <c r="BN28" s="332">
        <f>+BN23+BN24-BN26</f>
        <v>19300</v>
      </c>
      <c r="BO28" s="332">
        <f>+BN28</f>
        <v>19300</v>
      </c>
      <c r="BP28" s="334"/>
      <c r="BQ28" s="334"/>
      <c r="BR28" s="334"/>
      <c r="BS28" s="334"/>
      <c r="BT28" s="334"/>
      <c r="BU28" s="334"/>
      <c r="BV28" s="334"/>
      <c r="BW28" s="334"/>
      <c r="BX28" s="334"/>
      <c r="BY28" s="334"/>
      <c r="BZ28" s="334"/>
      <c r="CA28" s="334"/>
      <c r="CB28" s="334"/>
      <c r="CC28" s="334"/>
      <c r="CD28" s="334"/>
      <c r="CE28" s="334"/>
      <c r="CF28" s="334"/>
      <c r="CG28" s="334"/>
      <c r="CH28" s="334"/>
      <c r="CI28" s="334"/>
      <c r="CJ28" s="334"/>
      <c r="CK28" s="334"/>
      <c r="CL28" s="334"/>
      <c r="CM28" s="334"/>
      <c r="CN28" s="334"/>
      <c r="CO28" s="334"/>
      <c r="CP28" s="334"/>
      <c r="CQ28" s="334"/>
      <c r="CR28" s="334"/>
      <c r="CS28" s="334"/>
      <c r="CT28" s="334"/>
      <c r="CU28" s="334"/>
      <c r="CV28" s="334"/>
      <c r="CW28" s="334"/>
      <c r="CX28" s="334"/>
      <c r="CY28" s="334"/>
      <c r="CZ28" s="334"/>
      <c r="DA28" s="334"/>
      <c r="DB28" s="334"/>
      <c r="DC28" s="334"/>
      <c r="DD28" s="334"/>
      <c r="DE28" s="334"/>
      <c r="DF28" s="334"/>
      <c r="DG28" s="334"/>
      <c r="DH28" s="334"/>
      <c r="DI28" s="335"/>
      <c r="DJ28" s="335"/>
      <c r="DK28" s="335"/>
      <c r="DL28" s="335"/>
    </row>
    <row r="29" spans="1:116" s="334" customFormat="1" ht="12.75" customHeight="1" thickTop="1">
      <c r="A29" s="299" t="s">
        <v>324</v>
      </c>
      <c r="C29" s="353">
        <f t="shared" si="62"/>
        <v>1367</v>
      </c>
      <c r="D29" s="353">
        <f t="shared" ref="D29:Q29" si="90">+D23+D24-D26</f>
        <v>1367</v>
      </c>
      <c r="E29" s="353">
        <f t="shared" si="90"/>
        <v>1565</v>
      </c>
      <c r="F29" s="353">
        <f t="shared" si="90"/>
        <v>1845</v>
      </c>
      <c r="G29" s="353">
        <f t="shared" si="90"/>
        <v>1910</v>
      </c>
      <c r="H29" s="353">
        <f t="shared" si="90"/>
        <v>2017</v>
      </c>
      <c r="I29" s="353">
        <f t="shared" si="90"/>
        <v>1931</v>
      </c>
      <c r="J29" s="353">
        <f t="shared" si="90"/>
        <v>1848</v>
      </c>
      <c r="K29" s="353">
        <f t="shared" si="90"/>
        <v>2065</v>
      </c>
      <c r="L29" s="353">
        <f t="shared" si="90"/>
        <v>2298</v>
      </c>
      <c r="M29" s="353">
        <f t="shared" si="90"/>
        <v>2363</v>
      </c>
      <c r="N29" s="353">
        <f t="shared" si="90"/>
        <v>2534</v>
      </c>
      <c r="O29" s="353">
        <f t="shared" si="90"/>
        <v>2664</v>
      </c>
      <c r="P29" s="353">
        <f t="shared" si="90"/>
        <v>2606</v>
      </c>
      <c r="Q29" s="353">
        <f t="shared" si="90"/>
        <v>2693</v>
      </c>
      <c r="AC29" s="334">
        <v>200</v>
      </c>
      <c r="AG29" s="334">
        <v>300</v>
      </c>
    </row>
    <row r="30" spans="1:116" s="278" customFormat="1">
      <c r="C30" s="353">
        <f t="shared" ref="C30:Q30" si="91">+C28-C29</f>
        <v>-102</v>
      </c>
      <c r="D30" s="353">
        <f t="shared" si="91"/>
        <v>-102</v>
      </c>
      <c r="E30" s="353">
        <f t="shared" si="91"/>
        <v>-65</v>
      </c>
      <c r="F30" s="353">
        <f t="shared" si="91"/>
        <v>-28</v>
      </c>
      <c r="G30" s="353">
        <f t="shared" si="91"/>
        <v>-93</v>
      </c>
      <c r="H30" s="353">
        <f t="shared" si="91"/>
        <v>83</v>
      </c>
      <c r="I30" s="353">
        <f t="shared" si="91"/>
        <v>-66</v>
      </c>
      <c r="J30" s="353">
        <f t="shared" si="91"/>
        <v>17</v>
      </c>
      <c r="K30" s="353">
        <f t="shared" si="91"/>
        <v>-65</v>
      </c>
      <c r="L30" s="353">
        <f t="shared" si="91"/>
        <v>47</v>
      </c>
      <c r="M30" s="353">
        <f t="shared" si="91"/>
        <v>-18</v>
      </c>
      <c r="N30" s="353">
        <f t="shared" si="91"/>
        <v>58</v>
      </c>
      <c r="O30" s="353">
        <f t="shared" si="91"/>
        <v>-75</v>
      </c>
      <c r="P30" s="353">
        <f t="shared" si="91"/>
        <v>-17</v>
      </c>
      <c r="Q30" s="353">
        <f t="shared" si="91"/>
        <v>174</v>
      </c>
      <c r="AF30" s="334"/>
      <c r="AI30" s="334"/>
      <c r="AL30" s="334"/>
      <c r="AO30" s="334"/>
      <c r="AR30" s="334"/>
      <c r="AU30" s="334"/>
      <c r="AX30" s="334"/>
      <c r="BA30" s="334"/>
      <c r="BD30" s="334"/>
      <c r="BG30" s="334"/>
      <c r="BJ30" s="334"/>
      <c r="BM30" s="334"/>
    </row>
    <row r="31" spans="1:116" s="278" customFormat="1">
      <c r="C31" s="353"/>
      <c r="D31" s="353"/>
      <c r="E31" s="353"/>
      <c r="F31" s="353"/>
      <c r="G31" s="353"/>
      <c r="H31" s="353"/>
      <c r="I31" s="353"/>
      <c r="J31" s="359"/>
      <c r="K31" s="359"/>
      <c r="L31" s="359"/>
      <c r="M31" s="359"/>
      <c r="AH31" s="278">
        <f>AH28/AE28-1</f>
        <v>0.58536585365853666</v>
      </c>
      <c r="AN31" s="278">
        <f>AN33/AK33</f>
        <v>1.3382086641593538</v>
      </c>
      <c r="AQ31" s="278">
        <f>AQ33/AN33</f>
        <v>1.3544290621421879</v>
      </c>
      <c r="AT31" s="278">
        <f>AT33/AQ33</f>
        <v>0.9812480786965877</v>
      </c>
    </row>
    <row r="32" spans="1:116" s="278" customFormat="1">
      <c r="A32" s="283" t="s">
        <v>325</v>
      </c>
      <c r="O32" s="283"/>
      <c r="R32" s="283"/>
      <c r="U32" s="283"/>
      <c r="X32" s="283"/>
      <c r="AA32" s="283"/>
      <c r="AD32" s="283"/>
      <c r="AG32" s="283"/>
      <c r="AJ32" s="283"/>
      <c r="AM32" s="283"/>
      <c r="AP32" s="283"/>
      <c r="AS32" s="283"/>
      <c r="AV32" s="283"/>
      <c r="AY32" s="283"/>
      <c r="BB32" s="283"/>
      <c r="BE32" s="283"/>
      <c r="BH32" s="283"/>
      <c r="BK32" s="283"/>
      <c r="BN32" s="283"/>
    </row>
    <row r="33" spans="1:116" s="278" customFormat="1">
      <c r="A33" s="278" t="s">
        <v>326</v>
      </c>
      <c r="B33" s="345">
        <v>19.5</v>
      </c>
      <c r="C33" s="345">
        <f>+D33-B33</f>
        <v>53.200000000000017</v>
      </c>
      <c r="D33" s="345">
        <v>72.700000000000017</v>
      </c>
      <c r="E33" s="345">
        <v>48.699999999999989</v>
      </c>
      <c r="F33" s="345">
        <v>108.9</v>
      </c>
      <c r="G33" s="345">
        <v>157.6</v>
      </c>
      <c r="H33" s="345">
        <v>86</v>
      </c>
      <c r="I33" s="345">
        <v>97.6</v>
      </c>
      <c r="J33" s="345">
        <v>183.6</v>
      </c>
      <c r="K33" s="345">
        <v>102.1</v>
      </c>
      <c r="L33" s="345">
        <v>105.70000000000002</v>
      </c>
      <c r="M33" s="345">
        <v>207.8</v>
      </c>
      <c r="N33" s="345">
        <v>132.80000000000001</v>
      </c>
      <c r="O33" s="345">
        <f>276.5-N33</f>
        <v>143.69999999999999</v>
      </c>
      <c r="P33" s="345">
        <f>+N33+O33</f>
        <v>276.5</v>
      </c>
      <c r="Q33" s="345">
        <v>157.80000000000001</v>
      </c>
      <c r="R33" s="345">
        <f>327.8-Q33</f>
        <v>170</v>
      </c>
      <c r="S33" s="345">
        <f>+Q33+R33</f>
        <v>327.8</v>
      </c>
      <c r="T33" s="345">
        <v>218</v>
      </c>
      <c r="U33" s="345">
        <f>464.1-T33</f>
        <v>246.10000000000002</v>
      </c>
      <c r="V33" s="345">
        <f>+T33+U33</f>
        <v>464.1</v>
      </c>
      <c r="W33" s="345">
        <v>257.2</v>
      </c>
      <c r="X33" s="345">
        <f>482.9-W33</f>
        <v>225.7</v>
      </c>
      <c r="Y33" s="346">
        <f>+W33+X33</f>
        <v>482.9</v>
      </c>
      <c r="Z33" s="346">
        <v>243.4</v>
      </c>
      <c r="AA33" s="346">
        <f>490.6-Z33</f>
        <v>247.20000000000002</v>
      </c>
      <c r="AB33" s="346">
        <f>+Z33+AA33</f>
        <v>490.6</v>
      </c>
      <c r="AC33" s="346">
        <v>273.3</v>
      </c>
      <c r="AD33" s="346">
        <f>509.2-AC33</f>
        <v>235.89999999999998</v>
      </c>
      <c r="AE33" s="346">
        <f>+AC33+AD33</f>
        <v>509.2</v>
      </c>
      <c r="AF33" s="346">
        <v>300.10000000000002</v>
      </c>
      <c r="AG33" s="346">
        <f>575.7-AF33</f>
        <v>275.60000000000002</v>
      </c>
      <c r="AH33" s="346">
        <f>+AF33+AG33</f>
        <v>575.70000000000005</v>
      </c>
      <c r="AI33" s="346">
        <v>397.2</v>
      </c>
      <c r="AJ33" s="346">
        <f>717.9-AI33</f>
        <v>320.7</v>
      </c>
      <c r="AK33" s="346">
        <f>+AI33+AJ33</f>
        <v>717.9</v>
      </c>
      <c r="AL33" s="346">
        <v>562.79999999999995</v>
      </c>
      <c r="AM33" s="346">
        <f>960.7-AL33</f>
        <v>397.90000000000009</v>
      </c>
      <c r="AN33" s="346">
        <f>+AL33+AM33</f>
        <v>960.7</v>
      </c>
      <c r="AO33" s="346">
        <v>602.4</v>
      </c>
      <c r="AP33" s="346">
        <f>1301.2-AO33</f>
        <v>698.80000000000007</v>
      </c>
      <c r="AQ33" s="346">
        <f>+AO33+AP33</f>
        <v>1301.2</v>
      </c>
      <c r="AR33" s="346">
        <v>804.7</v>
      </c>
      <c r="AS33" s="346">
        <f>1276.8-AR33</f>
        <v>472.09999999999991</v>
      </c>
      <c r="AT33" s="346">
        <f>+AR33+AS33</f>
        <v>1276.8</v>
      </c>
      <c r="AU33" s="346">
        <v>700.7</v>
      </c>
      <c r="AV33" s="346">
        <f>1338.5-AU33</f>
        <v>637.79999999999995</v>
      </c>
      <c r="AW33" s="346">
        <f>+AU33+AV33</f>
        <v>1338.5</v>
      </c>
      <c r="AX33" s="346">
        <v>665.2</v>
      </c>
      <c r="AY33" s="346">
        <f>+AY37*AY26</f>
        <v>1000</v>
      </c>
      <c r="AZ33" s="346">
        <f>+AX33+AY33</f>
        <v>1665.2</v>
      </c>
      <c r="BA33" s="346">
        <f>+BA37*BA26</f>
        <v>980</v>
      </c>
      <c r="BB33" s="346">
        <f>+BB37*BB26</f>
        <v>980</v>
      </c>
      <c r="BC33" s="346">
        <f>+BA33+BB33</f>
        <v>1960</v>
      </c>
      <c r="BD33" s="346">
        <f>+BD37*BD26</f>
        <v>1050</v>
      </c>
      <c r="BE33" s="346">
        <f>+BE37*BE26</f>
        <v>1050</v>
      </c>
      <c r="BF33" s="346">
        <f>+BD33+BE33</f>
        <v>2100</v>
      </c>
      <c r="BG33" s="346">
        <f>+BG37*BG26</f>
        <v>1120</v>
      </c>
      <c r="BH33" s="346">
        <f>+BH37*BH26</f>
        <v>1120</v>
      </c>
      <c r="BI33" s="346">
        <f>+BG33+BH33</f>
        <v>2240</v>
      </c>
      <c r="BJ33" s="346">
        <f>+BJ37*BJ26</f>
        <v>1171.5</v>
      </c>
      <c r="BK33" s="346">
        <f>+BK37*BK26</f>
        <v>1155</v>
      </c>
      <c r="BL33" s="346">
        <f>+BJ33+BK33</f>
        <v>2326.5</v>
      </c>
      <c r="BM33" s="346">
        <f>+BM37*BM26</f>
        <v>1207</v>
      </c>
      <c r="BN33" s="346">
        <f>+BN37*BN26</f>
        <v>1190</v>
      </c>
      <c r="BO33" s="346">
        <f>+BM33+BN33</f>
        <v>2397</v>
      </c>
    </row>
    <row r="34" spans="1:116" s="278" customFormat="1" hidden="1">
      <c r="A34" s="278" t="s">
        <v>327</v>
      </c>
      <c r="B34" s="345">
        <v>-13</v>
      </c>
      <c r="C34" s="345">
        <f>D34</f>
        <v>-31</v>
      </c>
      <c r="D34" s="345">
        <v>-31</v>
      </c>
      <c r="E34" s="345">
        <v>-13</v>
      </c>
      <c r="F34" s="345">
        <v>-23</v>
      </c>
      <c r="G34" s="345">
        <v>-36</v>
      </c>
      <c r="H34" s="345">
        <v>-15</v>
      </c>
      <c r="I34" s="345">
        <v>-28.799999999999983</v>
      </c>
      <c r="J34" s="345">
        <v>-43.799999999999983</v>
      </c>
      <c r="K34" s="345">
        <v>-19</v>
      </c>
      <c r="L34" s="345">
        <v>-23</v>
      </c>
      <c r="M34" s="345">
        <v>-42</v>
      </c>
      <c r="N34" s="345">
        <f>102.3-132.8</f>
        <v>-30.500000000000014</v>
      </c>
      <c r="O34" s="345">
        <f>-O33*(1-O35)</f>
        <v>-31.499999999999986</v>
      </c>
      <c r="P34" s="345">
        <f>-P33*(1-P35)</f>
        <v>-62.000000000000007</v>
      </c>
      <c r="Q34" s="345">
        <f>Q36-Q33</f>
        <v>-30.500000000000014</v>
      </c>
      <c r="R34" s="345">
        <f>R36-R33</f>
        <v>-40.699999999999989</v>
      </c>
      <c r="S34" s="345">
        <f>SUM(Q34:R34)</f>
        <v>-71.2</v>
      </c>
      <c r="T34" s="345">
        <f>T36-T33</f>
        <v>-40.800000000000011</v>
      </c>
      <c r="U34" s="345">
        <f>U36-U33</f>
        <v>-57.199999999999989</v>
      </c>
      <c r="V34" s="345">
        <f>+T34+U34</f>
        <v>-98</v>
      </c>
      <c r="W34" s="346">
        <f t="shared" ref="W34:AW34" si="92">-W33*(1-W35)</f>
        <v>-58.799999999999983</v>
      </c>
      <c r="X34" s="346">
        <f t="shared" si="92"/>
        <v>-51.598600311041977</v>
      </c>
      <c r="Y34" s="346">
        <f t="shared" si="92"/>
        <v>-110.39860031104196</v>
      </c>
      <c r="Z34" s="346">
        <f t="shared" si="92"/>
        <v>-55.645101088646953</v>
      </c>
      <c r="AA34" s="346">
        <f t="shared" si="92"/>
        <v>-56.51384136858475</v>
      </c>
      <c r="AB34" s="346">
        <f t="shared" si="92"/>
        <v>-112.1589424572317</v>
      </c>
      <c r="AC34" s="346">
        <f t="shared" si="92"/>
        <v>-62.480715396578525</v>
      </c>
      <c r="AD34" s="346">
        <f t="shared" si="92"/>
        <v>-53.930482115085518</v>
      </c>
      <c r="AE34" s="346">
        <f t="shared" si="92"/>
        <v>-116.41119751166404</v>
      </c>
      <c r="AF34" s="346">
        <f t="shared" si="92"/>
        <v>-68.607620528771378</v>
      </c>
      <c r="AG34" s="346">
        <f t="shared" si="92"/>
        <v>-63.00653188180403</v>
      </c>
      <c r="AH34" s="346">
        <f t="shared" si="92"/>
        <v>-131.6141524105754</v>
      </c>
      <c r="AI34" s="346">
        <f t="shared" si="92"/>
        <v>-90.806220839813349</v>
      </c>
      <c r="AJ34" s="346">
        <f t="shared" si="92"/>
        <v>-73.317107309486758</v>
      </c>
      <c r="AK34" s="346">
        <f t="shared" si="92"/>
        <v>-164.12332814930011</v>
      </c>
      <c r="AL34" s="346">
        <f t="shared" si="92"/>
        <v>-128.66500777604972</v>
      </c>
      <c r="AM34" s="346">
        <f t="shared" si="92"/>
        <v>-90.966251944012441</v>
      </c>
      <c r="AN34" s="346">
        <f t="shared" si="92"/>
        <v>-219.63125972006216</v>
      </c>
      <c r="AO34" s="346">
        <f t="shared" si="92"/>
        <v>-137.71819595645408</v>
      </c>
      <c r="AP34" s="346">
        <f t="shared" si="92"/>
        <v>-159.75676516329702</v>
      </c>
      <c r="AQ34" s="346">
        <f t="shared" si="92"/>
        <v>-297.47496111975107</v>
      </c>
      <c r="AR34" s="346">
        <f t="shared" si="92"/>
        <v>-183.9671850699844</v>
      </c>
      <c r="AS34" s="346">
        <f t="shared" si="92"/>
        <v>-107.92954898911348</v>
      </c>
      <c r="AT34" s="346">
        <f t="shared" si="92"/>
        <v>-291.89673405909787</v>
      </c>
      <c r="AU34" s="346">
        <f t="shared" si="92"/>
        <v>-160.1911353032659</v>
      </c>
      <c r="AV34" s="346">
        <f t="shared" si="92"/>
        <v>-145.81119751166403</v>
      </c>
      <c r="AW34" s="346">
        <f t="shared" si="92"/>
        <v>-306.00233281492996</v>
      </c>
      <c r="AX34" s="346">
        <f t="shared" ref="AX34:AZ34" si="93">-AX33*(1-AX35)</f>
        <v>-152.07527216174179</v>
      </c>
      <c r="AY34" s="346">
        <f t="shared" si="93"/>
        <v>-228.61586314152404</v>
      </c>
      <c r="AZ34" s="346">
        <f t="shared" si="93"/>
        <v>-380.69113530326587</v>
      </c>
      <c r="BA34" s="346">
        <f t="shared" ref="BA34:BC34" si="94">-BA33*(1-BA35)</f>
        <v>-224.04354587869358</v>
      </c>
      <c r="BB34" s="346">
        <f t="shared" si="94"/>
        <v>-224.04354587869358</v>
      </c>
      <c r="BC34" s="346">
        <f t="shared" si="94"/>
        <v>-448.08709175738716</v>
      </c>
      <c r="BD34" s="346">
        <f t="shared" ref="BD34:BF34" si="95">-BD33*(1-BD35)</f>
        <v>-240.04665629860025</v>
      </c>
      <c r="BE34" s="346">
        <f t="shared" si="95"/>
        <v>-240.04665629860025</v>
      </c>
      <c r="BF34" s="346">
        <f t="shared" si="95"/>
        <v>-480.09331259720051</v>
      </c>
      <c r="BG34" s="346">
        <f t="shared" ref="BG34:BL34" si="96">-BG33*(1-BG35)</f>
        <v>-256.04976671850693</v>
      </c>
      <c r="BH34" s="346">
        <f t="shared" si="96"/>
        <v>-256.04976671850693</v>
      </c>
      <c r="BI34" s="346">
        <f t="shared" si="96"/>
        <v>-512.09953343701386</v>
      </c>
      <c r="BJ34" s="346">
        <f t="shared" si="96"/>
        <v>-267.82348367029545</v>
      </c>
      <c r="BK34" s="346">
        <f t="shared" si="96"/>
        <v>-264.05132192846025</v>
      </c>
      <c r="BL34" s="346">
        <f t="shared" si="96"/>
        <v>-531.87480559875564</v>
      </c>
      <c r="BM34" s="346">
        <f t="shared" ref="BM34:BO34" si="97">-BM33*(1-BM35)</f>
        <v>-275.93934681181952</v>
      </c>
      <c r="BN34" s="346">
        <f t="shared" si="97"/>
        <v>-272.05287713841363</v>
      </c>
      <c r="BO34" s="346">
        <f t="shared" si="97"/>
        <v>-547.9922239502331</v>
      </c>
    </row>
    <row r="35" spans="1:116" s="278" customFormat="1" hidden="1">
      <c r="A35" s="278" t="s">
        <v>328</v>
      </c>
      <c r="B35" s="360">
        <f>C35</f>
        <v>0.57359009628610735</v>
      </c>
      <c r="C35" s="360">
        <f>D35</f>
        <v>0.57359009628610735</v>
      </c>
      <c r="D35" s="360">
        <f>+D36/D33</f>
        <v>0.57359009628610735</v>
      </c>
      <c r="E35" s="360">
        <f t="shared" ref="E35:M35" si="98">+E36/E33</f>
        <v>0.73305954825462005</v>
      </c>
      <c r="F35" s="360">
        <f>+F36/F33</f>
        <v>0.78879706152433426</v>
      </c>
      <c r="G35" s="360">
        <f t="shared" si="98"/>
        <v>0.77157360406091369</v>
      </c>
      <c r="H35" s="360">
        <f t="shared" si="98"/>
        <v>0.82558139534883723</v>
      </c>
      <c r="I35" s="360">
        <f t="shared" si="98"/>
        <v>0.70491803278688536</v>
      </c>
      <c r="J35" s="347">
        <f t="shared" si="98"/>
        <v>0.7614379084967321</v>
      </c>
      <c r="K35" s="347">
        <f t="shared" si="98"/>
        <v>0.81390793339862877</v>
      </c>
      <c r="L35" s="347">
        <f t="shared" si="98"/>
        <v>0.7824030274361401</v>
      </c>
      <c r="M35" s="347">
        <f t="shared" si="98"/>
        <v>0.79788257940327234</v>
      </c>
      <c r="N35" s="347">
        <f>+N36/N33</f>
        <v>0.77033132530120474</v>
      </c>
      <c r="O35" s="347">
        <f>+O36/O33</f>
        <v>0.78079331941544894</v>
      </c>
      <c r="P35" s="347">
        <f>+P36/P33</f>
        <v>0.77576853526220613</v>
      </c>
      <c r="Q35" s="347">
        <f>+Q36/Q33</f>
        <v>0.8067173637515842</v>
      </c>
      <c r="R35" s="347">
        <f t="shared" ref="R35:W35" si="99">+R36/R33</f>
        <v>0.76058823529411768</v>
      </c>
      <c r="S35" s="347">
        <f t="shared" si="99"/>
        <v>0.78279438682123248</v>
      </c>
      <c r="T35" s="349">
        <f>+V35</f>
        <v>0.78883861236802411</v>
      </c>
      <c r="U35" s="347">
        <f t="shared" si="99"/>
        <v>0.7675741568468103</v>
      </c>
      <c r="V35" s="347">
        <f t="shared" si="99"/>
        <v>0.78883861236802411</v>
      </c>
      <c r="W35" s="347">
        <f t="shared" si="99"/>
        <v>0.77138413685847596</v>
      </c>
      <c r="X35" s="349">
        <f>+W35</f>
        <v>0.77138413685847596</v>
      </c>
      <c r="Y35" s="349">
        <f>+X35</f>
        <v>0.77138413685847596</v>
      </c>
      <c r="Z35" s="349">
        <f>+AB35</f>
        <v>0.77138413685847596</v>
      </c>
      <c r="AA35" s="349">
        <f>+Z35</f>
        <v>0.77138413685847596</v>
      </c>
      <c r="AB35" s="349">
        <f>+Y35</f>
        <v>0.77138413685847596</v>
      </c>
      <c r="AC35" s="349">
        <f>+AE35</f>
        <v>0.77138413685847596</v>
      </c>
      <c r="AD35" s="349">
        <f>+AC35</f>
        <v>0.77138413685847596</v>
      </c>
      <c r="AE35" s="349">
        <f>+AB35</f>
        <v>0.77138413685847596</v>
      </c>
      <c r="AF35" s="349">
        <f>+AH35</f>
        <v>0.77138413685847596</v>
      </c>
      <c r="AG35" s="349">
        <f>+AF35</f>
        <v>0.77138413685847596</v>
      </c>
      <c r="AH35" s="349">
        <f>+AE35</f>
        <v>0.77138413685847596</v>
      </c>
      <c r="AI35" s="349">
        <f>+AK35</f>
        <v>0.77138413685847596</v>
      </c>
      <c r="AJ35" s="349">
        <f>+AI35</f>
        <v>0.77138413685847596</v>
      </c>
      <c r="AK35" s="349">
        <f>+AH35</f>
        <v>0.77138413685847596</v>
      </c>
      <c r="AL35" s="349">
        <f>+AN35</f>
        <v>0.77138413685847596</v>
      </c>
      <c r="AM35" s="349">
        <f>+AL35</f>
        <v>0.77138413685847596</v>
      </c>
      <c r="AN35" s="349">
        <f>+AK35</f>
        <v>0.77138413685847596</v>
      </c>
      <c r="AO35" s="349">
        <f>+AQ35</f>
        <v>0.77138413685847596</v>
      </c>
      <c r="AP35" s="349">
        <f>+AO35</f>
        <v>0.77138413685847596</v>
      </c>
      <c r="AQ35" s="349">
        <f>+AN35</f>
        <v>0.77138413685847596</v>
      </c>
      <c r="AR35" s="349">
        <f>+AT35</f>
        <v>0.77138413685847596</v>
      </c>
      <c r="AS35" s="349">
        <f>+AR35</f>
        <v>0.77138413685847596</v>
      </c>
      <c r="AT35" s="349">
        <f>+AQ35</f>
        <v>0.77138413685847596</v>
      </c>
      <c r="AU35" s="349">
        <f>+AW35</f>
        <v>0.77138413685847596</v>
      </c>
      <c r="AV35" s="349">
        <f>+AU35</f>
        <v>0.77138413685847596</v>
      </c>
      <c r="AW35" s="349">
        <f>+AT35</f>
        <v>0.77138413685847596</v>
      </c>
      <c r="AX35" s="349">
        <f>+AZ35</f>
        <v>0.77138413685847596</v>
      </c>
      <c r="AY35" s="349">
        <f>+AX35</f>
        <v>0.77138413685847596</v>
      </c>
      <c r="AZ35" s="349">
        <f>+AW35</f>
        <v>0.77138413685847596</v>
      </c>
      <c r="BA35" s="349">
        <f>+BC35</f>
        <v>0.77138413685847596</v>
      </c>
      <c r="BB35" s="349">
        <f>+BA35</f>
        <v>0.77138413685847596</v>
      </c>
      <c r="BC35" s="349">
        <f>+AZ35</f>
        <v>0.77138413685847596</v>
      </c>
      <c r="BD35" s="349">
        <f>+BF35</f>
        <v>0.77138413685847596</v>
      </c>
      <c r="BE35" s="349">
        <f>+BD35</f>
        <v>0.77138413685847596</v>
      </c>
      <c r="BF35" s="349">
        <f>+BC35</f>
        <v>0.77138413685847596</v>
      </c>
      <c r="BG35" s="349">
        <f>+BI35</f>
        <v>0.77138413685847596</v>
      </c>
      <c r="BH35" s="349">
        <f>+BG35</f>
        <v>0.77138413685847596</v>
      </c>
      <c r="BI35" s="349">
        <f>+BF35</f>
        <v>0.77138413685847596</v>
      </c>
      <c r="BJ35" s="349">
        <f>+BL35</f>
        <v>0.77138413685847596</v>
      </c>
      <c r="BK35" s="349">
        <f>+BJ35</f>
        <v>0.77138413685847596</v>
      </c>
      <c r="BL35" s="349">
        <f>+BI35</f>
        <v>0.77138413685847596</v>
      </c>
      <c r="BM35" s="349">
        <f>+BO35</f>
        <v>0.77138413685847596</v>
      </c>
      <c r="BN35" s="349">
        <f>+BM35</f>
        <v>0.77138413685847596</v>
      </c>
      <c r="BO35" s="349">
        <f>+BL35</f>
        <v>0.77138413685847596</v>
      </c>
    </row>
    <row r="36" spans="1:116" s="336" customFormat="1" ht="12.75" hidden="1" customHeight="1" thickBot="1">
      <c r="A36" s="330" t="s">
        <v>1</v>
      </c>
      <c r="B36" s="331">
        <v>6.5</v>
      </c>
      <c r="C36" s="331">
        <f>+D36-B36</f>
        <v>35.200000000000017</v>
      </c>
      <c r="D36" s="331">
        <f>+D33+D34</f>
        <v>41.700000000000017</v>
      </c>
      <c r="E36" s="331">
        <f t="shared" ref="E36:M36" si="100">+E33+E34</f>
        <v>35.699999999999989</v>
      </c>
      <c r="F36" s="333">
        <f>+F33+F34</f>
        <v>85.9</v>
      </c>
      <c r="G36" s="331">
        <f>+G33+G34</f>
        <v>121.6</v>
      </c>
      <c r="H36" s="331">
        <f t="shared" si="100"/>
        <v>71</v>
      </c>
      <c r="I36" s="333">
        <f t="shared" si="100"/>
        <v>68.800000000000011</v>
      </c>
      <c r="J36" s="331">
        <f t="shared" si="100"/>
        <v>139.80000000000001</v>
      </c>
      <c r="K36" s="331">
        <f t="shared" si="100"/>
        <v>83.1</v>
      </c>
      <c r="L36" s="333">
        <f t="shared" si="100"/>
        <v>82.700000000000017</v>
      </c>
      <c r="M36" s="331">
        <f t="shared" si="100"/>
        <v>165.8</v>
      </c>
      <c r="N36" s="331">
        <v>102.3</v>
      </c>
      <c r="O36" s="331">
        <v>112.2</v>
      </c>
      <c r="P36" s="331">
        <f>+N36+O36</f>
        <v>214.5</v>
      </c>
      <c r="Q36" s="331">
        <v>127.3</v>
      </c>
      <c r="R36" s="331">
        <f>256.6-Q36</f>
        <v>129.30000000000001</v>
      </c>
      <c r="S36" s="331">
        <f>+Q36+R36</f>
        <v>256.60000000000002</v>
      </c>
      <c r="T36" s="331">
        <v>177.2</v>
      </c>
      <c r="U36" s="331">
        <f>366.1-T36</f>
        <v>188.90000000000003</v>
      </c>
      <c r="V36" s="331">
        <f>+T36+U36</f>
        <v>366.1</v>
      </c>
      <c r="W36" s="358">
        <v>198.4</v>
      </c>
      <c r="X36" s="358">
        <f>+X33+X34</f>
        <v>174.101399688958</v>
      </c>
      <c r="Y36" s="358">
        <f>+W36+X36</f>
        <v>372.50139968895803</v>
      </c>
      <c r="Z36" s="332">
        <f>+Z33+Z34</f>
        <v>187.75489891135305</v>
      </c>
      <c r="AA36" s="332">
        <f>+AA33+AA34</f>
        <v>190.68615863141525</v>
      </c>
      <c r="AB36" s="332">
        <f>+Z36+AA36</f>
        <v>378.44105754276831</v>
      </c>
      <c r="AC36" s="332">
        <f>+AC33+AC34</f>
        <v>210.81928460342149</v>
      </c>
      <c r="AD36" s="332">
        <f>+AD33+AD34</f>
        <v>181.96951788491447</v>
      </c>
      <c r="AE36" s="332">
        <f>+AC36+AD36</f>
        <v>392.78880248833593</v>
      </c>
      <c r="AF36" s="332">
        <f>+AF33+AF34</f>
        <v>231.49237947122865</v>
      </c>
      <c r="AG36" s="332">
        <f>+AG33+AG34</f>
        <v>212.593468118196</v>
      </c>
      <c r="AH36" s="332">
        <f>+AF36+AG36</f>
        <v>444.08584758942465</v>
      </c>
      <c r="AI36" s="332">
        <f>+AI33+AI34</f>
        <v>306.39377916018663</v>
      </c>
      <c r="AJ36" s="332">
        <f>+AJ33+AJ34</f>
        <v>247.38289269051324</v>
      </c>
      <c r="AK36" s="332">
        <f>+AI36+AJ36</f>
        <v>553.77667185069981</v>
      </c>
      <c r="AL36" s="332">
        <f>+AL33+AL34</f>
        <v>434.13499222395023</v>
      </c>
      <c r="AM36" s="332">
        <f>+AM33+AM34</f>
        <v>306.93374805598762</v>
      </c>
      <c r="AN36" s="332">
        <f>+AL36+AM36</f>
        <v>741.06874027993786</v>
      </c>
      <c r="AO36" s="332">
        <f>+AO33+AO34</f>
        <v>464.68180404354587</v>
      </c>
      <c r="AP36" s="332">
        <f>+AP33+AP34</f>
        <v>539.04323483670305</v>
      </c>
      <c r="AQ36" s="332">
        <f>+AO36+AP36</f>
        <v>1003.7250388802489</v>
      </c>
      <c r="AR36" s="332">
        <f>+AR33+AR34</f>
        <v>620.73281493001559</v>
      </c>
      <c r="AS36" s="332">
        <f>+AS33+AS34</f>
        <v>364.17045101088644</v>
      </c>
      <c r="AT36" s="332">
        <f>+AR36+AS36</f>
        <v>984.90326594090197</v>
      </c>
      <c r="AU36" s="332">
        <f>+AU33+AU34</f>
        <v>540.50886469673412</v>
      </c>
      <c r="AV36" s="332">
        <f>+AV33+AV34</f>
        <v>491.98880248833592</v>
      </c>
      <c r="AW36" s="332">
        <f>+AU36+AV36</f>
        <v>1032.49766718507</v>
      </c>
      <c r="AX36" s="332">
        <f>+AX33+AX34</f>
        <v>513.1247278382582</v>
      </c>
      <c r="AY36" s="332">
        <f>+AY33+AY34</f>
        <v>771.38413685847593</v>
      </c>
      <c r="AZ36" s="332">
        <f>+AX36+AY36</f>
        <v>1284.5088646967342</v>
      </c>
      <c r="BA36" s="332">
        <f>+BA33+BA34</f>
        <v>755.95645412130648</v>
      </c>
      <c r="BB36" s="332">
        <f>+BB33+BB34</f>
        <v>755.95645412130648</v>
      </c>
      <c r="BC36" s="332">
        <f>+BA36+BB36</f>
        <v>1511.912908242613</v>
      </c>
      <c r="BD36" s="332">
        <f>+BD33+BD34</f>
        <v>809.95334370139972</v>
      </c>
      <c r="BE36" s="332">
        <f>+BE33+BE34</f>
        <v>809.95334370139972</v>
      </c>
      <c r="BF36" s="332">
        <f>+BD36+BE36</f>
        <v>1619.9066874027994</v>
      </c>
      <c r="BG36" s="332">
        <f>+BG33+BG34</f>
        <v>863.95023328149307</v>
      </c>
      <c r="BH36" s="332">
        <f>+BH33+BH34</f>
        <v>863.95023328149307</v>
      </c>
      <c r="BI36" s="332">
        <f>+BG36+BH36</f>
        <v>1727.9004665629861</v>
      </c>
      <c r="BJ36" s="332">
        <f>+BJ33+BJ34</f>
        <v>903.67651632970455</v>
      </c>
      <c r="BK36" s="332">
        <f>+BK33+BK34</f>
        <v>890.94867807153969</v>
      </c>
      <c r="BL36" s="332">
        <f>+BJ36+BK36</f>
        <v>1794.6251944012442</v>
      </c>
      <c r="BM36" s="332">
        <f>+BM33+BM34</f>
        <v>931.06065318818048</v>
      </c>
      <c r="BN36" s="332">
        <f>+BN33+BN34</f>
        <v>917.94712286158642</v>
      </c>
      <c r="BO36" s="332">
        <f>+BM36+BN36</f>
        <v>1849.007776049767</v>
      </c>
      <c r="BP36" s="334"/>
      <c r="BQ36" s="334"/>
      <c r="BR36" s="334"/>
      <c r="BS36" s="334"/>
      <c r="BT36" s="334"/>
      <c r="BU36" s="334"/>
      <c r="BV36" s="334"/>
      <c r="BW36" s="334"/>
      <c r="BX36" s="334"/>
      <c r="BY36" s="334"/>
      <c r="BZ36" s="334"/>
      <c r="CA36" s="334"/>
      <c r="CB36" s="334"/>
      <c r="CC36" s="334"/>
      <c r="CD36" s="334"/>
      <c r="CE36" s="334"/>
      <c r="CF36" s="334"/>
      <c r="CG36" s="334"/>
      <c r="CH36" s="334"/>
      <c r="CI36" s="334"/>
      <c r="CJ36" s="334"/>
      <c r="CK36" s="334"/>
      <c r="CL36" s="334"/>
      <c r="CM36" s="334"/>
      <c r="CN36" s="334"/>
      <c r="CO36" s="334"/>
      <c r="CP36" s="334"/>
      <c r="CQ36" s="334"/>
      <c r="CR36" s="334"/>
      <c r="CS36" s="334"/>
      <c r="CT36" s="334"/>
      <c r="CU36" s="334"/>
      <c r="CV36" s="334"/>
      <c r="CW36" s="334"/>
      <c r="CX36" s="334"/>
      <c r="CY36" s="334"/>
      <c r="CZ36" s="334"/>
      <c r="DA36" s="334"/>
      <c r="DB36" s="334"/>
      <c r="DC36" s="334"/>
      <c r="DD36" s="334"/>
      <c r="DE36" s="334"/>
      <c r="DF36" s="334"/>
      <c r="DG36" s="334"/>
      <c r="DH36" s="334"/>
      <c r="DI36" s="335"/>
      <c r="DJ36" s="335"/>
      <c r="DK36" s="335"/>
      <c r="DL36" s="335"/>
    </row>
    <row r="37" spans="1:116" s="278" customFormat="1">
      <c r="A37" s="337" t="s">
        <v>329</v>
      </c>
      <c r="C37" s="347">
        <f>D37</f>
        <v>0.17688564476885649</v>
      </c>
      <c r="D37" s="347">
        <f t="shared" ref="D37:S37" si="101">+D33/D26</f>
        <v>0.17688564476885649</v>
      </c>
      <c r="E37" s="347">
        <f t="shared" si="101"/>
        <v>0.12174999999999997</v>
      </c>
      <c r="F37" s="347">
        <f>+F33/F26</f>
        <v>0.29195710455764079</v>
      </c>
      <c r="G37" s="347">
        <f>+G33/G26</f>
        <v>0.20388098318240619</v>
      </c>
      <c r="H37" s="347">
        <f>+H33/H26</f>
        <v>0.12285714285714286</v>
      </c>
      <c r="I37" s="347">
        <f t="shared" si="101"/>
        <v>9.5686274509803909E-2</v>
      </c>
      <c r="J37" s="347">
        <f t="shared" si="101"/>
        <v>0.10674418604651162</v>
      </c>
      <c r="K37" s="347">
        <f t="shared" si="101"/>
        <v>0.11344444444444444</v>
      </c>
      <c r="L37" s="347">
        <f t="shared" si="101"/>
        <v>0.13871391076115488</v>
      </c>
      <c r="M37" s="347">
        <f t="shared" si="101"/>
        <v>0.12503008423586043</v>
      </c>
      <c r="N37" s="347">
        <f t="shared" si="101"/>
        <v>0.13578732106339469</v>
      </c>
      <c r="O37" s="347">
        <f t="shared" si="101"/>
        <v>0.11505204163330664</v>
      </c>
      <c r="P37" s="347">
        <f t="shared" si="101"/>
        <v>0.12415806017063313</v>
      </c>
      <c r="Q37" s="347">
        <f t="shared" si="101"/>
        <v>0.11811377245508983</v>
      </c>
      <c r="R37" s="347">
        <f t="shared" si="101"/>
        <v>0.1440677966101695</v>
      </c>
      <c r="S37" s="347">
        <f t="shared" si="101"/>
        <v>0.13028616852146263</v>
      </c>
      <c r="T37" s="347">
        <f>+T33/T26</f>
        <v>0.18890814558058924</v>
      </c>
      <c r="U37" s="347">
        <f>+U33/U26</f>
        <v>0.12262082710513204</v>
      </c>
      <c r="V37" s="361">
        <f t="shared" ref="V37:AB37" si="102">+U37</f>
        <v>0.12262082710513204</v>
      </c>
      <c r="W37" s="347">
        <f>+W33/W26</f>
        <v>0.19784615384615384</v>
      </c>
      <c r="X37" s="347">
        <f>+X33/X26</f>
        <v>0.1612142857142857</v>
      </c>
      <c r="Y37" s="361">
        <f t="shared" si="102"/>
        <v>0.1612142857142857</v>
      </c>
      <c r="Z37" s="347">
        <f>+Z33/Z26</f>
        <v>0.17385714285714285</v>
      </c>
      <c r="AA37" s="347">
        <f>+AA33/AA26</f>
        <v>0.11771428571428572</v>
      </c>
      <c r="AB37" s="361">
        <f t="shared" si="102"/>
        <v>0.11771428571428572</v>
      </c>
      <c r="AC37" s="347">
        <f>+AC33/AC26</f>
        <v>0.13014285714285714</v>
      </c>
      <c r="AD37" s="347">
        <f>+AD33/AD26</f>
        <v>0.13105555555555554</v>
      </c>
      <c r="AE37" s="361">
        <f>+AE33/AE26</f>
        <v>0.13056410256410256</v>
      </c>
      <c r="AF37" s="347">
        <f>+AF33/AF26</f>
        <v>0.17652941176470591</v>
      </c>
      <c r="AG37" s="347">
        <f>+AG33/AG26</f>
        <v>0.39371428571428574</v>
      </c>
      <c r="AH37" s="361">
        <f>AH33/AH26</f>
        <v>0.23987500000000003</v>
      </c>
      <c r="AI37" s="347">
        <f>+AI33/AI26</f>
        <v>0.26479999999999998</v>
      </c>
      <c r="AJ37" s="347">
        <f>+AJ33/AJ26</f>
        <v>0.35633333333333334</v>
      </c>
      <c r="AK37" s="361">
        <f>AK33/AK26</f>
        <v>0.29912499999999997</v>
      </c>
      <c r="AL37" s="347">
        <f>+AL33/AL26</f>
        <v>0.13726829268292681</v>
      </c>
      <c r="AM37" s="347">
        <f>+AM33/AM26</f>
        <v>0.20942105263157901</v>
      </c>
      <c r="AN37" s="361">
        <f>AN33/AN26</f>
        <v>0.16011666666666668</v>
      </c>
      <c r="AO37" s="347">
        <f>+AO33/AO26</f>
        <v>0.16733333333333333</v>
      </c>
      <c r="AP37" s="347">
        <f>+AP33/AP26</f>
        <v>0.21175757575757578</v>
      </c>
      <c r="AQ37" s="361">
        <f>AQ33/AQ26</f>
        <v>0.18857971014492755</v>
      </c>
      <c r="AR37" s="347">
        <f>+AR33/AR26</f>
        <v>0.28739285714285717</v>
      </c>
      <c r="AS37" s="347">
        <f>+AS33/AS26</f>
        <v>0.33721428571428563</v>
      </c>
      <c r="AT37" s="361">
        <f>AT33/AT26</f>
        <v>0.30399999999999999</v>
      </c>
      <c r="AU37" s="347">
        <f>+AU33/AU26</f>
        <v>0.50050000000000006</v>
      </c>
      <c r="AV37" s="347">
        <f>+AV33/AV26</f>
        <v>0.17237837837837836</v>
      </c>
      <c r="AW37" s="361">
        <f>AW33/AW26</f>
        <v>0.26245098039215686</v>
      </c>
      <c r="AX37" s="347">
        <f>+AX33/AX26</f>
        <v>0.26608000000000004</v>
      </c>
      <c r="AY37" s="362">
        <v>0.5</v>
      </c>
      <c r="AZ37" s="361">
        <f>AZ33/AZ26</f>
        <v>0.37004444444444445</v>
      </c>
      <c r="BA37" s="362">
        <v>0.39200000000000002</v>
      </c>
      <c r="BB37" s="362">
        <f>+BA37</f>
        <v>0.39200000000000002</v>
      </c>
      <c r="BC37" s="361">
        <f>BC33/BC26</f>
        <v>0.39200000000000002</v>
      </c>
      <c r="BD37" s="362">
        <v>0.3</v>
      </c>
      <c r="BE37" s="362">
        <f>+BD37</f>
        <v>0.3</v>
      </c>
      <c r="BF37" s="361">
        <f>BF33/BF26</f>
        <v>0.3</v>
      </c>
      <c r="BG37" s="362">
        <f>BF37+2%</f>
        <v>0.32</v>
      </c>
      <c r="BH37" s="362">
        <f>+BG37</f>
        <v>0.32</v>
      </c>
      <c r="BI37" s="361">
        <f>BI33/BI26</f>
        <v>0.32</v>
      </c>
      <c r="BJ37" s="362">
        <f>BI37+1%</f>
        <v>0.33</v>
      </c>
      <c r="BK37" s="362">
        <f>+BJ37</f>
        <v>0.33</v>
      </c>
      <c r="BL37" s="361">
        <f>BL33/BL26</f>
        <v>0.33</v>
      </c>
      <c r="BM37" s="362">
        <f>BL37+1%</f>
        <v>0.34</v>
      </c>
      <c r="BN37" s="362">
        <f>+BM37</f>
        <v>0.34</v>
      </c>
      <c r="BO37" s="361">
        <f>BO33/BO26</f>
        <v>0.34</v>
      </c>
    </row>
    <row r="38" spans="1:116" s="278" customFormat="1"/>
    <row r="39" spans="1:116" s="278" customFormat="1">
      <c r="A39" s="283" t="s">
        <v>330</v>
      </c>
    </row>
    <row r="40" spans="1:116" s="278" customFormat="1">
      <c r="A40" s="278" t="str">
        <f>A24</f>
        <v>New Commencements</v>
      </c>
      <c r="B40" s="363"/>
      <c r="C40" s="324"/>
      <c r="D40" s="324">
        <f>D24</f>
        <v>1182</v>
      </c>
      <c r="E40" s="324">
        <f t="shared" ref="E40:R40" si="103">E24</f>
        <v>700</v>
      </c>
      <c r="F40" s="324">
        <f t="shared" si="103"/>
        <v>718</v>
      </c>
      <c r="G40" s="324">
        <f t="shared" si="103"/>
        <v>1418</v>
      </c>
      <c r="H40" s="324">
        <f t="shared" si="103"/>
        <v>900</v>
      </c>
      <c r="I40" s="324">
        <f t="shared" si="103"/>
        <v>851</v>
      </c>
      <c r="J40" s="324">
        <f t="shared" si="103"/>
        <v>1751</v>
      </c>
      <c r="K40" s="324">
        <f t="shared" si="103"/>
        <v>1100</v>
      </c>
      <c r="L40" s="324">
        <f t="shared" si="103"/>
        <v>1060</v>
      </c>
      <c r="M40" s="324">
        <f t="shared" si="103"/>
        <v>2160</v>
      </c>
      <c r="N40" s="324">
        <f t="shared" si="103"/>
        <v>1167</v>
      </c>
      <c r="O40" s="324">
        <f>O24</f>
        <v>1321</v>
      </c>
      <c r="P40" s="324">
        <f t="shared" si="103"/>
        <v>2488</v>
      </c>
      <c r="Q40" s="324">
        <f>Q24</f>
        <v>1440</v>
      </c>
      <c r="R40" s="324">
        <f t="shared" si="103"/>
        <v>1289</v>
      </c>
      <c r="S40" s="324">
        <f>S24</f>
        <v>2729</v>
      </c>
      <c r="T40" s="324">
        <f>T24</f>
        <v>1407</v>
      </c>
      <c r="U40" s="324">
        <f t="shared" ref="U40:AG40" si="104">U24</f>
        <v>1940</v>
      </c>
      <c r="V40" s="324">
        <f t="shared" si="104"/>
        <v>3347</v>
      </c>
      <c r="W40" s="324">
        <f t="shared" si="104"/>
        <v>1500</v>
      </c>
      <c r="X40" s="324">
        <f t="shared" si="104"/>
        <v>1300</v>
      </c>
      <c r="Y40" s="324">
        <f t="shared" si="104"/>
        <v>2800</v>
      </c>
      <c r="Z40" s="324">
        <f t="shared" si="104"/>
        <v>1400</v>
      </c>
      <c r="AA40" s="324">
        <f t="shared" si="104"/>
        <v>1800</v>
      </c>
      <c r="AB40" s="324">
        <f t="shared" si="104"/>
        <v>3200</v>
      </c>
      <c r="AC40" s="324">
        <f t="shared" si="104"/>
        <v>1900</v>
      </c>
      <c r="AD40" s="324">
        <f t="shared" si="104"/>
        <v>2300</v>
      </c>
      <c r="AE40" s="324">
        <f t="shared" si="104"/>
        <v>4200</v>
      </c>
      <c r="AF40" s="324">
        <f t="shared" si="104"/>
        <v>1900</v>
      </c>
      <c r="AG40" s="324">
        <f t="shared" si="104"/>
        <v>2600</v>
      </c>
      <c r="AH40" s="324">
        <f>AH24</f>
        <v>4500</v>
      </c>
      <c r="AI40" s="324">
        <f t="shared" ref="AI40:AW40" si="105">AI24</f>
        <v>3500</v>
      </c>
      <c r="AJ40" s="324">
        <f t="shared" si="105"/>
        <v>3100</v>
      </c>
      <c r="AK40" s="324">
        <f t="shared" si="105"/>
        <v>6600</v>
      </c>
      <c r="AL40" s="324">
        <f t="shared" si="105"/>
        <v>5400</v>
      </c>
      <c r="AM40" s="324">
        <f t="shared" si="105"/>
        <v>2500</v>
      </c>
      <c r="AN40" s="324">
        <f t="shared" si="105"/>
        <v>7900</v>
      </c>
      <c r="AO40" s="324">
        <f t="shared" si="105"/>
        <v>3600</v>
      </c>
      <c r="AP40" s="324">
        <f t="shared" si="105"/>
        <v>2400</v>
      </c>
      <c r="AQ40" s="324">
        <f t="shared" si="105"/>
        <v>6000</v>
      </c>
      <c r="AR40" s="324">
        <f t="shared" si="105"/>
        <v>3000</v>
      </c>
      <c r="AS40" s="324">
        <f t="shared" si="105"/>
        <v>2200</v>
      </c>
      <c r="AT40" s="324">
        <f t="shared" si="105"/>
        <v>5200</v>
      </c>
      <c r="AU40" s="324">
        <f t="shared" si="105"/>
        <v>600</v>
      </c>
      <c r="AV40" s="324">
        <f t="shared" si="105"/>
        <v>3400</v>
      </c>
      <c r="AW40" s="324">
        <f t="shared" si="105"/>
        <v>4000</v>
      </c>
      <c r="AX40" s="324">
        <f t="shared" ref="AX40:AZ40" si="106">AX24</f>
        <v>3100</v>
      </c>
      <c r="AY40" s="324">
        <f t="shared" si="106"/>
        <v>6000</v>
      </c>
      <c r="AZ40" s="324">
        <f t="shared" si="106"/>
        <v>9100</v>
      </c>
      <c r="BA40" s="324">
        <f t="shared" ref="BA40:BC40" si="107">BA24</f>
        <v>4000</v>
      </c>
      <c r="BB40" s="324">
        <f t="shared" si="107"/>
        <v>4000</v>
      </c>
      <c r="BC40" s="324">
        <f t="shared" si="107"/>
        <v>8000</v>
      </c>
      <c r="BD40" s="324">
        <f t="shared" ref="BD40:BF40" si="108">BD24</f>
        <v>3250</v>
      </c>
      <c r="BE40" s="324">
        <f t="shared" si="108"/>
        <v>3250</v>
      </c>
      <c r="BF40" s="324">
        <f t="shared" si="108"/>
        <v>6500</v>
      </c>
      <c r="BG40" s="324">
        <f t="shared" ref="BG40:BL40" si="109">BG24</f>
        <v>3250</v>
      </c>
      <c r="BH40" s="324">
        <f t="shared" si="109"/>
        <v>3250</v>
      </c>
      <c r="BI40" s="324">
        <f t="shared" si="109"/>
        <v>6500</v>
      </c>
      <c r="BJ40" s="324">
        <f t="shared" si="109"/>
        <v>3250</v>
      </c>
      <c r="BK40" s="324">
        <f t="shared" si="109"/>
        <v>3250</v>
      </c>
      <c r="BL40" s="324">
        <f t="shared" si="109"/>
        <v>6500</v>
      </c>
      <c r="BM40" s="324">
        <f t="shared" ref="BM40:BO40" si="110">BM24</f>
        <v>3250</v>
      </c>
      <c r="BN40" s="324">
        <f t="shared" si="110"/>
        <v>3250</v>
      </c>
      <c r="BO40" s="324">
        <f t="shared" si="110"/>
        <v>6500</v>
      </c>
    </row>
    <row r="41" spans="1:116" s="278" customFormat="1">
      <c r="A41" s="278" t="s">
        <v>331</v>
      </c>
      <c r="E41" s="364">
        <f>AVERAGE(E40,C40)</f>
        <v>700</v>
      </c>
      <c r="F41" s="364">
        <f>AVERAGE(E40:F40)</f>
        <v>709</v>
      </c>
      <c r="G41" s="364">
        <f>+AVERAGE(E41:F41)</f>
        <v>704.5</v>
      </c>
      <c r="H41" s="364">
        <f>AVERAGE(H40,F40)</f>
        <v>809</v>
      </c>
      <c r="I41" s="364">
        <f>AVERAGE(H40:I40)</f>
        <v>875.5</v>
      </c>
      <c r="J41" s="364">
        <f>+AVERAGE(H41:I41)</f>
        <v>842.25</v>
      </c>
      <c r="K41" s="364">
        <f>AVERAGE(K40,I40)</f>
        <v>975.5</v>
      </c>
      <c r="L41" s="364">
        <f>AVERAGE(K40:L40)</f>
        <v>1080</v>
      </c>
      <c r="M41" s="364">
        <f>+AVERAGE(K41:L41)</f>
        <v>1027.75</v>
      </c>
      <c r="N41" s="364">
        <f>AVERAGE(N40,L40)</f>
        <v>1113.5</v>
      </c>
      <c r="O41" s="364">
        <f>AVERAGE(N40:O40)</f>
        <v>1244</v>
      </c>
      <c r="P41" s="364">
        <f>+AVERAGE(N41:O41)</f>
        <v>1178.75</v>
      </c>
      <c r="Q41" s="364">
        <f>AVERAGE(Q40,O40)</f>
        <v>1380.5</v>
      </c>
      <c r="R41" s="364">
        <f>AVERAGE(Q40:R40)</f>
        <v>1364.5</v>
      </c>
      <c r="S41" s="364"/>
      <c r="T41" s="364">
        <f>AVERAGE(T40,R40)</f>
        <v>1348</v>
      </c>
      <c r="U41" s="364">
        <f>AVERAGE(T40:U40)</f>
        <v>1673.5</v>
      </c>
      <c r="V41" s="364"/>
      <c r="W41" s="364">
        <f>AVERAGE(W40,U40)</f>
        <v>1720</v>
      </c>
      <c r="X41" s="364">
        <f>AVERAGE(W40:X40)</f>
        <v>1400</v>
      </c>
      <c r="Y41" s="364"/>
      <c r="Z41" s="364">
        <f>AVERAGE(Z40,X40)</f>
        <v>1350</v>
      </c>
      <c r="AA41" s="364">
        <f>AVERAGE(Z40:AA40)</f>
        <v>1600</v>
      </c>
      <c r="AB41" s="364"/>
      <c r="AC41" s="364">
        <f>AVERAGE(AC40,AA40)</f>
        <v>1850</v>
      </c>
      <c r="AD41" s="364">
        <f>AVERAGE(AC40:AD40)</f>
        <v>2100</v>
      </c>
      <c r="AE41" s="364"/>
      <c r="AF41" s="364">
        <f>AVERAGE(AF40,AD40)</f>
        <v>2100</v>
      </c>
      <c r="AG41" s="364">
        <f>AVERAGE(AF40:AG40)</f>
        <v>2250</v>
      </c>
      <c r="AH41" s="364"/>
      <c r="AI41" s="364">
        <f>AVERAGE(AI40,AG40)</f>
        <v>3050</v>
      </c>
      <c r="AJ41" s="364">
        <f>AVERAGE(AI40:AJ40)</f>
        <v>3300</v>
      </c>
      <c r="AK41" s="364"/>
      <c r="AL41" s="364">
        <f>AVERAGE(AL40,AJ40)</f>
        <v>4250</v>
      </c>
      <c r="AM41" s="364">
        <f>AVERAGE(AL40:AM40)</f>
        <v>3950</v>
      </c>
      <c r="AN41" s="364"/>
      <c r="AO41" s="364">
        <f>AVERAGE(AO40,AM40)</f>
        <v>3050</v>
      </c>
      <c r="AP41" s="364">
        <f>AVERAGE(AO40:AP40)</f>
        <v>3000</v>
      </c>
      <c r="AQ41" s="364"/>
      <c r="AR41" s="364">
        <f>AVERAGE(AR40,AP40)</f>
        <v>2700</v>
      </c>
      <c r="AS41" s="364">
        <f>AVERAGE(AR40:AS40)</f>
        <v>2600</v>
      </c>
      <c r="AT41" s="364"/>
      <c r="AU41" s="364">
        <f>AVERAGE(AU40,AS40)</f>
        <v>1400</v>
      </c>
      <c r="AV41" s="364">
        <f>AVERAGE(AU40:AV40)</f>
        <v>2000</v>
      </c>
      <c r="AW41" s="364"/>
      <c r="AX41" s="364">
        <f>AVERAGE(AX40,AV40)</f>
        <v>3250</v>
      </c>
      <c r="AY41" s="364">
        <f>AVERAGE(AX40:AY40)</f>
        <v>4550</v>
      </c>
      <c r="AZ41" s="364"/>
      <c r="BA41" s="364">
        <f>AVERAGE(BA40,AY40)</f>
        <v>5000</v>
      </c>
      <c r="BB41" s="364">
        <f>AVERAGE(BA40:BB40)</f>
        <v>4000</v>
      </c>
      <c r="BC41" s="364"/>
      <c r="BD41" s="364">
        <f>AVERAGE(BD40,BB40)</f>
        <v>3625</v>
      </c>
      <c r="BE41" s="364">
        <f>AVERAGE(BD40:BE40)</f>
        <v>3250</v>
      </c>
      <c r="BF41" s="364"/>
      <c r="BG41" s="364">
        <f>AVERAGE(BG40,BE40)</f>
        <v>3250</v>
      </c>
      <c r="BH41" s="364">
        <f>AVERAGE(BG40:BH40)</f>
        <v>3250</v>
      </c>
      <c r="BI41" s="364"/>
      <c r="BJ41" s="364">
        <f>AVERAGE(BJ40,BH40)</f>
        <v>3250</v>
      </c>
      <c r="BK41" s="364">
        <f>AVERAGE(BJ40:BK40)</f>
        <v>3250</v>
      </c>
      <c r="BL41" s="364"/>
      <c r="BM41" s="364">
        <f>AVERAGE(BM40,BK40)</f>
        <v>3250</v>
      </c>
      <c r="BN41" s="364">
        <f>AVERAGE(BM40:BN40)</f>
        <v>3250</v>
      </c>
      <c r="BO41" s="364"/>
    </row>
    <row r="42" spans="1:116" s="278" customFormat="1">
      <c r="A42" s="278" t="s">
        <v>332</v>
      </c>
      <c r="E42" s="364">
        <f>E41</f>
        <v>700</v>
      </c>
      <c r="F42" s="364">
        <f>F41</f>
        <v>709</v>
      </c>
      <c r="G42" s="364">
        <f t="shared" ref="G42:R42" si="111">G41</f>
        <v>704.5</v>
      </c>
      <c r="H42" s="364">
        <f t="shared" si="111"/>
        <v>809</v>
      </c>
      <c r="I42" s="364">
        <f t="shared" si="111"/>
        <v>875.5</v>
      </c>
      <c r="J42" s="364">
        <f t="shared" si="111"/>
        <v>842.25</v>
      </c>
      <c r="K42" s="364">
        <f t="shared" si="111"/>
        <v>975.5</v>
      </c>
      <c r="L42" s="364">
        <f t="shared" si="111"/>
        <v>1080</v>
      </c>
      <c r="M42" s="364">
        <f t="shared" si="111"/>
        <v>1027.75</v>
      </c>
      <c r="N42" s="364">
        <f t="shared" si="111"/>
        <v>1113.5</v>
      </c>
      <c r="O42" s="364">
        <f t="shared" si="111"/>
        <v>1244</v>
      </c>
      <c r="P42" s="364">
        <f t="shared" si="111"/>
        <v>1178.75</v>
      </c>
      <c r="Q42" s="364">
        <f>Q41</f>
        <v>1380.5</v>
      </c>
      <c r="R42" s="364">
        <f t="shared" si="111"/>
        <v>1364.5</v>
      </c>
      <c r="S42" s="364"/>
      <c r="T42" s="364">
        <f>T41</f>
        <v>1348</v>
      </c>
      <c r="U42" s="364">
        <f>U41</f>
        <v>1673.5</v>
      </c>
      <c r="V42" s="364"/>
      <c r="W42" s="364">
        <f>W41</f>
        <v>1720</v>
      </c>
      <c r="X42" s="364">
        <f>X41</f>
        <v>1400</v>
      </c>
      <c r="Y42" s="364"/>
      <c r="Z42" s="364">
        <f>Z41</f>
        <v>1350</v>
      </c>
      <c r="AA42" s="364">
        <f>AA41</f>
        <v>1600</v>
      </c>
      <c r="AB42" s="364"/>
      <c r="AC42" s="364">
        <f>AC41</f>
        <v>1850</v>
      </c>
      <c r="AD42" s="364">
        <f>AD41</f>
        <v>2100</v>
      </c>
      <c r="AE42" s="364"/>
      <c r="AF42" s="364">
        <f>AF41</f>
        <v>2100</v>
      </c>
      <c r="AG42" s="364">
        <f>AG41</f>
        <v>2250</v>
      </c>
      <c r="AH42" s="364"/>
      <c r="AI42" s="364">
        <f>AI41</f>
        <v>3050</v>
      </c>
      <c r="AJ42" s="364">
        <f>AJ41</f>
        <v>3300</v>
      </c>
      <c r="AK42" s="364"/>
      <c r="AL42" s="364">
        <f>AL41</f>
        <v>4250</v>
      </c>
      <c r="AM42" s="364">
        <f>AM41</f>
        <v>3950</v>
      </c>
      <c r="AN42" s="364"/>
      <c r="AO42" s="364">
        <f>AO41</f>
        <v>3050</v>
      </c>
      <c r="AP42" s="364">
        <f>AP41</f>
        <v>3000</v>
      </c>
      <c r="AQ42" s="364"/>
      <c r="AR42" s="364">
        <f>AR41</f>
        <v>2700</v>
      </c>
      <c r="AS42" s="364">
        <f>AS41</f>
        <v>2600</v>
      </c>
      <c r="AT42" s="364"/>
      <c r="AU42" s="364">
        <f>AU41</f>
        <v>1400</v>
      </c>
      <c r="AV42" s="364">
        <f>AV41</f>
        <v>2000</v>
      </c>
      <c r="AW42" s="364"/>
      <c r="AX42" s="364">
        <f>AX41</f>
        <v>3250</v>
      </c>
      <c r="AY42" s="364">
        <f>AY41</f>
        <v>4550</v>
      </c>
      <c r="AZ42" s="364"/>
      <c r="BA42" s="364">
        <f>BA41</f>
        <v>5000</v>
      </c>
      <c r="BB42" s="364">
        <f>BB41</f>
        <v>4000</v>
      </c>
      <c r="BC42" s="364"/>
      <c r="BD42" s="364">
        <f>BD41</f>
        <v>3625</v>
      </c>
      <c r="BE42" s="364">
        <f>BE41</f>
        <v>3250</v>
      </c>
      <c r="BF42" s="364"/>
      <c r="BG42" s="364">
        <f>BG41</f>
        <v>3250</v>
      </c>
      <c r="BH42" s="364">
        <f>BH41</f>
        <v>3250</v>
      </c>
      <c r="BI42" s="364"/>
      <c r="BJ42" s="364">
        <f>BJ41</f>
        <v>3250</v>
      </c>
      <c r="BK42" s="364">
        <f>BK41</f>
        <v>3250</v>
      </c>
      <c r="BL42" s="364"/>
      <c r="BM42" s="364">
        <f>BM41</f>
        <v>3250</v>
      </c>
      <c r="BN42" s="364">
        <f>BN41</f>
        <v>3250</v>
      </c>
      <c r="BO42" s="364"/>
    </row>
    <row r="43" spans="1:116" s="278" customFormat="1">
      <c r="A43" s="278" t="s">
        <v>333</v>
      </c>
      <c r="E43" s="364"/>
      <c r="F43" s="364"/>
      <c r="G43" s="364"/>
      <c r="H43" s="364"/>
      <c r="I43" s="364"/>
      <c r="J43" s="364"/>
      <c r="K43" s="364"/>
      <c r="L43" s="364"/>
      <c r="M43" s="364"/>
      <c r="N43" s="364"/>
      <c r="O43" s="364"/>
      <c r="P43" s="364"/>
      <c r="Q43" s="364">
        <f>+Q42*47.5%</f>
        <v>655.73749999999995</v>
      </c>
      <c r="R43" s="364">
        <f>+R42*47.5%</f>
        <v>648.13749999999993</v>
      </c>
      <c r="S43" s="364"/>
      <c r="T43" s="364">
        <f>+T42*47.5%</f>
        <v>640.29999999999995</v>
      </c>
      <c r="U43" s="364">
        <f>+U42*47.5%</f>
        <v>794.91249999999991</v>
      </c>
      <c r="V43" s="364"/>
      <c r="W43" s="364">
        <f>+W42*47.5%</f>
        <v>817</v>
      </c>
      <c r="X43" s="364">
        <f>+X42*47.5%</f>
        <v>665</v>
      </c>
      <c r="Y43" s="364"/>
      <c r="Z43" s="364">
        <f>+Z42*47.5%</f>
        <v>641.25</v>
      </c>
      <c r="AA43" s="364">
        <f>+AA42*47.5%</f>
        <v>760</v>
      </c>
      <c r="AB43" s="364"/>
      <c r="AC43" s="364">
        <f>+AC42*70%</f>
        <v>1295</v>
      </c>
      <c r="AD43" s="364">
        <f>+AD42*70%</f>
        <v>1470</v>
      </c>
      <c r="AE43" s="364"/>
      <c r="AF43" s="364">
        <f>+AF42*70%</f>
        <v>1470</v>
      </c>
      <c r="AG43" s="364">
        <f>+AG42*70%</f>
        <v>1575</v>
      </c>
      <c r="AH43" s="364"/>
      <c r="AI43" s="364">
        <f>+AI42*70%</f>
        <v>2135</v>
      </c>
      <c r="AJ43" s="364">
        <f>+AJ42*70%</f>
        <v>2310</v>
      </c>
      <c r="AK43" s="364"/>
      <c r="AL43" s="364">
        <f>+AL42*70%</f>
        <v>2975</v>
      </c>
      <c r="AM43" s="364">
        <f>+AM42*70%</f>
        <v>2765</v>
      </c>
      <c r="AN43" s="364"/>
      <c r="AO43" s="364">
        <f>+AO42*70%</f>
        <v>2135</v>
      </c>
      <c r="AP43" s="364">
        <f>+AP42*70%</f>
        <v>2100</v>
      </c>
      <c r="AQ43" s="364"/>
      <c r="AR43" s="364">
        <f>+AR42*70%</f>
        <v>1889.9999999999998</v>
      </c>
      <c r="AS43" s="364">
        <f>+AS42*70%</f>
        <v>1819.9999999999998</v>
      </c>
      <c r="AT43" s="364"/>
      <c r="AU43" s="364">
        <f>+AU42*70%</f>
        <v>979.99999999999989</v>
      </c>
      <c r="AV43" s="364">
        <f>+AV42*70%</f>
        <v>1400</v>
      </c>
      <c r="AW43" s="364"/>
      <c r="AX43" s="364">
        <f>+AX42*70%</f>
        <v>2275</v>
      </c>
      <c r="AY43" s="364">
        <f>+AY42*70%</f>
        <v>3185</v>
      </c>
      <c r="AZ43" s="364"/>
      <c r="BA43" s="364">
        <f>+BA42*70%</f>
        <v>3500</v>
      </c>
      <c r="BB43" s="364">
        <f>+BB42*70%</f>
        <v>2800</v>
      </c>
      <c r="BC43" s="364"/>
      <c r="BD43" s="364">
        <f>+BD42*70%</f>
        <v>2537.5</v>
      </c>
      <c r="BE43" s="364">
        <f>+BE42*70%</f>
        <v>2275</v>
      </c>
      <c r="BF43" s="364"/>
      <c r="BG43" s="364">
        <f>+BG42*70%</f>
        <v>2275</v>
      </c>
      <c r="BH43" s="364">
        <f>+BH42*70%</f>
        <v>2275</v>
      </c>
      <c r="BI43" s="364"/>
      <c r="BJ43" s="364">
        <f>+BJ42*70%</f>
        <v>2275</v>
      </c>
      <c r="BK43" s="364">
        <f>+BK42*70%</f>
        <v>2275</v>
      </c>
      <c r="BL43" s="364"/>
      <c r="BM43" s="364">
        <f>+BM42*70%</f>
        <v>2275</v>
      </c>
      <c r="BN43" s="364">
        <f>+BN42*70%</f>
        <v>2275</v>
      </c>
      <c r="BO43" s="364"/>
    </row>
    <row r="44" spans="1:116" s="278" customFormat="1">
      <c r="A44" s="278" t="s">
        <v>334</v>
      </c>
      <c r="E44" s="360">
        <v>0.1</v>
      </c>
      <c r="F44" s="360">
        <v>0.1</v>
      </c>
      <c r="G44" s="360">
        <v>0.1</v>
      </c>
      <c r="H44" s="360">
        <v>0.1</v>
      </c>
      <c r="I44" s="360">
        <v>0.1</v>
      </c>
      <c r="J44" s="360">
        <v>0.1</v>
      </c>
      <c r="K44" s="360">
        <v>0.1</v>
      </c>
      <c r="L44" s="360">
        <v>0.1</v>
      </c>
      <c r="M44" s="360">
        <v>0.1</v>
      </c>
      <c r="N44" s="360">
        <v>0.1</v>
      </c>
      <c r="O44" s="360">
        <v>0.1</v>
      </c>
      <c r="P44" s="360">
        <v>0.1</v>
      </c>
      <c r="Q44" s="360">
        <v>0.1</v>
      </c>
      <c r="R44" s="360">
        <v>0.1</v>
      </c>
      <c r="S44" s="360"/>
      <c r="T44" s="360">
        <v>0.1</v>
      </c>
      <c r="U44" s="360">
        <v>0.1</v>
      </c>
      <c r="V44" s="360"/>
      <c r="W44" s="360">
        <v>0.2</v>
      </c>
      <c r="X44" s="360">
        <f>W44</f>
        <v>0.2</v>
      </c>
      <c r="Y44" s="360"/>
      <c r="Z44" s="360">
        <f>X44</f>
        <v>0.2</v>
      </c>
      <c r="AA44" s="360">
        <f>Z44</f>
        <v>0.2</v>
      </c>
      <c r="AB44" s="360"/>
      <c r="AC44" s="360">
        <f>AA44</f>
        <v>0.2</v>
      </c>
      <c r="AD44" s="360">
        <f>AC44</f>
        <v>0.2</v>
      </c>
      <c r="AE44" s="360"/>
      <c r="AF44" s="360">
        <f>AD44</f>
        <v>0.2</v>
      </c>
      <c r="AG44" s="360">
        <f>AF44</f>
        <v>0.2</v>
      </c>
      <c r="AH44" s="360"/>
      <c r="AI44" s="360">
        <f>AG44</f>
        <v>0.2</v>
      </c>
      <c r="AJ44" s="360">
        <f>AI44</f>
        <v>0.2</v>
      </c>
      <c r="AK44" s="360"/>
      <c r="AL44" s="360">
        <f>AJ44</f>
        <v>0.2</v>
      </c>
      <c r="AM44" s="360">
        <f>AL44</f>
        <v>0.2</v>
      </c>
      <c r="AN44" s="360"/>
      <c r="AO44" s="360">
        <f>AM44</f>
        <v>0.2</v>
      </c>
      <c r="AP44" s="360">
        <f>AO44</f>
        <v>0.2</v>
      </c>
      <c r="AQ44" s="360"/>
      <c r="AR44" s="360">
        <f>AP44</f>
        <v>0.2</v>
      </c>
      <c r="AS44" s="360">
        <f>AR44</f>
        <v>0.2</v>
      </c>
      <c r="AT44" s="360"/>
      <c r="AU44" s="360">
        <f>AS44</f>
        <v>0.2</v>
      </c>
      <c r="AV44" s="360">
        <v>0.5</v>
      </c>
      <c r="AW44" s="360"/>
      <c r="AX44" s="360">
        <f>AV44</f>
        <v>0.5</v>
      </c>
      <c r="AY44" s="360">
        <f>AX44</f>
        <v>0.5</v>
      </c>
      <c r="AZ44" s="360"/>
      <c r="BA44" s="360">
        <f>AY44</f>
        <v>0.5</v>
      </c>
      <c r="BB44" s="360">
        <f>BA44</f>
        <v>0.5</v>
      </c>
      <c r="BC44" s="360"/>
      <c r="BD44" s="360">
        <f>BB44</f>
        <v>0.5</v>
      </c>
      <c r="BE44" s="360">
        <f>BD44</f>
        <v>0.5</v>
      </c>
      <c r="BF44" s="360"/>
      <c r="BG44" s="360">
        <f>BE44</f>
        <v>0.5</v>
      </c>
      <c r="BH44" s="360">
        <f>BG44</f>
        <v>0.5</v>
      </c>
      <c r="BI44" s="360"/>
      <c r="BJ44" s="360">
        <f>BH44</f>
        <v>0.5</v>
      </c>
      <c r="BK44" s="360">
        <f>BJ44</f>
        <v>0.5</v>
      </c>
      <c r="BL44" s="360"/>
      <c r="BM44" s="360">
        <f>BK44</f>
        <v>0.5</v>
      </c>
      <c r="BN44" s="360">
        <f>BM44</f>
        <v>0.5</v>
      </c>
      <c r="BO44" s="360"/>
    </row>
    <row r="45" spans="1:116" s="336" customFormat="1" ht="12.75" customHeight="1" thickBot="1">
      <c r="A45" s="332" t="s">
        <v>335</v>
      </c>
      <c r="B45" s="332"/>
      <c r="C45" s="331"/>
      <c r="D45" s="331"/>
      <c r="E45" s="333">
        <f>E44*E42</f>
        <v>70</v>
      </c>
      <c r="F45" s="333">
        <f>F44*F42</f>
        <v>70.900000000000006</v>
      </c>
      <c r="G45" s="333">
        <f>G44*G42</f>
        <v>70.45</v>
      </c>
      <c r="H45" s="333">
        <f t="shared" ref="H45:P45" si="112">H44*H42</f>
        <v>80.900000000000006</v>
      </c>
      <c r="I45" s="333">
        <f t="shared" si="112"/>
        <v>87.550000000000011</v>
      </c>
      <c r="J45" s="333">
        <f t="shared" si="112"/>
        <v>84.225000000000009</v>
      </c>
      <c r="K45" s="333">
        <f t="shared" si="112"/>
        <v>97.550000000000011</v>
      </c>
      <c r="L45" s="333">
        <f t="shared" si="112"/>
        <v>108</v>
      </c>
      <c r="M45" s="333">
        <f t="shared" si="112"/>
        <v>102.77500000000001</v>
      </c>
      <c r="N45" s="333">
        <f t="shared" si="112"/>
        <v>111.35000000000001</v>
      </c>
      <c r="O45" s="332">
        <f t="shared" si="112"/>
        <v>124.4</v>
      </c>
      <c r="P45" s="332">
        <f t="shared" si="112"/>
        <v>117.875</v>
      </c>
      <c r="Q45" s="332">
        <f>Q44*Q43</f>
        <v>65.573750000000004</v>
      </c>
      <c r="R45" s="332">
        <f>R44*R43</f>
        <v>64.813749999999999</v>
      </c>
      <c r="S45" s="365">
        <f>+R45+Q45</f>
        <v>130.38749999999999</v>
      </c>
      <c r="T45" s="365">
        <f>+T43*T44</f>
        <v>64.03</v>
      </c>
      <c r="U45" s="365">
        <f>+U43*U44</f>
        <v>79.491249999999994</v>
      </c>
      <c r="V45" s="365">
        <f>+U45+T45</f>
        <v>143.52125000000001</v>
      </c>
      <c r="W45" s="365">
        <f>+W43*W44</f>
        <v>163.4</v>
      </c>
      <c r="X45" s="365">
        <f>+X43*X44</f>
        <v>133</v>
      </c>
      <c r="Y45" s="365">
        <f>+X45+W45</f>
        <v>296.39999999999998</v>
      </c>
      <c r="Z45" s="365">
        <f>+Z43*Z44</f>
        <v>128.25</v>
      </c>
      <c r="AA45" s="365">
        <f>+AA43*AA44</f>
        <v>152</v>
      </c>
      <c r="AB45" s="365">
        <f>+AA45+Z45</f>
        <v>280.25</v>
      </c>
      <c r="AC45" s="365">
        <f>+AC43*AC44</f>
        <v>259</v>
      </c>
      <c r="AD45" s="365">
        <f>+AD43*AD44</f>
        <v>294</v>
      </c>
      <c r="AE45" s="365">
        <f>+AD45+AC45</f>
        <v>553</v>
      </c>
      <c r="AF45" s="365">
        <f>+AF43*AF44</f>
        <v>294</v>
      </c>
      <c r="AG45" s="365">
        <f>+AG43*AG44</f>
        <v>315</v>
      </c>
      <c r="AH45" s="365">
        <f>+AG45+AF45</f>
        <v>609</v>
      </c>
      <c r="AI45" s="365">
        <f>+AI43*AI44</f>
        <v>427</v>
      </c>
      <c r="AJ45" s="365">
        <f>+AJ43*AJ44</f>
        <v>462</v>
      </c>
      <c r="AK45" s="365">
        <f>+AJ45+AI45</f>
        <v>889</v>
      </c>
      <c r="AL45" s="365">
        <f>+AL43*AL44</f>
        <v>595</v>
      </c>
      <c r="AM45" s="365">
        <f>+AM43*AM44</f>
        <v>553</v>
      </c>
      <c r="AN45" s="365">
        <f>+AM45+AL45</f>
        <v>1148</v>
      </c>
      <c r="AO45" s="365">
        <f>+AO43*AO44</f>
        <v>427</v>
      </c>
      <c r="AP45" s="365">
        <f>+AP43*AP44</f>
        <v>420</v>
      </c>
      <c r="AQ45" s="365">
        <f>+AP45+AO45</f>
        <v>847</v>
      </c>
      <c r="AR45" s="365">
        <f>+AR43*AR44</f>
        <v>378</v>
      </c>
      <c r="AS45" s="365">
        <f>+AS43*AS44</f>
        <v>364</v>
      </c>
      <c r="AT45" s="365">
        <f>+AS45+AR45</f>
        <v>742</v>
      </c>
      <c r="AU45" s="365">
        <f>+AU43*AU44</f>
        <v>196</v>
      </c>
      <c r="AV45" s="365">
        <f>+AV43*AV44</f>
        <v>700</v>
      </c>
      <c r="AW45" s="365">
        <f>+AV45+AU45</f>
        <v>896</v>
      </c>
      <c r="AX45" s="365">
        <f>+AX43*AX44</f>
        <v>1137.5</v>
      </c>
      <c r="AY45" s="365">
        <f>+AY43*AY44</f>
        <v>1592.5</v>
      </c>
      <c r="AZ45" s="365">
        <f>+AY45+AX45</f>
        <v>2730</v>
      </c>
      <c r="BA45" s="365">
        <f>+BA43*BA44</f>
        <v>1750</v>
      </c>
      <c r="BB45" s="365">
        <f>+BB43*BB44</f>
        <v>1400</v>
      </c>
      <c r="BC45" s="365">
        <f>+BB45+BA45</f>
        <v>3150</v>
      </c>
      <c r="BD45" s="365">
        <f>+BD43*BD44</f>
        <v>1268.75</v>
      </c>
      <c r="BE45" s="365">
        <f>+BE43*BE44</f>
        <v>1137.5</v>
      </c>
      <c r="BF45" s="365">
        <f>+BE45+BD45</f>
        <v>2406.25</v>
      </c>
      <c r="BG45" s="365">
        <f>+BG43*BG44</f>
        <v>1137.5</v>
      </c>
      <c r="BH45" s="365">
        <f>+BH43*BH44</f>
        <v>1137.5</v>
      </c>
      <c r="BI45" s="365">
        <f>+BH45+BG45</f>
        <v>2275</v>
      </c>
      <c r="BJ45" s="365">
        <f>+BJ43*BJ44</f>
        <v>1137.5</v>
      </c>
      <c r="BK45" s="365">
        <f>+BK43*BK44</f>
        <v>1137.5</v>
      </c>
      <c r="BL45" s="365">
        <f>+BK45+BJ45</f>
        <v>2275</v>
      </c>
      <c r="BM45" s="365">
        <f>+BM43*BM44</f>
        <v>1137.5</v>
      </c>
      <c r="BN45" s="365">
        <f>+BN43*BN44</f>
        <v>1137.5</v>
      </c>
      <c r="BO45" s="365">
        <f>+BN45+BM45</f>
        <v>2275</v>
      </c>
      <c r="BP45" s="334"/>
      <c r="BQ45" s="334"/>
      <c r="BR45" s="334"/>
      <c r="BS45" s="334"/>
      <c r="BT45" s="334"/>
      <c r="BU45" s="334"/>
      <c r="BV45" s="334"/>
      <c r="BW45" s="334"/>
      <c r="BX45" s="334"/>
      <c r="BY45" s="334"/>
      <c r="BZ45" s="334"/>
      <c r="CA45" s="334"/>
      <c r="CB45" s="334"/>
      <c r="CC45" s="334"/>
      <c r="CD45" s="334"/>
      <c r="CE45" s="334"/>
      <c r="CF45" s="334"/>
      <c r="CG45" s="334"/>
      <c r="CH45" s="334"/>
      <c r="CI45" s="334"/>
      <c r="CJ45" s="334"/>
      <c r="CK45" s="334"/>
      <c r="CL45" s="334"/>
      <c r="CM45" s="334"/>
      <c r="CN45" s="334"/>
      <c r="CO45" s="334"/>
      <c r="CP45" s="334"/>
      <c r="CQ45" s="334"/>
      <c r="CR45" s="334"/>
      <c r="CS45" s="334"/>
      <c r="CT45" s="334"/>
      <c r="CU45" s="334"/>
      <c r="CV45" s="334"/>
      <c r="CW45" s="334"/>
      <c r="CX45" s="334"/>
      <c r="CY45" s="334"/>
      <c r="CZ45" s="334"/>
      <c r="DA45" s="334"/>
      <c r="DB45" s="334"/>
      <c r="DC45" s="334"/>
      <c r="DD45" s="334"/>
      <c r="DE45" s="334"/>
      <c r="DF45" s="334"/>
      <c r="DG45" s="334"/>
      <c r="DH45" s="334"/>
      <c r="DI45" s="335"/>
      <c r="DJ45" s="335"/>
      <c r="DK45" s="335"/>
      <c r="DL45" s="335"/>
    </row>
    <row r="46" spans="1:116" s="278" customFormat="1" ht="13.3" thickTop="1">
      <c r="A46" s="278" t="s">
        <v>33</v>
      </c>
      <c r="W46" s="346">
        <f>AVERAGE(W26,U26)*0.475*W44</f>
        <v>157.08249999999998</v>
      </c>
      <c r="X46" s="346">
        <f>AVERAGE(X26,W26)*0.475*X44</f>
        <v>128.25</v>
      </c>
      <c r="Y46" s="346">
        <f>SUM(W46:X46)</f>
        <v>285.33249999999998</v>
      </c>
      <c r="Z46" s="346">
        <f>AVERAGE(Z26,X26)*0.475*Z44</f>
        <v>133</v>
      </c>
      <c r="AA46" s="346">
        <f>AVERAGE(AA26,Z26)*0.475*AA44</f>
        <v>166.25</v>
      </c>
      <c r="AB46" s="346">
        <f>SUM(Z46:AA46)</f>
        <v>299.25</v>
      </c>
      <c r="AC46" s="346">
        <f>AVERAGE(AC26,AA26)*0.475*AC44</f>
        <v>199.5</v>
      </c>
      <c r="AD46" s="346">
        <f>AVERAGE(AD26,AC26)*0.475*AD44</f>
        <v>185.25</v>
      </c>
      <c r="AE46" s="346">
        <f>SUM(AC46:AD46)</f>
        <v>384.75</v>
      </c>
      <c r="AF46" s="346">
        <f>AVERAGE(AF26,AD26)*0.475*AF44</f>
        <v>166.25</v>
      </c>
      <c r="AG46" s="346">
        <f>AVERAGE(AG26,AF26)*0.475*AG44</f>
        <v>114</v>
      </c>
      <c r="AH46" s="346">
        <f>SUM(AF46:AG46)</f>
        <v>280.25</v>
      </c>
      <c r="AI46" s="346">
        <f>AVERAGE(AI26,AG26)*0.475*AI44</f>
        <v>104.5</v>
      </c>
      <c r="AJ46" s="346">
        <f>AVERAGE(AJ26,AI26)*0.475*AJ44</f>
        <v>114</v>
      </c>
      <c r="AK46" s="346">
        <f>SUM(AI46:AJ46)</f>
        <v>218.5</v>
      </c>
      <c r="AL46" s="346">
        <f>AVERAGE(AL26,AJ26)*0.475*AL44</f>
        <v>237.5</v>
      </c>
      <c r="AM46" s="346">
        <f>AVERAGE(AM26,AL26)*0.475*AM44</f>
        <v>285</v>
      </c>
      <c r="AN46" s="346">
        <f>SUM(AL46:AM46)</f>
        <v>522.5</v>
      </c>
      <c r="AO46" s="346">
        <f>AVERAGE(AO26,AM26)*0.475*AO44</f>
        <v>261.25</v>
      </c>
      <c r="AP46" s="346">
        <f>AVERAGE(AP26,AO26)*0.475*AP44</f>
        <v>327.75</v>
      </c>
      <c r="AQ46" s="346">
        <f>SUM(AO46:AP46)</f>
        <v>589</v>
      </c>
      <c r="AR46" s="346">
        <f>AVERAGE(AR26,AP26)*0.475*AR44</f>
        <v>289.75</v>
      </c>
      <c r="AS46" s="346">
        <f>AVERAGE(AS26,AR26)*0.475*AS44</f>
        <v>199.5</v>
      </c>
      <c r="AT46" s="346">
        <f>SUM(AR46:AS46)</f>
        <v>489.25</v>
      </c>
      <c r="AU46" s="346">
        <f>AVERAGE(AU26,AS26)*0.475*AU44</f>
        <v>133</v>
      </c>
      <c r="AV46" s="346">
        <f>AVERAGE(AV26,AU26)*0.475*AV44</f>
        <v>605.625</v>
      </c>
      <c r="AW46" s="346">
        <f>SUM(AU46:AV46)</f>
        <v>738.625</v>
      </c>
      <c r="AX46" s="346">
        <f>AVERAGE(AX26,AV26)*0.475*AX44</f>
        <v>736.25</v>
      </c>
      <c r="AY46" s="346">
        <f>AVERAGE(AY26,AX26)*0.475*AY44</f>
        <v>534.375</v>
      </c>
      <c r="AZ46" s="346">
        <f>SUM(AX46:AY46)</f>
        <v>1270.625</v>
      </c>
      <c r="BA46" s="346">
        <f>AVERAGE(BA26,AY26)*0.475*BA44</f>
        <v>534.375</v>
      </c>
      <c r="BB46" s="346">
        <f>AVERAGE(BB26,BA26)*0.475*BB44</f>
        <v>593.75</v>
      </c>
      <c r="BC46" s="346">
        <f>SUM(BA46:BB46)</f>
        <v>1128.125</v>
      </c>
      <c r="BD46" s="346">
        <f>AVERAGE(BD26,BB26)*0.475*BD44</f>
        <v>712.5</v>
      </c>
      <c r="BE46" s="346">
        <f>AVERAGE(BE26,BD26)*0.475*BE44</f>
        <v>831.25</v>
      </c>
      <c r="BF46" s="346">
        <f>SUM(BD46:BE46)</f>
        <v>1543.75</v>
      </c>
      <c r="BG46" s="346">
        <f>AVERAGE(BG26,BE26)*0.475*BG44</f>
        <v>831.25</v>
      </c>
      <c r="BH46" s="346">
        <f>AVERAGE(BH26,BG26)*0.475*BH44</f>
        <v>831.25</v>
      </c>
      <c r="BI46" s="346">
        <f>SUM(BG46:BH46)</f>
        <v>1662.5</v>
      </c>
      <c r="BJ46" s="346">
        <f>AVERAGE(BJ26,BH26)*0.475*BJ44</f>
        <v>837.1875</v>
      </c>
      <c r="BK46" s="346">
        <f>AVERAGE(BK26,BJ26)*0.475*BK44</f>
        <v>837.1875</v>
      </c>
      <c r="BL46" s="346">
        <f>SUM(BJ46:BK46)</f>
        <v>1674.375</v>
      </c>
      <c r="BM46" s="346">
        <f>AVERAGE(BM26,BK26)*0.475*BM44</f>
        <v>837.1875</v>
      </c>
      <c r="BN46" s="346">
        <f>AVERAGE(BN26,BM26)*0.475*BN44</f>
        <v>837.1875</v>
      </c>
      <c r="BO46" s="346">
        <f>SUM(BM46:BN46)</f>
        <v>1674.375</v>
      </c>
    </row>
    <row r="47" spans="1:116" s="278" customFormat="1"/>
    <row r="48" spans="1:116" s="278" customFormat="1">
      <c r="A48" s="283" t="s">
        <v>336</v>
      </c>
    </row>
    <row r="49" spans="1:43" s="278" customFormat="1">
      <c r="A49" s="278" t="s">
        <v>337</v>
      </c>
      <c r="C49" s="366">
        <f>D49</f>
        <v>0.15</v>
      </c>
      <c r="D49" s="366">
        <v>0.15</v>
      </c>
      <c r="E49" s="366">
        <v>0.26</v>
      </c>
      <c r="F49" s="366">
        <f>G49</f>
        <v>0.32</v>
      </c>
      <c r="G49" s="366">
        <v>0.32</v>
      </c>
      <c r="H49" s="366">
        <v>0.28999999999999998</v>
      </c>
      <c r="I49" s="366">
        <f>J49</f>
        <v>0.31</v>
      </c>
      <c r="J49" s="366">
        <v>0.31</v>
      </c>
      <c r="K49" s="366">
        <v>0.42</v>
      </c>
      <c r="L49" s="366">
        <f>M49</f>
        <v>0.33</v>
      </c>
      <c r="M49" s="366">
        <v>0.33</v>
      </c>
      <c r="N49" s="366">
        <v>0.3</v>
      </c>
      <c r="O49" s="367">
        <v>0.17</v>
      </c>
    </row>
    <row r="50" spans="1:43" s="278" customFormat="1">
      <c r="A50" s="278" t="s">
        <v>31</v>
      </c>
      <c r="C50" s="366">
        <f t="shared" ref="C50:C56" si="113">D50</f>
        <v>0</v>
      </c>
      <c r="D50" s="366">
        <v>0</v>
      </c>
      <c r="E50" s="366">
        <v>0.03</v>
      </c>
      <c r="F50" s="366">
        <f t="shared" ref="F50:F56" si="114">G50</f>
        <v>0.03</v>
      </c>
      <c r="G50" s="366">
        <v>0.03</v>
      </c>
      <c r="H50" s="366">
        <v>0</v>
      </c>
      <c r="I50" s="366">
        <f t="shared" ref="I50:I56" si="115">J50</f>
        <v>0.17</v>
      </c>
      <c r="J50" s="366">
        <v>0.17</v>
      </c>
      <c r="K50" s="366">
        <v>0.13</v>
      </c>
      <c r="L50" s="366">
        <f t="shared" ref="L50:L56" si="116">M50</f>
        <v>0.16</v>
      </c>
      <c r="M50" s="366">
        <v>0.16</v>
      </c>
      <c r="N50" s="366">
        <v>0.21</v>
      </c>
      <c r="O50" s="367">
        <v>0.17</v>
      </c>
    </row>
    <row r="51" spans="1:43" s="278" customFormat="1">
      <c r="A51" s="278" t="s">
        <v>29</v>
      </c>
      <c r="C51" s="366">
        <f t="shared" si="113"/>
        <v>0.12</v>
      </c>
      <c r="D51" s="366">
        <v>0.12</v>
      </c>
      <c r="E51" s="366">
        <v>0.13</v>
      </c>
      <c r="F51" s="366">
        <f t="shared" si="114"/>
        <v>0.26</v>
      </c>
      <c r="G51" s="366">
        <v>0.26</v>
      </c>
      <c r="H51" s="366">
        <v>0.3</v>
      </c>
      <c r="I51" s="366">
        <f t="shared" si="115"/>
        <v>0.28000000000000003</v>
      </c>
      <c r="J51" s="366">
        <v>0.28000000000000003</v>
      </c>
      <c r="K51" s="366">
        <v>0.24</v>
      </c>
      <c r="L51" s="366">
        <f t="shared" si="116"/>
        <v>0.24</v>
      </c>
      <c r="M51" s="366">
        <v>0.24</v>
      </c>
      <c r="N51" s="366">
        <v>0.15</v>
      </c>
      <c r="O51" s="367">
        <v>0.19</v>
      </c>
      <c r="AB51" s="325">
        <f>AB33/Y33-1</f>
        <v>1.5945330296127658E-2</v>
      </c>
      <c r="AE51" s="325">
        <f>AE33/AB33-1</f>
        <v>3.7912759885853964E-2</v>
      </c>
      <c r="AH51" s="325">
        <f>AH33/AE33-1</f>
        <v>0.13059701492537323</v>
      </c>
      <c r="AK51" s="325">
        <f>AK33/AH33-1</f>
        <v>0.24700364773319428</v>
      </c>
      <c r="AN51" s="325">
        <f>AN33/AK33-1</f>
        <v>0.3382086641593538</v>
      </c>
      <c r="AQ51" s="325">
        <f>AQ33/AN33-1</f>
        <v>0.35442906214218795</v>
      </c>
    </row>
    <row r="52" spans="1:43" s="278" customFormat="1">
      <c r="A52" s="278" t="s">
        <v>338</v>
      </c>
      <c r="C52" s="366">
        <f t="shared" si="113"/>
        <v>0.51</v>
      </c>
      <c r="D52" s="366">
        <v>0.51</v>
      </c>
      <c r="E52" s="366">
        <f>0.01+0.37</f>
        <v>0.38</v>
      </c>
      <c r="F52" s="366">
        <f t="shared" si="114"/>
        <v>0.31</v>
      </c>
      <c r="G52" s="366">
        <f>0.29+0.02</f>
        <v>0.31</v>
      </c>
      <c r="H52" s="366">
        <f>0.04+0.27</f>
        <v>0.31</v>
      </c>
      <c r="I52" s="366">
        <f t="shared" si="115"/>
        <v>0.09</v>
      </c>
      <c r="J52" s="366">
        <v>0.09</v>
      </c>
      <c r="K52" s="366">
        <v>0.11</v>
      </c>
      <c r="L52" s="366">
        <f t="shared" si="116"/>
        <v>0.13</v>
      </c>
      <c r="M52" s="366">
        <v>0.13</v>
      </c>
      <c r="N52" s="366">
        <v>0.14000000000000001</v>
      </c>
      <c r="O52" s="367">
        <v>0.23</v>
      </c>
    </row>
    <row r="53" spans="1:43" s="278" customFormat="1">
      <c r="A53" s="278" t="s">
        <v>28</v>
      </c>
      <c r="C53" s="366">
        <f t="shared" si="113"/>
        <v>0.02</v>
      </c>
      <c r="D53" s="366">
        <v>0.02</v>
      </c>
      <c r="E53" s="366">
        <v>0.03</v>
      </c>
      <c r="F53" s="366">
        <f t="shared" si="114"/>
        <v>0.03</v>
      </c>
      <c r="G53" s="366">
        <v>0.03</v>
      </c>
      <c r="H53" s="366">
        <v>0.03</v>
      </c>
      <c r="I53" s="366">
        <f t="shared" si="115"/>
        <v>0.05</v>
      </c>
      <c r="J53" s="366">
        <v>0.05</v>
      </c>
      <c r="K53" s="366">
        <v>0.05</v>
      </c>
      <c r="L53" s="366">
        <f t="shared" si="116"/>
        <v>0.06</v>
      </c>
      <c r="M53" s="366">
        <v>0.06</v>
      </c>
      <c r="N53" s="366">
        <v>0.08</v>
      </c>
      <c r="O53" s="367">
        <v>0.1</v>
      </c>
    </row>
    <row r="54" spans="1:43" s="278" customFormat="1">
      <c r="A54" s="278" t="s">
        <v>30</v>
      </c>
      <c r="C54" s="366">
        <f t="shared" si="113"/>
        <v>0.2</v>
      </c>
      <c r="D54" s="366">
        <v>0.2</v>
      </c>
      <c r="E54" s="366">
        <v>0.17</v>
      </c>
      <c r="F54" s="366">
        <f t="shared" si="114"/>
        <v>0.05</v>
      </c>
      <c r="G54" s="366">
        <v>0.05</v>
      </c>
      <c r="H54" s="366">
        <v>7.0000000000000007E-2</v>
      </c>
      <c r="I54" s="366">
        <f t="shared" si="115"/>
        <v>0.1</v>
      </c>
      <c r="J54" s="366">
        <v>0.1</v>
      </c>
      <c r="K54" s="366">
        <v>0.05</v>
      </c>
      <c r="L54" s="366">
        <f t="shared" si="116"/>
        <v>0.03</v>
      </c>
      <c r="M54" s="366">
        <v>0.03</v>
      </c>
      <c r="N54" s="366">
        <v>7.0000000000000007E-2</v>
      </c>
      <c r="O54" s="367">
        <v>0.05</v>
      </c>
    </row>
    <row r="55" spans="1:43" s="278" customFormat="1">
      <c r="A55" s="278" t="s">
        <v>339</v>
      </c>
      <c r="C55" s="366">
        <f t="shared" si="113"/>
        <v>0</v>
      </c>
      <c r="D55" s="366"/>
      <c r="E55" s="366"/>
      <c r="F55" s="366">
        <f t="shared" si="114"/>
        <v>0</v>
      </c>
      <c r="G55" s="366"/>
      <c r="H55" s="366">
        <v>0</v>
      </c>
      <c r="I55" s="366">
        <f t="shared" si="115"/>
        <v>0</v>
      </c>
      <c r="J55" s="366">
        <v>0</v>
      </c>
      <c r="K55" s="366">
        <v>0</v>
      </c>
      <c r="L55" s="366">
        <f t="shared" si="116"/>
        <v>0.03</v>
      </c>
      <c r="M55" s="366">
        <v>0.03</v>
      </c>
      <c r="N55" s="366">
        <v>0.03</v>
      </c>
      <c r="O55" s="367">
        <v>0.03</v>
      </c>
    </row>
    <row r="56" spans="1:43" s="278" customFormat="1">
      <c r="A56" s="278" t="s">
        <v>340</v>
      </c>
      <c r="C56" s="366">
        <f t="shared" si="113"/>
        <v>0</v>
      </c>
      <c r="D56" s="366"/>
      <c r="E56" s="366"/>
      <c r="F56" s="366">
        <f t="shared" si="114"/>
        <v>0</v>
      </c>
      <c r="G56" s="366"/>
      <c r="H56" s="366"/>
      <c r="I56" s="366">
        <f t="shared" si="115"/>
        <v>0</v>
      </c>
      <c r="J56" s="366">
        <v>0</v>
      </c>
      <c r="K56" s="366">
        <v>0</v>
      </c>
      <c r="L56" s="366">
        <f t="shared" si="116"/>
        <v>0.02</v>
      </c>
      <c r="M56" s="366">
        <v>0.02</v>
      </c>
      <c r="N56" s="366">
        <v>0.02</v>
      </c>
      <c r="O56" s="367">
        <v>0.06</v>
      </c>
    </row>
    <row r="57" spans="1:43" s="278" customFormat="1">
      <c r="N57" s="366"/>
    </row>
    <row r="58" spans="1:43" s="278" customFormat="1">
      <c r="A58" s="283" t="s">
        <v>341</v>
      </c>
    </row>
    <row r="59" spans="1:43" s="278" customFormat="1">
      <c r="A59" s="278" t="s">
        <v>337</v>
      </c>
      <c r="C59" s="368">
        <f t="shared" ref="C59:O66" si="117">+C49*C$28</f>
        <v>189.75</v>
      </c>
      <c r="D59" s="368">
        <f t="shared" si="117"/>
        <v>189.75</v>
      </c>
      <c r="E59" s="368">
        <f t="shared" si="117"/>
        <v>390</v>
      </c>
      <c r="F59" s="368">
        <f t="shared" si="117"/>
        <v>581.44000000000005</v>
      </c>
      <c r="G59" s="368">
        <f t="shared" si="117"/>
        <v>581.44000000000005</v>
      </c>
      <c r="H59" s="368">
        <f t="shared" si="117"/>
        <v>609</v>
      </c>
      <c r="I59" s="368">
        <f t="shared" si="117"/>
        <v>578.15</v>
      </c>
      <c r="J59" s="368">
        <f t="shared" si="117"/>
        <v>578.15</v>
      </c>
      <c r="K59" s="368">
        <f>+K49*K$28</f>
        <v>840</v>
      </c>
      <c r="L59" s="368">
        <f t="shared" si="117"/>
        <v>773.85</v>
      </c>
      <c r="M59" s="368">
        <f>+M49*M$28</f>
        <v>773.85</v>
      </c>
      <c r="N59" s="368">
        <f>+N49*N$28</f>
        <v>777.6</v>
      </c>
      <c r="O59" s="368">
        <f>+O49*O$28</f>
        <v>440.13000000000005</v>
      </c>
    </row>
    <row r="60" spans="1:43" s="278" customFormat="1">
      <c r="A60" s="278" t="s">
        <v>31</v>
      </c>
      <c r="C60" s="368">
        <f t="shared" si="117"/>
        <v>0</v>
      </c>
      <c r="D60" s="368">
        <f t="shared" si="117"/>
        <v>0</v>
      </c>
      <c r="E60" s="368">
        <f t="shared" si="117"/>
        <v>45</v>
      </c>
      <c r="F60" s="368">
        <f t="shared" si="117"/>
        <v>54.51</v>
      </c>
      <c r="G60" s="368">
        <f t="shared" si="117"/>
        <v>54.51</v>
      </c>
      <c r="H60" s="368">
        <f t="shared" si="117"/>
        <v>0</v>
      </c>
      <c r="I60" s="368">
        <f t="shared" si="117"/>
        <v>317.05</v>
      </c>
      <c r="J60" s="368">
        <f t="shared" si="117"/>
        <v>317.05</v>
      </c>
      <c r="K60" s="368">
        <f t="shared" si="117"/>
        <v>260</v>
      </c>
      <c r="L60" s="368">
        <f t="shared" si="117"/>
        <v>375.2</v>
      </c>
      <c r="M60" s="368">
        <f t="shared" si="117"/>
        <v>375.2</v>
      </c>
      <c r="N60" s="368">
        <f t="shared" si="117"/>
        <v>544.31999999999994</v>
      </c>
      <c r="O60" s="368">
        <f t="shared" si="117"/>
        <v>440.13000000000005</v>
      </c>
    </row>
    <row r="61" spans="1:43" s="278" customFormat="1">
      <c r="A61" s="278" t="s">
        <v>29</v>
      </c>
      <c r="C61" s="368">
        <f t="shared" si="117"/>
        <v>151.79999999999998</v>
      </c>
      <c r="D61" s="368">
        <f t="shared" si="117"/>
        <v>151.79999999999998</v>
      </c>
      <c r="E61" s="368">
        <f t="shared" si="117"/>
        <v>195</v>
      </c>
      <c r="F61" s="368">
        <f t="shared" si="117"/>
        <v>472.42</v>
      </c>
      <c r="G61" s="368">
        <f t="shared" si="117"/>
        <v>472.42</v>
      </c>
      <c r="H61" s="368">
        <f t="shared" si="117"/>
        <v>630</v>
      </c>
      <c r="I61" s="368">
        <f t="shared" si="117"/>
        <v>522.20000000000005</v>
      </c>
      <c r="J61" s="368">
        <f t="shared" si="117"/>
        <v>522.20000000000005</v>
      </c>
      <c r="K61" s="368">
        <f t="shared" si="117"/>
        <v>480</v>
      </c>
      <c r="L61" s="368">
        <f t="shared" si="117"/>
        <v>562.79999999999995</v>
      </c>
      <c r="M61" s="368">
        <f t="shared" si="117"/>
        <v>562.79999999999995</v>
      </c>
      <c r="N61" s="368">
        <f t="shared" si="117"/>
        <v>388.8</v>
      </c>
      <c r="O61" s="368">
        <f t="shared" si="117"/>
        <v>491.91</v>
      </c>
    </row>
    <row r="62" spans="1:43" s="278" customFormat="1">
      <c r="A62" s="278" t="s">
        <v>32</v>
      </c>
      <c r="C62" s="368">
        <f t="shared" si="117"/>
        <v>645.15</v>
      </c>
      <c r="D62" s="368">
        <f t="shared" si="117"/>
        <v>645.15</v>
      </c>
      <c r="E62" s="368">
        <f t="shared" si="117"/>
        <v>570</v>
      </c>
      <c r="F62" s="368">
        <f t="shared" si="117"/>
        <v>563.27</v>
      </c>
      <c r="G62" s="368">
        <f t="shared" si="117"/>
        <v>563.27</v>
      </c>
      <c r="H62" s="368">
        <f t="shared" si="117"/>
        <v>651</v>
      </c>
      <c r="I62" s="368">
        <f t="shared" si="117"/>
        <v>167.85</v>
      </c>
      <c r="J62" s="368">
        <f t="shared" si="117"/>
        <v>167.85</v>
      </c>
      <c r="K62" s="368">
        <f t="shared" si="117"/>
        <v>220</v>
      </c>
      <c r="L62" s="368">
        <f t="shared" si="117"/>
        <v>304.85000000000002</v>
      </c>
      <c r="M62" s="368">
        <f t="shared" si="117"/>
        <v>304.85000000000002</v>
      </c>
      <c r="N62" s="368">
        <f t="shared" si="117"/>
        <v>362.88000000000005</v>
      </c>
      <c r="O62" s="368">
        <f t="shared" si="117"/>
        <v>595.47</v>
      </c>
    </row>
    <row r="63" spans="1:43" s="278" customFormat="1">
      <c r="A63" s="278" t="s">
        <v>28</v>
      </c>
      <c r="C63" s="368">
        <f t="shared" si="117"/>
        <v>25.3</v>
      </c>
      <c r="D63" s="368">
        <f t="shared" si="117"/>
        <v>25.3</v>
      </c>
      <c r="E63" s="368">
        <f t="shared" si="117"/>
        <v>45</v>
      </c>
      <c r="F63" s="368">
        <f t="shared" si="117"/>
        <v>54.51</v>
      </c>
      <c r="G63" s="368">
        <f t="shared" si="117"/>
        <v>54.51</v>
      </c>
      <c r="H63" s="368">
        <f t="shared" si="117"/>
        <v>63</v>
      </c>
      <c r="I63" s="368">
        <f t="shared" si="117"/>
        <v>93.25</v>
      </c>
      <c r="J63" s="368">
        <f t="shared" si="117"/>
        <v>93.25</v>
      </c>
      <c r="K63" s="368">
        <f t="shared" si="117"/>
        <v>100</v>
      </c>
      <c r="L63" s="368">
        <f t="shared" si="117"/>
        <v>140.69999999999999</v>
      </c>
      <c r="M63" s="368">
        <f t="shared" si="117"/>
        <v>140.69999999999999</v>
      </c>
      <c r="N63" s="368">
        <f t="shared" si="117"/>
        <v>207.36</v>
      </c>
      <c r="O63" s="368">
        <f t="shared" si="117"/>
        <v>258.90000000000003</v>
      </c>
    </row>
    <row r="64" spans="1:43" s="278" customFormat="1">
      <c r="A64" s="278" t="s">
        <v>30</v>
      </c>
      <c r="C64" s="368">
        <f t="shared" si="117"/>
        <v>253</v>
      </c>
      <c r="D64" s="368">
        <f t="shared" si="117"/>
        <v>253</v>
      </c>
      <c r="E64" s="368">
        <f t="shared" si="117"/>
        <v>255.00000000000003</v>
      </c>
      <c r="F64" s="368">
        <f t="shared" si="117"/>
        <v>90.850000000000009</v>
      </c>
      <c r="G64" s="368">
        <f t="shared" si="117"/>
        <v>90.850000000000009</v>
      </c>
      <c r="H64" s="368">
        <f t="shared" si="117"/>
        <v>147</v>
      </c>
      <c r="I64" s="368">
        <f t="shared" si="117"/>
        <v>186.5</v>
      </c>
      <c r="J64" s="368">
        <f t="shared" si="117"/>
        <v>186.5</v>
      </c>
      <c r="K64" s="368">
        <f t="shared" si="117"/>
        <v>100</v>
      </c>
      <c r="L64" s="368">
        <f t="shared" si="117"/>
        <v>70.349999999999994</v>
      </c>
      <c r="M64" s="368">
        <f t="shared" si="117"/>
        <v>70.349999999999994</v>
      </c>
      <c r="N64" s="368">
        <f t="shared" si="117"/>
        <v>181.44000000000003</v>
      </c>
      <c r="O64" s="368">
        <f t="shared" si="117"/>
        <v>129.45000000000002</v>
      </c>
    </row>
    <row r="65" spans="1:33" s="278" customFormat="1">
      <c r="A65" s="278" t="s">
        <v>339</v>
      </c>
      <c r="C65" s="368">
        <f t="shared" si="117"/>
        <v>0</v>
      </c>
      <c r="D65" s="368">
        <f t="shared" si="117"/>
        <v>0</v>
      </c>
      <c r="E65" s="368">
        <f t="shared" si="117"/>
        <v>0</v>
      </c>
      <c r="F65" s="368">
        <f t="shared" si="117"/>
        <v>0</v>
      </c>
      <c r="G65" s="368">
        <f t="shared" si="117"/>
        <v>0</v>
      </c>
      <c r="H65" s="368">
        <f t="shared" si="117"/>
        <v>0</v>
      </c>
      <c r="I65" s="368">
        <f t="shared" si="117"/>
        <v>0</v>
      </c>
      <c r="J65" s="368">
        <f t="shared" si="117"/>
        <v>0</v>
      </c>
      <c r="K65" s="368">
        <f t="shared" si="117"/>
        <v>0</v>
      </c>
      <c r="L65" s="368">
        <f t="shared" si="117"/>
        <v>70.349999999999994</v>
      </c>
      <c r="M65" s="368">
        <f t="shared" si="117"/>
        <v>70.349999999999994</v>
      </c>
      <c r="N65" s="368">
        <f t="shared" si="117"/>
        <v>77.759999999999991</v>
      </c>
      <c r="O65" s="368">
        <f t="shared" si="117"/>
        <v>77.67</v>
      </c>
    </row>
    <row r="66" spans="1:33" s="278" customFormat="1">
      <c r="A66" s="278" t="s">
        <v>340</v>
      </c>
      <c r="C66" s="368">
        <f t="shared" si="117"/>
        <v>0</v>
      </c>
      <c r="D66" s="368">
        <f t="shared" si="117"/>
        <v>0</v>
      </c>
      <c r="E66" s="368">
        <f t="shared" si="117"/>
        <v>0</v>
      </c>
      <c r="F66" s="368">
        <f t="shared" si="117"/>
        <v>0</v>
      </c>
      <c r="G66" s="368">
        <f t="shared" si="117"/>
        <v>0</v>
      </c>
      <c r="H66" s="368">
        <f t="shared" si="117"/>
        <v>0</v>
      </c>
      <c r="I66" s="368">
        <f t="shared" si="117"/>
        <v>0</v>
      </c>
      <c r="J66" s="368">
        <f t="shared" si="117"/>
        <v>0</v>
      </c>
      <c r="K66" s="368">
        <f t="shared" si="117"/>
        <v>0</v>
      </c>
      <c r="L66" s="368">
        <f t="shared" si="117"/>
        <v>46.9</v>
      </c>
      <c r="M66" s="368">
        <f t="shared" si="117"/>
        <v>46.9</v>
      </c>
      <c r="N66" s="368">
        <f t="shared" si="117"/>
        <v>51.84</v>
      </c>
      <c r="O66" s="368">
        <f t="shared" si="117"/>
        <v>155.34</v>
      </c>
    </row>
    <row r="67" spans="1:33" s="278" customFormat="1">
      <c r="A67" s="354"/>
      <c r="N67" s="323"/>
    </row>
    <row r="68" spans="1:33" s="278" customFormat="1"/>
    <row r="69" spans="1:33" s="278" customFormat="1"/>
    <row r="70" spans="1:33" s="278" customFormat="1"/>
    <row r="71" spans="1:33" s="278" customFormat="1"/>
    <row r="72" spans="1:33" s="278" customFormat="1"/>
    <row r="73" spans="1:33" s="278" customFormat="1"/>
    <row r="74" spans="1:33" s="278" customFormat="1"/>
    <row r="75" spans="1:33" s="278" customFormat="1"/>
    <row r="76" spans="1:33" s="278" customFormat="1"/>
    <row r="77" spans="1:33" s="278" customFormat="1"/>
    <row r="78" spans="1:33" s="278" customFormat="1"/>
    <row r="79" spans="1:33" s="278" customFormat="1"/>
    <row r="80" spans="1:33" s="278" customFormat="1">
      <c r="T80" s="278" t="s">
        <v>342</v>
      </c>
      <c r="U80" s="278" t="s">
        <v>24</v>
      </c>
      <c r="V80" s="278" t="s">
        <v>343</v>
      </c>
      <c r="W80" s="278" t="s">
        <v>25</v>
      </c>
      <c r="X80" s="278" t="s">
        <v>344</v>
      </c>
      <c r="Y80" s="278" t="s">
        <v>231</v>
      </c>
      <c r="Z80" s="278" t="s">
        <v>345</v>
      </c>
      <c r="AA80" s="278" t="s">
        <v>233</v>
      </c>
      <c r="AB80" s="278" t="s">
        <v>346</v>
      </c>
      <c r="AC80" s="278" t="s">
        <v>347</v>
      </c>
      <c r="AD80" s="278" t="s">
        <v>348</v>
      </c>
      <c r="AE80" s="278" t="s">
        <v>349</v>
      </c>
      <c r="AF80" s="278" t="s">
        <v>350</v>
      </c>
      <c r="AG80" s="278" t="s">
        <v>351</v>
      </c>
    </row>
    <row r="81" spans="19:33" s="278" customFormat="1">
      <c r="S81" s="278" t="s">
        <v>352</v>
      </c>
      <c r="T81" s="324">
        <f>T11/1000</f>
        <v>28.1</v>
      </c>
      <c r="U81" s="324">
        <f>U11/1000</f>
        <v>29.3</v>
      </c>
      <c r="V81" s="324">
        <f>W11/1000</f>
        <v>30.1</v>
      </c>
      <c r="W81" s="324">
        <f>X11/1000</f>
        <v>30.5</v>
      </c>
      <c r="X81" s="324">
        <f>Z11/1000</f>
        <v>31.1</v>
      </c>
      <c r="Y81" s="324">
        <f>AA11/1000</f>
        <v>35.1</v>
      </c>
      <c r="Z81" s="324">
        <f>AC11/1000</f>
        <v>39.6</v>
      </c>
      <c r="AA81" s="324">
        <f>AD11/1000</f>
        <v>42.9</v>
      </c>
      <c r="AB81" s="324">
        <f>AF11/1000</f>
        <v>45.7</v>
      </c>
      <c r="AC81" s="324">
        <f>AG11/1000</f>
        <v>48</v>
      </c>
      <c r="AD81" s="324">
        <f>AI11/1000</f>
        <v>48.5</v>
      </c>
      <c r="AE81" s="324">
        <f>AJ11/1000</f>
        <v>54</v>
      </c>
      <c r="AF81" s="324">
        <f>AL11/1000</f>
        <v>64.099999999999994</v>
      </c>
      <c r="AG81" s="324">
        <f>AM11/1000</f>
        <v>68.7</v>
      </c>
    </row>
    <row r="82" spans="19:33" s="278" customFormat="1">
      <c r="S82" s="278" t="s">
        <v>353</v>
      </c>
      <c r="T82" s="369">
        <f>T12</f>
        <v>147.19999999999999</v>
      </c>
      <c r="U82" s="369">
        <f>U12</f>
        <v>112.5</v>
      </c>
      <c r="V82" s="369">
        <f>W12</f>
        <v>156.5</v>
      </c>
      <c r="W82" s="369">
        <f>X12</f>
        <v>110.10000000000002</v>
      </c>
      <c r="X82" s="369">
        <f>Z12</f>
        <v>164.7</v>
      </c>
      <c r="Y82" s="369">
        <f>AA12</f>
        <v>151.80000000000001</v>
      </c>
      <c r="Z82" s="369">
        <f>AC12</f>
        <v>189.4</v>
      </c>
      <c r="AA82" s="369">
        <f>AD12</f>
        <v>280.29999999999995</v>
      </c>
      <c r="AB82" s="369">
        <f>AF12</f>
        <v>219</v>
      </c>
      <c r="AC82" s="369">
        <f>AG12</f>
        <v>292.2</v>
      </c>
      <c r="AD82" s="369">
        <f>AI12</f>
        <v>219.2</v>
      </c>
      <c r="AE82" s="369">
        <f>AJ12</f>
        <v>239.90000000000003</v>
      </c>
      <c r="AF82" s="369">
        <f>AL12</f>
        <v>258.2</v>
      </c>
      <c r="AG82" s="369">
        <f>AM12</f>
        <v>330.2</v>
      </c>
    </row>
    <row r="83" spans="19:33" s="278" customFormat="1"/>
    <row r="84" spans="19:33" s="278" customFormat="1"/>
    <row r="85" spans="19:33" s="278" customFormat="1"/>
    <row r="86" spans="19:33" s="278" customFormat="1"/>
    <row r="87" spans="19:33" s="278" customFormat="1"/>
    <row r="88" spans="19:33" s="278" customFormat="1"/>
    <row r="89" spans="19:33" s="278" customFormat="1"/>
    <row r="90" spans="19:33" s="278" customFormat="1"/>
    <row r="91" spans="19:33" s="278" customFormat="1"/>
    <row r="92" spans="19:33" s="278" customFormat="1"/>
    <row r="93" spans="19:33" s="278" customFormat="1"/>
    <row r="94" spans="19:33" s="278" customFormat="1"/>
    <row r="95" spans="19:33" s="278" customFormat="1"/>
    <row r="96" spans="19:33" s="278" customFormat="1"/>
    <row r="97" s="278" customFormat="1"/>
    <row r="98" s="278" customFormat="1"/>
    <row r="99" s="278" customFormat="1"/>
    <row r="100" s="278" customFormat="1"/>
    <row r="101" s="278" customFormat="1"/>
    <row r="102" s="278" customFormat="1"/>
    <row r="103" s="278" customFormat="1"/>
    <row r="104" s="278" customFormat="1"/>
    <row r="105" s="278" customFormat="1"/>
    <row r="106" s="278" customFormat="1"/>
    <row r="107" s="278" customFormat="1"/>
    <row r="108" s="278" customFormat="1"/>
    <row r="109" s="278" customFormat="1"/>
    <row r="110" s="278" customFormat="1"/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E973A-218A-451C-989C-F9012FFA7182}">
  <sheetPr codeName="Sheet4"/>
  <dimension ref="A1:B44"/>
  <sheetViews>
    <sheetView workbookViewId="0"/>
  </sheetViews>
  <sheetFormatPr defaultRowHeight="14.4"/>
  <cols>
    <col min="1" max="1" width="29.09765625" customWidth="1"/>
  </cols>
  <sheetData>
    <row r="1" spans="1:2">
      <c r="A1" s="379" t="s">
        <v>726</v>
      </c>
      <c r="B1" s="387" t="s">
        <v>727</v>
      </c>
    </row>
    <row r="2" spans="1:2">
      <c r="A2" s="379" t="s">
        <v>728</v>
      </c>
      <c r="B2" s="379" t="s">
        <v>729</v>
      </c>
    </row>
    <row r="3" spans="1:2">
      <c r="A3" s="379" t="s">
        <v>730</v>
      </c>
      <c r="B3" s="379" t="s">
        <v>731</v>
      </c>
    </row>
    <row r="4" spans="1:2">
      <c r="A4" s="379" t="s">
        <v>732</v>
      </c>
      <c r="B4" s="379" t="s">
        <v>733</v>
      </c>
    </row>
    <row r="5" spans="1:2">
      <c r="A5" s="379" t="s">
        <v>734</v>
      </c>
      <c r="B5" s="379" t="s">
        <v>735</v>
      </c>
    </row>
    <row r="6" spans="1:2">
      <c r="A6" s="379" t="s">
        <v>736</v>
      </c>
      <c r="B6" s="379"/>
    </row>
    <row r="7" spans="1:2">
      <c r="A7" s="379" t="s">
        <v>737</v>
      </c>
      <c r="B7" s="379" t="s">
        <v>354</v>
      </c>
    </row>
    <row r="8" spans="1:2">
      <c r="A8" s="379" t="s">
        <v>738</v>
      </c>
      <c r="B8" s="379" t="s">
        <v>739</v>
      </c>
    </row>
    <row r="9" spans="1:2">
      <c r="A9" s="379" t="s">
        <v>740</v>
      </c>
      <c r="B9" s="379" t="s">
        <v>741</v>
      </c>
    </row>
    <row r="10" spans="1:2">
      <c r="A10" s="379" t="s">
        <v>742</v>
      </c>
      <c r="B10" s="379"/>
    </row>
    <row r="11" spans="1:2">
      <c r="A11" s="379" t="s">
        <v>743</v>
      </c>
      <c r="B11" s="379"/>
    </row>
    <row r="12" spans="1:2">
      <c r="A12" s="379" t="s">
        <v>744</v>
      </c>
      <c r="B12" s="379"/>
    </row>
    <row r="13" spans="1:2">
      <c r="A13" s="379" t="s">
        <v>745</v>
      </c>
      <c r="B13" s="379"/>
    </row>
    <row r="14" spans="1:2">
      <c r="A14" s="379" t="s">
        <v>746</v>
      </c>
      <c r="B14" s="379"/>
    </row>
    <row r="15" spans="1:2">
      <c r="A15" s="379" t="s">
        <v>747</v>
      </c>
      <c r="B15" s="379"/>
    </row>
    <row r="16" spans="1:2">
      <c r="A16" s="379" t="s">
        <v>748</v>
      </c>
      <c r="B16" s="379"/>
    </row>
    <row r="17" spans="1:2">
      <c r="A17" s="379" t="s">
        <v>749</v>
      </c>
      <c r="B17" s="379" t="s">
        <v>750</v>
      </c>
    </row>
    <row r="18" spans="1:2">
      <c r="A18" s="379" t="s">
        <v>751</v>
      </c>
      <c r="B18" s="379" t="s">
        <v>752</v>
      </c>
    </row>
    <row r="19" spans="1:2">
      <c r="A19" s="379" t="s">
        <v>753</v>
      </c>
      <c r="B19" s="379" t="s">
        <v>356</v>
      </c>
    </row>
    <row r="20" spans="1:2">
      <c r="A20" s="379" t="s">
        <v>754</v>
      </c>
      <c r="B20" s="379"/>
    </row>
    <row r="21" spans="1:2">
      <c r="A21" s="379" t="s">
        <v>755</v>
      </c>
      <c r="B21" s="379" t="s">
        <v>356</v>
      </c>
    </row>
    <row r="22" spans="1:2">
      <c r="A22" s="379" t="s">
        <v>756</v>
      </c>
      <c r="B22" s="379" t="s">
        <v>757</v>
      </c>
    </row>
    <row r="23" spans="1:2">
      <c r="A23" s="379" t="s">
        <v>758</v>
      </c>
      <c r="B23" s="387" t="s">
        <v>759</v>
      </c>
    </row>
    <row r="24" spans="1:2">
      <c r="A24" s="379" t="s">
        <v>760</v>
      </c>
      <c r="B24" s="379" t="s">
        <v>355</v>
      </c>
    </row>
    <row r="25" spans="1:2">
      <c r="A25" s="379" t="s">
        <v>761</v>
      </c>
      <c r="B25" s="379" t="s">
        <v>762</v>
      </c>
    </row>
    <row r="26" spans="1:2">
      <c r="A26" s="379" t="s">
        <v>763</v>
      </c>
      <c r="B26" s="379" t="s">
        <v>764</v>
      </c>
    </row>
    <row r="27" spans="1:2">
      <c r="A27" s="379" t="s">
        <v>765</v>
      </c>
      <c r="B27" s="379" t="s">
        <v>766</v>
      </c>
    </row>
    <row r="28" spans="1:2">
      <c r="A28" s="379" t="s">
        <v>767</v>
      </c>
      <c r="B28" s="379" t="s">
        <v>768</v>
      </c>
    </row>
    <row r="29" spans="1:2">
      <c r="A29" s="379" t="s">
        <v>769</v>
      </c>
      <c r="B29" s="379"/>
    </row>
    <row r="30" spans="1:2">
      <c r="A30" s="379" t="s">
        <v>770</v>
      </c>
      <c r="B30" s="379"/>
    </row>
    <row r="31" spans="1:2">
      <c r="A31" s="379" t="s">
        <v>771</v>
      </c>
      <c r="B31" s="379"/>
    </row>
    <row r="32" spans="1:2">
      <c r="A32" s="379" t="s">
        <v>772</v>
      </c>
      <c r="B32" s="379"/>
    </row>
    <row r="33" spans="1:2">
      <c r="A33" s="379" t="s">
        <v>773</v>
      </c>
      <c r="B33" s="379"/>
    </row>
    <row r="34" spans="1:2">
      <c r="A34" s="379" t="s">
        <v>774</v>
      </c>
      <c r="B34" s="379"/>
    </row>
    <row r="35" spans="1:2">
      <c r="A35" s="379" t="s">
        <v>775</v>
      </c>
      <c r="B35" s="379" t="s">
        <v>776</v>
      </c>
    </row>
    <row r="36" spans="1:2">
      <c r="A36" s="379" t="s">
        <v>777</v>
      </c>
      <c r="B36" s="379" t="s">
        <v>778</v>
      </c>
    </row>
    <row r="37" spans="1:2">
      <c r="A37" s="379" t="s">
        <v>779</v>
      </c>
      <c r="B37" s="379" t="s">
        <v>780</v>
      </c>
    </row>
    <row r="38" spans="1:2">
      <c r="A38" s="379" t="s">
        <v>781</v>
      </c>
      <c r="B38" s="379" t="s">
        <v>782</v>
      </c>
    </row>
    <row r="39" spans="1:2">
      <c r="A39" s="379" t="s">
        <v>783</v>
      </c>
      <c r="B39" s="379" t="s">
        <v>784</v>
      </c>
    </row>
    <row r="40" spans="1:2">
      <c r="A40" s="379" t="s">
        <v>785</v>
      </c>
      <c r="B40" s="379" t="s">
        <v>786</v>
      </c>
    </row>
    <row r="41" spans="1:2">
      <c r="A41" s="379" t="s">
        <v>787</v>
      </c>
      <c r="B41" s="379" t="s">
        <v>788</v>
      </c>
    </row>
    <row r="42" spans="1:2">
      <c r="A42" s="379" t="s">
        <v>789</v>
      </c>
      <c r="B42" s="379"/>
    </row>
    <row r="43" spans="1:2">
      <c r="A43" s="379" t="s">
        <v>790</v>
      </c>
      <c r="B43" s="379"/>
    </row>
    <row r="44" spans="1:2">
      <c r="A44" s="379" t="s">
        <v>791</v>
      </c>
      <c r="B44" s="379" t="s">
        <v>792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9E0D3-ED3D-4B26-8FE9-8965925D61A4}">
  <sheetPr codeName="Sheet5"/>
  <dimension ref="A1:A13"/>
  <sheetViews>
    <sheetView workbookViewId="0"/>
  </sheetViews>
  <sheetFormatPr defaultRowHeight="14.4"/>
  <cols>
    <col min="1" max="1" width="29" customWidth="1"/>
  </cols>
  <sheetData>
    <row r="1" spans="1:1">
      <c r="A1" s="379" t="s">
        <v>793</v>
      </c>
    </row>
    <row r="2" spans="1:1">
      <c r="A2" s="379" t="s">
        <v>794</v>
      </c>
    </row>
    <row r="3" spans="1:1">
      <c r="A3" s="379" t="s">
        <v>795</v>
      </c>
    </row>
    <row r="4" spans="1:1">
      <c r="A4" s="379" t="s">
        <v>796</v>
      </c>
    </row>
    <row r="5" spans="1:1">
      <c r="A5" s="379" t="s">
        <v>797</v>
      </c>
    </row>
    <row r="6" spans="1:1">
      <c r="A6" s="379" t="s">
        <v>798</v>
      </c>
    </row>
    <row r="7" spans="1:1">
      <c r="A7" s="379" t="s">
        <v>799</v>
      </c>
    </row>
    <row r="8" spans="1:1">
      <c r="A8" s="379" t="s">
        <v>800</v>
      </c>
    </row>
    <row r="9" spans="1:1">
      <c r="A9" s="379" t="s">
        <v>801</v>
      </c>
    </row>
    <row r="10" spans="1:1">
      <c r="A10" s="379" t="s">
        <v>802</v>
      </c>
    </row>
    <row r="11" spans="1:1">
      <c r="A11" s="379" t="s">
        <v>803</v>
      </c>
    </row>
    <row r="12" spans="1:1">
      <c r="A12" s="379" t="s">
        <v>804</v>
      </c>
    </row>
    <row r="13" spans="1:1">
      <c r="A13" s="379" t="s">
        <v>805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CircularReferenceAlert</vt:lpstr>
      <vt:lpstr>ImportantDisclosures</vt:lpstr>
      <vt:lpstr>Group</vt:lpstr>
      <vt:lpstr>Debt</vt:lpstr>
      <vt:lpstr>Funds fee streams</vt:lpstr>
      <vt:lpstr>IndexInformation</vt:lpstr>
      <vt:lpstr>ModPubIndex</vt:lpstr>
    </vt:vector>
  </TitlesOfParts>
  <Company>Morgan Stanley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Berry, Lauren A (Research)</dc:creator>
  <cp:lastModifiedBy>Kelly, Suzanne (Research)</cp:lastModifiedBy>
  <cp:lastPrinted>2026-01-14T00:54:44Z</cp:lastPrinted>
  <dcterms:created xsi:type="dcterms:W3CDTF">2019-10-30T00:34:55Z</dcterms:created>
  <dcterms:modified xsi:type="dcterms:W3CDTF">2026-02-19T21:49:08Z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7f119e6-c6cd-44b0-a5ee-ac1aff68c56e_Enabled">
    <vt:lpwstr>true</vt:lpwstr>
  </property>
  <property fmtid="{D5CDD505-2E9C-101B-9397-08002B2CF9AE}" pid="3" name="MSIP_Label_07f119e6-c6cd-44b0-a5ee-ac1aff68c56e_SetDate">
    <vt:lpwstr>2022-06-27T07:39:12Z</vt:lpwstr>
  </property>
  <property fmtid="{D5CDD505-2E9C-101B-9397-08002B2CF9AE}" pid="4" name="MSIP_Label_07f119e6-c6cd-44b0-a5ee-ac1aff68c56e_Method">
    <vt:lpwstr>Standard</vt:lpwstr>
  </property>
  <property fmtid="{D5CDD505-2E9C-101B-9397-08002B2CF9AE}" pid="5" name="MSIP_Label_07f119e6-c6cd-44b0-a5ee-ac1aff68c56e_Name">
    <vt:lpwstr>Confidential v1</vt:lpwstr>
  </property>
  <property fmtid="{D5CDD505-2E9C-101B-9397-08002B2CF9AE}" pid="6" name="MSIP_Label_07f119e6-c6cd-44b0-a5ee-ac1aff68c56e_SiteId">
    <vt:lpwstr>e29b8111-49f8-418d-ac2a-935335a52614</vt:lpwstr>
  </property>
  <property fmtid="{D5CDD505-2E9C-101B-9397-08002B2CF9AE}" pid="7" name="MSIP_Label_07f119e6-c6cd-44b0-a5ee-ac1aff68c56e_ActionId">
    <vt:lpwstr>13ef260d-aa33-4e8e-8805-7e2e90c14921</vt:lpwstr>
  </property>
  <property fmtid="{D5CDD505-2E9C-101B-9397-08002B2CF9AE}" pid="8" name="MSIP_Label_07f119e6-c6cd-44b0-a5ee-ac1aff68c56e_ContentBits">
    <vt:lpwstr>0</vt:lpwstr>
  </property>
  <property fmtid="{D5CDD505-2E9C-101B-9397-08002B2CF9AE}" pid="9" name="ERModPubTicket">
    <vt:lpwstr>NA</vt:lpwstr>
  </property>
  <property fmtid="{D5CDD505-2E9C-101B-9397-08002B2CF9AE}" pid="10" name="ERModPubConfirmEmail">
    <vt:bool>false</vt:bool>
  </property>
  <property fmtid="{D5CDD505-2E9C-101B-9397-08002B2CF9AE}" pid="11" name="ERModPubUserEmail">
    <vt:lpwstr>berrylau@ms.com</vt:lpwstr>
  </property>
  <property fmtid="{D5CDD505-2E9C-101B-9397-08002B2CF9AE}" pid="12" name="ERModPubGCIMTagged">
    <vt:bool>true</vt:bool>
  </property>
  <property fmtid="{D5CDD505-2E9C-101B-9397-08002B2CF9AE}" pid="13" name="ERCompanyUploadState">
    <vt:lpwstr>P</vt:lpwstr>
  </property>
  <property fmtid="{D5CDD505-2E9C-101B-9397-08002B2CF9AE}" pid="14" name="ERModPubCurrentYear">
    <vt:i4>2026</vt:i4>
  </property>
  <property fmtid="{D5CDD505-2E9C-101B-9397-08002B2CF9AE}" pid="15" name="ModelId">
    <vt:lpwstr>9787804</vt:lpwstr>
  </property>
  <property fmtid="{D5CDD505-2E9C-101B-9397-08002B2CF9AE}" pid="16" name="ERModPubCompanyName">
    <vt:lpwstr>Goodman Group</vt:lpwstr>
  </property>
</Properties>
</file>